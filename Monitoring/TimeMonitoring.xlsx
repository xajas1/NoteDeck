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im/NoteDeck/Monitoring/"/>
    </mc:Choice>
  </mc:AlternateContent>
  <xr:revisionPtr revIDLastSave="0" documentId="13_ncr:1_{FB201DB1-3E68-4343-A9E9-95238820F806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Topics" sheetId="1" r:id="rId1"/>
    <sheet name="Tabelle1" sheetId="2" r:id="rId2"/>
    <sheet name="Tabelle2" sheetId="3" r:id="rId3"/>
    <sheet name="Tabelle3" sheetId="4" r:id="rId4"/>
  </sheets>
  <definedNames>
    <definedName name="LitID">Tabelle2!$B$2:$B$1048576</definedName>
    <definedName name="SubjectList">Tabelle2!$A:$A</definedName>
    <definedName name="Topics">Tabelle2!$C:$C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0" i="2" l="1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C1" i="3" a="1"/>
  <c r="C1" i="3" s="1"/>
  <c r="B1" i="3" a="1"/>
  <c r="B1" i="3" s="1"/>
  <c r="D1" i="3" a="1"/>
  <c r="D1" i="3" s="1"/>
  <c r="A1" i="3" a="1"/>
  <c r="A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<sst xmlns="http://schemas.openxmlformats.org/spreadsheetml/2006/main" count="570" uniqueCount="237">
  <si>
    <t>Subject</t>
  </si>
  <si>
    <t>ParentTopic</t>
  </si>
  <si>
    <t>Topic</t>
  </si>
  <si>
    <t>Index</t>
  </si>
  <si>
    <t>LitID</t>
  </si>
  <si>
    <t>TopicID</t>
  </si>
  <si>
    <t>Ringe</t>
  </si>
  <si>
    <t>Ringe Basics</t>
  </si>
  <si>
    <t>A</t>
  </si>
  <si>
    <t>S23</t>
  </si>
  <si>
    <t>A-S23-01</t>
  </si>
  <si>
    <t>Potenzreihenringe und Polynomringe</t>
  </si>
  <si>
    <t>A-S23-02</t>
  </si>
  <si>
    <t>Ideale und Quotienten</t>
  </si>
  <si>
    <t>A-S23-03</t>
  </si>
  <si>
    <t>Moduln</t>
  </si>
  <si>
    <t>Moduln Grundlagen</t>
  </si>
  <si>
    <t>A-S23-04</t>
  </si>
  <si>
    <t>CM</t>
  </si>
  <si>
    <t>Klassische Streutheorie</t>
  </si>
  <si>
    <t>T12</t>
  </si>
  <si>
    <t>CM-T12-01</t>
  </si>
  <si>
    <t>Wirkungsquerschnitt</t>
  </si>
  <si>
    <t>CM-T12-02</t>
  </si>
  <si>
    <t>Berechnung des Wirkungsquerschnitts für elastische Streuung am Zentralpotential</t>
  </si>
  <si>
    <t>CM-T12-03</t>
  </si>
  <si>
    <t>Rücktransformation ins Laborsystem</t>
  </si>
  <si>
    <t>CM-T12-04</t>
  </si>
  <si>
    <t>2-Körper und effektives 1-Körper Problem</t>
  </si>
  <si>
    <t>CM-T12-05</t>
  </si>
  <si>
    <t>CM-ÜB</t>
  </si>
  <si>
    <t>CM-ÜB-01: Streutheorie</t>
  </si>
  <si>
    <t>CM-T12-06</t>
  </si>
  <si>
    <t>EFT1</t>
  </si>
  <si>
    <t>Faserbündel</t>
  </si>
  <si>
    <t>K25</t>
  </si>
  <si>
    <t>EFT1-K25-01</t>
  </si>
  <si>
    <t>GPDE</t>
  </si>
  <si>
    <t>GPDE Basics</t>
  </si>
  <si>
    <t>Differentialoperatoren</t>
  </si>
  <si>
    <t>S25</t>
  </si>
  <si>
    <t>GPDE-S25-01</t>
  </si>
  <si>
    <t>Regularitätsklassen</t>
  </si>
  <si>
    <t>GPDE-S25-02</t>
  </si>
  <si>
    <t>Maximum Prinzipien</t>
  </si>
  <si>
    <t>Schwache Maximum Prinzipien</t>
  </si>
  <si>
    <t>GPDE-S25-03</t>
  </si>
  <si>
    <t>Starke Maximum Prinzipien</t>
  </si>
  <si>
    <t>GPDE-S25-04</t>
  </si>
  <si>
    <t>Hopf Lemma</t>
  </si>
  <si>
    <t>GPDE-S25-05</t>
  </si>
  <si>
    <t>Vergleichsprinzipien für voll nicht-lineare Differentialoperatoren</t>
  </si>
  <si>
    <t>GPDE-S25-06</t>
  </si>
  <si>
    <t>HA</t>
  </si>
  <si>
    <t>Kategorien und Funktoren in HA</t>
  </si>
  <si>
    <t>R79</t>
  </si>
  <si>
    <t>HA-R79-01</t>
  </si>
  <si>
    <t>Moduln in HA</t>
  </si>
  <si>
    <t>HA-R79-02</t>
  </si>
  <si>
    <t>Abelsche Kategorien</t>
  </si>
  <si>
    <t>HA-R79-03</t>
  </si>
  <si>
    <t>Homologie Funktor in HA</t>
  </si>
  <si>
    <t>HA-R79-04</t>
  </si>
  <si>
    <t>Komplexe in HA</t>
  </si>
  <si>
    <t>HA-R79-05</t>
  </si>
  <si>
    <t>Hilftslemma für Diagramme der HA</t>
  </si>
  <si>
    <t>HA-R79-06</t>
  </si>
  <si>
    <t>Splitting</t>
  </si>
  <si>
    <t>HA-R79-07</t>
  </si>
  <si>
    <t>Kategorische Formulierung der Homologietheorie</t>
  </si>
  <si>
    <t>HA-R79-08</t>
  </si>
  <si>
    <t>QM</t>
  </si>
  <si>
    <t>Schrödinger Gleichung</t>
  </si>
  <si>
    <t>G25</t>
  </si>
  <si>
    <t>QM-G25-01</t>
  </si>
  <si>
    <t>Wellenpakete in QM</t>
  </si>
  <si>
    <t>QM-G25-02</t>
  </si>
  <si>
    <t>Einführung der Schrödinger Gleichung</t>
  </si>
  <si>
    <t>Herleitung für freie Teilchen</t>
  </si>
  <si>
    <t>QM-G25-03</t>
  </si>
  <si>
    <t>Teilchen in äußeren Potentialen</t>
  </si>
  <si>
    <t>QM-G25-04</t>
  </si>
  <si>
    <t>Operatoren</t>
  </si>
  <si>
    <t>QM-G25-05</t>
  </si>
  <si>
    <t>Korrespondenz Prinzip</t>
  </si>
  <si>
    <t>QM-G25-06</t>
  </si>
  <si>
    <t>Interpretation der Wellenfunktion</t>
  </si>
  <si>
    <t>Wahrscheinlichkeitsdichte</t>
  </si>
  <si>
    <t>QM-G25-07</t>
  </si>
  <si>
    <t>Kontinuitätsgleichung</t>
  </si>
  <si>
    <t>QM-G25-08</t>
  </si>
  <si>
    <t>Impulsraum</t>
  </si>
  <si>
    <t>QM-G25-09</t>
  </si>
  <si>
    <t>Erwartungswert</t>
  </si>
  <si>
    <t>QM-G25-10</t>
  </si>
  <si>
    <t>Beugung und Inferenz</t>
  </si>
  <si>
    <t>QM-G25-11</t>
  </si>
  <si>
    <t>Ehrenfest Theorem</t>
  </si>
  <si>
    <t>Hermitisch konjugierte Operatoren</t>
  </si>
  <si>
    <t>QM-G25-12</t>
  </si>
  <si>
    <t>Bewegungsgleichung für Erwartungswert</t>
  </si>
  <si>
    <t>QM-G25-13</t>
  </si>
  <si>
    <t>Quasiklassische Bewegung</t>
  </si>
  <si>
    <t>QM-G25-14</t>
  </si>
  <si>
    <t>Eindimensionale Systeme</t>
  </si>
  <si>
    <t>Stationäre Schrödinger Gleichung</t>
  </si>
  <si>
    <t>QM-G25-15</t>
  </si>
  <si>
    <t>Eindimensionale Potentialstufe</t>
  </si>
  <si>
    <t>QM-G25-16</t>
  </si>
  <si>
    <t>Streuzustände</t>
  </si>
  <si>
    <t>QM-G25-17</t>
  </si>
  <si>
    <t>Reflektierte Zustände</t>
  </si>
  <si>
    <t>QM-G25-18</t>
  </si>
  <si>
    <t>QM-ÜB</t>
  </si>
  <si>
    <t>QM-ÜB-01: Delta-Distribution, Kommutator und W-keit</t>
  </si>
  <si>
    <t>QM-G25-19</t>
  </si>
  <si>
    <t>QMS</t>
  </si>
  <si>
    <t>Symmetrie in Quantenmechanik</t>
  </si>
  <si>
    <t>Raum Translation</t>
  </si>
  <si>
    <t>R25</t>
  </si>
  <si>
    <t>QMS-R25-01</t>
  </si>
  <si>
    <t>RG</t>
  </si>
  <si>
    <t>Differenzierbare Mannigfaltigkeiten</t>
  </si>
  <si>
    <t>Untermannigfaltigkeiten im euklidischen Raum</t>
  </si>
  <si>
    <t>B25</t>
  </si>
  <si>
    <t>RG-B25-01</t>
  </si>
  <si>
    <t>Glatte Mannigfaltigkeiten</t>
  </si>
  <si>
    <t>RG-B25-02</t>
  </si>
  <si>
    <t>Glatte Abbildungen und Vektorfelder</t>
  </si>
  <si>
    <t>RG-B25-03</t>
  </si>
  <si>
    <t>Riemannische Mannigfaltigkeiten</t>
  </si>
  <si>
    <t>RG-B25-04</t>
  </si>
  <si>
    <t>Levi-Civita Zusammenhang</t>
  </si>
  <si>
    <t>RG-B25-05</t>
  </si>
  <si>
    <t>Kovariante Ableitung längs einer Kurve</t>
  </si>
  <si>
    <t>RG-B25-06</t>
  </si>
  <si>
    <t>Paralleltransport</t>
  </si>
  <si>
    <t>RG-B25-07</t>
  </si>
  <si>
    <t>RG-ÜB</t>
  </si>
  <si>
    <t>RG-ÜB-01: Glatte Mannigfaltigkeiten</t>
  </si>
  <si>
    <t>RG-B25-08</t>
  </si>
  <si>
    <t>RG-ÜB-02: Tangentialbündel und Hyperbolischer Raum</t>
  </si>
  <si>
    <t>RG-B25-09</t>
  </si>
  <si>
    <t>TEST</t>
  </si>
  <si>
    <t>T25</t>
  </si>
  <si>
    <t>TEST-T25-01</t>
  </si>
  <si>
    <t>TEST2</t>
  </si>
  <si>
    <t>TEST-T25-03</t>
  </si>
  <si>
    <t>TEST3</t>
  </si>
  <si>
    <t>TEST-T25-04</t>
  </si>
  <si>
    <t>TEST4</t>
  </si>
  <si>
    <t>TEST-T25-05</t>
  </si>
  <si>
    <t>TEST5</t>
  </si>
  <si>
    <t>TEST-T25-06</t>
  </si>
  <si>
    <t>TEST 6</t>
  </si>
  <si>
    <t>TEST-T25-07</t>
  </si>
  <si>
    <t>TEST 7</t>
  </si>
  <si>
    <t>TEST-T25-08</t>
  </si>
  <si>
    <t>TEST 8</t>
  </si>
  <si>
    <t>TEST-T25-09</t>
  </si>
  <si>
    <t>TEST 9</t>
  </si>
  <si>
    <t>TEST-T25-10</t>
  </si>
  <si>
    <t>TEST 10</t>
  </si>
  <si>
    <t>TEST-T25-11</t>
  </si>
  <si>
    <t>TOP1</t>
  </si>
  <si>
    <t>Singuläre Homologie (SHT)</t>
  </si>
  <si>
    <t>Basics der SHT</t>
  </si>
  <si>
    <t>TOP1-T12-01</t>
  </si>
  <si>
    <t>Unterteilung  und Ausschneidung in SHT</t>
  </si>
  <si>
    <t>TOP1-T12-02</t>
  </si>
  <si>
    <t>Absolute und Relative Homologie</t>
  </si>
  <si>
    <t>TOP1-T12-03</t>
  </si>
  <si>
    <t>Reduzierte Homologie</t>
  </si>
  <si>
    <t>TOP1-T12-04</t>
  </si>
  <si>
    <t>Date</t>
  </si>
  <si>
    <t>Week</t>
  </si>
  <si>
    <t>Subj</t>
  </si>
  <si>
    <t>Process</t>
  </si>
  <si>
    <t>Time</t>
  </si>
  <si>
    <t>Note</t>
  </si>
  <si>
    <t>KNO</t>
  </si>
  <si>
    <t>GA</t>
  </si>
  <si>
    <t>AQ</t>
  </si>
  <si>
    <t>APP</t>
  </si>
  <si>
    <t>AT</t>
  </si>
  <si>
    <t>STUD</t>
  </si>
  <si>
    <t>11.08.-17.08</t>
  </si>
  <si>
    <t>18.08.-24.08.</t>
  </si>
  <si>
    <t>25.08.31.08</t>
  </si>
  <si>
    <t>01.09.-07.09</t>
  </si>
  <si>
    <t>08.09.-14.09.</t>
  </si>
  <si>
    <t>15.09.-21.09.</t>
  </si>
  <si>
    <t>22.09.-28.09.</t>
  </si>
  <si>
    <t>28.09.-05.10.</t>
  </si>
  <si>
    <t>06.10.-12.10.</t>
  </si>
  <si>
    <t>13.10.-19.10.</t>
  </si>
  <si>
    <t>20.10.-26.10.</t>
  </si>
  <si>
    <t>SUBJECT</t>
  </si>
  <si>
    <t>TOPIC</t>
  </si>
  <si>
    <t>MODE</t>
  </si>
  <si>
    <t>MFK</t>
  </si>
  <si>
    <t>LCZ</t>
  </si>
  <si>
    <t>KA Kurven</t>
  </si>
  <si>
    <t>PT</t>
  </si>
  <si>
    <t>GEO EXP</t>
  </si>
  <si>
    <t>KRÜ</t>
  </si>
  <si>
    <t>VAR</t>
  </si>
  <si>
    <t>GEO TOP</t>
  </si>
  <si>
    <t>JAC</t>
  </si>
  <si>
    <t>ÜL</t>
  </si>
  <si>
    <t>SUB</t>
  </si>
  <si>
    <t>VOL</t>
  </si>
  <si>
    <t>RMFK</t>
  </si>
  <si>
    <t>AQU</t>
  </si>
  <si>
    <t>STR</t>
  </si>
  <si>
    <t>EX</t>
  </si>
  <si>
    <t>BAS</t>
  </si>
  <si>
    <t>CAT</t>
  </si>
  <si>
    <t>MOD</t>
  </si>
  <si>
    <t>TEN</t>
  </si>
  <si>
    <t>ADJ ISO</t>
  </si>
  <si>
    <t>SP MOD</t>
  </si>
  <si>
    <t>CAT CONS</t>
  </si>
  <si>
    <t>LIM</t>
  </si>
  <si>
    <t>ADJ FUN</t>
  </si>
  <si>
    <t>AB CAT</t>
  </si>
  <si>
    <t>COMP</t>
  </si>
  <si>
    <t>HOM</t>
  </si>
  <si>
    <t>DER FUN</t>
  </si>
  <si>
    <t>TOR</t>
  </si>
  <si>
    <t>EXT</t>
  </si>
  <si>
    <t>UCT</t>
  </si>
  <si>
    <t>KÜN</t>
  </si>
  <si>
    <t>Do: SING H</t>
  </si>
  <si>
    <t>Do: APP</t>
  </si>
  <si>
    <t>Do: CELL DECO</t>
  </si>
  <si>
    <t>Do: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</si>
</sst>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/m;@"/>
    <numFmt numFmtId="166" formatCode="[h]:m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ptos Narrow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20" fontId="2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Standard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numFmt numFmtId="166" formatCode="[h]:mm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d/m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12F56-DE6D-1C4F-8324-3BEF4B9785F9}" name="tbl_MONITORING" displayName="tbl_MONITORING" ref="C4:K21" totalsRowShown="0" headerRowDxfId="2" dataDxfId="1">
  <autoFilter ref="C4:K21" xr:uid="{F8812F56-DE6D-1C4F-8324-3BEF4B9785F9}"/>
  <tableColumns count="9">
    <tableColumn id="1" xr3:uid="{58F4A1E6-FDF8-874F-B2B6-907AD1BEEF45}" name="Date" dataDxfId="10"/>
    <tableColumn id="2" xr3:uid="{F2ACE730-A243-3942-9BEE-4173EF12B5D6}" name="Week" dataDxfId="9">
      <calculatedColumnFormula>TEXT(WEEKNUM(tbl_MONITORING[[#This Row],[Date]], 2), "00") &amp; "-" &amp; YEAR(tbl_MONITORING[[#This Row],[Date]])</calculatedColumnFormula>
    </tableColumn>
    <tableColumn id="3" xr3:uid="{6C26699C-EF99-8B41-80A5-BB1E6D335DCB}" name="Subj" dataDxfId="8"/>
    <tableColumn id="4" xr3:uid="{83431EEA-AF03-F045-A890-9C218508CDF1}" name="LitID" dataDxfId="7"/>
    <tableColumn id="5" xr3:uid="{B3557314-44D7-FA4F-ABFF-5A4A15F029A0}" name="TopicID" dataDxfId="6"/>
    <tableColumn id="6" xr3:uid="{B3564C4D-5988-8549-8B17-DA0D8798BE83}" name="Topic" dataDxfId="5"/>
    <tableColumn id="7" xr3:uid="{6F40571C-5A41-4C47-B72D-C7D6CFAAACC4}" name="Process" dataDxfId="4"/>
    <tableColumn id="8" xr3:uid="{A5EB7084-32D6-7F4E-9AD8-5279FFCF4644}" name="Time" dataDxfId="0"/>
    <tableColumn id="9" xr3:uid="{55ADA6EA-E7FC-294D-BA4C-482A63A43B06}" name="Note" dataDxfId="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opLeftCell="A14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B2" t="s">
        <v>6</v>
      </c>
      <c r="C2" t="s">
        <v>7</v>
      </c>
      <c r="D2">
        <v>1</v>
      </c>
    </row>
    <row r="3" spans="1:6" x14ac:dyDescent="0.2">
      <c r="A3" t="s">
        <v>8</v>
      </c>
      <c r="B3" t="s">
        <v>6</v>
      </c>
      <c r="C3" t="s">
        <v>7</v>
      </c>
      <c r="D3">
        <v>1</v>
      </c>
      <c r="E3" t="s">
        <v>9</v>
      </c>
      <c r="F3" t="s">
        <v>10</v>
      </c>
    </row>
    <row r="4" spans="1:6" x14ac:dyDescent="0.2">
      <c r="A4" t="s">
        <v>8</v>
      </c>
      <c r="B4" t="s">
        <v>6</v>
      </c>
      <c r="C4" t="s">
        <v>11</v>
      </c>
      <c r="D4">
        <v>2</v>
      </c>
      <c r="E4" t="s">
        <v>9</v>
      </c>
      <c r="F4" t="s">
        <v>12</v>
      </c>
    </row>
    <row r="5" spans="1:6" x14ac:dyDescent="0.2">
      <c r="A5" t="s">
        <v>8</v>
      </c>
      <c r="B5" t="s">
        <v>6</v>
      </c>
      <c r="C5" t="s">
        <v>13</v>
      </c>
      <c r="D5">
        <v>3</v>
      </c>
      <c r="E5" t="s">
        <v>9</v>
      </c>
      <c r="F5" t="s">
        <v>14</v>
      </c>
    </row>
    <row r="6" spans="1:6" x14ac:dyDescent="0.2">
      <c r="A6" t="s">
        <v>8</v>
      </c>
      <c r="B6" t="s">
        <v>15</v>
      </c>
      <c r="C6" t="s">
        <v>16</v>
      </c>
      <c r="D6">
        <v>4</v>
      </c>
      <c r="E6" t="s">
        <v>9</v>
      </c>
      <c r="F6" t="s">
        <v>17</v>
      </c>
    </row>
    <row r="7" spans="1:6" x14ac:dyDescent="0.2">
      <c r="A7" t="s">
        <v>18</v>
      </c>
      <c r="C7" t="s">
        <v>19</v>
      </c>
      <c r="D7">
        <v>1</v>
      </c>
      <c r="E7" t="s">
        <v>20</v>
      </c>
      <c r="F7" t="s">
        <v>21</v>
      </c>
    </row>
    <row r="8" spans="1:6" x14ac:dyDescent="0.2">
      <c r="A8" t="s">
        <v>18</v>
      </c>
      <c r="B8" t="s">
        <v>19</v>
      </c>
      <c r="C8" t="s">
        <v>22</v>
      </c>
      <c r="D8">
        <v>2</v>
      </c>
      <c r="E8" t="s">
        <v>20</v>
      </c>
      <c r="F8" t="s">
        <v>23</v>
      </c>
    </row>
    <row r="9" spans="1:6" x14ac:dyDescent="0.2">
      <c r="A9" t="s">
        <v>18</v>
      </c>
      <c r="B9" t="s">
        <v>19</v>
      </c>
      <c r="C9" t="s">
        <v>24</v>
      </c>
      <c r="D9">
        <v>3</v>
      </c>
      <c r="E9" t="s">
        <v>20</v>
      </c>
      <c r="F9" t="s">
        <v>25</v>
      </c>
    </row>
    <row r="10" spans="1:6" x14ac:dyDescent="0.2">
      <c r="A10" t="s">
        <v>18</v>
      </c>
      <c r="B10" t="s">
        <v>19</v>
      </c>
      <c r="C10" t="s">
        <v>26</v>
      </c>
      <c r="D10">
        <v>4</v>
      </c>
      <c r="E10" t="s">
        <v>20</v>
      </c>
      <c r="F10" t="s">
        <v>27</v>
      </c>
    </row>
    <row r="11" spans="1:6" x14ac:dyDescent="0.2">
      <c r="A11" t="s">
        <v>18</v>
      </c>
      <c r="C11" t="s">
        <v>28</v>
      </c>
      <c r="D11">
        <v>5</v>
      </c>
      <c r="E11" t="s">
        <v>20</v>
      </c>
      <c r="F11" t="s">
        <v>29</v>
      </c>
    </row>
    <row r="12" spans="1:6" x14ac:dyDescent="0.2">
      <c r="A12" t="s">
        <v>18</v>
      </c>
      <c r="B12" t="s">
        <v>30</v>
      </c>
      <c r="C12" t="s">
        <v>31</v>
      </c>
      <c r="D12">
        <v>6</v>
      </c>
      <c r="E12" t="s">
        <v>20</v>
      </c>
      <c r="F12" t="s">
        <v>32</v>
      </c>
    </row>
    <row r="13" spans="1:6" x14ac:dyDescent="0.2">
      <c r="A13" t="s">
        <v>33</v>
      </c>
      <c r="C13" t="s">
        <v>34</v>
      </c>
      <c r="D13">
        <v>1</v>
      </c>
      <c r="E13" t="s">
        <v>35</v>
      </c>
      <c r="F13" t="s">
        <v>36</v>
      </c>
    </row>
    <row r="14" spans="1:6" x14ac:dyDescent="0.2">
      <c r="A14" t="s">
        <v>37</v>
      </c>
      <c r="B14" t="s">
        <v>38</v>
      </c>
      <c r="C14" t="s">
        <v>39</v>
      </c>
      <c r="D14">
        <v>1</v>
      </c>
      <c r="E14" t="s">
        <v>40</v>
      </c>
      <c r="F14" t="s">
        <v>41</v>
      </c>
    </row>
    <row r="15" spans="1:6" x14ac:dyDescent="0.2">
      <c r="A15" t="s">
        <v>37</v>
      </c>
      <c r="B15" t="s">
        <v>38</v>
      </c>
      <c r="C15" t="s">
        <v>42</v>
      </c>
      <c r="D15">
        <v>2</v>
      </c>
      <c r="E15" t="s">
        <v>40</v>
      </c>
      <c r="F15" t="s">
        <v>43</v>
      </c>
    </row>
    <row r="16" spans="1:6" x14ac:dyDescent="0.2">
      <c r="A16" t="s">
        <v>37</v>
      </c>
      <c r="B16" t="s">
        <v>44</v>
      </c>
      <c r="C16" t="s">
        <v>45</v>
      </c>
      <c r="D16">
        <v>3</v>
      </c>
      <c r="E16" t="s">
        <v>40</v>
      </c>
      <c r="F16" t="s">
        <v>46</v>
      </c>
    </row>
    <row r="17" spans="1:6" x14ac:dyDescent="0.2">
      <c r="A17" t="s">
        <v>37</v>
      </c>
      <c r="B17" t="s">
        <v>44</v>
      </c>
      <c r="C17" t="s">
        <v>47</v>
      </c>
      <c r="D17">
        <v>4</v>
      </c>
      <c r="E17" t="s">
        <v>40</v>
      </c>
      <c r="F17" t="s">
        <v>48</v>
      </c>
    </row>
    <row r="18" spans="1:6" x14ac:dyDescent="0.2">
      <c r="A18" t="s">
        <v>37</v>
      </c>
      <c r="B18" t="s">
        <v>44</v>
      </c>
      <c r="C18" t="s">
        <v>49</v>
      </c>
      <c r="D18">
        <v>5</v>
      </c>
      <c r="E18" t="s">
        <v>40</v>
      </c>
      <c r="F18" t="s">
        <v>50</v>
      </c>
    </row>
    <row r="19" spans="1:6" x14ac:dyDescent="0.2">
      <c r="A19" t="s">
        <v>37</v>
      </c>
      <c r="B19" t="s">
        <v>44</v>
      </c>
      <c r="C19" t="s">
        <v>51</v>
      </c>
      <c r="D19">
        <v>6</v>
      </c>
      <c r="E19" t="s">
        <v>40</v>
      </c>
      <c r="F19" t="s">
        <v>52</v>
      </c>
    </row>
    <row r="20" spans="1:6" x14ac:dyDescent="0.2">
      <c r="A20" t="s">
        <v>53</v>
      </c>
      <c r="C20" t="s">
        <v>54</v>
      </c>
      <c r="D20">
        <v>1</v>
      </c>
      <c r="E20" t="s">
        <v>55</v>
      </c>
      <c r="F20" t="s">
        <v>56</v>
      </c>
    </row>
    <row r="21" spans="1:6" x14ac:dyDescent="0.2">
      <c r="A21" t="s">
        <v>53</v>
      </c>
      <c r="C21" t="s">
        <v>57</v>
      </c>
      <c r="D21">
        <v>2</v>
      </c>
      <c r="E21" t="s">
        <v>55</v>
      </c>
      <c r="F21" t="s">
        <v>58</v>
      </c>
    </row>
    <row r="22" spans="1:6" x14ac:dyDescent="0.2">
      <c r="A22" t="s">
        <v>53</v>
      </c>
      <c r="C22" t="s">
        <v>59</v>
      </c>
      <c r="D22">
        <v>3</v>
      </c>
      <c r="E22" t="s">
        <v>55</v>
      </c>
      <c r="F22" t="s">
        <v>60</v>
      </c>
    </row>
    <row r="23" spans="1:6" x14ac:dyDescent="0.2">
      <c r="A23" t="s">
        <v>53</v>
      </c>
      <c r="C23" t="s">
        <v>61</v>
      </c>
      <c r="D23">
        <v>4</v>
      </c>
      <c r="E23" t="s">
        <v>55</v>
      </c>
      <c r="F23" t="s">
        <v>62</v>
      </c>
    </row>
    <row r="24" spans="1:6" x14ac:dyDescent="0.2">
      <c r="A24" t="s">
        <v>53</v>
      </c>
      <c r="C24" t="s">
        <v>63</v>
      </c>
      <c r="D24">
        <v>5</v>
      </c>
      <c r="E24" t="s">
        <v>55</v>
      </c>
      <c r="F24" t="s">
        <v>64</v>
      </c>
    </row>
    <row r="25" spans="1:6" x14ac:dyDescent="0.2">
      <c r="A25" t="s">
        <v>53</v>
      </c>
      <c r="C25" t="s">
        <v>65</v>
      </c>
      <c r="D25">
        <v>6</v>
      </c>
      <c r="E25" t="s">
        <v>55</v>
      </c>
      <c r="F25" t="s">
        <v>66</v>
      </c>
    </row>
    <row r="26" spans="1:6" x14ac:dyDescent="0.2">
      <c r="A26" t="s">
        <v>53</v>
      </c>
      <c r="C26" t="s">
        <v>67</v>
      </c>
      <c r="D26">
        <v>7</v>
      </c>
      <c r="E26" t="s">
        <v>55</v>
      </c>
      <c r="F26" t="s">
        <v>68</v>
      </c>
    </row>
    <row r="27" spans="1:6" x14ac:dyDescent="0.2">
      <c r="A27" t="s">
        <v>53</v>
      </c>
      <c r="C27" t="s">
        <v>69</v>
      </c>
      <c r="D27">
        <v>8</v>
      </c>
      <c r="E27" t="s">
        <v>55</v>
      </c>
      <c r="F27" t="s">
        <v>70</v>
      </c>
    </row>
    <row r="28" spans="1:6" x14ac:dyDescent="0.2">
      <c r="A28" t="s">
        <v>71</v>
      </c>
      <c r="C28" t="s">
        <v>72</v>
      </c>
      <c r="D28">
        <v>1</v>
      </c>
      <c r="E28" t="s">
        <v>73</v>
      </c>
      <c r="F28" t="s">
        <v>74</v>
      </c>
    </row>
    <row r="29" spans="1:6" x14ac:dyDescent="0.2">
      <c r="A29" t="s">
        <v>71</v>
      </c>
      <c r="B29" t="s">
        <v>72</v>
      </c>
      <c r="C29" t="s">
        <v>75</v>
      </c>
      <c r="D29">
        <v>2</v>
      </c>
      <c r="E29" t="s">
        <v>73</v>
      </c>
      <c r="F29" t="s">
        <v>76</v>
      </c>
    </row>
    <row r="30" spans="1:6" x14ac:dyDescent="0.2">
      <c r="A30" t="s">
        <v>71</v>
      </c>
      <c r="B30" t="s">
        <v>77</v>
      </c>
      <c r="C30" t="s">
        <v>78</v>
      </c>
      <c r="D30">
        <v>3</v>
      </c>
      <c r="E30" t="s">
        <v>73</v>
      </c>
      <c r="F30" t="s">
        <v>79</v>
      </c>
    </row>
    <row r="31" spans="1:6" x14ac:dyDescent="0.2">
      <c r="A31" t="s">
        <v>71</v>
      </c>
      <c r="B31" t="s">
        <v>77</v>
      </c>
      <c r="C31" t="s">
        <v>80</v>
      </c>
      <c r="D31">
        <v>4</v>
      </c>
      <c r="E31" t="s">
        <v>73</v>
      </c>
      <c r="F31" t="s">
        <v>81</v>
      </c>
    </row>
    <row r="32" spans="1:6" x14ac:dyDescent="0.2">
      <c r="A32" t="s">
        <v>71</v>
      </c>
      <c r="B32" t="s">
        <v>77</v>
      </c>
      <c r="C32" t="s">
        <v>82</v>
      </c>
      <c r="D32">
        <v>5</v>
      </c>
      <c r="E32" t="s">
        <v>73</v>
      </c>
      <c r="F32" t="s">
        <v>83</v>
      </c>
    </row>
    <row r="33" spans="1:6" x14ac:dyDescent="0.2">
      <c r="A33" t="s">
        <v>71</v>
      </c>
      <c r="B33" t="s">
        <v>77</v>
      </c>
      <c r="C33" t="s">
        <v>84</v>
      </c>
      <c r="D33">
        <v>6</v>
      </c>
      <c r="E33" t="s">
        <v>73</v>
      </c>
      <c r="F33" t="s">
        <v>85</v>
      </c>
    </row>
    <row r="34" spans="1:6" x14ac:dyDescent="0.2">
      <c r="A34" t="s">
        <v>71</v>
      </c>
      <c r="B34" t="s">
        <v>86</v>
      </c>
      <c r="C34" t="s">
        <v>87</v>
      </c>
      <c r="D34">
        <v>7</v>
      </c>
      <c r="E34" t="s">
        <v>73</v>
      </c>
      <c r="F34" t="s">
        <v>88</v>
      </c>
    </row>
    <row r="35" spans="1:6" x14ac:dyDescent="0.2">
      <c r="A35" t="s">
        <v>71</v>
      </c>
      <c r="B35" t="s">
        <v>86</v>
      </c>
      <c r="C35" t="s">
        <v>89</v>
      </c>
      <c r="D35">
        <v>8</v>
      </c>
      <c r="E35" t="s">
        <v>73</v>
      </c>
      <c r="F35" t="s">
        <v>90</v>
      </c>
    </row>
    <row r="36" spans="1:6" x14ac:dyDescent="0.2">
      <c r="A36" t="s">
        <v>71</v>
      </c>
      <c r="B36" t="s">
        <v>86</v>
      </c>
      <c r="C36" t="s">
        <v>91</v>
      </c>
      <c r="D36">
        <v>9</v>
      </c>
      <c r="E36" t="s">
        <v>73</v>
      </c>
      <c r="F36" t="s">
        <v>92</v>
      </c>
    </row>
    <row r="37" spans="1:6" x14ac:dyDescent="0.2">
      <c r="A37" t="s">
        <v>71</v>
      </c>
      <c r="B37" t="s">
        <v>86</v>
      </c>
      <c r="C37" t="s">
        <v>93</v>
      </c>
      <c r="D37">
        <v>10</v>
      </c>
      <c r="E37" t="s">
        <v>73</v>
      </c>
      <c r="F37" t="s">
        <v>94</v>
      </c>
    </row>
    <row r="38" spans="1:6" x14ac:dyDescent="0.2">
      <c r="A38" t="s">
        <v>71</v>
      </c>
      <c r="B38" t="s">
        <v>86</v>
      </c>
      <c r="C38" t="s">
        <v>95</v>
      </c>
      <c r="D38">
        <v>11</v>
      </c>
      <c r="E38" t="s">
        <v>73</v>
      </c>
      <c r="F38" t="s">
        <v>96</v>
      </c>
    </row>
    <row r="39" spans="1:6" x14ac:dyDescent="0.2">
      <c r="A39" t="s">
        <v>71</v>
      </c>
      <c r="B39" t="s">
        <v>97</v>
      </c>
      <c r="C39" t="s">
        <v>98</v>
      </c>
      <c r="D39">
        <v>12</v>
      </c>
      <c r="E39" t="s">
        <v>73</v>
      </c>
      <c r="F39" t="s">
        <v>99</v>
      </c>
    </row>
    <row r="40" spans="1:6" x14ac:dyDescent="0.2">
      <c r="A40" t="s">
        <v>71</v>
      </c>
      <c r="B40" t="s">
        <v>97</v>
      </c>
      <c r="C40" t="s">
        <v>100</v>
      </c>
      <c r="D40">
        <v>13</v>
      </c>
      <c r="E40" t="s">
        <v>73</v>
      </c>
      <c r="F40" t="s">
        <v>101</v>
      </c>
    </row>
    <row r="41" spans="1:6" x14ac:dyDescent="0.2">
      <c r="A41" t="s">
        <v>71</v>
      </c>
      <c r="B41" t="s">
        <v>97</v>
      </c>
      <c r="C41" t="s">
        <v>102</v>
      </c>
      <c r="D41">
        <v>14</v>
      </c>
      <c r="E41" t="s">
        <v>73</v>
      </c>
      <c r="F41" t="s">
        <v>103</v>
      </c>
    </row>
    <row r="42" spans="1:6" x14ac:dyDescent="0.2">
      <c r="A42" t="s">
        <v>71</v>
      </c>
      <c r="B42" t="s">
        <v>104</v>
      </c>
      <c r="C42" t="s">
        <v>105</v>
      </c>
      <c r="D42">
        <v>15</v>
      </c>
      <c r="E42" t="s">
        <v>73</v>
      </c>
      <c r="F42" t="s">
        <v>106</v>
      </c>
    </row>
    <row r="43" spans="1:6" x14ac:dyDescent="0.2">
      <c r="A43" t="s">
        <v>71</v>
      </c>
      <c r="B43" t="s">
        <v>104</v>
      </c>
      <c r="C43" t="s">
        <v>107</v>
      </c>
      <c r="D43">
        <v>16</v>
      </c>
      <c r="E43" t="s">
        <v>73</v>
      </c>
      <c r="F43" t="s">
        <v>108</v>
      </c>
    </row>
    <row r="44" spans="1:6" x14ac:dyDescent="0.2">
      <c r="A44" t="s">
        <v>71</v>
      </c>
      <c r="B44" t="s">
        <v>107</v>
      </c>
      <c r="C44" t="s">
        <v>109</v>
      </c>
      <c r="D44">
        <v>17</v>
      </c>
      <c r="E44" t="s">
        <v>73</v>
      </c>
      <c r="F44" t="s">
        <v>110</v>
      </c>
    </row>
    <row r="45" spans="1:6" x14ac:dyDescent="0.2">
      <c r="A45" t="s">
        <v>71</v>
      </c>
      <c r="B45" t="s">
        <v>107</v>
      </c>
      <c r="C45" t="s">
        <v>111</v>
      </c>
      <c r="D45">
        <v>18</v>
      </c>
      <c r="E45" t="s">
        <v>73</v>
      </c>
      <c r="F45" t="s">
        <v>112</v>
      </c>
    </row>
    <row r="46" spans="1:6" x14ac:dyDescent="0.2">
      <c r="A46" t="s">
        <v>71</v>
      </c>
      <c r="B46" t="s">
        <v>113</v>
      </c>
      <c r="C46" t="s">
        <v>114</v>
      </c>
      <c r="D46">
        <v>19</v>
      </c>
      <c r="E46" t="s">
        <v>73</v>
      </c>
      <c r="F46" t="s">
        <v>115</v>
      </c>
    </row>
    <row r="47" spans="1:6" x14ac:dyDescent="0.2">
      <c r="A47" t="s">
        <v>116</v>
      </c>
      <c r="B47" t="s">
        <v>117</v>
      </c>
      <c r="C47" t="s">
        <v>118</v>
      </c>
      <c r="D47">
        <v>1</v>
      </c>
      <c r="E47" t="s">
        <v>119</v>
      </c>
      <c r="F47" t="s">
        <v>120</v>
      </c>
    </row>
    <row r="48" spans="1:6" x14ac:dyDescent="0.2">
      <c r="A48" t="s">
        <v>121</v>
      </c>
      <c r="B48" t="s">
        <v>122</v>
      </c>
      <c r="C48" t="s">
        <v>123</v>
      </c>
      <c r="D48">
        <v>1</v>
      </c>
      <c r="E48" t="s">
        <v>124</v>
      </c>
      <c r="F48" t="s">
        <v>125</v>
      </c>
    </row>
    <row r="49" spans="1:6" x14ac:dyDescent="0.2">
      <c r="A49" t="s">
        <v>121</v>
      </c>
      <c r="B49" t="s">
        <v>122</v>
      </c>
      <c r="C49" t="s">
        <v>126</v>
      </c>
      <c r="D49">
        <v>2</v>
      </c>
      <c r="E49" t="s">
        <v>124</v>
      </c>
      <c r="F49" t="s">
        <v>127</v>
      </c>
    </row>
    <row r="50" spans="1:6" x14ac:dyDescent="0.2">
      <c r="A50" t="s">
        <v>121</v>
      </c>
      <c r="B50" t="s">
        <v>122</v>
      </c>
      <c r="C50" t="s">
        <v>128</v>
      </c>
      <c r="D50">
        <v>3</v>
      </c>
      <c r="E50" t="s">
        <v>124</v>
      </c>
      <c r="F50" t="s">
        <v>129</v>
      </c>
    </row>
    <row r="51" spans="1:6" x14ac:dyDescent="0.2">
      <c r="A51" t="s">
        <v>121</v>
      </c>
      <c r="C51" t="s">
        <v>130</v>
      </c>
      <c r="D51">
        <v>4</v>
      </c>
      <c r="E51" t="s">
        <v>124</v>
      </c>
      <c r="F51" t="s">
        <v>131</v>
      </c>
    </row>
    <row r="52" spans="1:6" x14ac:dyDescent="0.2">
      <c r="A52" t="s">
        <v>121</v>
      </c>
      <c r="B52" t="s">
        <v>130</v>
      </c>
      <c r="C52" t="s">
        <v>132</v>
      </c>
      <c r="D52">
        <v>5</v>
      </c>
      <c r="E52" t="s">
        <v>124</v>
      </c>
      <c r="F52" t="s">
        <v>133</v>
      </c>
    </row>
    <row r="53" spans="1:6" x14ac:dyDescent="0.2">
      <c r="A53" t="s">
        <v>121</v>
      </c>
      <c r="B53" t="s">
        <v>130</v>
      </c>
      <c r="C53" t="s">
        <v>134</v>
      </c>
      <c r="D53">
        <v>6</v>
      </c>
      <c r="E53" t="s">
        <v>124</v>
      </c>
      <c r="F53" t="s">
        <v>135</v>
      </c>
    </row>
    <row r="54" spans="1:6" x14ac:dyDescent="0.2">
      <c r="A54" t="s">
        <v>121</v>
      </c>
      <c r="B54" t="s">
        <v>130</v>
      </c>
      <c r="C54" t="s">
        <v>136</v>
      </c>
      <c r="D54">
        <v>7</v>
      </c>
      <c r="E54" t="s">
        <v>124</v>
      </c>
      <c r="F54" t="s">
        <v>137</v>
      </c>
    </row>
    <row r="55" spans="1:6" x14ac:dyDescent="0.2">
      <c r="A55" t="s">
        <v>121</v>
      </c>
      <c r="B55" t="s">
        <v>138</v>
      </c>
      <c r="C55" t="s">
        <v>139</v>
      </c>
      <c r="D55">
        <v>8</v>
      </c>
      <c r="E55" t="s">
        <v>124</v>
      </c>
      <c r="F55" t="s">
        <v>140</v>
      </c>
    </row>
    <row r="56" spans="1:6" x14ac:dyDescent="0.2">
      <c r="A56" t="s">
        <v>121</v>
      </c>
      <c r="B56" t="s">
        <v>138</v>
      </c>
      <c r="C56" t="s">
        <v>141</v>
      </c>
      <c r="D56">
        <v>9</v>
      </c>
      <c r="E56" t="s">
        <v>124</v>
      </c>
      <c r="F56" t="s">
        <v>142</v>
      </c>
    </row>
    <row r="57" spans="1:6" x14ac:dyDescent="0.2">
      <c r="A57" t="s">
        <v>143</v>
      </c>
      <c r="C57" t="s">
        <v>143</v>
      </c>
      <c r="D57">
        <v>1</v>
      </c>
      <c r="E57" t="s">
        <v>144</v>
      </c>
      <c r="F57" t="s">
        <v>145</v>
      </c>
    </row>
    <row r="58" spans="1:6" x14ac:dyDescent="0.2">
      <c r="A58" t="s">
        <v>143</v>
      </c>
      <c r="D58">
        <v>2</v>
      </c>
    </row>
    <row r="59" spans="1:6" x14ac:dyDescent="0.2">
      <c r="A59" t="s">
        <v>143</v>
      </c>
      <c r="B59" t="s">
        <v>143</v>
      </c>
      <c r="C59" t="s">
        <v>146</v>
      </c>
      <c r="D59">
        <v>3</v>
      </c>
      <c r="E59" t="s">
        <v>144</v>
      </c>
      <c r="F59" t="s">
        <v>147</v>
      </c>
    </row>
    <row r="60" spans="1:6" x14ac:dyDescent="0.2">
      <c r="A60" t="s">
        <v>143</v>
      </c>
      <c r="C60" t="s">
        <v>148</v>
      </c>
      <c r="D60">
        <v>4</v>
      </c>
      <c r="E60" t="s">
        <v>144</v>
      </c>
      <c r="F60" t="s">
        <v>149</v>
      </c>
    </row>
    <row r="61" spans="1:6" x14ac:dyDescent="0.2">
      <c r="A61" t="s">
        <v>143</v>
      </c>
      <c r="C61" t="s">
        <v>150</v>
      </c>
      <c r="D61">
        <v>5</v>
      </c>
      <c r="E61" t="s">
        <v>144</v>
      </c>
      <c r="F61" t="s">
        <v>151</v>
      </c>
    </row>
    <row r="62" spans="1:6" x14ac:dyDescent="0.2">
      <c r="A62" t="s">
        <v>143</v>
      </c>
      <c r="C62" t="s">
        <v>152</v>
      </c>
      <c r="D62">
        <v>6</v>
      </c>
      <c r="E62" t="s">
        <v>144</v>
      </c>
      <c r="F62" t="s">
        <v>153</v>
      </c>
    </row>
    <row r="63" spans="1:6" x14ac:dyDescent="0.2">
      <c r="A63" t="s">
        <v>143</v>
      </c>
      <c r="C63" t="s">
        <v>154</v>
      </c>
      <c r="D63">
        <v>7</v>
      </c>
      <c r="E63" t="s">
        <v>144</v>
      </c>
      <c r="F63" t="s">
        <v>155</v>
      </c>
    </row>
    <row r="64" spans="1:6" x14ac:dyDescent="0.2">
      <c r="A64" t="s">
        <v>143</v>
      </c>
      <c r="C64" t="s">
        <v>156</v>
      </c>
      <c r="D64">
        <v>8</v>
      </c>
      <c r="E64" t="s">
        <v>144</v>
      </c>
      <c r="F64" t="s">
        <v>157</v>
      </c>
    </row>
    <row r="65" spans="1:6" x14ac:dyDescent="0.2">
      <c r="A65" t="s">
        <v>143</v>
      </c>
      <c r="C65" t="s">
        <v>158</v>
      </c>
      <c r="D65">
        <v>9</v>
      </c>
      <c r="E65" t="s">
        <v>144</v>
      </c>
      <c r="F65" t="s">
        <v>159</v>
      </c>
    </row>
    <row r="66" spans="1:6" x14ac:dyDescent="0.2">
      <c r="A66" t="s">
        <v>143</v>
      </c>
      <c r="C66" t="s">
        <v>160</v>
      </c>
      <c r="D66">
        <v>10</v>
      </c>
      <c r="E66" t="s">
        <v>144</v>
      </c>
      <c r="F66" t="s">
        <v>161</v>
      </c>
    </row>
    <row r="67" spans="1:6" x14ac:dyDescent="0.2">
      <c r="A67" t="s">
        <v>143</v>
      </c>
      <c r="C67" t="s">
        <v>162</v>
      </c>
      <c r="D67">
        <v>11</v>
      </c>
      <c r="E67" t="s">
        <v>144</v>
      </c>
      <c r="F67" t="s">
        <v>163</v>
      </c>
    </row>
    <row r="68" spans="1:6" x14ac:dyDescent="0.2">
      <c r="A68" t="s">
        <v>164</v>
      </c>
      <c r="B68" t="s">
        <v>165</v>
      </c>
      <c r="C68" t="s">
        <v>166</v>
      </c>
      <c r="D68">
        <v>1</v>
      </c>
      <c r="E68" t="s">
        <v>20</v>
      </c>
      <c r="F68" t="s">
        <v>167</v>
      </c>
    </row>
    <row r="69" spans="1:6" x14ac:dyDescent="0.2">
      <c r="A69" t="s">
        <v>164</v>
      </c>
      <c r="B69" t="s">
        <v>165</v>
      </c>
      <c r="C69" t="s">
        <v>168</v>
      </c>
      <c r="D69">
        <v>2</v>
      </c>
      <c r="E69" t="s">
        <v>20</v>
      </c>
      <c r="F69" t="s">
        <v>169</v>
      </c>
    </row>
    <row r="70" spans="1:6" x14ac:dyDescent="0.2">
      <c r="A70" t="s">
        <v>164</v>
      </c>
      <c r="C70" t="s">
        <v>170</v>
      </c>
      <c r="D70">
        <v>3</v>
      </c>
      <c r="E70" t="s">
        <v>20</v>
      </c>
      <c r="F70" t="s">
        <v>171</v>
      </c>
    </row>
    <row r="71" spans="1:6" x14ac:dyDescent="0.2">
      <c r="A71" t="s">
        <v>164</v>
      </c>
      <c r="C71" t="s">
        <v>172</v>
      </c>
      <c r="D71">
        <v>4</v>
      </c>
      <c r="E71" t="s">
        <v>20</v>
      </c>
      <c r="F71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2592-4B18-4446-8693-73AD33C35A54}">
  <dimension ref="C4:K21"/>
  <sheetViews>
    <sheetView workbookViewId="0">
      <selection activeCell="C22" sqref="C22"/>
    </sheetView>
  </sheetViews>
  <sheetFormatPr baseColWidth="10" defaultRowHeight="15" x14ac:dyDescent="0.2"/>
  <cols>
    <col min="1" max="2" width="10.83203125" style="2"/>
    <col min="3" max="3" width="5.1640625" style="2" customWidth="1"/>
    <col min="4" max="4" width="7.6640625" style="2" customWidth="1"/>
    <col min="5" max="5" width="8.5" style="2" customWidth="1"/>
    <col min="6" max="6" width="7" style="2" customWidth="1"/>
    <col min="7" max="7" width="9.5" style="2" customWidth="1"/>
    <col min="8" max="8" width="31.1640625" style="2" customWidth="1"/>
    <col min="9" max="9" width="7.5" style="2" customWidth="1"/>
    <col min="10" max="10" width="7.33203125" style="2" customWidth="1"/>
    <col min="11" max="16384" width="10.83203125" style="2"/>
  </cols>
  <sheetData>
    <row r="4" spans="3:11" x14ac:dyDescent="0.2">
      <c r="C4" s="2" t="s">
        <v>174</v>
      </c>
      <c r="D4" s="2" t="s">
        <v>175</v>
      </c>
      <c r="E4" s="2" t="s">
        <v>176</v>
      </c>
      <c r="F4" s="2" t="s">
        <v>4</v>
      </c>
      <c r="G4" s="2" t="s">
        <v>5</v>
      </c>
      <c r="H4" s="2" t="s">
        <v>2</v>
      </c>
      <c r="I4" s="2" t="s">
        <v>177</v>
      </c>
      <c r="J4" s="2" t="s">
        <v>178</v>
      </c>
      <c r="K4" s="2" t="s">
        <v>179</v>
      </c>
    </row>
    <row r="5" spans="3:11" x14ac:dyDescent="0.2">
      <c r="C5" s="3">
        <v>45806</v>
      </c>
      <c r="D5" s="2" t="str">
        <f>TEXT(WEEKNUM(tbl_MONITORING[[#This Row],[Date]], 2), "00") &amp; "-" &amp; YEAR(tbl_MONITORING[[#This Row],[Date]])</f>
        <v>22-2025</v>
      </c>
      <c r="E5" s="2" t="s">
        <v>180</v>
      </c>
      <c r="I5" s="2" t="s">
        <v>182</v>
      </c>
      <c r="J5" s="4">
        <v>5.5555555555555552E-2</v>
      </c>
    </row>
    <row r="6" spans="3:11" x14ac:dyDescent="0.2">
      <c r="C6" s="3">
        <v>45809</v>
      </c>
      <c r="D6" s="2" t="str">
        <f>TEXT(WEEKNUM(tbl_MONITORING[[#This Row],[Date]], 2), "00") &amp; "-" &amp; YEAR(tbl_MONITORING[[#This Row],[Date]])</f>
        <v>22-2025</v>
      </c>
      <c r="E6" s="2" t="s">
        <v>71</v>
      </c>
      <c r="I6" s="2" t="s">
        <v>183</v>
      </c>
      <c r="J6" s="4">
        <v>5.5555555555555552E-2</v>
      </c>
    </row>
    <row r="7" spans="3:11" x14ac:dyDescent="0.2">
      <c r="C7" s="3">
        <v>45809</v>
      </c>
      <c r="D7" s="2" t="str">
        <f>TEXT(WEEKNUM(tbl_MONITORING[[#This Row],[Date]], 2), "00") &amp; "-" &amp; YEAR(tbl_MONITORING[[#This Row],[Date]])</f>
        <v>22-2025</v>
      </c>
      <c r="E7" s="2" t="s">
        <v>18</v>
      </c>
      <c r="I7" s="2" t="s">
        <v>183</v>
      </c>
      <c r="J7" s="4">
        <v>3.4722222222222224E-2</v>
      </c>
    </row>
    <row r="8" spans="3:11" x14ac:dyDescent="0.2">
      <c r="C8" s="3">
        <v>45809</v>
      </c>
      <c r="D8" s="2" t="str">
        <f>TEXT(WEEKNUM(tbl_MONITORING[[#This Row],[Date]], 2), "00") &amp; "-" &amp; YEAR(tbl_MONITORING[[#This Row],[Date]])</f>
        <v>22-2025</v>
      </c>
      <c r="E8" s="2" t="s">
        <v>181</v>
      </c>
      <c r="I8" s="2" t="s">
        <v>182</v>
      </c>
      <c r="J8" s="4">
        <v>0.16666666666666666</v>
      </c>
    </row>
    <row r="9" spans="3:11" x14ac:dyDescent="0.2">
      <c r="C9" s="3">
        <v>45813</v>
      </c>
      <c r="D9" s="2" t="str">
        <f>TEXT(WEEKNUM(tbl_MONITORING[[#This Row],[Date]], 2), "00") &amp; "-" &amp; YEAR(tbl_MONITORING[[#This Row],[Date]])</f>
        <v>23-2025</v>
      </c>
      <c r="E9" s="2" t="s">
        <v>184</v>
      </c>
      <c r="I9" s="2" t="s">
        <v>182</v>
      </c>
      <c r="J9" s="4">
        <v>8.3333333333333329E-2</v>
      </c>
    </row>
    <row r="10" spans="3:11" x14ac:dyDescent="0.2">
      <c r="C10" s="3">
        <v>45814</v>
      </c>
      <c r="D10" s="2" t="str">
        <f>TEXT(WEEKNUM(tbl_MONITORING[[#This Row],[Date]], 2), "00") &amp; "-" &amp; YEAR(tbl_MONITORING[[#This Row],[Date]])</f>
        <v>23-2025</v>
      </c>
      <c r="E10" s="2" t="s">
        <v>184</v>
      </c>
      <c r="I10" s="2" t="s">
        <v>182</v>
      </c>
      <c r="J10" s="4">
        <v>0.125</v>
      </c>
    </row>
    <row r="11" spans="3:11" x14ac:dyDescent="0.2">
      <c r="C11" s="3">
        <v>45816</v>
      </c>
      <c r="D11" s="2" t="str">
        <f>TEXT(WEEKNUM(tbl_MONITORING[[#This Row],[Date]], 2), "00") &amp; "-" &amp; YEAR(tbl_MONITORING[[#This Row],[Date]])</f>
        <v>23-2025</v>
      </c>
      <c r="E11" s="2" t="s">
        <v>18</v>
      </c>
      <c r="I11" s="2" t="s">
        <v>182</v>
      </c>
      <c r="J11" s="4">
        <v>0.16666666666666666</v>
      </c>
    </row>
    <row r="12" spans="3:11" x14ac:dyDescent="0.2">
      <c r="C12" s="3">
        <v>45815</v>
      </c>
      <c r="D12" s="2" t="str">
        <f>TEXT(WEEKNUM(tbl_MONITORING[[#This Row],[Date]], 2), "00") &amp; "-" &amp; YEAR(tbl_MONITORING[[#This Row],[Date]])</f>
        <v>23-2025</v>
      </c>
      <c r="E12" s="2" t="s">
        <v>71</v>
      </c>
      <c r="I12" s="2" t="s">
        <v>182</v>
      </c>
      <c r="J12" s="4">
        <v>8.3333333333333329E-2</v>
      </c>
    </row>
    <row r="13" spans="3:11" x14ac:dyDescent="0.2">
      <c r="C13" s="3">
        <v>45816</v>
      </c>
      <c r="D13" s="2" t="str">
        <f>TEXT(WEEKNUM(tbl_MONITORING[[#This Row],[Date]], 2), "00") &amp; "-" &amp; YEAR(tbl_MONITORING[[#This Row],[Date]])</f>
        <v>23-2025</v>
      </c>
      <c r="E13" s="2" t="s">
        <v>71</v>
      </c>
      <c r="I13" s="2" t="s">
        <v>182</v>
      </c>
      <c r="J13" s="4">
        <v>0.10416666666666667</v>
      </c>
    </row>
    <row r="14" spans="3:11" x14ac:dyDescent="0.2">
      <c r="C14" s="3">
        <v>45817</v>
      </c>
      <c r="D14" s="2" t="str">
        <f>TEXT(WEEKNUM(tbl_MONITORING[[#This Row],[Date]], 2), "00") &amp; "-" &amp; YEAR(tbl_MONITORING[[#This Row],[Date]])</f>
        <v>24-2025</v>
      </c>
      <c r="E14" s="2" t="s">
        <v>71</v>
      </c>
      <c r="I14" s="2" t="s">
        <v>182</v>
      </c>
      <c r="J14" s="4">
        <v>5.5555555555555552E-2</v>
      </c>
    </row>
    <row r="15" spans="3:11" x14ac:dyDescent="0.2">
      <c r="C15" s="3">
        <v>45817</v>
      </c>
      <c r="D15" s="2" t="str">
        <f>TEXT(WEEKNUM(tbl_MONITORING[[#This Row],[Date]], 2), "00") &amp; "-" &amp; YEAR(tbl_MONITORING[[#This Row],[Date]])</f>
        <v>24-2025</v>
      </c>
      <c r="E15" s="2" t="s">
        <v>71</v>
      </c>
      <c r="I15" s="2" t="s">
        <v>183</v>
      </c>
      <c r="J15" s="4">
        <v>6.25E-2</v>
      </c>
    </row>
    <row r="16" spans="3:11" x14ac:dyDescent="0.2">
      <c r="C16" s="3">
        <v>45817</v>
      </c>
      <c r="D16" s="2" t="str">
        <f>TEXT(WEEKNUM(tbl_MONITORING[[#This Row],[Date]], 2), "00") &amp; "-" &amp; YEAR(tbl_MONITORING[[#This Row],[Date]])</f>
        <v>24-2025</v>
      </c>
      <c r="E16" s="2" t="s">
        <v>180</v>
      </c>
      <c r="I16" s="5" t="s">
        <v>182</v>
      </c>
      <c r="J16" s="4">
        <v>2.0833333333333332E-2</v>
      </c>
    </row>
    <row r="17" spans="3:10" x14ac:dyDescent="0.2">
      <c r="C17" s="3">
        <v>45817</v>
      </c>
      <c r="D17" s="2" t="str">
        <f>TEXT(WEEKNUM(tbl_MONITORING[[#This Row],[Date]], 2), "00") &amp; "-" &amp; YEAR(tbl_MONITORING[[#This Row],[Date]])</f>
        <v>24-2025</v>
      </c>
      <c r="E17" s="2" t="s">
        <v>18</v>
      </c>
      <c r="I17" s="2" t="s">
        <v>183</v>
      </c>
      <c r="J17" s="4">
        <v>4.1666666666666664E-2</v>
      </c>
    </row>
    <row r="18" spans="3:10" x14ac:dyDescent="0.2">
      <c r="C18" s="3">
        <v>45818</v>
      </c>
      <c r="D18" s="2" t="str">
        <f>TEXT(WEEKNUM(tbl_MONITORING[[#This Row],[Date]], 2), "00") &amp; "-" &amp; YEAR(tbl_MONITORING[[#This Row],[Date]])</f>
        <v>24-2025</v>
      </c>
      <c r="E18" s="2" t="s">
        <v>180</v>
      </c>
      <c r="I18" s="2" t="s">
        <v>185</v>
      </c>
      <c r="J18" s="4">
        <v>6.9444444444444434E-2</v>
      </c>
    </row>
    <row r="19" spans="3:10" x14ac:dyDescent="0.2">
      <c r="C19" s="3">
        <v>45818</v>
      </c>
      <c r="D19" s="2" t="str">
        <f>TEXT(WEEKNUM(tbl_MONITORING[[#This Row],[Date]], 2), "00") &amp; "-" &amp; YEAR(tbl_MONITORING[[#This Row],[Date]])</f>
        <v>24-2025</v>
      </c>
      <c r="E19" s="2" t="s">
        <v>180</v>
      </c>
      <c r="I19" s="2" t="s">
        <v>182</v>
      </c>
      <c r="J19" s="4">
        <v>1.3888888888888888E-2</v>
      </c>
    </row>
    <row r="20" spans="3:10" x14ac:dyDescent="0.2">
      <c r="C20" s="3">
        <v>45823</v>
      </c>
      <c r="D20" s="2" t="str">
        <f>TEXT(WEEKNUM(tbl_MONITORING[[#This Row],[Date]], 2), "00") &amp; "-" &amp; YEAR(tbl_MONITORING[[#This Row],[Date]])</f>
        <v>24-2025</v>
      </c>
      <c r="E20" s="2" t="s">
        <v>71</v>
      </c>
      <c r="I20" s="2" t="s">
        <v>183</v>
      </c>
      <c r="J20" s="4">
        <v>0.125</v>
      </c>
    </row>
    <row r="21" spans="3:10" x14ac:dyDescent="0.2">
      <c r="C21" s="3">
        <v>45840</v>
      </c>
      <c r="D21" s="2" t="str">
        <f>TEXT(WEEKNUM(tbl_MONITORING[[#This Row],[Date]], 2), "00") &amp; "-" &amp; YEAR(tbl_MONITORING[[#This Row],[Date]])</f>
        <v>27-2025</v>
      </c>
      <c r="E21" s="2" t="s">
        <v>37</v>
      </c>
      <c r="I21" s="2" t="s">
        <v>185</v>
      </c>
      <c r="J21" s="4">
        <v>0.125</v>
      </c>
    </row>
  </sheetData>
  <dataValidations count="3">
    <dataValidation type="list" allowBlank="1" showInputMessage="1" showErrorMessage="1" sqref="E5:E21" xr:uid="{61279C5F-07E8-7B46-9D7F-519ECF1BB30D}">
      <formula1>SubjectList</formula1>
    </dataValidation>
    <dataValidation type="list" allowBlank="1" showInputMessage="1" showErrorMessage="1" sqref="F4:F21" xr:uid="{CAF62210-090A-B84A-96A8-13BE2B36FD85}">
      <formula1>LitID</formula1>
    </dataValidation>
    <dataValidation type="list" allowBlank="1" showInputMessage="1" showErrorMessage="1" sqref="H4:H21" xr:uid="{37CCB59F-29DE-9941-815F-B55E99067E0F}">
      <formula1>Topics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4D29-C82A-0F46-8A82-E9EBBA1A3482}">
  <dimension ref="A1:H69"/>
  <sheetViews>
    <sheetView workbookViewId="0">
      <selection activeCell="C1" sqref="C1:C1048576"/>
    </sheetView>
  </sheetViews>
  <sheetFormatPr baseColWidth="10" defaultRowHeight="15" x14ac:dyDescent="0.2"/>
  <sheetData>
    <row r="1" spans="1:8" x14ac:dyDescent="0.2">
      <c r="A1" cm="1">
        <f t="array" ref="A1:A11">_xlfn.UNIQUE(Topics!A2:A1000)</f>
        <v>0</v>
      </c>
      <c r="B1" cm="1">
        <f t="array" ref="B1:B10">_xlfn.UNIQUE(Topics!E2:E1000)</f>
        <v>0</v>
      </c>
      <c r="C1" t="str" cm="1">
        <f t="array" ref="C1:C69">_xlfn.UNIQUE(Topics!C2:C1000)</f>
        <v>Ringe Basics</v>
      </c>
      <c r="D1" t="str" cm="1">
        <f t="array" ref="D1:H69">_xlfn.UNIQUE(_xlfn._xlws.FILTER(Topics!A2:E1000,Topics!A2:A1000&lt;&gt;""))</f>
        <v>A</v>
      </c>
      <c r="E1" t="str">
        <v>Ringe</v>
      </c>
      <c r="F1" t="str">
        <v>Ringe Basics</v>
      </c>
      <c r="G1">
        <v>1</v>
      </c>
      <c r="H1" t="str">
        <v>S23</v>
      </c>
    </row>
    <row r="2" spans="1:8" x14ac:dyDescent="0.2">
      <c r="A2" t="str">
        <v>A</v>
      </c>
      <c r="B2" t="str">
        <v>S23</v>
      </c>
      <c r="C2" t="str">
        <v>Potenzreihenringe und Polynomringe</v>
      </c>
      <c r="D2" t="str">
        <v>A</v>
      </c>
      <c r="E2" t="str">
        <v>Ringe</v>
      </c>
      <c r="F2" t="str">
        <v>Potenzreihenringe und Polynomringe</v>
      </c>
      <c r="G2">
        <v>2</v>
      </c>
      <c r="H2" t="str">
        <v>S23</v>
      </c>
    </row>
    <row r="3" spans="1:8" x14ac:dyDescent="0.2">
      <c r="A3" t="str">
        <v>CM</v>
      </c>
      <c r="B3" t="str">
        <v>T12</v>
      </c>
      <c r="C3" t="str">
        <v>Ideale und Quotienten</v>
      </c>
      <c r="D3" t="str">
        <v>A</v>
      </c>
      <c r="E3" t="str">
        <v>Ringe</v>
      </c>
      <c r="F3" t="str">
        <v>Ideale und Quotienten</v>
      </c>
      <c r="G3">
        <v>3</v>
      </c>
      <c r="H3" t="str">
        <v>S23</v>
      </c>
    </row>
    <row r="4" spans="1:8" x14ac:dyDescent="0.2">
      <c r="A4" t="str">
        <v>EFT1</v>
      </c>
      <c r="B4" t="str">
        <v>K25</v>
      </c>
      <c r="C4" t="str">
        <v>Moduln Grundlagen</v>
      </c>
      <c r="D4" t="str">
        <v>A</v>
      </c>
      <c r="E4" t="str">
        <v>Moduln</v>
      </c>
      <c r="F4" t="str">
        <v>Moduln Grundlagen</v>
      </c>
      <c r="G4">
        <v>4</v>
      </c>
      <c r="H4" t="str">
        <v>S23</v>
      </c>
    </row>
    <row r="5" spans="1:8" x14ac:dyDescent="0.2">
      <c r="A5" t="str">
        <v>GPDE</v>
      </c>
      <c r="B5" t="str">
        <v>S25</v>
      </c>
      <c r="C5" t="str">
        <v>Klassische Streutheorie</v>
      </c>
      <c r="D5" t="str">
        <v>CM</v>
      </c>
      <c r="E5">
        <v>0</v>
      </c>
      <c r="F5" t="str">
        <v>Klassische Streutheorie</v>
      </c>
      <c r="G5">
        <v>1</v>
      </c>
      <c r="H5" t="str">
        <v>T12</v>
      </c>
    </row>
    <row r="6" spans="1:8" x14ac:dyDescent="0.2">
      <c r="A6" t="str">
        <v>HA</v>
      </c>
      <c r="B6" t="str">
        <v>R79</v>
      </c>
      <c r="C6" t="str">
        <v>Wirkungsquerschnitt</v>
      </c>
      <c r="D6" t="str">
        <v>CM</v>
      </c>
      <c r="E6" t="str">
        <v>Klassische Streutheorie</v>
      </c>
      <c r="F6" t="str">
        <v>Wirkungsquerschnitt</v>
      </c>
      <c r="G6">
        <v>2</v>
      </c>
      <c r="H6" t="str">
        <v>T12</v>
      </c>
    </row>
    <row r="7" spans="1:8" x14ac:dyDescent="0.2">
      <c r="A7" t="str">
        <v>QM</v>
      </c>
      <c r="B7" t="str">
        <v>G25</v>
      </c>
      <c r="C7" t="str">
        <v>Berechnung des Wirkungsquerschnitts für elastische Streuung am Zentralpotential</v>
      </c>
      <c r="D7" t="str">
        <v>CM</v>
      </c>
      <c r="E7" t="str">
        <v>Klassische Streutheorie</v>
      </c>
      <c r="F7" t="str">
        <v>Berechnung des Wirkungsquerschnitts für elastische Streuung am Zentralpotential</v>
      </c>
      <c r="G7">
        <v>3</v>
      </c>
      <c r="H7" t="str">
        <v>T12</v>
      </c>
    </row>
    <row r="8" spans="1:8" x14ac:dyDescent="0.2">
      <c r="A8" t="str">
        <v>QMS</v>
      </c>
      <c r="B8" t="str">
        <v>R25</v>
      </c>
      <c r="C8" t="str">
        <v>Rücktransformation ins Laborsystem</v>
      </c>
      <c r="D8" t="str">
        <v>CM</v>
      </c>
      <c r="E8" t="str">
        <v>Klassische Streutheorie</v>
      </c>
      <c r="F8" t="str">
        <v>Rücktransformation ins Laborsystem</v>
      </c>
      <c r="G8">
        <v>4</v>
      </c>
      <c r="H8" t="str">
        <v>T12</v>
      </c>
    </row>
    <row r="9" spans="1:8" x14ac:dyDescent="0.2">
      <c r="A9" t="str">
        <v>RG</v>
      </c>
      <c r="B9" t="str">
        <v>B25</v>
      </c>
      <c r="C9" t="str">
        <v>2-Körper und effektives 1-Körper Problem</v>
      </c>
      <c r="D9" t="str">
        <v>CM</v>
      </c>
      <c r="E9">
        <v>0</v>
      </c>
      <c r="F9" t="str">
        <v>2-Körper und effektives 1-Körper Problem</v>
      </c>
      <c r="G9">
        <v>5</v>
      </c>
      <c r="H9" t="str">
        <v>T12</v>
      </c>
    </row>
    <row r="10" spans="1:8" x14ac:dyDescent="0.2">
      <c r="A10" t="str">
        <v>TEST</v>
      </c>
      <c r="B10" t="str">
        <v>T25</v>
      </c>
      <c r="C10" t="str">
        <v>CM-ÜB-01: Streutheorie</v>
      </c>
      <c r="D10" t="str">
        <v>CM</v>
      </c>
      <c r="E10" t="str">
        <v>CM-ÜB</v>
      </c>
      <c r="F10" t="str">
        <v>CM-ÜB-01: Streutheorie</v>
      </c>
      <c r="G10">
        <v>6</v>
      </c>
      <c r="H10" t="str">
        <v>T12</v>
      </c>
    </row>
    <row r="11" spans="1:8" x14ac:dyDescent="0.2">
      <c r="A11" t="str">
        <v>TOP1</v>
      </c>
      <c r="C11" t="str">
        <v>Faserbündel</v>
      </c>
      <c r="D11" t="str">
        <v>EFT1</v>
      </c>
      <c r="E11">
        <v>0</v>
      </c>
      <c r="F11" t="str">
        <v>Faserbündel</v>
      </c>
      <c r="G11">
        <v>1</v>
      </c>
      <c r="H11" t="str">
        <v>K25</v>
      </c>
    </row>
    <row r="12" spans="1:8" x14ac:dyDescent="0.2">
      <c r="C12" t="str">
        <v>Differentialoperatoren</v>
      </c>
      <c r="D12" t="str">
        <v>GPDE</v>
      </c>
      <c r="E12" t="str">
        <v>GPDE Basics</v>
      </c>
      <c r="F12" t="str">
        <v>Differentialoperatoren</v>
      </c>
      <c r="G12">
        <v>1</v>
      </c>
      <c r="H12" t="str">
        <v>S25</v>
      </c>
    </row>
    <row r="13" spans="1:8" x14ac:dyDescent="0.2">
      <c r="C13" t="str">
        <v>Regularitätsklassen</v>
      </c>
      <c r="D13" t="str">
        <v>GPDE</v>
      </c>
      <c r="E13" t="str">
        <v>GPDE Basics</v>
      </c>
      <c r="F13" t="str">
        <v>Regularitätsklassen</v>
      </c>
      <c r="G13">
        <v>2</v>
      </c>
      <c r="H13" t="str">
        <v>S25</v>
      </c>
    </row>
    <row r="14" spans="1:8" x14ac:dyDescent="0.2">
      <c r="C14" t="str">
        <v>Schwache Maximum Prinzipien</v>
      </c>
      <c r="D14" t="str">
        <v>GPDE</v>
      </c>
      <c r="E14" t="str">
        <v>Maximum Prinzipien</v>
      </c>
      <c r="F14" t="str">
        <v>Schwache Maximum Prinzipien</v>
      </c>
      <c r="G14">
        <v>3</v>
      </c>
      <c r="H14" t="str">
        <v>S25</v>
      </c>
    </row>
    <row r="15" spans="1:8" x14ac:dyDescent="0.2">
      <c r="C15" t="str">
        <v>Starke Maximum Prinzipien</v>
      </c>
      <c r="D15" t="str">
        <v>GPDE</v>
      </c>
      <c r="E15" t="str">
        <v>Maximum Prinzipien</v>
      </c>
      <c r="F15" t="str">
        <v>Starke Maximum Prinzipien</v>
      </c>
      <c r="G15">
        <v>4</v>
      </c>
      <c r="H15" t="str">
        <v>S25</v>
      </c>
    </row>
    <row r="16" spans="1:8" x14ac:dyDescent="0.2">
      <c r="C16" t="str">
        <v>Hopf Lemma</v>
      </c>
      <c r="D16" t="str">
        <v>GPDE</v>
      </c>
      <c r="E16" t="str">
        <v>Maximum Prinzipien</v>
      </c>
      <c r="F16" t="str">
        <v>Hopf Lemma</v>
      </c>
      <c r="G16">
        <v>5</v>
      </c>
      <c r="H16" t="str">
        <v>S25</v>
      </c>
    </row>
    <row r="17" spans="3:8" x14ac:dyDescent="0.2">
      <c r="C17" t="str">
        <v>Vergleichsprinzipien für voll nicht-lineare Differentialoperatoren</v>
      </c>
      <c r="D17" t="str">
        <v>GPDE</v>
      </c>
      <c r="E17" t="str">
        <v>Maximum Prinzipien</v>
      </c>
      <c r="F17" t="str">
        <v>Vergleichsprinzipien für voll nicht-lineare Differentialoperatoren</v>
      </c>
      <c r="G17">
        <v>6</v>
      </c>
      <c r="H17" t="str">
        <v>S25</v>
      </c>
    </row>
    <row r="18" spans="3:8" x14ac:dyDescent="0.2">
      <c r="C18" t="str">
        <v>Kategorien und Funktoren in HA</v>
      </c>
      <c r="D18" t="str">
        <v>HA</v>
      </c>
      <c r="E18">
        <v>0</v>
      </c>
      <c r="F18" t="str">
        <v>Kategorien und Funktoren in HA</v>
      </c>
      <c r="G18">
        <v>1</v>
      </c>
      <c r="H18" t="str">
        <v>R79</v>
      </c>
    </row>
    <row r="19" spans="3:8" x14ac:dyDescent="0.2">
      <c r="C19" t="str">
        <v>Moduln in HA</v>
      </c>
      <c r="D19" t="str">
        <v>HA</v>
      </c>
      <c r="E19">
        <v>0</v>
      </c>
      <c r="F19" t="str">
        <v>Moduln in HA</v>
      </c>
      <c r="G19">
        <v>2</v>
      </c>
      <c r="H19" t="str">
        <v>R79</v>
      </c>
    </row>
    <row r="20" spans="3:8" x14ac:dyDescent="0.2">
      <c r="C20" t="str">
        <v>Abelsche Kategorien</v>
      </c>
      <c r="D20" t="str">
        <v>HA</v>
      </c>
      <c r="E20">
        <v>0</v>
      </c>
      <c r="F20" t="str">
        <v>Abelsche Kategorien</v>
      </c>
      <c r="G20">
        <v>3</v>
      </c>
      <c r="H20" t="str">
        <v>R79</v>
      </c>
    </row>
    <row r="21" spans="3:8" x14ac:dyDescent="0.2">
      <c r="C21" t="str">
        <v>Homologie Funktor in HA</v>
      </c>
      <c r="D21" t="str">
        <v>HA</v>
      </c>
      <c r="E21">
        <v>0</v>
      </c>
      <c r="F21" t="str">
        <v>Homologie Funktor in HA</v>
      </c>
      <c r="G21">
        <v>4</v>
      </c>
      <c r="H21" t="str">
        <v>R79</v>
      </c>
    </row>
    <row r="22" spans="3:8" x14ac:dyDescent="0.2">
      <c r="C22" t="str">
        <v>Komplexe in HA</v>
      </c>
      <c r="D22" t="str">
        <v>HA</v>
      </c>
      <c r="E22">
        <v>0</v>
      </c>
      <c r="F22" t="str">
        <v>Komplexe in HA</v>
      </c>
      <c r="G22">
        <v>5</v>
      </c>
      <c r="H22" t="str">
        <v>R79</v>
      </c>
    </row>
    <row r="23" spans="3:8" x14ac:dyDescent="0.2">
      <c r="C23" t="str">
        <v>Hilftslemma für Diagramme der HA</v>
      </c>
      <c r="D23" t="str">
        <v>HA</v>
      </c>
      <c r="E23">
        <v>0</v>
      </c>
      <c r="F23" t="str">
        <v>Hilftslemma für Diagramme der HA</v>
      </c>
      <c r="G23">
        <v>6</v>
      </c>
      <c r="H23" t="str">
        <v>R79</v>
      </c>
    </row>
    <row r="24" spans="3:8" x14ac:dyDescent="0.2">
      <c r="C24" t="str">
        <v>Splitting</v>
      </c>
      <c r="D24" t="str">
        <v>HA</v>
      </c>
      <c r="E24">
        <v>0</v>
      </c>
      <c r="F24" t="str">
        <v>Splitting</v>
      </c>
      <c r="G24">
        <v>7</v>
      </c>
      <c r="H24" t="str">
        <v>R79</v>
      </c>
    </row>
    <row r="25" spans="3:8" x14ac:dyDescent="0.2">
      <c r="C25" t="str">
        <v>Kategorische Formulierung der Homologietheorie</v>
      </c>
      <c r="D25" t="str">
        <v>HA</v>
      </c>
      <c r="E25">
        <v>0</v>
      </c>
      <c r="F25" t="str">
        <v>Kategorische Formulierung der Homologietheorie</v>
      </c>
      <c r="G25">
        <v>8</v>
      </c>
      <c r="H25" t="str">
        <v>R79</v>
      </c>
    </row>
    <row r="26" spans="3:8" x14ac:dyDescent="0.2">
      <c r="C26" t="str">
        <v>Schrödinger Gleichung</v>
      </c>
      <c r="D26" t="str">
        <v>QM</v>
      </c>
      <c r="E26">
        <v>0</v>
      </c>
      <c r="F26" t="str">
        <v>Schrödinger Gleichung</v>
      </c>
      <c r="G26">
        <v>1</v>
      </c>
      <c r="H26" t="str">
        <v>G25</v>
      </c>
    </row>
    <row r="27" spans="3:8" x14ac:dyDescent="0.2">
      <c r="C27" t="str">
        <v>Wellenpakete in QM</v>
      </c>
      <c r="D27" t="str">
        <v>QM</v>
      </c>
      <c r="E27" t="str">
        <v>Schrödinger Gleichung</v>
      </c>
      <c r="F27" t="str">
        <v>Wellenpakete in QM</v>
      </c>
      <c r="G27">
        <v>2</v>
      </c>
      <c r="H27" t="str">
        <v>G25</v>
      </c>
    </row>
    <row r="28" spans="3:8" x14ac:dyDescent="0.2">
      <c r="C28" t="str">
        <v>Herleitung für freie Teilchen</v>
      </c>
      <c r="D28" t="str">
        <v>QM</v>
      </c>
      <c r="E28" t="str">
        <v>Einführung der Schrödinger Gleichung</v>
      </c>
      <c r="F28" t="str">
        <v>Herleitung für freie Teilchen</v>
      </c>
      <c r="G28">
        <v>3</v>
      </c>
      <c r="H28" t="str">
        <v>G25</v>
      </c>
    </row>
    <row r="29" spans="3:8" x14ac:dyDescent="0.2">
      <c r="C29" t="str">
        <v>Teilchen in äußeren Potentialen</v>
      </c>
      <c r="D29" t="str">
        <v>QM</v>
      </c>
      <c r="E29" t="str">
        <v>Einführung der Schrödinger Gleichung</v>
      </c>
      <c r="F29" t="str">
        <v>Teilchen in äußeren Potentialen</v>
      </c>
      <c r="G29">
        <v>4</v>
      </c>
      <c r="H29" t="str">
        <v>G25</v>
      </c>
    </row>
    <row r="30" spans="3:8" x14ac:dyDescent="0.2">
      <c r="C30" t="str">
        <v>Operatoren</v>
      </c>
      <c r="D30" t="str">
        <v>QM</v>
      </c>
      <c r="E30" t="str">
        <v>Einführung der Schrödinger Gleichung</v>
      </c>
      <c r="F30" t="str">
        <v>Operatoren</v>
      </c>
      <c r="G30">
        <v>5</v>
      </c>
      <c r="H30" t="str">
        <v>G25</v>
      </c>
    </row>
    <row r="31" spans="3:8" x14ac:dyDescent="0.2">
      <c r="C31" t="str">
        <v>Korrespondenz Prinzip</v>
      </c>
      <c r="D31" t="str">
        <v>QM</v>
      </c>
      <c r="E31" t="str">
        <v>Einführung der Schrödinger Gleichung</v>
      </c>
      <c r="F31" t="str">
        <v>Korrespondenz Prinzip</v>
      </c>
      <c r="G31">
        <v>6</v>
      </c>
      <c r="H31" t="str">
        <v>G25</v>
      </c>
    </row>
    <row r="32" spans="3:8" x14ac:dyDescent="0.2">
      <c r="C32" t="str">
        <v>Wahrscheinlichkeitsdichte</v>
      </c>
      <c r="D32" t="str">
        <v>QM</v>
      </c>
      <c r="E32" t="str">
        <v>Interpretation der Wellenfunktion</v>
      </c>
      <c r="F32" t="str">
        <v>Wahrscheinlichkeitsdichte</v>
      </c>
      <c r="G32">
        <v>7</v>
      </c>
      <c r="H32" t="str">
        <v>G25</v>
      </c>
    </row>
    <row r="33" spans="3:8" x14ac:dyDescent="0.2">
      <c r="C33" t="str">
        <v>Kontinuitätsgleichung</v>
      </c>
      <c r="D33" t="str">
        <v>QM</v>
      </c>
      <c r="E33" t="str">
        <v>Interpretation der Wellenfunktion</v>
      </c>
      <c r="F33" t="str">
        <v>Kontinuitätsgleichung</v>
      </c>
      <c r="G33">
        <v>8</v>
      </c>
      <c r="H33" t="str">
        <v>G25</v>
      </c>
    </row>
    <row r="34" spans="3:8" x14ac:dyDescent="0.2">
      <c r="C34" t="str">
        <v>Impulsraum</v>
      </c>
      <c r="D34" t="str">
        <v>QM</v>
      </c>
      <c r="E34" t="str">
        <v>Interpretation der Wellenfunktion</v>
      </c>
      <c r="F34" t="str">
        <v>Impulsraum</v>
      </c>
      <c r="G34">
        <v>9</v>
      </c>
      <c r="H34" t="str">
        <v>G25</v>
      </c>
    </row>
    <row r="35" spans="3:8" x14ac:dyDescent="0.2">
      <c r="C35" t="str">
        <v>Erwartungswert</v>
      </c>
      <c r="D35" t="str">
        <v>QM</v>
      </c>
      <c r="E35" t="str">
        <v>Interpretation der Wellenfunktion</v>
      </c>
      <c r="F35" t="str">
        <v>Erwartungswert</v>
      </c>
      <c r="G35">
        <v>10</v>
      </c>
      <c r="H35" t="str">
        <v>G25</v>
      </c>
    </row>
    <row r="36" spans="3:8" x14ac:dyDescent="0.2">
      <c r="C36" t="str">
        <v>Beugung und Inferenz</v>
      </c>
      <c r="D36" t="str">
        <v>QM</v>
      </c>
      <c r="E36" t="str">
        <v>Interpretation der Wellenfunktion</v>
      </c>
      <c r="F36" t="str">
        <v>Beugung und Inferenz</v>
      </c>
      <c r="G36">
        <v>11</v>
      </c>
      <c r="H36" t="str">
        <v>G25</v>
      </c>
    </row>
    <row r="37" spans="3:8" x14ac:dyDescent="0.2">
      <c r="C37" t="str">
        <v>Hermitisch konjugierte Operatoren</v>
      </c>
      <c r="D37" t="str">
        <v>QM</v>
      </c>
      <c r="E37" t="str">
        <v>Ehrenfest Theorem</v>
      </c>
      <c r="F37" t="str">
        <v>Hermitisch konjugierte Operatoren</v>
      </c>
      <c r="G37">
        <v>12</v>
      </c>
      <c r="H37" t="str">
        <v>G25</v>
      </c>
    </row>
    <row r="38" spans="3:8" x14ac:dyDescent="0.2">
      <c r="C38" t="str">
        <v>Bewegungsgleichung für Erwartungswert</v>
      </c>
      <c r="D38" t="str">
        <v>QM</v>
      </c>
      <c r="E38" t="str">
        <v>Ehrenfest Theorem</v>
      </c>
      <c r="F38" t="str">
        <v>Bewegungsgleichung für Erwartungswert</v>
      </c>
      <c r="G38">
        <v>13</v>
      </c>
      <c r="H38" t="str">
        <v>G25</v>
      </c>
    </row>
    <row r="39" spans="3:8" x14ac:dyDescent="0.2">
      <c r="C39" t="str">
        <v>Quasiklassische Bewegung</v>
      </c>
      <c r="D39" t="str">
        <v>QM</v>
      </c>
      <c r="E39" t="str">
        <v>Ehrenfest Theorem</v>
      </c>
      <c r="F39" t="str">
        <v>Quasiklassische Bewegung</v>
      </c>
      <c r="G39">
        <v>14</v>
      </c>
      <c r="H39" t="str">
        <v>G25</v>
      </c>
    </row>
    <row r="40" spans="3:8" x14ac:dyDescent="0.2">
      <c r="C40" t="str">
        <v>Stationäre Schrödinger Gleichung</v>
      </c>
      <c r="D40" t="str">
        <v>QM</v>
      </c>
      <c r="E40" t="str">
        <v>Eindimensionale Systeme</v>
      </c>
      <c r="F40" t="str">
        <v>Stationäre Schrödinger Gleichung</v>
      </c>
      <c r="G40">
        <v>15</v>
      </c>
      <c r="H40" t="str">
        <v>G25</v>
      </c>
    </row>
    <row r="41" spans="3:8" x14ac:dyDescent="0.2">
      <c r="C41" t="str">
        <v>Eindimensionale Potentialstufe</v>
      </c>
      <c r="D41" t="str">
        <v>QM</v>
      </c>
      <c r="E41" t="str">
        <v>Eindimensionale Systeme</v>
      </c>
      <c r="F41" t="str">
        <v>Eindimensionale Potentialstufe</v>
      </c>
      <c r="G41">
        <v>16</v>
      </c>
      <c r="H41" t="str">
        <v>G25</v>
      </c>
    </row>
    <row r="42" spans="3:8" x14ac:dyDescent="0.2">
      <c r="C42" t="str">
        <v>Streuzustände</v>
      </c>
      <c r="D42" t="str">
        <v>QM</v>
      </c>
      <c r="E42" t="str">
        <v>Eindimensionale Potentialstufe</v>
      </c>
      <c r="F42" t="str">
        <v>Streuzustände</v>
      </c>
      <c r="G42">
        <v>17</v>
      </c>
      <c r="H42" t="str">
        <v>G25</v>
      </c>
    </row>
    <row r="43" spans="3:8" x14ac:dyDescent="0.2">
      <c r="C43" t="str">
        <v>Reflektierte Zustände</v>
      </c>
      <c r="D43" t="str">
        <v>QM</v>
      </c>
      <c r="E43" t="str">
        <v>Eindimensionale Potentialstufe</v>
      </c>
      <c r="F43" t="str">
        <v>Reflektierte Zustände</v>
      </c>
      <c r="G43">
        <v>18</v>
      </c>
      <c r="H43" t="str">
        <v>G25</v>
      </c>
    </row>
    <row r="44" spans="3:8" x14ac:dyDescent="0.2">
      <c r="C44" t="str">
        <v>QM-ÜB-01: Delta-Distribution, Kommutator und W-keit</v>
      </c>
      <c r="D44" t="str">
        <v>QM</v>
      </c>
      <c r="E44" t="str">
        <v>QM-ÜB</v>
      </c>
      <c r="F44" t="str">
        <v>QM-ÜB-01: Delta-Distribution, Kommutator und W-keit</v>
      </c>
      <c r="G44">
        <v>19</v>
      </c>
      <c r="H44" t="str">
        <v>G25</v>
      </c>
    </row>
    <row r="45" spans="3:8" x14ac:dyDescent="0.2">
      <c r="C45" t="str">
        <v>Raum Translation</v>
      </c>
      <c r="D45" t="str">
        <v>QMS</v>
      </c>
      <c r="E45" t="str">
        <v>Symmetrie in Quantenmechanik</v>
      </c>
      <c r="F45" t="str">
        <v>Raum Translation</v>
      </c>
      <c r="G45">
        <v>1</v>
      </c>
      <c r="H45" t="str">
        <v>R25</v>
      </c>
    </row>
    <row r="46" spans="3:8" x14ac:dyDescent="0.2">
      <c r="C46" t="str">
        <v>Untermannigfaltigkeiten im euklidischen Raum</v>
      </c>
      <c r="D46" t="str">
        <v>RG</v>
      </c>
      <c r="E46" t="str">
        <v>Differenzierbare Mannigfaltigkeiten</v>
      </c>
      <c r="F46" t="str">
        <v>Untermannigfaltigkeiten im euklidischen Raum</v>
      </c>
      <c r="G46">
        <v>1</v>
      </c>
      <c r="H46" t="str">
        <v>B25</v>
      </c>
    </row>
    <row r="47" spans="3:8" x14ac:dyDescent="0.2">
      <c r="C47" t="str">
        <v>Glatte Mannigfaltigkeiten</v>
      </c>
      <c r="D47" t="str">
        <v>RG</v>
      </c>
      <c r="E47" t="str">
        <v>Differenzierbare Mannigfaltigkeiten</v>
      </c>
      <c r="F47" t="str">
        <v>Glatte Mannigfaltigkeiten</v>
      </c>
      <c r="G47">
        <v>2</v>
      </c>
      <c r="H47" t="str">
        <v>B25</v>
      </c>
    </row>
    <row r="48" spans="3:8" x14ac:dyDescent="0.2">
      <c r="C48" t="str">
        <v>Glatte Abbildungen und Vektorfelder</v>
      </c>
      <c r="D48" t="str">
        <v>RG</v>
      </c>
      <c r="E48" t="str">
        <v>Differenzierbare Mannigfaltigkeiten</v>
      </c>
      <c r="F48" t="str">
        <v>Glatte Abbildungen und Vektorfelder</v>
      </c>
      <c r="G48">
        <v>3</v>
      </c>
      <c r="H48" t="str">
        <v>B25</v>
      </c>
    </row>
    <row r="49" spans="3:8" x14ac:dyDescent="0.2">
      <c r="C49" t="str">
        <v>Riemannische Mannigfaltigkeiten</v>
      </c>
      <c r="D49" t="str">
        <v>RG</v>
      </c>
      <c r="E49">
        <v>0</v>
      </c>
      <c r="F49" t="str">
        <v>Riemannische Mannigfaltigkeiten</v>
      </c>
      <c r="G49">
        <v>4</v>
      </c>
      <c r="H49" t="str">
        <v>B25</v>
      </c>
    </row>
    <row r="50" spans="3:8" x14ac:dyDescent="0.2">
      <c r="C50" t="str">
        <v>Levi-Civita Zusammenhang</v>
      </c>
      <c r="D50" t="str">
        <v>RG</v>
      </c>
      <c r="E50" t="str">
        <v>Riemannische Mannigfaltigkeiten</v>
      </c>
      <c r="F50" t="str">
        <v>Levi-Civita Zusammenhang</v>
      </c>
      <c r="G50">
        <v>5</v>
      </c>
      <c r="H50" t="str">
        <v>B25</v>
      </c>
    </row>
    <row r="51" spans="3:8" x14ac:dyDescent="0.2">
      <c r="C51" t="str">
        <v>Kovariante Ableitung längs einer Kurve</v>
      </c>
      <c r="D51" t="str">
        <v>RG</v>
      </c>
      <c r="E51" t="str">
        <v>Riemannische Mannigfaltigkeiten</v>
      </c>
      <c r="F51" t="str">
        <v>Kovariante Ableitung längs einer Kurve</v>
      </c>
      <c r="G51">
        <v>6</v>
      </c>
      <c r="H51" t="str">
        <v>B25</v>
      </c>
    </row>
    <row r="52" spans="3:8" x14ac:dyDescent="0.2">
      <c r="C52" t="str">
        <v>Paralleltransport</v>
      </c>
      <c r="D52" t="str">
        <v>RG</v>
      </c>
      <c r="E52" t="str">
        <v>Riemannische Mannigfaltigkeiten</v>
      </c>
      <c r="F52" t="str">
        <v>Paralleltransport</v>
      </c>
      <c r="G52">
        <v>7</v>
      </c>
      <c r="H52" t="str">
        <v>B25</v>
      </c>
    </row>
    <row r="53" spans="3:8" x14ac:dyDescent="0.2">
      <c r="C53" t="str">
        <v>RG-ÜB-01: Glatte Mannigfaltigkeiten</v>
      </c>
      <c r="D53" t="str">
        <v>RG</v>
      </c>
      <c r="E53" t="str">
        <v>RG-ÜB</v>
      </c>
      <c r="F53" t="str">
        <v>RG-ÜB-01: Glatte Mannigfaltigkeiten</v>
      </c>
      <c r="G53">
        <v>8</v>
      </c>
      <c r="H53" t="str">
        <v>B25</v>
      </c>
    </row>
    <row r="54" spans="3:8" x14ac:dyDescent="0.2">
      <c r="C54" t="str">
        <v>RG-ÜB-02: Tangentialbündel und Hyperbolischer Raum</v>
      </c>
      <c r="D54" t="str">
        <v>RG</v>
      </c>
      <c r="E54" t="str">
        <v>RG-ÜB</v>
      </c>
      <c r="F54" t="str">
        <v>RG-ÜB-02: Tangentialbündel und Hyperbolischer Raum</v>
      </c>
      <c r="G54">
        <v>9</v>
      </c>
      <c r="H54" t="str">
        <v>B25</v>
      </c>
    </row>
    <row r="55" spans="3:8" x14ac:dyDescent="0.2">
      <c r="C55" t="str">
        <v>TEST</v>
      </c>
      <c r="D55" t="str">
        <v>TEST</v>
      </c>
      <c r="E55">
        <v>0</v>
      </c>
      <c r="F55" t="str">
        <v>TEST</v>
      </c>
      <c r="G55">
        <v>1</v>
      </c>
      <c r="H55" t="str">
        <v>T25</v>
      </c>
    </row>
    <row r="56" spans="3:8" x14ac:dyDescent="0.2">
      <c r="C56">
        <v>0</v>
      </c>
      <c r="D56" t="str">
        <v>TEST</v>
      </c>
      <c r="E56">
        <v>0</v>
      </c>
      <c r="F56">
        <v>0</v>
      </c>
      <c r="G56">
        <v>2</v>
      </c>
      <c r="H56">
        <v>0</v>
      </c>
    </row>
    <row r="57" spans="3:8" x14ac:dyDescent="0.2">
      <c r="C57" t="str">
        <v>TEST2</v>
      </c>
      <c r="D57" t="str">
        <v>TEST</v>
      </c>
      <c r="E57" t="str">
        <v>TEST</v>
      </c>
      <c r="F57" t="str">
        <v>TEST2</v>
      </c>
      <c r="G57">
        <v>3</v>
      </c>
      <c r="H57" t="str">
        <v>T25</v>
      </c>
    </row>
    <row r="58" spans="3:8" x14ac:dyDescent="0.2">
      <c r="C58" t="str">
        <v>TEST3</v>
      </c>
      <c r="D58" t="str">
        <v>TEST</v>
      </c>
      <c r="E58">
        <v>0</v>
      </c>
      <c r="F58" t="str">
        <v>TEST3</v>
      </c>
      <c r="G58">
        <v>4</v>
      </c>
      <c r="H58" t="str">
        <v>T25</v>
      </c>
    </row>
    <row r="59" spans="3:8" x14ac:dyDescent="0.2">
      <c r="C59" t="str">
        <v>TEST4</v>
      </c>
      <c r="D59" t="str">
        <v>TEST</v>
      </c>
      <c r="E59">
        <v>0</v>
      </c>
      <c r="F59" t="str">
        <v>TEST4</v>
      </c>
      <c r="G59">
        <v>5</v>
      </c>
      <c r="H59" t="str">
        <v>T25</v>
      </c>
    </row>
    <row r="60" spans="3:8" x14ac:dyDescent="0.2">
      <c r="C60" t="str">
        <v>TEST5</v>
      </c>
      <c r="D60" t="str">
        <v>TEST</v>
      </c>
      <c r="E60">
        <v>0</v>
      </c>
      <c r="F60" t="str">
        <v>TEST5</v>
      </c>
      <c r="G60">
        <v>6</v>
      </c>
      <c r="H60" t="str">
        <v>T25</v>
      </c>
    </row>
    <row r="61" spans="3:8" x14ac:dyDescent="0.2">
      <c r="C61" t="str">
        <v>TEST 6</v>
      </c>
      <c r="D61" t="str">
        <v>TEST</v>
      </c>
      <c r="E61">
        <v>0</v>
      </c>
      <c r="F61" t="str">
        <v>TEST 6</v>
      </c>
      <c r="G61">
        <v>7</v>
      </c>
      <c r="H61" t="str">
        <v>T25</v>
      </c>
    </row>
    <row r="62" spans="3:8" x14ac:dyDescent="0.2">
      <c r="C62" t="str">
        <v>TEST 7</v>
      </c>
      <c r="D62" t="str">
        <v>TEST</v>
      </c>
      <c r="E62">
        <v>0</v>
      </c>
      <c r="F62" t="str">
        <v>TEST 7</v>
      </c>
      <c r="G62">
        <v>8</v>
      </c>
      <c r="H62" t="str">
        <v>T25</v>
      </c>
    </row>
    <row r="63" spans="3:8" x14ac:dyDescent="0.2">
      <c r="C63" t="str">
        <v>TEST 8</v>
      </c>
      <c r="D63" t="str">
        <v>TEST</v>
      </c>
      <c r="E63">
        <v>0</v>
      </c>
      <c r="F63" t="str">
        <v>TEST 8</v>
      </c>
      <c r="G63">
        <v>9</v>
      </c>
      <c r="H63" t="str">
        <v>T25</v>
      </c>
    </row>
    <row r="64" spans="3:8" x14ac:dyDescent="0.2">
      <c r="C64" t="str">
        <v>TEST 9</v>
      </c>
      <c r="D64" t="str">
        <v>TEST</v>
      </c>
      <c r="E64">
        <v>0</v>
      </c>
      <c r="F64" t="str">
        <v>TEST 9</v>
      </c>
      <c r="G64">
        <v>10</v>
      </c>
      <c r="H64" t="str">
        <v>T25</v>
      </c>
    </row>
    <row r="65" spans="3:8" x14ac:dyDescent="0.2">
      <c r="C65" t="str">
        <v>TEST 10</v>
      </c>
      <c r="D65" t="str">
        <v>TEST</v>
      </c>
      <c r="E65">
        <v>0</v>
      </c>
      <c r="F65" t="str">
        <v>TEST 10</v>
      </c>
      <c r="G65">
        <v>11</v>
      </c>
      <c r="H65" t="str">
        <v>T25</v>
      </c>
    </row>
    <row r="66" spans="3:8" x14ac:dyDescent="0.2">
      <c r="C66" t="str">
        <v>Basics der SHT</v>
      </c>
      <c r="D66" t="str">
        <v>TOP1</v>
      </c>
      <c r="E66" t="str">
        <v>Singuläre Homologie (SHT)</v>
      </c>
      <c r="F66" t="str">
        <v>Basics der SHT</v>
      </c>
      <c r="G66">
        <v>1</v>
      </c>
      <c r="H66" t="str">
        <v>T12</v>
      </c>
    </row>
    <row r="67" spans="3:8" x14ac:dyDescent="0.2">
      <c r="C67" t="str">
        <v>Unterteilung  und Ausschneidung in SHT</v>
      </c>
      <c r="D67" t="str">
        <v>TOP1</v>
      </c>
      <c r="E67" t="str">
        <v>Singuläre Homologie (SHT)</v>
      </c>
      <c r="F67" t="str">
        <v>Unterteilung  und Ausschneidung in SHT</v>
      </c>
      <c r="G67">
        <v>2</v>
      </c>
      <c r="H67" t="str">
        <v>T12</v>
      </c>
    </row>
    <row r="68" spans="3:8" x14ac:dyDescent="0.2">
      <c r="C68" t="str">
        <v>Absolute und Relative Homologie</v>
      </c>
      <c r="D68" t="str">
        <v>TOP1</v>
      </c>
      <c r="E68">
        <v>0</v>
      </c>
      <c r="F68" t="str">
        <v>Absolute und Relative Homologie</v>
      </c>
      <c r="G68">
        <v>3</v>
      </c>
      <c r="H68" t="str">
        <v>T12</v>
      </c>
    </row>
    <row r="69" spans="3:8" x14ac:dyDescent="0.2">
      <c r="C69" t="str">
        <v>Reduzierte Homologie</v>
      </c>
      <c r="D69" t="str">
        <v>TOP1</v>
      </c>
      <c r="E69">
        <v>0</v>
      </c>
      <c r="F69" t="str">
        <v>Reduzierte Homologie</v>
      </c>
      <c r="G69">
        <v>4</v>
      </c>
      <c r="H69" t="str">
        <v>T12</v>
      </c>
    </row>
  </sheetData>
  <dataValidations count="1">
    <dataValidation type="list" allowBlank="1" showInputMessage="1" showErrorMessage="1" sqref="C1" xr:uid="{46555E8C-B19F-1943-9091-DC86FA99E033}">
      <formula1>$C$1:$C$69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FF37-F629-234C-BA15-F7C53EAAE600}">
  <dimension ref="C6:P160"/>
  <sheetViews>
    <sheetView tabSelected="1" topLeftCell="A47" zoomScale="81" workbookViewId="0">
      <selection activeCell="D65" sqref="D65"/>
    </sheetView>
  </sheetViews>
  <sheetFormatPr baseColWidth="10" defaultRowHeight="15" x14ac:dyDescent="0.2"/>
  <cols>
    <col min="6" max="17" width="17.83203125" customWidth="1"/>
  </cols>
  <sheetData>
    <row r="6" spans="3:16" s="7" customFormat="1" x14ac:dyDescent="0.2"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</row>
    <row r="7" spans="3:16" x14ac:dyDescent="0.2">
      <c r="C7" t="s">
        <v>197</v>
      </c>
      <c r="D7" t="s">
        <v>198</v>
      </c>
      <c r="E7" t="s">
        <v>199</v>
      </c>
      <c r="F7" t="s">
        <v>186</v>
      </c>
      <c r="G7" t="s">
        <v>187</v>
      </c>
      <c r="H7" t="s">
        <v>188</v>
      </c>
      <c r="I7" t="s">
        <v>189</v>
      </c>
      <c r="J7" t="s">
        <v>190</v>
      </c>
      <c r="K7" t="s">
        <v>191</v>
      </c>
      <c r="L7" t="s">
        <v>192</v>
      </c>
      <c r="M7" t="s">
        <v>193</v>
      </c>
      <c r="N7" t="s">
        <v>194</v>
      </c>
      <c r="O7" t="s">
        <v>195</v>
      </c>
      <c r="P7" t="s">
        <v>196</v>
      </c>
    </row>
    <row r="8" spans="3:16" x14ac:dyDescent="0.2">
      <c r="C8" t="s">
        <v>121</v>
      </c>
      <c r="D8" t="s">
        <v>200</v>
      </c>
      <c r="E8" t="s">
        <v>213</v>
      </c>
      <c r="F8" s="10"/>
      <c r="K8" s="9"/>
      <c r="L8" s="9"/>
      <c r="M8" s="9"/>
      <c r="N8" s="9"/>
      <c r="O8" s="8"/>
      <c r="P8" s="8"/>
    </row>
    <row r="9" spans="3:16" x14ac:dyDescent="0.2">
      <c r="E9" t="s">
        <v>216</v>
      </c>
      <c r="K9" s="9"/>
      <c r="L9" s="9"/>
      <c r="M9" s="9"/>
      <c r="N9" s="9"/>
      <c r="O9" s="8"/>
      <c r="P9" s="8"/>
    </row>
    <row r="10" spans="3:16" x14ac:dyDescent="0.2">
      <c r="E10" t="s">
        <v>214</v>
      </c>
      <c r="K10" s="9"/>
      <c r="L10" s="9"/>
      <c r="M10" s="9"/>
      <c r="N10" s="9"/>
      <c r="O10" s="8"/>
      <c r="P10" s="8"/>
    </row>
    <row r="11" spans="3:16" x14ac:dyDescent="0.2">
      <c r="E11" t="s">
        <v>215</v>
      </c>
      <c r="K11" s="9"/>
      <c r="L11" s="9"/>
      <c r="M11" s="9"/>
      <c r="N11" s="9"/>
      <c r="O11" s="8"/>
      <c r="P11" s="8"/>
    </row>
    <row r="12" spans="3:16" x14ac:dyDescent="0.2">
      <c r="D12" t="s">
        <v>212</v>
      </c>
      <c r="E12" t="s">
        <v>213</v>
      </c>
      <c r="F12" s="10"/>
      <c r="K12" s="9"/>
      <c r="L12" s="9"/>
      <c r="M12" s="9"/>
      <c r="N12" s="9"/>
      <c r="O12" s="8"/>
      <c r="P12" s="8"/>
    </row>
    <row r="13" spans="3:16" x14ac:dyDescent="0.2">
      <c r="E13" t="s">
        <v>216</v>
      </c>
      <c r="K13" s="9"/>
      <c r="L13" s="9"/>
      <c r="M13" s="9"/>
      <c r="N13" s="9"/>
      <c r="O13" s="8"/>
      <c r="P13" s="8"/>
    </row>
    <row r="14" spans="3:16" x14ac:dyDescent="0.2">
      <c r="E14" t="s">
        <v>214</v>
      </c>
      <c r="K14" s="9"/>
      <c r="L14" s="9"/>
      <c r="M14" s="9"/>
      <c r="N14" s="9"/>
      <c r="O14" s="8"/>
      <c r="P14" s="8"/>
    </row>
    <row r="15" spans="3:16" x14ac:dyDescent="0.2">
      <c r="E15" t="s">
        <v>215</v>
      </c>
      <c r="K15" s="9"/>
      <c r="L15" s="9"/>
      <c r="M15" s="9"/>
      <c r="N15" s="9"/>
      <c r="O15" s="8"/>
      <c r="P15" s="8"/>
    </row>
    <row r="16" spans="3:16" x14ac:dyDescent="0.2">
      <c r="D16" t="s">
        <v>201</v>
      </c>
      <c r="E16" t="s">
        <v>213</v>
      </c>
      <c r="F16" s="10"/>
      <c r="K16" s="9"/>
      <c r="L16" s="9"/>
      <c r="M16" s="9"/>
      <c r="N16" s="9"/>
      <c r="O16" s="8"/>
      <c r="P16" s="8"/>
    </row>
    <row r="17" spans="4:16" x14ac:dyDescent="0.2">
      <c r="E17" t="s">
        <v>216</v>
      </c>
      <c r="K17" s="9"/>
      <c r="L17" s="9"/>
      <c r="M17" s="9"/>
      <c r="N17" s="9"/>
      <c r="O17" s="8"/>
      <c r="P17" s="8"/>
    </row>
    <row r="18" spans="4:16" x14ac:dyDescent="0.2">
      <c r="E18" t="s">
        <v>214</v>
      </c>
      <c r="F18" s="10"/>
      <c r="K18" s="9"/>
      <c r="L18" s="9"/>
      <c r="M18" s="9"/>
      <c r="N18" s="9"/>
      <c r="O18" s="8"/>
      <c r="P18" s="8"/>
    </row>
    <row r="19" spans="4:16" x14ac:dyDescent="0.2">
      <c r="E19" t="s">
        <v>215</v>
      </c>
      <c r="K19" s="9"/>
      <c r="L19" s="9"/>
      <c r="M19" s="9"/>
      <c r="N19" s="9"/>
      <c r="O19" s="8"/>
      <c r="P19" s="8"/>
    </row>
    <row r="20" spans="4:16" x14ac:dyDescent="0.2">
      <c r="D20" t="s">
        <v>202</v>
      </c>
      <c r="E20" t="s">
        <v>213</v>
      </c>
      <c r="F20" s="10"/>
      <c r="K20" s="9"/>
      <c r="L20" s="9"/>
      <c r="M20" s="9"/>
      <c r="N20" s="9"/>
      <c r="O20" s="8"/>
      <c r="P20" s="8"/>
    </row>
    <row r="21" spans="4:16" x14ac:dyDescent="0.2">
      <c r="E21" t="s">
        <v>216</v>
      </c>
      <c r="K21" s="9"/>
      <c r="L21" s="9"/>
      <c r="M21" s="9"/>
      <c r="N21" s="9"/>
      <c r="O21" s="8"/>
      <c r="P21" s="8"/>
    </row>
    <row r="22" spans="4:16" x14ac:dyDescent="0.2">
      <c r="E22" t="s">
        <v>214</v>
      </c>
      <c r="F22" s="10"/>
      <c r="K22" s="9"/>
      <c r="L22" s="9"/>
      <c r="M22" s="9"/>
      <c r="N22" s="9"/>
      <c r="O22" s="8"/>
      <c r="P22" s="8"/>
    </row>
    <row r="23" spans="4:16" x14ac:dyDescent="0.2">
      <c r="E23" t="s">
        <v>215</v>
      </c>
      <c r="K23" s="9"/>
      <c r="L23" s="9"/>
      <c r="M23" s="9"/>
      <c r="N23" s="9"/>
      <c r="O23" s="8"/>
      <c r="P23" s="8"/>
    </row>
    <row r="24" spans="4:16" x14ac:dyDescent="0.2">
      <c r="D24" t="s">
        <v>203</v>
      </c>
      <c r="E24" t="s">
        <v>213</v>
      </c>
      <c r="F24" s="10"/>
      <c r="K24" s="9"/>
      <c r="L24" s="9"/>
      <c r="M24" s="9"/>
      <c r="N24" s="9"/>
      <c r="O24" s="8"/>
      <c r="P24" s="8"/>
    </row>
    <row r="25" spans="4:16" x14ac:dyDescent="0.2">
      <c r="E25" t="s">
        <v>216</v>
      </c>
      <c r="K25" s="9"/>
      <c r="L25" s="9"/>
      <c r="M25" s="9"/>
      <c r="N25" s="9"/>
      <c r="O25" s="8"/>
      <c r="P25" s="8"/>
    </row>
    <row r="26" spans="4:16" x14ac:dyDescent="0.2">
      <c r="E26" t="s">
        <v>214</v>
      </c>
      <c r="F26" s="10"/>
      <c r="K26" s="9"/>
      <c r="L26" s="9"/>
      <c r="M26" s="9"/>
      <c r="N26" s="9"/>
      <c r="O26" s="8"/>
      <c r="P26" s="8"/>
    </row>
    <row r="27" spans="4:16" x14ac:dyDescent="0.2">
      <c r="E27" t="s">
        <v>215</v>
      </c>
      <c r="K27" s="9"/>
      <c r="L27" s="9"/>
      <c r="M27" s="9"/>
      <c r="N27" s="9"/>
      <c r="O27" s="8"/>
      <c r="P27" s="8"/>
    </row>
    <row r="28" spans="4:16" x14ac:dyDescent="0.2">
      <c r="D28" t="s">
        <v>204</v>
      </c>
      <c r="E28" t="s">
        <v>213</v>
      </c>
      <c r="F28" s="10"/>
      <c r="K28" s="9"/>
      <c r="L28" s="9"/>
      <c r="M28" s="9"/>
      <c r="N28" s="9"/>
      <c r="O28" s="8"/>
      <c r="P28" s="8"/>
    </row>
    <row r="29" spans="4:16" x14ac:dyDescent="0.2">
      <c r="E29" t="s">
        <v>216</v>
      </c>
      <c r="K29" s="9"/>
      <c r="L29" s="9"/>
      <c r="M29" s="9"/>
      <c r="N29" s="9"/>
      <c r="O29" s="8"/>
      <c r="P29" s="8"/>
    </row>
    <row r="30" spans="4:16" x14ac:dyDescent="0.2">
      <c r="E30" t="s">
        <v>214</v>
      </c>
      <c r="F30" s="10"/>
      <c r="K30" s="9"/>
      <c r="L30" s="9"/>
      <c r="M30" s="9"/>
      <c r="N30" s="9"/>
      <c r="O30" s="8"/>
      <c r="P30" s="8"/>
    </row>
    <row r="31" spans="4:16" x14ac:dyDescent="0.2">
      <c r="E31" t="s">
        <v>215</v>
      </c>
      <c r="K31" s="9"/>
      <c r="L31" s="9"/>
      <c r="M31" s="9"/>
      <c r="N31" s="9"/>
      <c r="O31" s="8"/>
      <c r="P31" s="8"/>
    </row>
    <row r="32" spans="4:16" x14ac:dyDescent="0.2">
      <c r="D32" t="s">
        <v>205</v>
      </c>
      <c r="E32" t="s">
        <v>213</v>
      </c>
      <c r="F32" s="10"/>
      <c r="K32" s="9"/>
      <c r="L32" s="9"/>
      <c r="M32" s="9"/>
      <c r="N32" s="9"/>
      <c r="O32" s="8"/>
      <c r="P32" s="8"/>
    </row>
    <row r="33" spans="4:16" x14ac:dyDescent="0.2">
      <c r="E33" t="s">
        <v>216</v>
      </c>
      <c r="K33" s="9"/>
      <c r="L33" s="9"/>
      <c r="M33" s="9"/>
      <c r="N33" s="9"/>
      <c r="O33" s="8"/>
      <c r="P33" s="8"/>
    </row>
    <row r="34" spans="4:16" x14ac:dyDescent="0.2">
      <c r="E34" t="s">
        <v>214</v>
      </c>
      <c r="K34" s="9"/>
      <c r="L34" s="9"/>
      <c r="M34" s="9"/>
      <c r="N34" s="9"/>
      <c r="O34" s="8"/>
      <c r="P34" s="8"/>
    </row>
    <row r="35" spans="4:16" x14ac:dyDescent="0.2">
      <c r="E35" t="s">
        <v>215</v>
      </c>
      <c r="K35" s="9"/>
      <c r="L35" s="9"/>
      <c r="M35" s="9"/>
      <c r="N35" s="9"/>
      <c r="O35" s="8"/>
      <c r="P35" s="8"/>
    </row>
    <row r="36" spans="4:16" x14ac:dyDescent="0.2">
      <c r="D36" t="s">
        <v>206</v>
      </c>
      <c r="E36" t="s">
        <v>213</v>
      </c>
      <c r="F36" s="10"/>
      <c r="K36" s="9"/>
      <c r="L36" s="9"/>
      <c r="M36" s="9"/>
      <c r="N36" s="9"/>
      <c r="O36" s="8"/>
      <c r="P36" s="8"/>
    </row>
    <row r="37" spans="4:16" x14ac:dyDescent="0.2">
      <c r="E37" t="s">
        <v>216</v>
      </c>
      <c r="K37" s="9"/>
      <c r="L37" s="9"/>
      <c r="M37" s="9"/>
      <c r="N37" s="9"/>
      <c r="O37" s="8"/>
      <c r="P37" s="8"/>
    </row>
    <row r="38" spans="4:16" x14ac:dyDescent="0.2">
      <c r="E38" t="s">
        <v>214</v>
      </c>
      <c r="K38" s="9"/>
      <c r="L38" s="9"/>
      <c r="M38" s="9"/>
      <c r="N38" s="9"/>
      <c r="O38" s="8"/>
      <c r="P38" s="8"/>
    </row>
    <row r="39" spans="4:16" x14ac:dyDescent="0.2">
      <c r="E39" t="s">
        <v>215</v>
      </c>
      <c r="K39" s="9"/>
      <c r="L39" s="9"/>
      <c r="M39" s="9"/>
      <c r="N39" s="9"/>
      <c r="O39" s="8"/>
      <c r="P39" s="8"/>
    </row>
    <row r="40" spans="4:16" x14ac:dyDescent="0.2">
      <c r="D40" t="s">
        <v>207</v>
      </c>
      <c r="E40" t="s">
        <v>213</v>
      </c>
      <c r="F40" s="10"/>
      <c r="K40" s="9"/>
      <c r="L40" s="9"/>
      <c r="M40" s="9"/>
      <c r="N40" s="9"/>
      <c r="O40" s="8"/>
      <c r="P40" s="8"/>
    </row>
    <row r="41" spans="4:16" x14ac:dyDescent="0.2">
      <c r="E41" t="s">
        <v>216</v>
      </c>
      <c r="K41" s="9"/>
      <c r="L41" s="9"/>
      <c r="M41" s="9"/>
      <c r="N41" s="9"/>
      <c r="O41" s="8"/>
      <c r="P41" s="8"/>
    </row>
    <row r="42" spans="4:16" x14ac:dyDescent="0.2">
      <c r="E42" t="s">
        <v>214</v>
      </c>
      <c r="K42" s="9"/>
      <c r="L42" s="9"/>
      <c r="M42" s="9"/>
      <c r="N42" s="9"/>
      <c r="O42" s="8"/>
      <c r="P42" s="8"/>
    </row>
    <row r="43" spans="4:16" x14ac:dyDescent="0.2">
      <c r="E43" t="s">
        <v>215</v>
      </c>
      <c r="K43" s="9"/>
      <c r="L43" s="9"/>
      <c r="M43" s="9"/>
      <c r="N43" s="9"/>
      <c r="O43" s="8"/>
      <c r="P43" s="8"/>
    </row>
    <row r="44" spans="4:16" x14ac:dyDescent="0.2">
      <c r="D44" t="s">
        <v>208</v>
      </c>
      <c r="E44" t="s">
        <v>213</v>
      </c>
      <c r="F44" s="10"/>
      <c r="K44" s="9"/>
      <c r="L44" s="9"/>
      <c r="M44" s="9"/>
      <c r="N44" s="9"/>
      <c r="O44" s="8"/>
      <c r="P44" s="8"/>
    </row>
    <row r="45" spans="4:16" x14ac:dyDescent="0.2">
      <c r="E45" t="s">
        <v>216</v>
      </c>
      <c r="K45" s="9"/>
      <c r="L45" s="9"/>
      <c r="M45" s="9"/>
      <c r="N45" s="9"/>
      <c r="O45" s="8"/>
      <c r="P45" s="8"/>
    </row>
    <row r="46" spans="4:16" x14ac:dyDescent="0.2">
      <c r="E46" t="s">
        <v>214</v>
      </c>
      <c r="K46" s="9"/>
      <c r="L46" s="9"/>
      <c r="M46" s="9"/>
      <c r="N46" s="9"/>
      <c r="O46" s="8"/>
      <c r="P46" s="8"/>
    </row>
    <row r="47" spans="4:16" x14ac:dyDescent="0.2">
      <c r="E47" t="s">
        <v>215</v>
      </c>
      <c r="K47" s="9"/>
      <c r="L47" s="9"/>
      <c r="M47" s="9"/>
      <c r="N47" s="9"/>
      <c r="O47" s="8"/>
      <c r="P47" s="8"/>
    </row>
    <row r="48" spans="4:16" x14ac:dyDescent="0.2">
      <c r="D48" t="s">
        <v>209</v>
      </c>
      <c r="E48" t="s">
        <v>213</v>
      </c>
      <c r="F48" s="10"/>
      <c r="K48" s="9"/>
      <c r="L48" s="9"/>
      <c r="M48" s="9"/>
      <c r="N48" s="9"/>
      <c r="O48" s="8"/>
      <c r="P48" s="8"/>
    </row>
    <row r="49" spans="3:16" x14ac:dyDescent="0.2">
      <c r="E49" t="s">
        <v>216</v>
      </c>
      <c r="K49" s="9"/>
      <c r="L49" s="9"/>
      <c r="M49" s="9"/>
      <c r="N49" s="9"/>
      <c r="O49" s="8"/>
      <c r="P49" s="8"/>
    </row>
    <row r="50" spans="3:16" x14ac:dyDescent="0.2">
      <c r="E50" t="s">
        <v>214</v>
      </c>
      <c r="K50" s="9"/>
      <c r="L50" s="9"/>
      <c r="M50" s="9"/>
      <c r="N50" s="9"/>
      <c r="O50" s="8"/>
      <c r="P50" s="8"/>
    </row>
    <row r="51" spans="3:16" x14ac:dyDescent="0.2">
      <c r="E51" t="s">
        <v>215</v>
      </c>
      <c r="K51" s="9"/>
      <c r="L51" s="9"/>
      <c r="M51" s="9"/>
      <c r="N51" s="9"/>
      <c r="O51" s="8"/>
      <c r="P51" s="8"/>
    </row>
    <row r="52" spans="3:16" x14ac:dyDescent="0.2">
      <c r="D52" t="s">
        <v>210</v>
      </c>
      <c r="E52" t="s">
        <v>213</v>
      </c>
      <c r="F52" s="10"/>
      <c r="K52" s="9"/>
      <c r="L52" s="9"/>
      <c r="M52" s="9"/>
      <c r="N52" s="9"/>
      <c r="O52" s="8"/>
      <c r="P52" s="8"/>
    </row>
    <row r="53" spans="3:16" x14ac:dyDescent="0.2">
      <c r="E53" t="s">
        <v>216</v>
      </c>
      <c r="K53" s="9"/>
      <c r="L53" s="9"/>
      <c r="M53" s="9"/>
      <c r="N53" s="9"/>
      <c r="O53" s="8"/>
      <c r="P53" s="8"/>
    </row>
    <row r="54" spans="3:16" x14ac:dyDescent="0.2">
      <c r="E54" t="s">
        <v>214</v>
      </c>
      <c r="K54" s="9"/>
      <c r="L54" s="9"/>
      <c r="M54" s="9"/>
      <c r="N54" s="9"/>
      <c r="O54" s="8"/>
      <c r="P54" s="8"/>
    </row>
    <row r="55" spans="3:16" x14ac:dyDescent="0.2">
      <c r="E55" t="s">
        <v>215</v>
      </c>
      <c r="K55" s="9"/>
      <c r="L55" s="9"/>
      <c r="M55" s="9"/>
      <c r="N55" s="9"/>
      <c r="O55" s="8"/>
      <c r="P55" s="8"/>
    </row>
    <row r="56" spans="3:16" x14ac:dyDescent="0.2">
      <c r="D56" t="s">
        <v>211</v>
      </c>
      <c r="E56" t="s">
        <v>213</v>
      </c>
      <c r="F56" s="10"/>
      <c r="K56" s="9"/>
      <c r="L56" s="9"/>
      <c r="M56" s="9"/>
      <c r="N56" s="9"/>
      <c r="O56" s="8"/>
      <c r="P56" s="8"/>
    </row>
    <row r="57" spans="3:16" x14ac:dyDescent="0.2">
      <c r="E57" t="s">
        <v>216</v>
      </c>
      <c r="K57" s="9"/>
      <c r="L57" s="9"/>
      <c r="M57" s="9"/>
      <c r="N57" s="9"/>
      <c r="O57" s="8"/>
      <c r="P57" s="8"/>
    </row>
    <row r="58" spans="3:16" x14ac:dyDescent="0.2">
      <c r="E58" t="s">
        <v>214</v>
      </c>
      <c r="K58" s="9"/>
      <c r="L58" s="9"/>
      <c r="M58" s="9"/>
      <c r="N58" s="9"/>
      <c r="O58" s="8"/>
      <c r="P58" s="8"/>
    </row>
    <row r="59" spans="3:16" x14ac:dyDescent="0.2">
      <c r="E59" t="s">
        <v>215</v>
      </c>
      <c r="K59" s="9"/>
      <c r="L59" s="9"/>
      <c r="M59" s="9"/>
      <c r="N59" s="9"/>
      <c r="O59" s="8"/>
      <c r="P59" s="8"/>
    </row>
    <row r="60" spans="3:16" x14ac:dyDescent="0.2">
      <c r="K60" s="9"/>
      <c r="L60" s="9"/>
      <c r="M60" s="9"/>
      <c r="N60" s="9"/>
      <c r="O60" s="8"/>
      <c r="P60" s="8"/>
    </row>
    <row r="61" spans="3:16" x14ac:dyDescent="0.2">
      <c r="C61" t="s">
        <v>53</v>
      </c>
      <c r="D61" t="s">
        <v>217</v>
      </c>
      <c r="E61" t="s">
        <v>213</v>
      </c>
      <c r="K61" s="9"/>
      <c r="L61" s="9"/>
      <c r="M61" s="9"/>
      <c r="N61" s="9"/>
    </row>
    <row r="62" spans="3:16" x14ac:dyDescent="0.2">
      <c r="E62" t="s">
        <v>216</v>
      </c>
    </row>
    <row r="63" spans="3:16" x14ac:dyDescent="0.2">
      <c r="E63" t="s">
        <v>214</v>
      </c>
    </row>
    <row r="64" spans="3:16" x14ac:dyDescent="0.2">
      <c r="E64" t="s">
        <v>215</v>
      </c>
    </row>
    <row r="65" spans="4:5" x14ac:dyDescent="0.2">
      <c r="D65" t="s">
        <v>218</v>
      </c>
      <c r="E65" t="s">
        <v>213</v>
      </c>
    </row>
    <row r="66" spans="4:5" x14ac:dyDescent="0.2">
      <c r="E66" t="s">
        <v>216</v>
      </c>
    </row>
    <row r="67" spans="4:5" x14ac:dyDescent="0.2">
      <c r="E67" t="s">
        <v>214</v>
      </c>
    </row>
    <row r="68" spans="4:5" x14ac:dyDescent="0.2">
      <c r="E68" t="s">
        <v>215</v>
      </c>
    </row>
    <row r="69" spans="4:5" x14ac:dyDescent="0.2">
      <c r="D69" t="s">
        <v>219</v>
      </c>
      <c r="E69" t="s">
        <v>213</v>
      </c>
    </row>
    <row r="70" spans="4:5" x14ac:dyDescent="0.2">
      <c r="E70" t="s">
        <v>216</v>
      </c>
    </row>
    <row r="71" spans="4:5" x14ac:dyDescent="0.2">
      <c r="E71" t="s">
        <v>214</v>
      </c>
    </row>
    <row r="72" spans="4:5" x14ac:dyDescent="0.2">
      <c r="E72" t="s">
        <v>215</v>
      </c>
    </row>
    <row r="73" spans="4:5" x14ac:dyDescent="0.2">
      <c r="D73" t="s">
        <v>220</v>
      </c>
      <c r="E73" t="s">
        <v>213</v>
      </c>
    </row>
    <row r="74" spans="4:5" x14ac:dyDescent="0.2">
      <c r="E74" t="s">
        <v>216</v>
      </c>
    </row>
    <row r="75" spans="4:5" x14ac:dyDescent="0.2">
      <c r="E75" t="s">
        <v>214</v>
      </c>
    </row>
    <row r="76" spans="4:5" x14ac:dyDescent="0.2">
      <c r="E76" t="s">
        <v>215</v>
      </c>
    </row>
    <row r="77" spans="4:5" x14ac:dyDescent="0.2">
      <c r="D77" t="s">
        <v>221</v>
      </c>
      <c r="E77" t="s">
        <v>213</v>
      </c>
    </row>
    <row r="78" spans="4:5" x14ac:dyDescent="0.2">
      <c r="E78" t="s">
        <v>216</v>
      </c>
    </row>
    <row r="79" spans="4:5" x14ac:dyDescent="0.2">
      <c r="E79" t="s">
        <v>214</v>
      </c>
    </row>
    <row r="80" spans="4:5" x14ac:dyDescent="0.2">
      <c r="E80" t="s">
        <v>215</v>
      </c>
    </row>
    <row r="81" spans="4:5" x14ac:dyDescent="0.2">
      <c r="D81" t="s">
        <v>222</v>
      </c>
      <c r="E81" t="s">
        <v>213</v>
      </c>
    </row>
    <row r="82" spans="4:5" x14ac:dyDescent="0.2">
      <c r="E82" t="s">
        <v>216</v>
      </c>
    </row>
    <row r="83" spans="4:5" x14ac:dyDescent="0.2">
      <c r="E83" t="s">
        <v>214</v>
      </c>
    </row>
    <row r="84" spans="4:5" x14ac:dyDescent="0.2">
      <c r="E84" t="s">
        <v>215</v>
      </c>
    </row>
    <row r="85" spans="4:5" x14ac:dyDescent="0.2">
      <c r="D85" t="s">
        <v>223</v>
      </c>
      <c r="E85" t="s">
        <v>213</v>
      </c>
    </row>
    <row r="86" spans="4:5" x14ac:dyDescent="0.2">
      <c r="E86" t="s">
        <v>216</v>
      </c>
    </row>
    <row r="87" spans="4:5" x14ac:dyDescent="0.2">
      <c r="E87" t="s">
        <v>214</v>
      </c>
    </row>
    <row r="88" spans="4:5" x14ac:dyDescent="0.2">
      <c r="E88" t="s">
        <v>215</v>
      </c>
    </row>
    <row r="89" spans="4:5" x14ac:dyDescent="0.2">
      <c r="D89" t="s">
        <v>224</v>
      </c>
      <c r="E89" t="s">
        <v>213</v>
      </c>
    </row>
    <row r="90" spans="4:5" x14ac:dyDescent="0.2">
      <c r="E90" t="s">
        <v>216</v>
      </c>
    </row>
    <row r="91" spans="4:5" x14ac:dyDescent="0.2">
      <c r="E91" t="s">
        <v>214</v>
      </c>
    </row>
    <row r="92" spans="4:5" x14ac:dyDescent="0.2">
      <c r="E92" t="s">
        <v>215</v>
      </c>
    </row>
    <row r="93" spans="4:5" x14ac:dyDescent="0.2">
      <c r="D93" t="s">
        <v>225</v>
      </c>
      <c r="E93" t="s">
        <v>213</v>
      </c>
    </row>
    <row r="94" spans="4:5" x14ac:dyDescent="0.2">
      <c r="E94" t="s">
        <v>216</v>
      </c>
    </row>
    <row r="95" spans="4:5" x14ac:dyDescent="0.2">
      <c r="E95" t="s">
        <v>214</v>
      </c>
    </row>
    <row r="96" spans="4:5" x14ac:dyDescent="0.2">
      <c r="E96" t="s">
        <v>215</v>
      </c>
    </row>
    <row r="97" spans="4:5" x14ac:dyDescent="0.2">
      <c r="D97" t="s">
        <v>226</v>
      </c>
      <c r="E97" t="s">
        <v>213</v>
      </c>
    </row>
    <row r="98" spans="4:5" x14ac:dyDescent="0.2">
      <c r="E98" t="s">
        <v>216</v>
      </c>
    </row>
    <row r="99" spans="4:5" x14ac:dyDescent="0.2">
      <c r="E99" t="s">
        <v>214</v>
      </c>
    </row>
    <row r="100" spans="4:5" x14ac:dyDescent="0.2">
      <c r="E100" t="s">
        <v>215</v>
      </c>
    </row>
    <row r="101" spans="4:5" x14ac:dyDescent="0.2">
      <c r="D101" t="s">
        <v>227</v>
      </c>
      <c r="E101" t="s">
        <v>213</v>
      </c>
    </row>
    <row r="102" spans="4:5" x14ac:dyDescent="0.2">
      <c r="E102" t="s">
        <v>216</v>
      </c>
    </row>
    <row r="103" spans="4:5" x14ac:dyDescent="0.2">
      <c r="E103" t="s">
        <v>214</v>
      </c>
    </row>
    <row r="104" spans="4:5" x14ac:dyDescent="0.2">
      <c r="E104" t="s">
        <v>215</v>
      </c>
    </row>
    <row r="105" spans="4:5" x14ac:dyDescent="0.2">
      <c r="D105" t="s">
        <v>228</v>
      </c>
      <c r="E105" t="s">
        <v>213</v>
      </c>
    </row>
    <row r="106" spans="4:5" x14ac:dyDescent="0.2">
      <c r="E106" t="s">
        <v>216</v>
      </c>
    </row>
    <row r="107" spans="4:5" x14ac:dyDescent="0.2">
      <c r="E107" t="s">
        <v>214</v>
      </c>
    </row>
    <row r="108" spans="4:5" x14ac:dyDescent="0.2">
      <c r="E108" t="s">
        <v>215</v>
      </c>
    </row>
    <row r="109" spans="4:5" x14ac:dyDescent="0.2">
      <c r="D109" t="s">
        <v>229</v>
      </c>
      <c r="E109" t="s">
        <v>213</v>
      </c>
    </row>
    <row r="110" spans="4:5" x14ac:dyDescent="0.2">
      <c r="E110" t="s">
        <v>216</v>
      </c>
    </row>
    <row r="111" spans="4:5" x14ac:dyDescent="0.2">
      <c r="E111" t="s">
        <v>214</v>
      </c>
    </row>
    <row r="112" spans="4:5" x14ac:dyDescent="0.2">
      <c r="E112" t="s">
        <v>215</v>
      </c>
    </row>
    <row r="113" spans="3:5" x14ac:dyDescent="0.2">
      <c r="D113" t="s">
        <v>230</v>
      </c>
      <c r="E113" t="s">
        <v>213</v>
      </c>
    </row>
    <row r="114" spans="3:5" x14ac:dyDescent="0.2">
      <c r="E114" t="s">
        <v>216</v>
      </c>
    </row>
    <row r="115" spans="3:5" x14ac:dyDescent="0.2">
      <c r="E115" t="s">
        <v>214</v>
      </c>
    </row>
    <row r="116" spans="3:5" x14ac:dyDescent="0.2">
      <c r="E116" t="s">
        <v>215</v>
      </c>
    </row>
    <row r="117" spans="3:5" x14ac:dyDescent="0.2">
      <c r="D117" t="s">
        <v>231</v>
      </c>
      <c r="E117" t="s">
        <v>213</v>
      </c>
    </row>
    <row r="118" spans="3:5" x14ac:dyDescent="0.2">
      <c r="E118" t="s">
        <v>216</v>
      </c>
    </row>
    <row r="119" spans="3:5" x14ac:dyDescent="0.2">
      <c r="E119" t="s">
        <v>214</v>
      </c>
    </row>
    <row r="120" spans="3:5" x14ac:dyDescent="0.2">
      <c r="E120" t="s">
        <v>215</v>
      </c>
    </row>
    <row r="121" spans="3:5" x14ac:dyDescent="0.2">
      <c r="D121" t="s">
        <v>232</v>
      </c>
      <c r="E121" t="s">
        <v>213</v>
      </c>
    </row>
    <row r="122" spans="3:5" x14ac:dyDescent="0.2">
      <c r="E122" t="s">
        <v>216</v>
      </c>
    </row>
    <row r="123" spans="3:5" x14ac:dyDescent="0.2">
      <c r="E123" t="s">
        <v>214</v>
      </c>
    </row>
    <row r="124" spans="3:5" x14ac:dyDescent="0.2">
      <c r="E124" t="s">
        <v>215</v>
      </c>
    </row>
    <row r="125" spans="3:5" x14ac:dyDescent="0.2">
      <c r="C125" t="s">
        <v>184</v>
      </c>
      <c r="D125" t="s">
        <v>233</v>
      </c>
      <c r="E125" t="s">
        <v>213</v>
      </c>
    </row>
    <row r="126" spans="3:5" x14ac:dyDescent="0.2">
      <c r="E126" t="s">
        <v>216</v>
      </c>
    </row>
    <row r="127" spans="3:5" x14ac:dyDescent="0.2">
      <c r="E127" t="s">
        <v>214</v>
      </c>
    </row>
    <row r="128" spans="3:5" x14ac:dyDescent="0.2">
      <c r="E128" t="s">
        <v>215</v>
      </c>
    </row>
    <row r="129" spans="4:6" x14ac:dyDescent="0.2">
      <c r="D129" t="s">
        <v>234</v>
      </c>
      <c r="E129" t="s">
        <v>213</v>
      </c>
    </row>
    <row r="130" spans="4:6" x14ac:dyDescent="0.2">
      <c r="E130" t="s">
        <v>216</v>
      </c>
    </row>
    <row r="131" spans="4:6" x14ac:dyDescent="0.2">
      <c r="E131" t="s">
        <v>214</v>
      </c>
    </row>
    <row r="132" spans="4:6" x14ac:dyDescent="0.2">
      <c r="E132" t="s">
        <v>215</v>
      </c>
    </row>
    <row r="133" spans="4:6" x14ac:dyDescent="0.2">
      <c r="D133" t="s">
        <v>235</v>
      </c>
      <c r="E133" t="s">
        <v>213</v>
      </c>
      <c r="F133" s="10"/>
    </row>
    <row r="134" spans="4:6" x14ac:dyDescent="0.2">
      <c r="E134" t="s">
        <v>216</v>
      </c>
    </row>
    <row r="135" spans="4:6" x14ac:dyDescent="0.2">
      <c r="E135" t="s">
        <v>214</v>
      </c>
    </row>
    <row r="136" spans="4:6" x14ac:dyDescent="0.2">
      <c r="E136" t="s">
        <v>215</v>
      </c>
    </row>
    <row r="137" spans="4:6" x14ac:dyDescent="0.2">
      <c r="D137" t="s">
        <v>236</v>
      </c>
      <c r="E137" t="s">
        <v>213</v>
      </c>
    </row>
    <row r="138" spans="4:6" x14ac:dyDescent="0.2">
      <c r="E138" t="s">
        <v>216</v>
      </c>
    </row>
    <row r="139" spans="4:6" x14ac:dyDescent="0.2">
      <c r="E139" t="s">
        <v>214</v>
      </c>
    </row>
    <row r="140" spans="4:6" x14ac:dyDescent="0.2">
      <c r="E140" t="s">
        <v>215</v>
      </c>
    </row>
    <row r="141" spans="4:6" x14ac:dyDescent="0.2">
      <c r="E141" t="s">
        <v>213</v>
      </c>
    </row>
    <row r="142" spans="4:6" x14ac:dyDescent="0.2">
      <c r="E142" t="s">
        <v>216</v>
      </c>
    </row>
    <row r="143" spans="4:6" x14ac:dyDescent="0.2">
      <c r="E143" t="s">
        <v>214</v>
      </c>
    </row>
    <row r="144" spans="4:6" x14ac:dyDescent="0.2">
      <c r="E144" t="s">
        <v>215</v>
      </c>
    </row>
    <row r="145" spans="5:5" x14ac:dyDescent="0.2">
      <c r="E145" t="s">
        <v>213</v>
      </c>
    </row>
    <row r="146" spans="5:5" x14ac:dyDescent="0.2">
      <c r="E146" t="s">
        <v>216</v>
      </c>
    </row>
    <row r="147" spans="5:5" x14ac:dyDescent="0.2">
      <c r="E147" t="s">
        <v>214</v>
      </c>
    </row>
    <row r="148" spans="5:5" x14ac:dyDescent="0.2">
      <c r="E148" t="s">
        <v>215</v>
      </c>
    </row>
    <row r="149" spans="5:5" x14ac:dyDescent="0.2">
      <c r="E149" t="s">
        <v>213</v>
      </c>
    </row>
    <row r="150" spans="5:5" x14ac:dyDescent="0.2">
      <c r="E150" t="s">
        <v>216</v>
      </c>
    </row>
    <row r="151" spans="5:5" x14ac:dyDescent="0.2">
      <c r="E151" t="s">
        <v>214</v>
      </c>
    </row>
    <row r="152" spans="5:5" x14ac:dyDescent="0.2">
      <c r="E152" t="s">
        <v>215</v>
      </c>
    </row>
    <row r="153" spans="5:5" x14ac:dyDescent="0.2">
      <c r="E153" t="s">
        <v>213</v>
      </c>
    </row>
    <row r="154" spans="5:5" x14ac:dyDescent="0.2">
      <c r="E154" t="s">
        <v>216</v>
      </c>
    </row>
    <row r="155" spans="5:5" x14ac:dyDescent="0.2">
      <c r="E155" t="s">
        <v>214</v>
      </c>
    </row>
    <row r="156" spans="5:5" x14ac:dyDescent="0.2">
      <c r="E156" t="s">
        <v>215</v>
      </c>
    </row>
    <row r="157" spans="5:5" x14ac:dyDescent="0.2">
      <c r="E157" t="s">
        <v>213</v>
      </c>
    </row>
    <row r="158" spans="5:5" x14ac:dyDescent="0.2">
      <c r="E158" t="s">
        <v>216</v>
      </c>
    </row>
    <row r="159" spans="5:5" x14ac:dyDescent="0.2">
      <c r="E159" t="s">
        <v>214</v>
      </c>
    </row>
    <row r="160" spans="5:5" x14ac:dyDescent="0.2">
      <c r="E160" t="s">
        <v>215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Topics</vt:lpstr>
      <vt:lpstr>Tabelle1</vt:lpstr>
      <vt:lpstr>Tabelle2</vt:lpstr>
      <vt:lpstr>Tabelle3</vt:lpstr>
      <vt:lpstr>LitID</vt:lpstr>
      <vt:lpstr>SubjectList</vt:lpstr>
      <vt:lpstr>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rbg7jmqxhe@goetheuniversitaet.onmicrosoft.com</cp:lastModifiedBy>
  <dcterms:created xsi:type="dcterms:W3CDTF">2025-05-28T09:18:40Z</dcterms:created>
  <dcterms:modified xsi:type="dcterms:W3CDTF">2025-08-23T13:41:08Z</dcterms:modified>
</cp:coreProperties>
</file>