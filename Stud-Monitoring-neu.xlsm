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date1904="1" codeName="DieseArbeitsmappe" defaultThemeVersion="202300"/>
  <mc:AlternateContent xmlns:mc="http://schemas.openxmlformats.org/markup-compatibility/2006">
    <mc:Choice Requires="x15">
      <x15ac:absPath xmlns:x15ac="http://schemas.microsoft.com/office/spreadsheetml/2010/11/ac" url="/Users/tim/NoteDeck/"/>
    </mc:Choice>
  </mc:AlternateContent>
  <xr:revisionPtr revIDLastSave="0" documentId="13_ncr:1_{DD91003E-6BB0-5A48-8EEB-758AF9E1A278}" xr6:coauthVersionLast="47" xr6:coauthVersionMax="47" xr10:uidLastSave="{00000000-0000-0000-0000-000000000000}"/>
  <bookViews>
    <workbookView xWindow="0" yWindow="760" windowWidth="30240" windowHeight="18840" activeTab="3" xr2:uid="{3E36B01E-2DE2-3542-BE1E-67F7A926555A}"/>
    <workbookView xWindow="160" yWindow="920" windowWidth="29920" windowHeight="18560" activeTab="2" xr2:uid="{E4093774-E270-9A43-89ED-CDEF43EC62EB}"/>
  </bookViews>
  <sheets>
    <sheet name="TOPIC" sheetId="14" r:id="rId1"/>
    <sheet name="SEIN" sheetId="2" r:id="rId2"/>
    <sheet name="CONTENT" sheetId="24" r:id="rId3"/>
    <sheet name="Abfrage" sheetId="28" r:id="rId4"/>
    <sheet name="Tabelle1" sheetId="26" r:id="rId5"/>
    <sheet name="Content_Pivot" sheetId="25" r:id="rId6"/>
    <sheet name="TM" sheetId="12" r:id="rId7"/>
    <sheet name="Topic_Pivot" sheetId="16" r:id="rId8"/>
    <sheet name="Topic_Overview" sheetId="23" r:id="rId9"/>
    <sheet name="TM_Pivot" sheetId="13" r:id="rId10"/>
    <sheet name="Dashboard" sheetId="6" r:id="rId11"/>
    <sheet name="T_Topics" sheetId="22" r:id="rId12"/>
  </sheets>
  <definedNames>
    <definedName name="_xlpm.p" hidden="1" xlm="1">#NAME?</definedName>
    <definedName name="AlleTopics">T_Topics!$G$10:$G$1048576</definedName>
    <definedName name="Content">T_Topics!$F$10:$F$1048576</definedName>
    <definedName name="ContentTyp">T_Topics!$C$10:$C$1048576</definedName>
    <definedName name="Datenschnitt_Cint">#N/A</definedName>
    <definedName name="Datenschnitt_CTyp">#N/A</definedName>
    <definedName name="Datenschnitt_KW_Jahr">#N/A</definedName>
    <definedName name="Datenschnitt_Layer">#N/A</definedName>
    <definedName name="Datenschnitt_Layer1">#N/A</definedName>
    <definedName name="Datenschnitt_Phase">#N/A</definedName>
    <definedName name="Datenschnitt_RelInt">#N/A</definedName>
    <definedName name="Datenschnitt_Subject">#N/A</definedName>
    <definedName name="Datenschnitt_Subject1">#N/A</definedName>
    <definedName name="Datenschnitt_Subject3">#N/A</definedName>
    <definedName name="Datenschnitt_Topic">#N/A</definedName>
    <definedName name="ExterneDaten_1" localSheetId="3" hidden="1">Abfrage!$A$1:$V$595</definedName>
    <definedName name="Phase1">T_Topics!$H$10:$H$1048576</definedName>
    <definedName name="Phase1Topics">T_Topics!$H$10:$H$15</definedName>
    <definedName name="Phase2">T_Topics!$I$10+T_Topics!$I$10:$I$1048576</definedName>
    <definedName name="Subject">T_Topics!$D$10:$D$1048576</definedName>
    <definedName name="TopicID">T_Topics!$E$10:$E$1048576</definedName>
    <definedName name="Topo1">T_Topics!$D$6</definedName>
  </definedNames>
  <calcPr calcId="191029"/>
  <pivotCaches>
    <pivotCache cacheId="287" r:id="rId13"/>
    <pivotCache cacheId="291" r:id="rId14"/>
    <pivotCache cacheId="299" r:id="rId15"/>
    <pivotCache cacheId="30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4" l="1"/>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E5" i="24"/>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08" i="24"/>
  <c r="E109" i="24"/>
  <c r="E110" i="24"/>
  <c r="E111" i="24"/>
  <c r="E112" i="24"/>
  <c r="E113" i="24"/>
  <c r="E114" i="24"/>
  <c r="E115" i="24"/>
  <c r="E116" i="24"/>
  <c r="E117" i="24"/>
  <c r="E118" i="24"/>
  <c r="E119" i="24"/>
  <c r="E120" i="24"/>
  <c r="E121" i="24"/>
  <c r="E122" i="24"/>
  <c r="E123" i="24"/>
  <c r="E124" i="24"/>
  <c r="E125" i="24"/>
  <c r="E126" i="24"/>
  <c r="E127" i="24"/>
  <c r="E128" i="24"/>
  <c r="E129" i="24"/>
  <c r="E130" i="24"/>
  <c r="E131" i="24"/>
  <c r="E132" i="24"/>
  <c r="E133" i="24"/>
  <c r="E134" i="24"/>
  <c r="E135"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60" i="24"/>
  <c r="E161" i="24"/>
  <c r="E162" i="24"/>
  <c r="E163" i="24"/>
  <c r="E164" i="24"/>
  <c r="E165" i="24"/>
  <c r="E166" i="24"/>
  <c r="E167" i="24"/>
  <c r="E168" i="24"/>
  <c r="E169" i="24"/>
  <c r="E170" i="24"/>
  <c r="E171" i="24"/>
  <c r="E172" i="24"/>
  <c r="E173" i="24"/>
  <c r="E174" i="24"/>
  <c r="E175" i="24"/>
  <c r="E176" i="24"/>
  <c r="E177" i="24"/>
  <c r="E178" i="24"/>
  <c r="E179" i="24"/>
  <c r="E180" i="24"/>
  <c r="E181" i="24"/>
  <c r="E182" i="24"/>
  <c r="E183" i="24"/>
  <c r="E184" i="24"/>
  <c r="E185" i="24"/>
  <c r="E186" i="24"/>
  <c r="E187" i="24"/>
  <c r="E188" i="24"/>
  <c r="E189" i="24"/>
  <c r="E190" i="24"/>
  <c r="E191" i="24"/>
  <c r="E192" i="24"/>
  <c r="E193" i="24"/>
  <c r="E194" i="24"/>
  <c r="E195" i="24"/>
  <c r="E196" i="24"/>
  <c r="E197" i="24"/>
  <c r="E198" i="24"/>
  <c r="E199" i="24"/>
  <c r="E200" i="24"/>
  <c r="E201" i="24"/>
  <c r="E202" i="24"/>
  <c r="E203" i="24"/>
  <c r="E204" i="24"/>
  <c r="E205" i="24"/>
  <c r="E206" i="24"/>
  <c r="E207" i="24"/>
  <c r="E208" i="24"/>
  <c r="E209" i="24"/>
  <c r="E210" i="24"/>
  <c r="E211" i="24"/>
  <c r="E212" i="24"/>
  <c r="E213" i="24"/>
  <c r="E214" i="24"/>
  <c r="E215" i="24"/>
  <c r="E216" i="24"/>
  <c r="E217" i="24"/>
  <c r="E218" i="24"/>
  <c r="E219" i="24"/>
  <c r="E220" i="24"/>
  <c r="E221" i="24"/>
  <c r="E222" i="24"/>
  <c r="E223" i="24"/>
  <c r="E224" i="24"/>
  <c r="E225" i="24"/>
  <c r="E226" i="24"/>
  <c r="E227" i="24"/>
  <c r="E228" i="24"/>
  <c r="E229" i="24"/>
  <c r="E230" i="24"/>
  <c r="E231" i="24"/>
  <c r="E232" i="24"/>
  <c r="E233" i="24"/>
  <c r="E234" i="24"/>
  <c r="E235" i="24"/>
  <c r="E236" i="24"/>
  <c r="E237" i="24"/>
  <c r="E238" i="24"/>
  <c r="E239" i="24"/>
  <c r="E240" i="24"/>
  <c r="E241" i="24"/>
  <c r="E242" i="24"/>
  <c r="E243" i="24"/>
  <c r="E244" i="24"/>
  <c r="E245" i="24"/>
  <c r="E246" i="24"/>
  <c r="E247" i="24"/>
  <c r="E248" i="24"/>
  <c r="E249" i="24"/>
  <c r="E250" i="24"/>
  <c r="E251" i="24"/>
  <c r="E252" i="24"/>
  <c r="E253" i="24"/>
  <c r="E254" i="24"/>
  <c r="E255" i="24"/>
  <c r="E256" i="24"/>
  <c r="E257" i="24"/>
  <c r="E258" i="24"/>
  <c r="E259" i="24"/>
  <c r="E260" i="24"/>
  <c r="E261" i="24"/>
  <c r="E262" i="24"/>
  <c r="E263" i="24"/>
  <c r="E264" i="24"/>
  <c r="E265" i="24"/>
  <c r="E266" i="24"/>
  <c r="E267" i="24"/>
  <c r="E268" i="24"/>
  <c r="E269" i="24"/>
  <c r="E270" i="24"/>
  <c r="E271" i="24"/>
  <c r="E272" i="24"/>
  <c r="E273" i="24"/>
  <c r="E274" i="24"/>
  <c r="E275" i="24"/>
  <c r="E276" i="24"/>
  <c r="E277" i="24"/>
  <c r="E278" i="24"/>
  <c r="E279" i="24"/>
  <c r="E280" i="24"/>
  <c r="E281" i="24"/>
  <c r="E282" i="24"/>
  <c r="E283" i="24"/>
  <c r="E284" i="24"/>
  <c r="E285" i="24"/>
  <c r="E286" i="24"/>
  <c r="E287" i="24"/>
  <c r="E288" i="24"/>
  <c r="E289" i="24"/>
  <c r="E290" i="24"/>
  <c r="E291" i="24"/>
  <c r="E292" i="24"/>
  <c r="E293" i="24"/>
  <c r="E294" i="24"/>
  <c r="E295" i="24"/>
  <c r="E296" i="24"/>
  <c r="E297" i="24"/>
  <c r="E298" i="24"/>
  <c r="E299" i="24"/>
  <c r="E300" i="24"/>
  <c r="E301" i="24"/>
  <c r="E302" i="24"/>
  <c r="E303" i="24"/>
  <c r="E304" i="24"/>
  <c r="E305" i="24"/>
  <c r="E306" i="24"/>
  <c r="E307" i="24"/>
  <c r="E308" i="24"/>
  <c r="E309" i="24"/>
  <c r="E310" i="24"/>
  <c r="E311" i="24"/>
  <c r="E312" i="24"/>
  <c r="E313" i="24"/>
  <c r="E314" i="24"/>
  <c r="E315" i="24"/>
  <c r="E316" i="24"/>
  <c r="E317" i="24"/>
  <c r="E318" i="24"/>
  <c r="E319" i="24"/>
  <c r="E320" i="24"/>
  <c r="E321" i="24"/>
  <c r="E322" i="24"/>
  <c r="E323" i="24"/>
  <c r="E324" i="24"/>
  <c r="E325" i="24"/>
  <c r="E326" i="24"/>
  <c r="E327" i="24"/>
  <c r="E328" i="24"/>
  <c r="E329" i="24"/>
  <c r="E330" i="24"/>
  <c r="E331" i="24"/>
  <c r="E332" i="24"/>
  <c r="E333" i="24"/>
  <c r="E334" i="24"/>
  <c r="E335" i="24"/>
  <c r="E336" i="24"/>
  <c r="E337" i="24"/>
  <c r="E338" i="24"/>
  <c r="E339" i="24"/>
  <c r="E340" i="24"/>
  <c r="E341" i="24"/>
  <c r="E342" i="24"/>
  <c r="E343" i="24"/>
  <c r="E344" i="24"/>
  <c r="E345" i="24"/>
  <c r="E346" i="24"/>
  <c r="E347" i="24"/>
  <c r="E348" i="24"/>
  <c r="E349" i="24"/>
  <c r="E350" i="24"/>
  <c r="E351" i="24"/>
  <c r="E352" i="24"/>
  <c r="E353" i="24"/>
  <c r="E354" i="24"/>
  <c r="E355" i="24"/>
  <c r="E356" i="24"/>
  <c r="E357" i="24"/>
  <c r="E358" i="24"/>
  <c r="E359" i="24"/>
  <c r="E360" i="24"/>
  <c r="E361" i="24"/>
  <c r="E362" i="24"/>
  <c r="E363" i="24"/>
  <c r="E364" i="24"/>
  <c r="E365" i="24"/>
  <c r="E366" i="24"/>
  <c r="E367" i="24"/>
  <c r="E368" i="24"/>
  <c r="E369" i="24"/>
  <c r="E370" i="24"/>
  <c r="E371" i="24"/>
  <c r="E372" i="24"/>
  <c r="E373" i="24"/>
  <c r="E374" i="24"/>
  <c r="E375" i="24"/>
  <c r="E376" i="24"/>
  <c r="E377" i="24"/>
  <c r="E378" i="24"/>
  <c r="E379" i="24"/>
  <c r="E380" i="24"/>
  <c r="E381" i="24"/>
  <c r="E382" i="24"/>
  <c r="E383" i="24"/>
  <c r="E384" i="24"/>
  <c r="E385" i="24"/>
  <c r="E386" i="24"/>
  <c r="E387" i="24"/>
  <c r="E388" i="24"/>
  <c r="E389" i="24"/>
  <c r="E390" i="24"/>
  <c r="E391" i="24"/>
  <c r="E392" i="24"/>
  <c r="E393" i="24"/>
  <c r="E394" i="24"/>
  <c r="E395" i="24"/>
  <c r="E396" i="24"/>
  <c r="E397" i="24"/>
  <c r="E398" i="24"/>
  <c r="E399" i="24"/>
  <c r="E400" i="24"/>
  <c r="E401" i="24"/>
  <c r="E402" i="24"/>
  <c r="E403" i="24"/>
  <c r="E404" i="24"/>
  <c r="E405" i="24"/>
  <c r="E406" i="24"/>
  <c r="E407" i="24"/>
  <c r="E408" i="24"/>
  <c r="E409" i="24"/>
  <c r="E410" i="24"/>
  <c r="E411" i="24"/>
  <c r="E412" i="24"/>
  <c r="E413" i="24"/>
  <c r="E414" i="24"/>
  <c r="E415" i="24"/>
  <c r="E416" i="24"/>
  <c r="E417" i="24"/>
  <c r="E418" i="24"/>
  <c r="E419" i="24"/>
  <c r="E420" i="24"/>
  <c r="E421" i="24"/>
  <c r="E422" i="24"/>
  <c r="E423" i="24"/>
  <c r="E424" i="24"/>
  <c r="E425" i="24"/>
  <c r="E426" i="24"/>
  <c r="E427" i="24"/>
  <c r="E428" i="24"/>
  <c r="E429" i="24"/>
  <c r="E430" i="24"/>
  <c r="E431" i="24"/>
  <c r="E432" i="24"/>
  <c r="E433" i="24"/>
  <c r="E434" i="24"/>
  <c r="E435" i="24"/>
  <c r="E436" i="24"/>
  <c r="E437" i="24"/>
  <c r="E438" i="24"/>
  <c r="E439" i="24"/>
  <c r="E440" i="24"/>
  <c r="E441" i="24"/>
  <c r="E442" i="24"/>
  <c r="E443" i="24"/>
  <c r="E444" i="24"/>
  <c r="E445" i="24"/>
  <c r="E446" i="24"/>
  <c r="E447" i="24"/>
  <c r="E448" i="24"/>
  <c r="E449" i="24"/>
  <c r="E450" i="24"/>
  <c r="E451" i="24"/>
  <c r="E452" i="24"/>
  <c r="E453" i="24"/>
  <c r="E454" i="24"/>
  <c r="E455" i="24"/>
  <c r="E456" i="24"/>
  <c r="E457" i="24"/>
  <c r="E458" i="24"/>
  <c r="E459" i="24"/>
  <c r="E460" i="24"/>
  <c r="E461" i="24"/>
  <c r="E462" i="24"/>
  <c r="E463" i="24"/>
  <c r="E464" i="24"/>
  <c r="E465" i="24"/>
  <c r="E466" i="24"/>
  <c r="E467" i="24"/>
  <c r="E468" i="24"/>
  <c r="E469" i="24"/>
  <c r="E470" i="24"/>
  <c r="E471" i="24"/>
  <c r="E472" i="24"/>
  <c r="E473" i="24"/>
  <c r="E474" i="24"/>
  <c r="E475" i="24"/>
  <c r="E476" i="24"/>
  <c r="E477" i="24"/>
  <c r="E478" i="24"/>
  <c r="E479" i="24"/>
  <c r="E480" i="24"/>
  <c r="E481" i="24"/>
  <c r="E482" i="24"/>
  <c r="E483" i="24"/>
  <c r="E484" i="24"/>
  <c r="E485" i="24"/>
  <c r="E486" i="24"/>
  <c r="E487" i="24"/>
  <c r="E488" i="24"/>
  <c r="E489" i="24"/>
  <c r="E490" i="24"/>
  <c r="E491" i="24"/>
  <c r="E492" i="24"/>
  <c r="E493" i="24"/>
  <c r="E494" i="24"/>
  <c r="E495" i="24"/>
  <c r="E496" i="24"/>
  <c r="E497" i="24"/>
  <c r="E498" i="24"/>
  <c r="E499" i="24"/>
  <c r="E500" i="24"/>
  <c r="E501" i="24"/>
  <c r="E502" i="24"/>
  <c r="E503" i="24"/>
  <c r="E504" i="24"/>
  <c r="E505" i="24"/>
  <c r="E506" i="24"/>
  <c r="E507" i="24"/>
  <c r="E508" i="24"/>
  <c r="E509" i="24"/>
  <c r="E510" i="24"/>
  <c r="E511" i="24"/>
  <c r="E512" i="24"/>
  <c r="E513" i="24"/>
  <c r="E514" i="24"/>
  <c r="E515" i="24"/>
  <c r="E516" i="24"/>
  <c r="E517" i="24"/>
  <c r="E518" i="24"/>
  <c r="E519" i="24"/>
  <c r="E520" i="24"/>
  <c r="E521" i="24"/>
  <c r="E522" i="24"/>
  <c r="E523" i="24"/>
  <c r="E524" i="24"/>
  <c r="E525" i="24"/>
  <c r="E526" i="24"/>
  <c r="E527" i="24"/>
  <c r="E528" i="24"/>
  <c r="E529" i="24"/>
  <c r="E530" i="24"/>
  <c r="E531" i="24"/>
  <c r="E532" i="24"/>
  <c r="E533" i="24"/>
  <c r="E534" i="24"/>
  <c r="E535" i="24"/>
  <c r="E536" i="24"/>
  <c r="E537" i="24"/>
  <c r="E538" i="24"/>
  <c r="E539" i="24"/>
  <c r="E540" i="24"/>
  <c r="E541" i="24"/>
  <c r="E542" i="24"/>
  <c r="E543" i="24"/>
  <c r="E544" i="24"/>
  <c r="E545" i="24"/>
  <c r="E546" i="24"/>
  <c r="E547" i="24"/>
  <c r="E548" i="24"/>
  <c r="E549" i="24"/>
  <c r="E550" i="24"/>
  <c r="E551" i="24"/>
  <c r="E552" i="24"/>
  <c r="E553" i="24"/>
  <c r="E554" i="24"/>
  <c r="E555" i="24"/>
  <c r="E556" i="24"/>
  <c r="E557" i="24"/>
  <c r="E558" i="24"/>
  <c r="E559" i="24"/>
  <c r="E560" i="24"/>
  <c r="E561" i="24"/>
  <c r="E562" i="24"/>
  <c r="E563" i="24"/>
  <c r="E564" i="24"/>
  <c r="E565" i="24"/>
  <c r="E566" i="24"/>
  <c r="E567" i="24"/>
  <c r="E568" i="24"/>
  <c r="E569" i="24"/>
  <c r="E570" i="24"/>
  <c r="E571" i="24"/>
  <c r="E572" i="24"/>
  <c r="E573" i="24"/>
  <c r="E574" i="24"/>
  <c r="E575" i="24"/>
  <c r="E576" i="24"/>
  <c r="E577" i="24"/>
  <c r="E578" i="24"/>
  <c r="E579" i="24"/>
  <c r="E580" i="24"/>
  <c r="E581" i="24"/>
  <c r="E582" i="24"/>
  <c r="E583" i="24"/>
  <c r="E584" i="24"/>
  <c r="E585" i="24"/>
  <c r="E586" i="24"/>
  <c r="E587" i="24"/>
  <c r="E588" i="24"/>
  <c r="E589" i="24"/>
  <c r="E590" i="24"/>
  <c r="E591" i="24"/>
  <c r="E592" i="24"/>
  <c r="E593" i="24"/>
  <c r="E594" i="24"/>
  <c r="E595" i="24"/>
  <c r="E596" i="24"/>
  <c r="E597" i="24"/>
  <c r="E598" i="24"/>
  <c r="I5" i="24"/>
  <c r="I6" i="24"/>
  <c r="I7" i="24"/>
  <c r="I8" i="24"/>
  <c r="I9" i="24"/>
  <c r="I10" i="24"/>
  <c r="I11" i="24"/>
  <c r="I12" i="24"/>
  <c r="I13" i="24"/>
  <c r="I14" i="24"/>
  <c r="I15" i="24"/>
  <c r="I16" i="24"/>
  <c r="I17" i="24"/>
  <c r="I18" i="24"/>
  <c r="I19" i="24"/>
  <c r="I20" i="24"/>
  <c r="I21" i="24"/>
  <c r="I22" i="24"/>
  <c r="I23" i="24"/>
  <c r="I24" i="24"/>
  <c r="I25" i="24"/>
  <c r="I26" i="24"/>
  <c r="I27" i="24"/>
  <c r="I28" i="24"/>
  <c r="I29" i="24"/>
  <c r="I30" i="24"/>
  <c r="I31" i="24"/>
  <c r="I32" i="24"/>
  <c r="I33" i="24"/>
  <c r="I34" i="24"/>
  <c r="I35" i="24"/>
  <c r="I36" i="24"/>
  <c r="I37" i="24"/>
  <c r="I38" i="24"/>
  <c r="I39" i="24"/>
  <c r="I40" i="24"/>
  <c r="I41" i="24"/>
  <c r="I42" i="24"/>
  <c r="I43" i="24"/>
  <c r="I44" i="24"/>
  <c r="I45" i="24"/>
  <c r="I46" i="24"/>
  <c r="I47" i="24"/>
  <c r="I48" i="24"/>
  <c r="I49" i="24"/>
  <c r="I50" i="24"/>
  <c r="I51" i="24"/>
  <c r="I52" i="24"/>
  <c r="I53" i="24"/>
  <c r="I54" i="24"/>
  <c r="I55" i="24"/>
  <c r="I56" i="24"/>
  <c r="I57" i="24"/>
  <c r="I58" i="24"/>
  <c r="I59" i="24"/>
  <c r="I60" i="24"/>
  <c r="I61" i="24"/>
  <c r="I62" i="24"/>
  <c r="I63" i="24"/>
  <c r="I64" i="24"/>
  <c r="I65" i="24"/>
  <c r="I66" i="24"/>
  <c r="I67" i="24"/>
  <c r="I68" i="24"/>
  <c r="I69" i="24"/>
  <c r="I70" i="24"/>
  <c r="I71" i="24"/>
  <c r="I72" i="24"/>
  <c r="I73" i="24"/>
  <c r="I74" i="24"/>
  <c r="I75" i="24"/>
  <c r="I76" i="24"/>
  <c r="I77" i="24"/>
  <c r="I78" i="24"/>
  <c r="I79" i="24"/>
  <c r="I80" i="24"/>
  <c r="I81" i="24"/>
  <c r="I82" i="24"/>
  <c r="I83" i="24"/>
  <c r="I84" i="24"/>
  <c r="I85" i="24"/>
  <c r="I86" i="24"/>
  <c r="I87" i="24"/>
  <c r="I88" i="24"/>
  <c r="I89" i="24"/>
  <c r="I90" i="24"/>
  <c r="I91" i="24"/>
  <c r="I92" i="24"/>
  <c r="I93" i="24"/>
  <c r="I94" i="24"/>
  <c r="I95" i="24"/>
  <c r="I96" i="24"/>
  <c r="I97" i="24"/>
  <c r="I98" i="24"/>
  <c r="I99" i="24"/>
  <c r="I100" i="24"/>
  <c r="I101" i="24"/>
  <c r="I102" i="24"/>
  <c r="I103" i="24"/>
  <c r="I104" i="24"/>
  <c r="I105" i="24"/>
  <c r="I106" i="24"/>
  <c r="I107" i="24"/>
  <c r="I108" i="24"/>
  <c r="I109" i="24"/>
  <c r="I110" i="24"/>
  <c r="I111" i="24"/>
  <c r="I112" i="24"/>
  <c r="I113" i="24"/>
  <c r="I114" i="24"/>
  <c r="I115" i="24"/>
  <c r="I116" i="24"/>
  <c r="I117" i="24"/>
  <c r="I118" i="24"/>
  <c r="I119" i="24"/>
  <c r="I120" i="24"/>
  <c r="I121" i="24"/>
  <c r="I122" i="24"/>
  <c r="I123" i="24"/>
  <c r="I124" i="24"/>
  <c r="I125" i="24"/>
  <c r="I126" i="24"/>
  <c r="I127" i="24"/>
  <c r="I128" i="24"/>
  <c r="I129" i="24"/>
  <c r="I130" i="24"/>
  <c r="I131" i="24"/>
  <c r="I132" i="24"/>
  <c r="I133" i="24"/>
  <c r="I134" i="24"/>
  <c r="I135" i="24"/>
  <c r="I136" i="24"/>
  <c r="I137" i="24"/>
  <c r="I138" i="24"/>
  <c r="I139" i="24"/>
  <c r="I140" i="24"/>
  <c r="I141" i="24"/>
  <c r="I142" i="24"/>
  <c r="I143" i="24"/>
  <c r="I144" i="24"/>
  <c r="I145" i="24"/>
  <c r="I146" i="24"/>
  <c r="I147" i="24"/>
  <c r="I148" i="24"/>
  <c r="I149" i="24"/>
  <c r="I150" i="24"/>
  <c r="I151" i="24"/>
  <c r="I152" i="24"/>
  <c r="I153" i="24"/>
  <c r="I154" i="24"/>
  <c r="I155" i="24"/>
  <c r="I156" i="24"/>
  <c r="I157" i="24"/>
  <c r="I158" i="24"/>
  <c r="I159" i="24"/>
  <c r="I160" i="24"/>
  <c r="I161" i="24"/>
  <c r="I162" i="24"/>
  <c r="I163" i="24"/>
  <c r="I164" i="24"/>
  <c r="I165" i="24"/>
  <c r="I166" i="24"/>
  <c r="I167" i="24"/>
  <c r="I168" i="24"/>
  <c r="I169" i="24"/>
  <c r="I170" i="24"/>
  <c r="I171" i="24"/>
  <c r="I172" i="24"/>
  <c r="I173" i="24"/>
  <c r="I174" i="24"/>
  <c r="I175" i="24"/>
  <c r="I176" i="24"/>
  <c r="I177" i="24"/>
  <c r="I178" i="24"/>
  <c r="I179" i="24"/>
  <c r="I180" i="24"/>
  <c r="I181" i="24"/>
  <c r="I182" i="24"/>
  <c r="I183" i="24"/>
  <c r="I184" i="24"/>
  <c r="I185" i="24"/>
  <c r="I186" i="24"/>
  <c r="I187" i="24"/>
  <c r="I188" i="24"/>
  <c r="I189" i="24"/>
  <c r="I190" i="24"/>
  <c r="I191" i="24"/>
  <c r="I192" i="24"/>
  <c r="I193" i="24"/>
  <c r="I194" i="24"/>
  <c r="I195" i="24"/>
  <c r="I196" i="24"/>
  <c r="I197" i="24"/>
  <c r="I198" i="24"/>
  <c r="I199" i="24"/>
  <c r="I200" i="24"/>
  <c r="I201" i="24"/>
  <c r="I202" i="24"/>
  <c r="I203" i="24"/>
  <c r="I204" i="24"/>
  <c r="I205" i="24"/>
  <c r="I206" i="24"/>
  <c r="I207" i="24"/>
  <c r="I208" i="24"/>
  <c r="I209" i="24"/>
  <c r="I210" i="24"/>
  <c r="I211" i="24"/>
  <c r="I212" i="24"/>
  <c r="I213" i="24"/>
  <c r="I214" i="24"/>
  <c r="I215" i="24"/>
  <c r="I216" i="24"/>
  <c r="I217" i="24"/>
  <c r="I218" i="24"/>
  <c r="I219" i="24"/>
  <c r="I220" i="24"/>
  <c r="I221" i="24"/>
  <c r="I222" i="24"/>
  <c r="I223" i="24"/>
  <c r="I224" i="24"/>
  <c r="I225" i="24"/>
  <c r="I226" i="24"/>
  <c r="I227" i="24"/>
  <c r="I228" i="24"/>
  <c r="I229" i="24"/>
  <c r="I230" i="24"/>
  <c r="I231" i="24"/>
  <c r="I232" i="24"/>
  <c r="I233" i="24"/>
  <c r="I234" i="24"/>
  <c r="I235" i="24"/>
  <c r="I236" i="24"/>
  <c r="I237" i="24"/>
  <c r="I238" i="24"/>
  <c r="I239" i="24"/>
  <c r="I240" i="24"/>
  <c r="I241" i="24"/>
  <c r="I242" i="24"/>
  <c r="I243" i="24"/>
  <c r="I244" i="24"/>
  <c r="I245" i="24"/>
  <c r="I246" i="24"/>
  <c r="I247" i="24"/>
  <c r="I248" i="24"/>
  <c r="I249" i="24"/>
  <c r="I250" i="24"/>
  <c r="I251" i="24"/>
  <c r="I252" i="24"/>
  <c r="I253" i="24"/>
  <c r="I254" i="24"/>
  <c r="I255" i="24"/>
  <c r="I256" i="24"/>
  <c r="I257" i="24"/>
  <c r="I258" i="24"/>
  <c r="I259" i="24"/>
  <c r="I260" i="24"/>
  <c r="I261" i="24"/>
  <c r="I262" i="24"/>
  <c r="I263" i="24"/>
  <c r="I264" i="24"/>
  <c r="I265" i="24"/>
  <c r="I266" i="24"/>
  <c r="I267" i="24"/>
  <c r="I268" i="24"/>
  <c r="I269" i="24"/>
  <c r="I270" i="24"/>
  <c r="I271" i="24"/>
  <c r="I272" i="24"/>
  <c r="I273" i="24"/>
  <c r="I274" i="24"/>
  <c r="I275" i="24"/>
  <c r="I276" i="24"/>
  <c r="I277" i="24"/>
  <c r="I278" i="24"/>
  <c r="I279" i="24"/>
  <c r="I280" i="24"/>
  <c r="I281" i="24"/>
  <c r="I282" i="24"/>
  <c r="I283" i="24"/>
  <c r="I284" i="24"/>
  <c r="I285" i="24"/>
  <c r="I286" i="24"/>
  <c r="I287" i="24"/>
  <c r="I288" i="24"/>
  <c r="I289" i="24"/>
  <c r="I290" i="24"/>
  <c r="I291" i="24"/>
  <c r="I292" i="24"/>
  <c r="I293" i="24"/>
  <c r="I294" i="24"/>
  <c r="I295" i="24"/>
  <c r="I296" i="24"/>
  <c r="I297" i="24"/>
  <c r="I298" i="24"/>
  <c r="I299" i="24"/>
  <c r="I300" i="24"/>
  <c r="I301" i="24"/>
  <c r="I302" i="24"/>
  <c r="I303" i="24"/>
  <c r="I304" i="24"/>
  <c r="I305" i="24"/>
  <c r="I306" i="24"/>
  <c r="I307" i="24"/>
  <c r="I308" i="24"/>
  <c r="I309" i="24"/>
  <c r="I310" i="24"/>
  <c r="I311" i="24"/>
  <c r="I312" i="24"/>
  <c r="I313" i="24"/>
  <c r="I314" i="24"/>
  <c r="I315" i="24"/>
  <c r="I316" i="24"/>
  <c r="I317" i="24"/>
  <c r="I318" i="24"/>
  <c r="I319" i="24"/>
  <c r="I320" i="24"/>
  <c r="I321" i="24"/>
  <c r="I322" i="24"/>
  <c r="I323" i="24"/>
  <c r="I324" i="24"/>
  <c r="I325" i="24"/>
  <c r="I326" i="24"/>
  <c r="I327" i="24"/>
  <c r="I328" i="24"/>
  <c r="I329" i="24"/>
  <c r="I330" i="24"/>
  <c r="I331" i="24"/>
  <c r="I332" i="24"/>
  <c r="I333" i="24"/>
  <c r="I334" i="24"/>
  <c r="I335" i="24"/>
  <c r="I336" i="24"/>
  <c r="I337" i="24"/>
  <c r="I338" i="24"/>
  <c r="I339" i="24"/>
  <c r="I340" i="24"/>
  <c r="I341" i="24"/>
  <c r="I342" i="24"/>
  <c r="I343" i="24"/>
  <c r="I344" i="24"/>
  <c r="I345" i="24"/>
  <c r="I346" i="24"/>
  <c r="I347" i="24"/>
  <c r="I348" i="24"/>
  <c r="I349" i="24"/>
  <c r="I350" i="24"/>
  <c r="I351" i="24"/>
  <c r="I352" i="24"/>
  <c r="I353" i="24"/>
  <c r="I354" i="24"/>
  <c r="I355" i="24"/>
  <c r="I356" i="24"/>
  <c r="I357" i="24"/>
  <c r="I358" i="24"/>
  <c r="I359" i="24"/>
  <c r="I360" i="24"/>
  <c r="I361" i="24"/>
  <c r="I362" i="24"/>
  <c r="I363" i="24"/>
  <c r="I364" i="24"/>
  <c r="I365" i="24"/>
  <c r="I366" i="24"/>
  <c r="I367" i="24"/>
  <c r="I368" i="24"/>
  <c r="I369" i="24"/>
  <c r="I370" i="24"/>
  <c r="I371" i="24"/>
  <c r="I372" i="24"/>
  <c r="I373" i="24"/>
  <c r="I374" i="24"/>
  <c r="I375" i="24"/>
  <c r="I376" i="24"/>
  <c r="I377" i="24"/>
  <c r="I378" i="24"/>
  <c r="I379" i="24"/>
  <c r="I380" i="24"/>
  <c r="I381" i="24"/>
  <c r="I382" i="24"/>
  <c r="I383" i="24"/>
  <c r="I384" i="24"/>
  <c r="I385" i="24"/>
  <c r="I386" i="24"/>
  <c r="I387" i="24"/>
  <c r="I388" i="24"/>
  <c r="I389" i="24"/>
  <c r="I390" i="24"/>
  <c r="I391" i="24"/>
  <c r="I392" i="24"/>
  <c r="I393" i="24"/>
  <c r="I394" i="24"/>
  <c r="I395" i="24"/>
  <c r="I396" i="24"/>
  <c r="I397" i="24"/>
  <c r="I398" i="24"/>
  <c r="I399" i="24"/>
  <c r="I400" i="24"/>
  <c r="I401" i="24"/>
  <c r="I402" i="24"/>
  <c r="I403" i="24"/>
  <c r="I404" i="24"/>
  <c r="I405" i="24"/>
  <c r="I406" i="24"/>
  <c r="I407" i="24"/>
  <c r="I408" i="24"/>
  <c r="I409" i="24"/>
  <c r="I410" i="24"/>
  <c r="I411" i="24"/>
  <c r="I412" i="24"/>
  <c r="I413" i="24"/>
  <c r="I414" i="24"/>
  <c r="I415" i="24"/>
  <c r="I416" i="24"/>
  <c r="I417" i="24"/>
  <c r="I418" i="24"/>
  <c r="I419" i="24"/>
  <c r="I420" i="24"/>
  <c r="I421" i="24"/>
  <c r="I422" i="24"/>
  <c r="I423" i="24"/>
  <c r="I424" i="24"/>
  <c r="I425" i="24"/>
  <c r="I426" i="24"/>
  <c r="I427" i="24"/>
  <c r="I428" i="24"/>
  <c r="I429" i="24"/>
  <c r="I430" i="24"/>
  <c r="I431" i="24"/>
  <c r="I432" i="24"/>
  <c r="I433" i="24"/>
  <c r="I434" i="24"/>
  <c r="I435" i="24"/>
  <c r="I436" i="24"/>
  <c r="I437" i="24"/>
  <c r="I438" i="24"/>
  <c r="I439" i="24"/>
  <c r="I440" i="24"/>
  <c r="I441" i="24"/>
  <c r="I442" i="24"/>
  <c r="I443" i="24"/>
  <c r="I444" i="24"/>
  <c r="I445" i="24"/>
  <c r="I446" i="24"/>
  <c r="I447" i="24"/>
  <c r="I448" i="24"/>
  <c r="I449" i="24"/>
  <c r="I450" i="24"/>
  <c r="I451" i="24"/>
  <c r="I452" i="24"/>
  <c r="I453" i="24"/>
  <c r="I454" i="24"/>
  <c r="I455" i="24"/>
  <c r="I456" i="24"/>
  <c r="I457" i="24"/>
  <c r="I458" i="24"/>
  <c r="I459" i="24"/>
  <c r="I460" i="24"/>
  <c r="I461" i="24"/>
  <c r="I462" i="24"/>
  <c r="I463" i="24"/>
  <c r="I464" i="24"/>
  <c r="I465" i="24"/>
  <c r="I466" i="24"/>
  <c r="I467" i="24"/>
  <c r="I468" i="24"/>
  <c r="I469" i="24"/>
  <c r="I470" i="24"/>
  <c r="I471" i="24"/>
  <c r="I472" i="24"/>
  <c r="I473" i="24"/>
  <c r="I474" i="24"/>
  <c r="I475" i="24"/>
  <c r="I476" i="24"/>
  <c r="I477" i="24"/>
  <c r="I478" i="24"/>
  <c r="I479" i="24"/>
  <c r="I480" i="24"/>
  <c r="I481" i="24"/>
  <c r="I482" i="24"/>
  <c r="I483" i="24"/>
  <c r="I484" i="24"/>
  <c r="I485" i="24"/>
  <c r="I486" i="24"/>
  <c r="I487" i="24"/>
  <c r="I488" i="24"/>
  <c r="I489" i="24"/>
  <c r="I490" i="24"/>
  <c r="I491" i="24"/>
  <c r="I492" i="24"/>
  <c r="I493" i="24"/>
  <c r="I494" i="24"/>
  <c r="I495" i="24"/>
  <c r="I496" i="24"/>
  <c r="I497" i="24"/>
  <c r="I498" i="24"/>
  <c r="I499" i="24"/>
  <c r="I500" i="24"/>
  <c r="I501" i="24"/>
  <c r="I502" i="24"/>
  <c r="I503" i="24"/>
  <c r="I504" i="24"/>
  <c r="I505" i="24"/>
  <c r="I506" i="24"/>
  <c r="I507" i="24"/>
  <c r="I508" i="24"/>
  <c r="I509" i="24"/>
  <c r="I510" i="24"/>
  <c r="I511" i="24"/>
  <c r="I512" i="24"/>
  <c r="I513" i="24"/>
  <c r="I514" i="24"/>
  <c r="I515" i="24"/>
  <c r="I516" i="24"/>
  <c r="I517" i="24"/>
  <c r="I518" i="24"/>
  <c r="I519" i="24"/>
  <c r="I520" i="24"/>
  <c r="I521" i="24"/>
  <c r="I522" i="24"/>
  <c r="I523" i="24"/>
  <c r="I524" i="24"/>
  <c r="I525" i="24"/>
  <c r="I526" i="24"/>
  <c r="I527" i="24"/>
  <c r="I528" i="24"/>
  <c r="I529" i="24"/>
  <c r="I530" i="24"/>
  <c r="I531" i="24"/>
  <c r="I532" i="24"/>
  <c r="I533" i="24"/>
  <c r="I534" i="24"/>
  <c r="I535" i="24"/>
  <c r="I536" i="24"/>
  <c r="I537" i="24"/>
  <c r="I538" i="24"/>
  <c r="I539" i="24"/>
  <c r="I540" i="24"/>
  <c r="I541" i="24"/>
  <c r="I542" i="24"/>
  <c r="I543" i="24"/>
  <c r="I544" i="24"/>
  <c r="I545" i="24"/>
  <c r="I546" i="24"/>
  <c r="I547" i="24"/>
  <c r="I548" i="24"/>
  <c r="I549" i="24"/>
  <c r="I550" i="24"/>
  <c r="I551" i="24"/>
  <c r="I552" i="24"/>
  <c r="I553" i="24"/>
  <c r="I554" i="24"/>
  <c r="I555" i="24"/>
  <c r="I556" i="24"/>
  <c r="I557" i="24"/>
  <c r="I558" i="24"/>
  <c r="I559" i="24"/>
  <c r="I560" i="24"/>
  <c r="I561" i="24"/>
  <c r="I562" i="24"/>
  <c r="I563" i="24"/>
  <c r="I564" i="24"/>
  <c r="I565" i="24"/>
  <c r="I566" i="24"/>
  <c r="I567" i="24"/>
  <c r="I568" i="24"/>
  <c r="I569" i="24"/>
  <c r="I570" i="24"/>
  <c r="I571" i="24"/>
  <c r="I572" i="24"/>
  <c r="I573" i="24"/>
  <c r="I574" i="24"/>
  <c r="I575" i="24"/>
  <c r="I576" i="24"/>
  <c r="I577" i="24"/>
  <c r="I578" i="24"/>
  <c r="I579" i="24"/>
  <c r="I580" i="24"/>
  <c r="I581" i="24"/>
  <c r="I582" i="24"/>
  <c r="I583" i="24"/>
  <c r="I584" i="24"/>
  <c r="I585" i="24"/>
  <c r="I586" i="24"/>
  <c r="I587" i="24"/>
  <c r="I588" i="24"/>
  <c r="I589" i="24"/>
  <c r="I590" i="24"/>
  <c r="I591" i="24"/>
  <c r="I592" i="24"/>
  <c r="I593" i="24"/>
  <c r="I594" i="24"/>
  <c r="I595" i="24"/>
  <c r="I596" i="24"/>
  <c r="I597" i="24"/>
  <c r="I598" i="24"/>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W5" i="24"/>
  <c r="W6" i="24"/>
  <c r="W7" i="24"/>
  <c r="W8" i="24"/>
  <c r="W9" i="24"/>
  <c r="W10" i="24"/>
  <c r="W11" i="24"/>
  <c r="W12" i="24"/>
  <c r="W13" i="24"/>
  <c r="W14" i="24"/>
  <c r="W15" i="24"/>
  <c r="W16" i="24"/>
  <c r="W17" i="24"/>
  <c r="W18" i="24"/>
  <c r="W19" i="24"/>
  <c r="W20" i="24"/>
  <c r="W21" i="24"/>
  <c r="W22" i="24"/>
  <c r="W23" i="24"/>
  <c r="W24" i="24"/>
  <c r="W25" i="24"/>
  <c r="W26" i="24"/>
  <c r="W27" i="24"/>
  <c r="W28" i="24"/>
  <c r="W29" i="24"/>
  <c r="W30" i="24"/>
  <c r="W31" i="24"/>
  <c r="W32" i="24"/>
  <c r="W33" i="24"/>
  <c r="W34" i="24"/>
  <c r="W35" i="24"/>
  <c r="W36" i="24"/>
  <c r="W37" i="24"/>
  <c r="W38" i="24"/>
  <c r="W39" i="24"/>
  <c r="W40" i="24"/>
  <c r="W41" i="24"/>
  <c r="W42" i="24"/>
  <c r="W43" i="24"/>
  <c r="W44" i="24"/>
  <c r="W45" i="24"/>
  <c r="W46" i="24"/>
  <c r="W47" i="24"/>
  <c r="W48" i="24"/>
  <c r="W49" i="24"/>
  <c r="W50" i="24"/>
  <c r="W51" i="24"/>
  <c r="W52" i="24"/>
  <c r="W53" i="24"/>
  <c r="W54" i="24"/>
  <c r="W55" i="24"/>
  <c r="W56" i="24"/>
  <c r="W57" i="24"/>
  <c r="W58" i="24"/>
  <c r="W59" i="24"/>
  <c r="W60" i="24"/>
  <c r="W61" i="24"/>
  <c r="W62" i="24"/>
  <c r="W63" i="24"/>
  <c r="W64" i="24"/>
  <c r="W65" i="24"/>
  <c r="W66" i="24"/>
  <c r="W67" i="24"/>
  <c r="W68" i="24"/>
  <c r="W69" i="24"/>
  <c r="W70" i="24"/>
  <c r="W71" i="24"/>
  <c r="W72" i="24"/>
  <c r="W73" i="24"/>
  <c r="W74" i="24"/>
  <c r="W75" i="24"/>
  <c r="W76" i="24"/>
  <c r="W77" i="24"/>
  <c r="W78" i="24"/>
  <c r="W79" i="24"/>
  <c r="W80" i="24"/>
  <c r="W81" i="24"/>
  <c r="W82" i="24"/>
  <c r="W83" i="24"/>
  <c r="W84" i="24"/>
  <c r="W85" i="24"/>
  <c r="W86" i="24"/>
  <c r="W87" i="24"/>
  <c r="W88" i="24"/>
  <c r="W89" i="24"/>
  <c r="W90" i="24"/>
  <c r="W91" i="24"/>
  <c r="W92" i="24"/>
  <c r="W93" i="24"/>
  <c r="W94" i="24"/>
  <c r="W95" i="24"/>
  <c r="W96" i="24"/>
  <c r="W97" i="24"/>
  <c r="W98" i="24"/>
  <c r="W99" i="24"/>
  <c r="W100" i="24"/>
  <c r="W101" i="24"/>
  <c r="W102" i="24"/>
  <c r="W103" i="24"/>
  <c r="W104" i="24"/>
  <c r="W105" i="24"/>
  <c r="W106" i="24"/>
  <c r="W107" i="24"/>
  <c r="W108" i="24"/>
  <c r="W109" i="24"/>
  <c r="W110" i="24"/>
  <c r="W111" i="24"/>
  <c r="W112" i="24"/>
  <c r="W113" i="24"/>
  <c r="W114" i="24"/>
  <c r="W115" i="24"/>
  <c r="W116" i="24"/>
  <c r="W117" i="24"/>
  <c r="W118" i="24"/>
  <c r="W119" i="24"/>
  <c r="W120" i="24"/>
  <c r="W121" i="24"/>
  <c r="W122" i="24"/>
  <c r="W123" i="24"/>
  <c r="W124" i="24"/>
  <c r="W125" i="24"/>
  <c r="W126" i="24"/>
  <c r="W127" i="24"/>
  <c r="W128" i="24"/>
  <c r="W129" i="24"/>
  <c r="W130" i="24"/>
  <c r="W131" i="24"/>
  <c r="W132" i="24"/>
  <c r="W133" i="24"/>
  <c r="W134" i="24"/>
  <c r="W135" i="24"/>
  <c r="W136" i="24"/>
  <c r="W137" i="24"/>
  <c r="W138" i="24"/>
  <c r="W139" i="24"/>
  <c r="W140" i="24"/>
  <c r="W141" i="24"/>
  <c r="W142" i="24"/>
  <c r="W143" i="24"/>
  <c r="W144" i="24"/>
  <c r="W145" i="24"/>
  <c r="W146" i="24"/>
  <c r="W147" i="24"/>
  <c r="W148" i="24"/>
  <c r="W149" i="24"/>
  <c r="W150" i="24"/>
  <c r="W151" i="24"/>
  <c r="W152" i="24"/>
  <c r="W153" i="24"/>
  <c r="W154" i="24"/>
  <c r="W155" i="24"/>
  <c r="W156" i="24"/>
  <c r="W157" i="24"/>
  <c r="W158" i="24"/>
  <c r="W159" i="24"/>
  <c r="W160" i="24"/>
  <c r="W161" i="24"/>
  <c r="W162" i="24"/>
  <c r="W163" i="24"/>
  <c r="W164" i="24"/>
  <c r="W165" i="24"/>
  <c r="W166" i="24"/>
  <c r="W167" i="24"/>
  <c r="W168" i="24"/>
  <c r="W169" i="24"/>
  <c r="W170" i="24"/>
  <c r="W171" i="24"/>
  <c r="W172" i="24"/>
  <c r="W173" i="24"/>
  <c r="W174" i="24"/>
  <c r="W175" i="24"/>
  <c r="W176" i="24"/>
  <c r="W177" i="24"/>
  <c r="W178" i="24"/>
  <c r="W179" i="24"/>
  <c r="W180" i="24"/>
  <c r="W181" i="24"/>
  <c r="W182" i="24"/>
  <c r="W183" i="24"/>
  <c r="W184" i="24"/>
  <c r="W185" i="24"/>
  <c r="W186" i="24"/>
  <c r="W187" i="24"/>
  <c r="W188" i="24"/>
  <c r="W189" i="24"/>
  <c r="W190" i="24"/>
  <c r="W191" i="24"/>
  <c r="W192" i="24"/>
  <c r="W193" i="24"/>
  <c r="W194" i="24"/>
  <c r="W195" i="24"/>
  <c r="W196" i="24"/>
  <c r="W197" i="24"/>
  <c r="W198" i="24"/>
  <c r="W199" i="24"/>
  <c r="W200" i="24"/>
  <c r="W201" i="24"/>
  <c r="W202" i="24"/>
  <c r="W203" i="24"/>
  <c r="W204" i="24"/>
  <c r="W205" i="24"/>
  <c r="W206" i="24"/>
  <c r="W207" i="24"/>
  <c r="W208" i="24"/>
  <c r="W209" i="24"/>
  <c r="W210" i="24"/>
  <c r="W211" i="24"/>
  <c r="W212" i="24"/>
  <c r="W213" i="24"/>
  <c r="W214" i="24"/>
  <c r="W215" i="24"/>
  <c r="W216" i="24"/>
  <c r="W217" i="24"/>
  <c r="W218" i="24"/>
  <c r="W219" i="24"/>
  <c r="W220" i="24"/>
  <c r="W221" i="24"/>
  <c r="W222" i="24"/>
  <c r="W223" i="24"/>
  <c r="W224" i="24"/>
  <c r="W225" i="24"/>
  <c r="W226" i="24"/>
  <c r="W227" i="24"/>
  <c r="W228" i="24"/>
  <c r="W229" i="24"/>
  <c r="W230" i="24"/>
  <c r="W231" i="24"/>
  <c r="W232" i="24"/>
  <c r="W233" i="24"/>
  <c r="W234" i="24"/>
  <c r="W235" i="24"/>
  <c r="W236" i="24"/>
  <c r="W237" i="24"/>
  <c r="W238" i="24"/>
  <c r="W239" i="24"/>
  <c r="W240" i="24"/>
  <c r="W241" i="24"/>
  <c r="W242" i="24"/>
  <c r="W243" i="24"/>
  <c r="W244" i="24"/>
  <c r="W245" i="24"/>
  <c r="W246" i="24"/>
  <c r="W247" i="24"/>
  <c r="W248" i="24"/>
  <c r="W249" i="24"/>
  <c r="W250" i="24"/>
  <c r="W251" i="24"/>
  <c r="W252" i="24"/>
  <c r="W253" i="24"/>
  <c r="W254" i="24"/>
  <c r="W255" i="24"/>
  <c r="W256" i="24"/>
  <c r="W257" i="24"/>
  <c r="W258" i="24"/>
  <c r="W259" i="24"/>
  <c r="W260" i="24"/>
  <c r="W261" i="24"/>
  <c r="W262" i="24"/>
  <c r="W263" i="24"/>
  <c r="W264" i="24"/>
  <c r="W265" i="24"/>
  <c r="W266" i="24"/>
  <c r="W267" i="24"/>
  <c r="W268" i="24"/>
  <c r="W269" i="24"/>
  <c r="W270" i="24"/>
  <c r="W271" i="24"/>
  <c r="W272" i="24"/>
  <c r="W273" i="24"/>
  <c r="W274" i="24"/>
  <c r="W275" i="24"/>
  <c r="W276" i="24"/>
  <c r="W277" i="24"/>
  <c r="W278" i="24"/>
  <c r="W279" i="24"/>
  <c r="W280" i="24"/>
  <c r="W281" i="24"/>
  <c r="W282" i="24"/>
  <c r="W283" i="24"/>
  <c r="W284" i="24"/>
  <c r="W285" i="24"/>
  <c r="W286" i="24"/>
  <c r="W287" i="24"/>
  <c r="W288" i="24"/>
  <c r="W289" i="24"/>
  <c r="W290" i="24"/>
  <c r="W291" i="24"/>
  <c r="W292" i="24"/>
  <c r="W293" i="24"/>
  <c r="W294" i="24"/>
  <c r="W295" i="24"/>
  <c r="W296" i="24"/>
  <c r="W297" i="24"/>
  <c r="W298" i="24"/>
  <c r="W299" i="24"/>
  <c r="W300" i="24"/>
  <c r="W301" i="24"/>
  <c r="W302" i="24"/>
  <c r="W303" i="24"/>
  <c r="W304" i="24"/>
  <c r="W305" i="24"/>
  <c r="W306" i="24"/>
  <c r="W307" i="24"/>
  <c r="W308" i="24"/>
  <c r="W309" i="24"/>
  <c r="W310" i="24"/>
  <c r="W311" i="24"/>
  <c r="W312" i="24"/>
  <c r="W313" i="24"/>
  <c r="W314" i="24"/>
  <c r="W315" i="24"/>
  <c r="W316" i="24"/>
  <c r="W317" i="24"/>
  <c r="W318" i="24"/>
  <c r="W319" i="24"/>
  <c r="W320" i="24"/>
  <c r="W321" i="24"/>
  <c r="W322" i="24"/>
  <c r="W323" i="24"/>
  <c r="W324" i="24"/>
  <c r="W325" i="24"/>
  <c r="W326" i="24"/>
  <c r="W327" i="24"/>
  <c r="W328" i="24"/>
  <c r="W329" i="24"/>
  <c r="W330" i="24"/>
  <c r="W331" i="24"/>
  <c r="W332" i="24"/>
  <c r="W333" i="24"/>
  <c r="W334" i="24"/>
  <c r="W335" i="24"/>
  <c r="W336" i="24"/>
  <c r="W337" i="24"/>
  <c r="W338" i="24"/>
  <c r="W339" i="24"/>
  <c r="W340" i="24"/>
  <c r="W341" i="24"/>
  <c r="W342" i="24"/>
  <c r="W343" i="24"/>
  <c r="W344" i="24"/>
  <c r="W345" i="24"/>
  <c r="W346" i="24"/>
  <c r="W347" i="24"/>
  <c r="W348" i="24"/>
  <c r="W349" i="24"/>
  <c r="W350" i="24"/>
  <c r="W351" i="24"/>
  <c r="W352" i="24"/>
  <c r="W353" i="24"/>
  <c r="W354" i="24"/>
  <c r="W355" i="24"/>
  <c r="W356" i="24"/>
  <c r="W357" i="24"/>
  <c r="W358" i="24"/>
  <c r="W359" i="24"/>
  <c r="W360" i="24"/>
  <c r="W361" i="24"/>
  <c r="W362" i="24"/>
  <c r="W363" i="24"/>
  <c r="W364" i="24"/>
  <c r="W365" i="24"/>
  <c r="W366" i="24"/>
  <c r="W367" i="24"/>
  <c r="W368" i="24"/>
  <c r="W369" i="24"/>
  <c r="W370" i="24"/>
  <c r="W371" i="24"/>
  <c r="W372" i="24"/>
  <c r="W373" i="24"/>
  <c r="W374" i="24"/>
  <c r="W375" i="24"/>
  <c r="W376" i="24"/>
  <c r="W377" i="24"/>
  <c r="W378" i="24"/>
  <c r="W379" i="24"/>
  <c r="W380" i="24"/>
  <c r="W381" i="24"/>
  <c r="W382" i="24"/>
  <c r="W383" i="24"/>
  <c r="W384" i="24"/>
  <c r="W385" i="24"/>
  <c r="W386" i="24"/>
  <c r="W387" i="24"/>
  <c r="W388" i="24"/>
  <c r="W389" i="24"/>
  <c r="W390" i="24"/>
  <c r="W391" i="24"/>
  <c r="W392" i="24"/>
  <c r="W393" i="24"/>
  <c r="W394" i="24"/>
  <c r="W395" i="24"/>
  <c r="W396" i="24"/>
  <c r="W397" i="24"/>
  <c r="W398" i="24"/>
  <c r="W399" i="24"/>
  <c r="W400" i="24"/>
  <c r="W401" i="24"/>
  <c r="W402" i="24"/>
  <c r="W403" i="24"/>
  <c r="W404" i="24"/>
  <c r="W405" i="24"/>
  <c r="W406" i="24"/>
  <c r="W407" i="24"/>
  <c r="W408" i="24"/>
  <c r="W409" i="24"/>
  <c r="W410" i="24"/>
  <c r="W411" i="24"/>
  <c r="W412" i="24"/>
  <c r="W413" i="24"/>
  <c r="W414" i="24"/>
  <c r="W415" i="24"/>
  <c r="W416" i="24"/>
  <c r="W417" i="24"/>
  <c r="W418" i="24"/>
  <c r="W419" i="24"/>
  <c r="W420" i="24"/>
  <c r="W421" i="24"/>
  <c r="W422" i="24"/>
  <c r="W423" i="24"/>
  <c r="W424" i="24"/>
  <c r="W425" i="24"/>
  <c r="W426" i="24"/>
  <c r="W427" i="24"/>
  <c r="W428" i="24"/>
  <c r="W429" i="24"/>
  <c r="W430" i="24"/>
  <c r="W431" i="24"/>
  <c r="W432" i="24"/>
  <c r="W433" i="24"/>
  <c r="W434" i="24"/>
  <c r="W435" i="24"/>
  <c r="W436" i="24"/>
  <c r="W437" i="24"/>
  <c r="W438" i="24"/>
  <c r="W439" i="24"/>
  <c r="W440" i="24"/>
  <c r="W441" i="24"/>
  <c r="W442" i="24"/>
  <c r="W443" i="24"/>
  <c r="W444" i="24"/>
  <c r="W445" i="24"/>
  <c r="W446" i="24"/>
  <c r="W447" i="24"/>
  <c r="W448" i="24"/>
  <c r="W449" i="24"/>
  <c r="W450" i="24"/>
  <c r="W451" i="24"/>
  <c r="W452" i="24"/>
  <c r="W453" i="24"/>
  <c r="W454" i="24"/>
  <c r="W455" i="24"/>
  <c r="W456" i="24"/>
  <c r="W457" i="24"/>
  <c r="W458" i="24"/>
  <c r="W459" i="24"/>
  <c r="W460" i="24"/>
  <c r="W461" i="24"/>
  <c r="W462" i="24"/>
  <c r="W463" i="24"/>
  <c r="W464" i="24"/>
  <c r="W465" i="24"/>
  <c r="W466" i="24"/>
  <c r="W467" i="24"/>
  <c r="W468" i="24"/>
  <c r="W469" i="24"/>
  <c r="W470" i="24"/>
  <c r="W471" i="24"/>
  <c r="W472" i="24"/>
  <c r="W473" i="24"/>
  <c r="W474" i="24"/>
  <c r="W475" i="24"/>
  <c r="W476" i="24"/>
  <c r="W477" i="24"/>
  <c r="W478" i="24"/>
  <c r="W479" i="24"/>
  <c r="W480" i="24"/>
  <c r="W481" i="24"/>
  <c r="W482" i="24"/>
  <c r="W483" i="24"/>
  <c r="W484" i="24"/>
  <c r="W485" i="24"/>
  <c r="W486" i="24"/>
  <c r="W487" i="24"/>
  <c r="W488" i="24"/>
  <c r="W489" i="24"/>
  <c r="W490" i="24"/>
  <c r="W491" i="24"/>
  <c r="W492" i="24"/>
  <c r="W493" i="24"/>
  <c r="W494" i="24"/>
  <c r="W495" i="24"/>
  <c r="W496" i="24"/>
  <c r="W497" i="24"/>
  <c r="W498" i="24"/>
  <c r="W499" i="24"/>
  <c r="W500" i="24"/>
  <c r="W501" i="24"/>
  <c r="W502" i="24"/>
  <c r="W503" i="24"/>
  <c r="W504" i="24"/>
  <c r="W505" i="24"/>
  <c r="W506" i="24"/>
  <c r="W507" i="24"/>
  <c r="W508" i="24"/>
  <c r="W509" i="24"/>
  <c r="W510" i="24"/>
  <c r="W511" i="24"/>
  <c r="W512" i="24"/>
  <c r="W513" i="24"/>
  <c r="W514" i="24"/>
  <c r="W515" i="24"/>
  <c r="W516" i="24"/>
  <c r="W517" i="24"/>
  <c r="W518" i="24"/>
  <c r="W519" i="24"/>
  <c r="W520" i="24"/>
  <c r="W521" i="24"/>
  <c r="W522" i="24"/>
  <c r="W523" i="24"/>
  <c r="W524" i="24"/>
  <c r="W525" i="24"/>
  <c r="W526" i="24"/>
  <c r="W527" i="24"/>
  <c r="W528" i="24"/>
  <c r="W529" i="24"/>
  <c r="W530" i="24"/>
  <c r="W531" i="24"/>
  <c r="W532" i="24"/>
  <c r="W533" i="24"/>
  <c r="W534" i="24"/>
  <c r="W535" i="24"/>
  <c r="W536" i="24"/>
  <c r="W537" i="24"/>
  <c r="W538" i="24"/>
  <c r="W539" i="24"/>
  <c r="W540" i="24"/>
  <c r="W541" i="24"/>
  <c r="W542" i="24"/>
  <c r="W543" i="24"/>
  <c r="W544" i="24"/>
  <c r="W545" i="24"/>
  <c r="W546" i="24"/>
  <c r="W547" i="24"/>
  <c r="W548" i="24"/>
  <c r="W549" i="24"/>
  <c r="W550" i="24"/>
  <c r="W551" i="24"/>
  <c r="W552" i="24"/>
  <c r="W553" i="24"/>
  <c r="W554" i="24"/>
  <c r="W555" i="24"/>
  <c r="W556" i="24"/>
  <c r="W557" i="24"/>
  <c r="W558" i="24"/>
  <c r="W559" i="24"/>
  <c r="W560" i="24"/>
  <c r="W561" i="24"/>
  <c r="W562" i="24"/>
  <c r="W563" i="24"/>
  <c r="W564" i="24"/>
  <c r="W565" i="24"/>
  <c r="W566" i="24"/>
  <c r="W567" i="24"/>
  <c r="W568" i="24"/>
  <c r="W569" i="24"/>
  <c r="W570" i="24"/>
  <c r="W571" i="24"/>
  <c r="W572" i="24"/>
  <c r="W573" i="24"/>
  <c r="W574" i="24"/>
  <c r="W575" i="24"/>
  <c r="W576" i="24"/>
  <c r="W577" i="24"/>
  <c r="W578" i="24"/>
  <c r="W579" i="24"/>
  <c r="W580" i="24"/>
  <c r="W581" i="24"/>
  <c r="W582" i="24"/>
  <c r="W583" i="24"/>
  <c r="W584" i="24"/>
  <c r="W585" i="24"/>
  <c r="W586" i="24"/>
  <c r="W587" i="24"/>
  <c r="W588" i="24"/>
  <c r="W589" i="24"/>
  <c r="W590" i="24"/>
  <c r="W591" i="24"/>
  <c r="W592" i="24"/>
  <c r="W593" i="24"/>
  <c r="W594" i="24"/>
  <c r="W595" i="24"/>
  <c r="W596" i="24"/>
  <c r="W597" i="24"/>
  <c r="W598" i="24"/>
  <c r="E82" i="2" a="1"/>
  <c r="E82" i="2" s="1"/>
  <c r="F82" i="2" s="1"/>
  <c r="H82" i="2"/>
  <c r="I82" i="2"/>
  <c r="P82" i="2"/>
  <c r="Q82" i="2"/>
  <c r="C82" i="2"/>
  <c r="C81" i="2"/>
  <c r="E81" i="2" a="1"/>
  <c r="E81" i="2" s="1"/>
  <c r="F81" i="2" s="1"/>
  <c r="H81" i="2"/>
  <c r="I81" i="2"/>
  <c r="P81" i="2"/>
  <c r="Q81" i="2"/>
  <c r="S598" i="24"/>
  <c r="T598" i="24"/>
  <c r="S597" i="24"/>
  <c r="T597" i="24"/>
  <c r="S596" i="24"/>
  <c r="T596" i="24"/>
  <c r="T595" i="24"/>
  <c r="S595" i="24"/>
  <c r="S594" i="24"/>
  <c r="T594" i="24"/>
  <c r="C80" i="2"/>
  <c r="E80" i="2" a="1"/>
  <c r="E80" i="2" s="1"/>
  <c r="F80" i="2" s="1"/>
  <c r="H80" i="2"/>
  <c r="I80" i="2"/>
  <c r="P80" i="2"/>
  <c r="Q80" i="2"/>
  <c r="S593" i="24"/>
  <c r="T593" i="24"/>
  <c r="C79" i="2"/>
  <c r="E79" i="2" a="1"/>
  <c r="E79" i="2" s="1"/>
  <c r="F79" i="2" s="1"/>
  <c r="H79" i="2"/>
  <c r="Q79" i="2"/>
  <c r="E136" i="14"/>
  <c r="I78" i="2" s="1"/>
  <c r="E78" i="2" a="1"/>
  <c r="E78" i="2" s="1"/>
  <c r="F78" i="2" s="1"/>
  <c r="H78" i="2"/>
  <c r="Q78" i="2"/>
  <c r="C78" i="2"/>
  <c r="E135" i="14"/>
  <c r="I77" i="2" s="1"/>
  <c r="E77" i="2" a="1"/>
  <c r="E77" i="2" s="1"/>
  <c r="F77" i="2" s="1"/>
  <c r="H77" i="2"/>
  <c r="Q77" i="2"/>
  <c r="C77" i="2"/>
  <c r="C76" i="2"/>
  <c r="E76" i="2" a="1"/>
  <c r="E76" i="2" s="1"/>
  <c r="F76" i="2" s="1"/>
  <c r="H76" i="2"/>
  <c r="I76" i="2"/>
  <c r="P76" i="2"/>
  <c r="Q76" i="2"/>
  <c r="C75" i="2"/>
  <c r="E75" i="2" a="1"/>
  <c r="E75" i="2" s="1"/>
  <c r="F75" i="2" s="1"/>
  <c r="H75" i="2"/>
  <c r="I75" i="2"/>
  <c r="P75" i="2"/>
  <c r="Q75" i="2"/>
  <c r="S592" i="24"/>
  <c r="T592" i="24"/>
  <c r="S591" i="24"/>
  <c r="T591" i="24"/>
  <c r="S587" i="24"/>
  <c r="S588" i="24"/>
  <c r="S589" i="24"/>
  <c r="S590" i="24"/>
  <c r="T587" i="24"/>
  <c r="T588" i="24"/>
  <c r="T589" i="24"/>
  <c r="T590" i="24"/>
  <c r="S586" i="24"/>
  <c r="T586" i="24"/>
  <c r="S582" i="24"/>
  <c r="S583" i="24"/>
  <c r="S584" i="24"/>
  <c r="S585" i="24"/>
  <c r="T582" i="24"/>
  <c r="T583" i="24"/>
  <c r="T584" i="24"/>
  <c r="T585" i="24"/>
  <c r="S571" i="24"/>
  <c r="S572" i="24"/>
  <c r="S573" i="24"/>
  <c r="S574" i="24"/>
  <c r="S575" i="24"/>
  <c r="S576" i="24"/>
  <c r="S577" i="24"/>
  <c r="S578" i="24"/>
  <c r="S579" i="24"/>
  <c r="S580" i="24"/>
  <c r="S581" i="24"/>
  <c r="T571" i="24"/>
  <c r="T572" i="24"/>
  <c r="T573" i="24"/>
  <c r="T574" i="24"/>
  <c r="T575" i="24"/>
  <c r="T576" i="24"/>
  <c r="T577" i="24"/>
  <c r="T578" i="24"/>
  <c r="T579" i="24"/>
  <c r="T580" i="24"/>
  <c r="T581" i="24"/>
  <c r="S570" i="24"/>
  <c r="T570" i="24"/>
  <c r="E134" i="14"/>
  <c r="G585" i="24" s="1"/>
  <c r="E133" i="14"/>
  <c r="I73" i="2" s="1"/>
  <c r="I133" i="14"/>
  <c r="I134" i="14" s="1"/>
  <c r="P74" i="2" s="1"/>
  <c r="C74" i="2"/>
  <c r="E74" i="2" a="1"/>
  <c r="E74" i="2" s="1"/>
  <c r="F74" i="2" s="1"/>
  <c r="H74" i="2"/>
  <c r="Q74" i="2"/>
  <c r="C73" i="2"/>
  <c r="E73" i="2" a="1"/>
  <c r="E73" i="2" s="1"/>
  <c r="F73" i="2" s="1"/>
  <c r="H73" i="2"/>
  <c r="P73" i="2"/>
  <c r="Q73" i="2"/>
  <c r="C72" i="2"/>
  <c r="E72" i="2" a="1"/>
  <c r="E72" i="2" s="1"/>
  <c r="F72" i="2" s="1"/>
  <c r="H72" i="2"/>
  <c r="I72" i="2"/>
  <c r="P72" i="2"/>
  <c r="Q72" i="2"/>
  <c r="S569" i="24"/>
  <c r="T569" i="24"/>
  <c r="C71" i="2"/>
  <c r="E71" i="2" a="1"/>
  <c r="E71" i="2" s="1"/>
  <c r="F71" i="2" s="1"/>
  <c r="H71" i="2"/>
  <c r="Q71" i="2"/>
  <c r="C70" i="2"/>
  <c r="E70" i="2" a="1"/>
  <c r="E70" i="2" s="1"/>
  <c r="F70" i="2" s="1"/>
  <c r="H70" i="2"/>
  <c r="Q70" i="2"/>
  <c r="Q69" i="2"/>
  <c r="H69" i="2"/>
  <c r="E69" i="2" a="1"/>
  <c r="E69" i="2" s="1"/>
  <c r="F69" i="2" s="1"/>
  <c r="C69" i="2"/>
  <c r="E132" i="14"/>
  <c r="I69" i="2" s="1"/>
  <c r="I132" i="14"/>
  <c r="P69" i="2" s="1"/>
  <c r="I131" i="14"/>
  <c r="P70" i="2" s="1"/>
  <c r="E131" i="14"/>
  <c r="I70" i="2" s="1"/>
  <c r="C68" i="2"/>
  <c r="E68" i="2" a="1"/>
  <c r="E68" i="2" s="1"/>
  <c r="F68" i="2" s="1"/>
  <c r="H68" i="2"/>
  <c r="Q68" i="2"/>
  <c r="S565" i="24"/>
  <c r="S566" i="24"/>
  <c r="S567" i="24"/>
  <c r="S568" i="24"/>
  <c r="T565" i="24"/>
  <c r="T566" i="24"/>
  <c r="T567" i="24"/>
  <c r="T568" i="24"/>
  <c r="S564" i="24"/>
  <c r="T564" i="24"/>
  <c r="S563" i="24"/>
  <c r="T563" i="24"/>
  <c r="S562" i="24"/>
  <c r="T562" i="24"/>
  <c r="S561" i="24"/>
  <c r="T561" i="24"/>
  <c r="S560" i="24"/>
  <c r="T560" i="24"/>
  <c r="S559" i="24"/>
  <c r="T559" i="24"/>
  <c r="S558" i="24"/>
  <c r="T558" i="24"/>
  <c r="S557" i="24"/>
  <c r="T557" i="24"/>
  <c r="S554" i="24"/>
  <c r="S555" i="24"/>
  <c r="S556" i="24"/>
  <c r="T554" i="24"/>
  <c r="T555" i="24"/>
  <c r="T556" i="24"/>
  <c r="S545" i="24"/>
  <c r="S546" i="24"/>
  <c r="S547" i="24"/>
  <c r="S548" i="24"/>
  <c r="S549" i="24"/>
  <c r="S550" i="24"/>
  <c r="S551" i="24"/>
  <c r="S552" i="24"/>
  <c r="S553" i="24"/>
  <c r="T545" i="24"/>
  <c r="T546" i="24"/>
  <c r="T547" i="24"/>
  <c r="T548" i="24"/>
  <c r="T549" i="24"/>
  <c r="T550" i="24"/>
  <c r="T551" i="24"/>
  <c r="T552" i="24"/>
  <c r="T553" i="24"/>
  <c r="S544" i="24"/>
  <c r="T544" i="24"/>
  <c r="Q67" i="2"/>
  <c r="H67" i="2"/>
  <c r="E67" i="2" a="1"/>
  <c r="E67" i="2" s="1"/>
  <c r="F67" i="2" s="1"/>
  <c r="C67" i="2"/>
  <c r="E130" i="14"/>
  <c r="I68" i="2" s="1"/>
  <c r="S426" i="24"/>
  <c r="T426" i="24"/>
  <c r="Q66" i="2"/>
  <c r="H66" i="2"/>
  <c r="E66" i="2" a="1"/>
  <c r="E66" i="2" s="1"/>
  <c r="F66" i="2" s="1"/>
  <c r="C66" i="2"/>
  <c r="C65" i="2"/>
  <c r="E65" i="2" a="1"/>
  <c r="E65" i="2" s="1"/>
  <c r="F65" i="2" s="1"/>
  <c r="H65" i="2"/>
  <c r="Q65" i="2"/>
  <c r="E129" i="14"/>
  <c r="I64" i="2" s="1"/>
  <c r="I128" i="14"/>
  <c r="I129" i="14" s="1"/>
  <c r="P64" i="2" s="1"/>
  <c r="E128" i="14"/>
  <c r="E127" i="14"/>
  <c r="I127" i="14"/>
  <c r="C64" i="2"/>
  <c r="E64" i="2" a="1"/>
  <c r="E64" i="2" s="1"/>
  <c r="F64" i="2" s="1"/>
  <c r="H64" i="2"/>
  <c r="Q64" i="2"/>
  <c r="AC58" i="12"/>
  <c r="S538" i="24"/>
  <c r="S539" i="24"/>
  <c r="S540" i="24"/>
  <c r="S541" i="24"/>
  <c r="S542" i="24"/>
  <c r="S543" i="24"/>
  <c r="T538" i="24"/>
  <c r="T539" i="24"/>
  <c r="T540" i="24"/>
  <c r="T541" i="24"/>
  <c r="T542" i="24"/>
  <c r="T543" i="24"/>
  <c r="S532" i="24"/>
  <c r="S533" i="24"/>
  <c r="S534" i="24"/>
  <c r="S535" i="24"/>
  <c r="S536" i="24"/>
  <c r="S537" i="24"/>
  <c r="T532" i="24"/>
  <c r="T533" i="24"/>
  <c r="T534" i="24"/>
  <c r="T535" i="24"/>
  <c r="T536" i="24"/>
  <c r="T537" i="24"/>
  <c r="S519" i="24"/>
  <c r="S520" i="24"/>
  <c r="S521" i="24"/>
  <c r="S522" i="24"/>
  <c r="S523" i="24"/>
  <c r="S524" i="24"/>
  <c r="S525" i="24"/>
  <c r="S526" i="24"/>
  <c r="S527" i="24"/>
  <c r="S528" i="24"/>
  <c r="S529" i="24"/>
  <c r="S530" i="24"/>
  <c r="S531" i="24"/>
  <c r="T519" i="24"/>
  <c r="T520" i="24"/>
  <c r="T521" i="24"/>
  <c r="T522" i="24"/>
  <c r="T523" i="24"/>
  <c r="T524" i="24"/>
  <c r="T525" i="24"/>
  <c r="T526" i="24"/>
  <c r="T527" i="24"/>
  <c r="T528" i="24"/>
  <c r="T529" i="24"/>
  <c r="T530" i="24"/>
  <c r="T531" i="24"/>
  <c r="S518" i="24"/>
  <c r="T518" i="24"/>
  <c r="C63" i="2"/>
  <c r="E63" i="2" a="1"/>
  <c r="E63" i="2" s="1"/>
  <c r="F63" i="2" s="1"/>
  <c r="H63" i="2"/>
  <c r="Q63" i="2"/>
  <c r="E126" i="14"/>
  <c r="G527" i="24" s="1"/>
  <c r="S499" i="24"/>
  <c r="T499" i="24"/>
  <c r="S498" i="24"/>
  <c r="T498" i="24"/>
  <c r="S496" i="24"/>
  <c r="T496" i="24"/>
  <c r="S495" i="24"/>
  <c r="T495" i="24"/>
  <c r="S494" i="24"/>
  <c r="T494" i="24"/>
  <c r="S493" i="24"/>
  <c r="T493" i="24"/>
  <c r="S492" i="24"/>
  <c r="T492" i="24"/>
  <c r="S497" i="24"/>
  <c r="T497" i="24"/>
  <c r="S491" i="24"/>
  <c r="T491" i="24"/>
  <c r="S509" i="24"/>
  <c r="S510" i="24"/>
  <c r="S511" i="24"/>
  <c r="S512" i="24"/>
  <c r="S513" i="24"/>
  <c r="S514" i="24"/>
  <c r="S515" i="24"/>
  <c r="S516" i="24"/>
  <c r="S517" i="24"/>
  <c r="T509" i="24"/>
  <c r="T510" i="24"/>
  <c r="T511" i="24"/>
  <c r="T512" i="24"/>
  <c r="T513" i="24"/>
  <c r="T514" i="24"/>
  <c r="T515" i="24"/>
  <c r="T516" i="24"/>
  <c r="T517" i="24"/>
  <c r="S508" i="24"/>
  <c r="T508" i="24"/>
  <c r="S507" i="24"/>
  <c r="T507" i="24"/>
  <c r="S506" i="24"/>
  <c r="T506" i="24"/>
  <c r="S505" i="24"/>
  <c r="T505" i="24"/>
  <c r="S504" i="24"/>
  <c r="T504" i="24"/>
  <c r="S503" i="24"/>
  <c r="T503" i="24"/>
  <c r="S502" i="24"/>
  <c r="T502" i="24"/>
  <c r="S501" i="24"/>
  <c r="T501" i="24"/>
  <c r="S490" i="24"/>
  <c r="T490" i="24"/>
  <c r="S488" i="24"/>
  <c r="T488" i="24"/>
  <c r="S489" i="24"/>
  <c r="T489" i="24"/>
  <c r="S500" i="24"/>
  <c r="T500" i="24"/>
  <c r="S487" i="24"/>
  <c r="T487" i="24"/>
  <c r="S486" i="24"/>
  <c r="T486" i="24"/>
  <c r="S485" i="24"/>
  <c r="T485" i="24"/>
  <c r="S484" i="24"/>
  <c r="T484" i="24"/>
  <c r="S483" i="24"/>
  <c r="T483" i="24"/>
  <c r="S469" i="24"/>
  <c r="T469" i="24"/>
  <c r="S482" i="24"/>
  <c r="T482" i="24"/>
  <c r="S481" i="24"/>
  <c r="T481" i="24"/>
  <c r="S480" i="24"/>
  <c r="T480" i="24"/>
  <c r="S479" i="24"/>
  <c r="T479" i="24"/>
  <c r="S478" i="24"/>
  <c r="T478" i="24"/>
  <c r="S477" i="24"/>
  <c r="T477" i="24"/>
  <c r="S476" i="24"/>
  <c r="T476" i="24"/>
  <c r="S475" i="24"/>
  <c r="T475" i="24"/>
  <c r="S474" i="24"/>
  <c r="T474" i="24"/>
  <c r="S473" i="24"/>
  <c r="T473" i="24"/>
  <c r="S472" i="24"/>
  <c r="T472" i="24"/>
  <c r="S471" i="24"/>
  <c r="T471" i="24"/>
  <c r="S470" i="24"/>
  <c r="T470" i="24"/>
  <c r="S468" i="24"/>
  <c r="T468" i="24"/>
  <c r="E125" i="14"/>
  <c r="G510" i="24" s="1"/>
  <c r="E123" i="14"/>
  <c r="E124" i="14"/>
  <c r="G479" i="24" s="1"/>
  <c r="I123" i="14"/>
  <c r="I125" i="14" s="1"/>
  <c r="X505" i="24" s="1"/>
  <c r="E122" i="14"/>
  <c r="I122" i="14"/>
  <c r="E121" i="14"/>
  <c r="I121" i="14"/>
  <c r="S465" i="24"/>
  <c r="S466" i="24"/>
  <c r="S467" i="24"/>
  <c r="T465" i="24"/>
  <c r="T466" i="24"/>
  <c r="T467" i="24"/>
  <c r="S464" i="24"/>
  <c r="T464" i="24"/>
  <c r="C62" i="2"/>
  <c r="E62" i="2" a="1"/>
  <c r="E62" i="2" s="1"/>
  <c r="F62" i="2" s="1"/>
  <c r="H62" i="2"/>
  <c r="Q62" i="2"/>
  <c r="E120" i="14"/>
  <c r="E61" i="2" a="1"/>
  <c r="E61" i="2" s="1"/>
  <c r="F61" i="2" s="1"/>
  <c r="H61" i="2"/>
  <c r="Q61" i="2"/>
  <c r="C61" i="2"/>
  <c r="E60" i="2" a="1"/>
  <c r="E60" i="2" s="1"/>
  <c r="F60" i="2" s="1"/>
  <c r="H60" i="2"/>
  <c r="Q60" i="2"/>
  <c r="C60" i="2"/>
  <c r="C59" i="2"/>
  <c r="E59" i="2" a="1"/>
  <c r="E59" i="2" s="1"/>
  <c r="F59" i="2" s="1"/>
  <c r="H59" i="2"/>
  <c r="Q59" i="2"/>
  <c r="AC61" i="12"/>
  <c r="AC60" i="12"/>
  <c r="AC59" i="12"/>
  <c r="AC57" i="12"/>
  <c r="AC56" i="12"/>
  <c r="AC55" i="12"/>
  <c r="AC54" i="12"/>
  <c r="AC53" i="12"/>
  <c r="AC52" i="12"/>
  <c r="C58" i="2"/>
  <c r="E58" i="2" a="1"/>
  <c r="E58" i="2" s="1"/>
  <c r="F58" i="2" s="1"/>
  <c r="H58" i="2"/>
  <c r="Q58" i="2"/>
  <c r="S461" i="24"/>
  <c r="T461" i="24"/>
  <c r="S463" i="24"/>
  <c r="T463" i="24"/>
  <c r="S462" i="24"/>
  <c r="T462" i="24"/>
  <c r="S460" i="24"/>
  <c r="T460" i="24"/>
  <c r="S459" i="24"/>
  <c r="T459" i="24"/>
  <c r="S451" i="24"/>
  <c r="S452" i="24"/>
  <c r="S453" i="24"/>
  <c r="S454" i="24"/>
  <c r="S455" i="24"/>
  <c r="S456" i="24"/>
  <c r="S457" i="24"/>
  <c r="S458" i="24"/>
  <c r="T451" i="24"/>
  <c r="T452" i="24"/>
  <c r="T453" i="24"/>
  <c r="T454" i="24"/>
  <c r="T455" i="24"/>
  <c r="T456" i="24"/>
  <c r="T457" i="24"/>
  <c r="T458" i="24"/>
  <c r="S450" i="24"/>
  <c r="T450" i="24"/>
  <c r="C57" i="2"/>
  <c r="E57" i="2" a="1"/>
  <c r="E57" i="2" s="1"/>
  <c r="F57" i="2" s="1"/>
  <c r="H57" i="2"/>
  <c r="Q57" i="2"/>
  <c r="E56" i="2" a="1"/>
  <c r="E56" i="2" s="1"/>
  <c r="F56" i="2" s="1"/>
  <c r="H56" i="2"/>
  <c r="Q56" i="2"/>
  <c r="C56" i="2"/>
  <c r="E119" i="14"/>
  <c r="I56" i="2" s="1"/>
  <c r="S449" i="24"/>
  <c r="T449" i="24"/>
  <c r="S448" i="24"/>
  <c r="T448" i="24"/>
  <c r="S447" i="24"/>
  <c r="T447" i="24"/>
  <c r="S446" i="24"/>
  <c r="T446" i="24"/>
  <c r="S445" i="24"/>
  <c r="T445" i="24"/>
  <c r="S444" i="24"/>
  <c r="T444" i="24"/>
  <c r="S443" i="24"/>
  <c r="T443" i="24"/>
  <c r="S442" i="24"/>
  <c r="T442" i="24"/>
  <c r="S441" i="24"/>
  <c r="T441" i="24"/>
  <c r="C55" i="2"/>
  <c r="E55" i="2" a="1"/>
  <c r="E55" i="2" s="1"/>
  <c r="F55" i="2" s="1"/>
  <c r="H55" i="2"/>
  <c r="Q55" i="2"/>
  <c r="C54" i="2"/>
  <c r="T5" i="24"/>
  <c r="T6" i="24"/>
  <c r="T7" i="24"/>
  <c r="T8" i="24"/>
  <c r="T9" i="24"/>
  <c r="T10" i="24"/>
  <c r="T11" i="24"/>
  <c r="T12" i="24"/>
  <c r="T13" i="24"/>
  <c r="T14" i="24"/>
  <c r="T15" i="24"/>
  <c r="T16" i="24"/>
  <c r="T17" i="24"/>
  <c r="T18" i="24"/>
  <c r="T19" i="24"/>
  <c r="T20" i="24"/>
  <c r="T21" i="24"/>
  <c r="T22"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2" i="24"/>
  <c r="T63" i="24"/>
  <c r="T64" i="24"/>
  <c r="T65" i="24"/>
  <c r="T66" i="24"/>
  <c r="T67" i="24"/>
  <c r="T68" i="24"/>
  <c r="T69" i="24"/>
  <c r="T70" i="24"/>
  <c r="T71" i="24"/>
  <c r="T72" i="24"/>
  <c r="T73" i="24"/>
  <c r="T74" i="24"/>
  <c r="T75" i="24"/>
  <c r="T76" i="24"/>
  <c r="T77" i="24"/>
  <c r="T78" i="24"/>
  <c r="T79" i="24"/>
  <c r="T80" i="24"/>
  <c r="T81" i="24"/>
  <c r="T82" i="24"/>
  <c r="T83" i="24"/>
  <c r="T84" i="24"/>
  <c r="T85" i="24"/>
  <c r="T86" i="24"/>
  <c r="T87" i="24"/>
  <c r="T88" i="24"/>
  <c r="T89" i="24"/>
  <c r="T90" i="24"/>
  <c r="T91"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5"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59" i="24"/>
  <c r="T160" i="24"/>
  <c r="T161" i="24"/>
  <c r="T162" i="24"/>
  <c r="T163" i="24"/>
  <c r="T164" i="24"/>
  <c r="T165" i="24"/>
  <c r="T166" i="24"/>
  <c r="T167" i="24"/>
  <c r="T168" i="24"/>
  <c r="T169" i="24"/>
  <c r="T170" i="24"/>
  <c r="T171" i="24"/>
  <c r="T172" i="24"/>
  <c r="T173" i="24"/>
  <c r="T174" i="24"/>
  <c r="T175" i="24"/>
  <c r="T176" i="24"/>
  <c r="T177" i="24"/>
  <c r="T178"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1" i="24"/>
  <c r="T242" i="24"/>
  <c r="T243" i="24"/>
  <c r="T244" i="24"/>
  <c r="T245" i="24"/>
  <c r="T246" i="24"/>
  <c r="T247" i="24"/>
  <c r="T248" i="24"/>
  <c r="T249" i="24"/>
  <c r="T250" i="24"/>
  <c r="T251" i="24"/>
  <c r="T252" i="24"/>
  <c r="T253" i="24"/>
  <c r="T254" i="24"/>
  <c r="T255" i="24"/>
  <c r="T256" i="24"/>
  <c r="T257" i="24"/>
  <c r="T258" i="24"/>
  <c r="T259" i="24"/>
  <c r="T260" i="24"/>
  <c r="T261" i="24"/>
  <c r="T262" i="24"/>
  <c r="T263" i="24"/>
  <c r="T264" i="24"/>
  <c r="T265" i="24"/>
  <c r="T266" i="24"/>
  <c r="T267" i="24"/>
  <c r="T268" i="24"/>
  <c r="T269" i="24"/>
  <c r="T270" i="24"/>
  <c r="T271" i="24"/>
  <c r="T272" i="24"/>
  <c r="T273" i="24"/>
  <c r="T274" i="24"/>
  <c r="T275" i="24"/>
  <c r="T276" i="24"/>
  <c r="T277" i="24"/>
  <c r="T278" i="24"/>
  <c r="T279" i="24"/>
  <c r="T280" i="24"/>
  <c r="T281" i="24"/>
  <c r="T282" i="24"/>
  <c r="T283" i="24"/>
  <c r="T284" i="24"/>
  <c r="T285" i="24"/>
  <c r="T286" i="24"/>
  <c r="T287" i="24"/>
  <c r="T288" i="24"/>
  <c r="T289" i="24"/>
  <c r="T290" i="24"/>
  <c r="T291" i="24"/>
  <c r="T292" i="24"/>
  <c r="T293" i="24"/>
  <c r="T294" i="24"/>
  <c r="T295" i="24"/>
  <c r="T296" i="24"/>
  <c r="T297" i="24"/>
  <c r="T298" i="24"/>
  <c r="T299" i="24"/>
  <c r="T300" i="24"/>
  <c r="T301" i="24"/>
  <c r="T302" i="24"/>
  <c r="T303" i="24"/>
  <c r="T304" i="24"/>
  <c r="T305" i="24"/>
  <c r="T306"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5" i="24"/>
  <c r="T336" i="24"/>
  <c r="T337" i="24"/>
  <c r="T338" i="24"/>
  <c r="T339" i="24"/>
  <c r="T340" i="24"/>
  <c r="T341"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4"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2" i="24"/>
  <c r="T423" i="24"/>
  <c r="T424" i="24"/>
  <c r="T425" i="24"/>
  <c r="T427" i="24"/>
  <c r="T428" i="24"/>
  <c r="T429" i="24"/>
  <c r="T430" i="24"/>
  <c r="T431" i="24"/>
  <c r="T432" i="24"/>
  <c r="T433" i="24"/>
  <c r="T434" i="24"/>
  <c r="T435" i="24"/>
  <c r="T436" i="24"/>
  <c r="T437" i="24"/>
  <c r="T438" i="24"/>
  <c r="T439" i="24"/>
  <c r="T440"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7" i="24"/>
  <c r="S428" i="24"/>
  <c r="S429" i="24"/>
  <c r="S430" i="24"/>
  <c r="S431" i="24"/>
  <c r="S432" i="24"/>
  <c r="S433" i="24"/>
  <c r="S434" i="24"/>
  <c r="S435" i="24"/>
  <c r="S436" i="24"/>
  <c r="S437" i="24"/>
  <c r="S438" i="24"/>
  <c r="S439" i="24"/>
  <c r="S440" i="24"/>
  <c r="E54" i="2" a="1"/>
  <c r="E54" i="2" s="1"/>
  <c r="F54" i="2" s="1"/>
  <c r="H54" i="2"/>
  <c r="Q54" i="2"/>
  <c r="E53" i="2" a="1"/>
  <c r="E53" i="2" s="1"/>
  <c r="F53" i="2" s="1"/>
  <c r="H53" i="2"/>
  <c r="Q53" i="2"/>
  <c r="C53" i="2"/>
  <c r="E118" i="14"/>
  <c r="E117" i="14"/>
  <c r="I117" i="14"/>
  <c r="C52" i="2"/>
  <c r="E52" i="2" a="1"/>
  <c r="E52" i="2" s="1"/>
  <c r="F52" i="2" s="1"/>
  <c r="H52" i="2"/>
  <c r="Q52" i="2"/>
  <c r="C51" i="2"/>
  <c r="E51" i="2" a="1"/>
  <c r="E51" i="2" s="1"/>
  <c r="F51" i="2" s="1"/>
  <c r="H51" i="2"/>
  <c r="Q51" i="2"/>
  <c r="E50" i="2" a="1"/>
  <c r="E50" i="2" s="1"/>
  <c r="F50" i="2" s="1"/>
  <c r="C50" i="2"/>
  <c r="E116" i="14"/>
  <c r="G439" i="24" s="1"/>
  <c r="H50" i="2"/>
  <c r="Q50" i="2"/>
  <c r="C49" i="2"/>
  <c r="E49" i="2" a="1"/>
  <c r="E49" i="2" s="1"/>
  <c r="F49" i="2" s="1"/>
  <c r="H49" i="2"/>
  <c r="Q49" i="2"/>
  <c r="Q48" i="2"/>
  <c r="H48" i="2"/>
  <c r="E48" i="2" a="1"/>
  <c r="E48" i="2" s="1"/>
  <c r="F48" i="2" s="1"/>
  <c r="C48" i="2"/>
  <c r="Q47" i="2"/>
  <c r="C47" i="2"/>
  <c r="E47" i="2" a="1"/>
  <c r="E47" i="2" s="1"/>
  <c r="F47" i="2" s="1"/>
  <c r="H47" i="2"/>
  <c r="C46" i="2"/>
  <c r="E46" i="2" a="1"/>
  <c r="E46" i="2" s="1"/>
  <c r="F46" i="2" s="1"/>
  <c r="H46" i="2"/>
  <c r="Q46" i="2"/>
  <c r="E115" i="14"/>
  <c r="E114" i="14"/>
  <c r="E113" i="14"/>
  <c r="E112" i="14"/>
  <c r="E110" i="14"/>
  <c r="G563" i="24" s="1"/>
  <c r="E111" i="14"/>
  <c r="E107" i="14"/>
  <c r="G545" i="24" s="1"/>
  <c r="E108" i="14"/>
  <c r="G552" i="24" s="1"/>
  <c r="E109" i="14"/>
  <c r="G554" i="24" s="1"/>
  <c r="E106" i="14"/>
  <c r="I46" i="2" s="1"/>
  <c r="I106" i="14"/>
  <c r="I112" i="14" s="1"/>
  <c r="E105" i="14"/>
  <c r="I105" i="14"/>
  <c r="E98" i="14"/>
  <c r="G407" i="24" s="1"/>
  <c r="E99" i="14"/>
  <c r="E100" i="14"/>
  <c r="E101" i="14"/>
  <c r="E102" i="14"/>
  <c r="E103" i="14"/>
  <c r="E104" i="14"/>
  <c r="I98" i="14"/>
  <c r="X355" i="24" s="1"/>
  <c r="I99" i="14"/>
  <c r="I100" i="14"/>
  <c r="I101" i="14"/>
  <c r="I102" i="14"/>
  <c r="I103" i="14"/>
  <c r="I104" i="14"/>
  <c r="E97" i="14"/>
  <c r="I79" i="2" s="1"/>
  <c r="I97" i="14"/>
  <c r="P79" i="2" s="1"/>
  <c r="C45" i="2"/>
  <c r="E45" i="2" a="1"/>
  <c r="E45" i="2" s="1"/>
  <c r="F45" i="2" s="1"/>
  <c r="H45" i="2"/>
  <c r="Q45" i="2"/>
  <c r="E96" i="14"/>
  <c r="G346" i="24" s="1"/>
  <c r="E95" i="14"/>
  <c r="I95" i="14"/>
  <c r="I96" i="14" s="1"/>
  <c r="X345" i="24" s="1"/>
  <c r="C44" i="2"/>
  <c r="E44" i="2" a="1"/>
  <c r="E44" i="2" s="1"/>
  <c r="F44" i="2" s="1"/>
  <c r="H44" i="2"/>
  <c r="Q44" i="2"/>
  <c r="C43" i="2"/>
  <c r="E43" i="2" a="1"/>
  <c r="E43" i="2" s="1"/>
  <c r="F43" i="2" s="1"/>
  <c r="H43" i="2"/>
  <c r="Q43" i="2"/>
  <c r="C42" i="2"/>
  <c r="E42" i="2" a="1"/>
  <c r="E42" i="2" s="1"/>
  <c r="F42" i="2" s="1"/>
  <c r="H42" i="2"/>
  <c r="Q42" i="2"/>
  <c r="C41" i="2"/>
  <c r="E41" i="2" a="1"/>
  <c r="E41" i="2" s="1"/>
  <c r="F41" i="2" s="1"/>
  <c r="H41" i="2"/>
  <c r="Q41" i="2"/>
  <c r="E94" i="14"/>
  <c r="I41" i="2" s="1"/>
  <c r="I94" i="14"/>
  <c r="P58" i="2" s="1"/>
  <c r="E93" i="14"/>
  <c r="I93" i="14"/>
  <c r="Q40" i="2"/>
  <c r="H40" i="2"/>
  <c r="E40" i="2" a="1"/>
  <c r="E40" i="2" s="1"/>
  <c r="F40" i="2" s="1"/>
  <c r="C40" i="2"/>
  <c r="E92" i="14"/>
  <c r="E91" i="14"/>
  <c r="E90" i="14"/>
  <c r="E89" i="14"/>
  <c r="I89" i="14"/>
  <c r="I92" i="14" s="1"/>
  <c r="E88" i="14"/>
  <c r="G335" i="24" s="1"/>
  <c r="E87" i="14"/>
  <c r="G331" i="24" s="1"/>
  <c r="E86" i="14"/>
  <c r="G322" i="24" s="1"/>
  <c r="E81" i="14"/>
  <c r="G262" i="24" s="1"/>
  <c r="E82" i="14"/>
  <c r="G274" i="24" s="1"/>
  <c r="E83" i="14"/>
  <c r="G283" i="24" s="1"/>
  <c r="E84" i="14"/>
  <c r="G310" i="24" s="1"/>
  <c r="E85" i="14"/>
  <c r="I84" i="14"/>
  <c r="I86" i="14" s="1"/>
  <c r="X325" i="24" s="1"/>
  <c r="E80" i="14"/>
  <c r="I80" i="14"/>
  <c r="I81" i="14" s="1"/>
  <c r="X265" i="24" s="1"/>
  <c r="E79" i="14"/>
  <c r="G260" i="24" s="1"/>
  <c r="E78" i="14"/>
  <c r="I78" i="14"/>
  <c r="I79" i="14" s="1"/>
  <c r="X258" i="24" s="1"/>
  <c r="Q39" i="2"/>
  <c r="H39" i="2"/>
  <c r="E39" i="2" a="1"/>
  <c r="E39" i="2" s="1"/>
  <c r="F39" i="2" s="1"/>
  <c r="C39" i="2"/>
  <c r="C38" i="2"/>
  <c r="E38" i="2" a="1"/>
  <c r="E38" i="2" s="1"/>
  <c r="F38" i="2" s="1"/>
  <c r="H38" i="2"/>
  <c r="Q38" i="2"/>
  <c r="E77" i="14"/>
  <c r="G257" i="24" s="1"/>
  <c r="E74" i="14"/>
  <c r="G233" i="24" s="1"/>
  <c r="E75" i="14"/>
  <c r="G247" i="24" s="1"/>
  <c r="E76" i="14"/>
  <c r="G251" i="24" s="1"/>
  <c r="I77" i="14"/>
  <c r="X255" i="24" s="1"/>
  <c r="E73" i="14"/>
  <c r="I39" i="2" s="1"/>
  <c r="I73" i="14"/>
  <c r="I74" i="14" s="1"/>
  <c r="X235" i="24" s="1"/>
  <c r="AC51" i="12"/>
  <c r="AC50" i="12"/>
  <c r="AC49" i="12"/>
  <c r="AC48" i="12"/>
  <c r="AC47" i="12"/>
  <c r="AC46" i="12"/>
  <c r="AC45" i="12"/>
  <c r="AC44" i="12"/>
  <c r="AC43" i="12"/>
  <c r="Q37" i="2"/>
  <c r="H37" i="2"/>
  <c r="E37" i="2" a="1"/>
  <c r="E37" i="2" s="1"/>
  <c r="F37" i="2" s="1"/>
  <c r="C37" i="2"/>
  <c r="E72" i="14"/>
  <c r="I59" i="2" s="1"/>
  <c r="E71" i="14"/>
  <c r="G341" i="24" s="1"/>
  <c r="Q36" i="2"/>
  <c r="H36" i="2"/>
  <c r="E36" i="2" a="1"/>
  <c r="E36" i="2" s="1"/>
  <c r="F36" i="2" s="1"/>
  <c r="C36" i="2"/>
  <c r="Q35" i="2"/>
  <c r="H35" i="2"/>
  <c r="E35" i="2" a="1"/>
  <c r="E35" i="2" s="1"/>
  <c r="F35" i="2" s="1"/>
  <c r="C35" i="2"/>
  <c r="E70" i="14"/>
  <c r="G440" i="24" s="1"/>
  <c r="E69" i="14"/>
  <c r="I69" i="14"/>
  <c r="I70" i="14" s="1"/>
  <c r="X440" i="24" s="1"/>
  <c r="Q34" i="2"/>
  <c r="H34" i="2"/>
  <c r="E34" i="2" a="1"/>
  <c r="E34" i="2" s="1"/>
  <c r="F34" i="2" s="1"/>
  <c r="C34" i="2"/>
  <c r="Q33" i="2"/>
  <c r="H33" i="2"/>
  <c r="E33" i="2" a="1"/>
  <c r="E33" i="2" s="1"/>
  <c r="F33" i="2" s="1"/>
  <c r="C33" i="2"/>
  <c r="Q32" i="2"/>
  <c r="H32" i="2"/>
  <c r="E32" i="2" a="1"/>
  <c r="E32" i="2" s="1"/>
  <c r="F32" i="2" s="1"/>
  <c r="C32" i="2"/>
  <c r="E68" i="14"/>
  <c r="E67" i="14"/>
  <c r="E66" i="14"/>
  <c r="E65" i="14"/>
  <c r="E64" i="14"/>
  <c r="E63" i="14"/>
  <c r="I63" i="14"/>
  <c r="I68" i="14" s="1"/>
  <c r="E57" i="14"/>
  <c r="E58" i="14"/>
  <c r="E59" i="14"/>
  <c r="E60" i="14"/>
  <c r="E61" i="14"/>
  <c r="E62" i="14"/>
  <c r="I57" i="14"/>
  <c r="I58" i="14" s="1"/>
  <c r="E56" i="14"/>
  <c r="E55" i="14"/>
  <c r="E54" i="14"/>
  <c r="I33" i="2" s="1"/>
  <c r="E53" i="14"/>
  <c r="I32" i="2" s="1"/>
  <c r="I53" i="14"/>
  <c r="I56" i="14" s="1"/>
  <c r="Q31" i="2"/>
  <c r="H31" i="2"/>
  <c r="E31" i="2" a="1"/>
  <c r="E31" i="2" s="1"/>
  <c r="F31" i="2" s="1"/>
  <c r="C31" i="2"/>
  <c r="E52" i="14"/>
  <c r="G429" i="24" s="1"/>
  <c r="E51" i="14"/>
  <c r="G428" i="24" s="1"/>
  <c r="E50" i="14"/>
  <c r="G422" i="24" s="1"/>
  <c r="E49" i="14"/>
  <c r="I66" i="2" s="1"/>
  <c r="E48" i="14"/>
  <c r="G420" i="24" s="1"/>
  <c r="E47" i="14"/>
  <c r="G413" i="24" s="1"/>
  <c r="E46" i="14"/>
  <c r="G229" i="24" s="1"/>
  <c r="E45" i="14"/>
  <c r="G222" i="24" s="1"/>
  <c r="E44" i="14"/>
  <c r="G218" i="24" s="1"/>
  <c r="E43" i="14"/>
  <c r="I49" i="2" s="1"/>
  <c r="E38" i="14"/>
  <c r="I48" i="2" s="1"/>
  <c r="E39" i="14"/>
  <c r="G187" i="24" s="1"/>
  <c r="E40" i="14"/>
  <c r="G431" i="24" s="1"/>
  <c r="E41" i="14"/>
  <c r="G204" i="24" s="1"/>
  <c r="E42" i="14"/>
  <c r="G208" i="24" s="1"/>
  <c r="E37" i="14"/>
  <c r="G176" i="24" s="1"/>
  <c r="E36" i="14"/>
  <c r="I31" i="2" s="1"/>
  <c r="I36" i="14"/>
  <c r="I37" i="14" s="1"/>
  <c r="P47" i="2" s="1"/>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Q30" i="2"/>
  <c r="H30" i="2"/>
  <c r="E30" i="2" a="1"/>
  <c r="E30" i="2" s="1"/>
  <c r="F30" i="2" s="1"/>
  <c r="C30" i="2"/>
  <c r="E35" i="14"/>
  <c r="I30" i="2" s="1"/>
  <c r="I35" i="14"/>
  <c r="P30" i="2" s="1"/>
  <c r="Q29" i="2"/>
  <c r="H29" i="2"/>
  <c r="E29" i="2" a="1"/>
  <c r="E29" i="2" s="1"/>
  <c r="F29" i="2" s="1"/>
  <c r="C29" i="2"/>
  <c r="Q28" i="2"/>
  <c r="H28" i="2"/>
  <c r="E28" i="2" a="1"/>
  <c r="E28" i="2" s="1"/>
  <c r="F28" i="2" s="1"/>
  <c r="C28" i="2"/>
  <c r="C27" i="2"/>
  <c r="E27" i="2" a="1"/>
  <c r="E27" i="2" s="1"/>
  <c r="F27" i="2" s="1"/>
  <c r="H27" i="2"/>
  <c r="Q27" i="2"/>
  <c r="E31" i="14"/>
  <c r="E34" i="14"/>
  <c r="I29" i="2" s="1"/>
  <c r="E33" i="14"/>
  <c r="G165" i="24" s="1"/>
  <c r="E30" i="14"/>
  <c r="G152" i="24" s="1"/>
  <c r="I32" i="14"/>
  <c r="I34" i="14" s="1"/>
  <c r="P29" i="2" s="1"/>
  <c r="E29" i="14"/>
  <c r="G157" i="24" s="1"/>
  <c r="E32" i="14"/>
  <c r="I36" i="2" s="1"/>
  <c r="E28" i="14"/>
  <c r="I27" i="2" s="1"/>
  <c r="I28" i="14"/>
  <c r="I29" i="14" s="1"/>
  <c r="X157" i="24" s="1"/>
  <c r="C26" i="2"/>
  <c r="E26" i="2" a="1"/>
  <c r="E26" i="2" s="1"/>
  <c r="F26" i="2" s="1"/>
  <c r="H26" i="2"/>
  <c r="Q26" i="2"/>
  <c r="Q25" i="2"/>
  <c r="H25" i="2"/>
  <c r="E25" i="2" a="1"/>
  <c r="E25" i="2" s="1"/>
  <c r="F25" i="2" s="1"/>
  <c r="C25" i="2"/>
  <c r="E27" i="14"/>
  <c r="G123" i="24" s="1"/>
  <c r="I27" i="14"/>
  <c r="P25" i="2" s="1"/>
  <c r="H24" i="2"/>
  <c r="E24" i="2" a="1"/>
  <c r="E24" i="2" s="1"/>
  <c r="F24" i="2" s="1"/>
  <c r="C24" i="2"/>
  <c r="Q24" i="2"/>
  <c r="Q23" i="2"/>
  <c r="H23" i="2"/>
  <c r="E23" i="2" a="1"/>
  <c r="E23" i="2" s="1"/>
  <c r="F23" i="2" s="1"/>
  <c r="C23" i="2"/>
  <c r="Q22" i="2"/>
  <c r="H22" i="2"/>
  <c r="E22" i="2" a="1"/>
  <c r="E22" i="2" s="1"/>
  <c r="F22" i="2" s="1"/>
  <c r="C22" i="2"/>
  <c r="E3" i="14"/>
  <c r="E4" i="14"/>
  <c r="E5" i="14"/>
  <c r="E6" i="14"/>
  <c r="I10" i="2" s="1"/>
  <c r="E7" i="14"/>
  <c r="G18" i="24" s="1"/>
  <c r="E15" i="14"/>
  <c r="G14" i="24" s="1"/>
  <c r="E26" i="14"/>
  <c r="I23" i="2" s="1"/>
  <c r="E16" i="14"/>
  <c r="G5" i="24" s="1"/>
  <c r="H5" i="24" s="1" a="1"/>
  <c r="H5" i="24" s="1"/>
  <c r="E17" i="14"/>
  <c r="E8" i="14"/>
  <c r="G38" i="24" s="1"/>
  <c r="E9" i="14"/>
  <c r="I12" i="2" s="1"/>
  <c r="E10" i="14"/>
  <c r="I20" i="2" s="1"/>
  <c r="E11" i="14"/>
  <c r="I22" i="2" s="1"/>
  <c r="E12" i="14"/>
  <c r="G73" i="24" s="1"/>
  <c r="E13" i="14"/>
  <c r="G11" i="24" s="1"/>
  <c r="E14" i="14"/>
  <c r="E18" i="14"/>
  <c r="E19" i="14"/>
  <c r="I24" i="2" s="1"/>
  <c r="E20" i="14"/>
  <c r="I8" i="2" s="1"/>
  <c r="E21" i="14"/>
  <c r="I3" i="2" s="1"/>
  <c r="E22" i="14"/>
  <c r="I5" i="2" s="1"/>
  <c r="E23" i="14"/>
  <c r="E24" i="14"/>
  <c r="I6" i="2" s="1"/>
  <c r="E25" i="14"/>
  <c r="I7" i="2" s="1"/>
  <c r="Q21" i="2"/>
  <c r="H21" i="2"/>
  <c r="E21" i="2" a="1"/>
  <c r="E21" i="2" s="1"/>
  <c r="F21" i="2" s="1"/>
  <c r="C21" i="2"/>
  <c r="Q20" i="2"/>
  <c r="H20" i="2"/>
  <c r="E20" i="2" a="1"/>
  <c r="E20" i="2" s="1"/>
  <c r="F20" i="2" s="1"/>
  <c r="C20" i="2"/>
  <c r="Q19" i="2"/>
  <c r="H19" i="2"/>
  <c r="E19" i="2" a="1"/>
  <c r="E19" i="2" s="1"/>
  <c r="F19" i="2" s="1"/>
  <c r="C19" i="2"/>
  <c r="C18" i="2"/>
  <c r="E18" i="2" a="1"/>
  <c r="E18" i="2" s="1"/>
  <c r="F18" i="2" s="1"/>
  <c r="H18" i="2"/>
  <c r="Q18" i="2"/>
  <c r="I14" i="14"/>
  <c r="Q17" i="2"/>
  <c r="H17" i="2"/>
  <c r="E17" i="2" a="1"/>
  <c r="E17" i="2" s="1"/>
  <c r="F17" i="2" s="1"/>
  <c r="C17" i="2"/>
  <c r="Q16" i="2"/>
  <c r="H16" i="2"/>
  <c r="E16" i="2" a="1"/>
  <c r="E16" i="2" s="1"/>
  <c r="F16" i="2" s="1"/>
  <c r="C16" i="2"/>
  <c r="F10" i="22" a="1"/>
  <c r="F10" i="22" s="1"/>
  <c r="D10" i="22" a="1"/>
  <c r="D10" i="22" s="1"/>
  <c r="I11" i="14"/>
  <c r="P15" i="2" s="1"/>
  <c r="Q15" i="2"/>
  <c r="H15" i="2"/>
  <c r="E15" i="2" a="1"/>
  <c r="E15" i="2" s="1"/>
  <c r="F15" i="2" s="1"/>
  <c r="C15" i="2"/>
  <c r="Q14" i="2"/>
  <c r="H14" i="2"/>
  <c r="E14" i="2" a="1"/>
  <c r="E14" i="2" s="1"/>
  <c r="F14" i="2" s="1"/>
  <c r="C14" i="2"/>
  <c r="I10" i="14"/>
  <c r="P13" i="2" s="1"/>
  <c r="E3" i="2" a="1"/>
  <c r="E3" i="2" s="1"/>
  <c r="F3" i="2" s="1"/>
  <c r="E4" i="2" a="1"/>
  <c r="E4" i="2" s="1"/>
  <c r="F4" i="2" s="1"/>
  <c r="E5" i="2" a="1"/>
  <c r="E5" i="2" s="1"/>
  <c r="F5" i="2" s="1"/>
  <c r="E6" i="2" a="1"/>
  <c r="E6" i="2" s="1"/>
  <c r="F6" i="2" s="1"/>
  <c r="E7" i="2" a="1"/>
  <c r="E7" i="2" s="1"/>
  <c r="F7" i="2" s="1"/>
  <c r="E8" i="2" a="1"/>
  <c r="E8" i="2" s="1"/>
  <c r="F8" i="2" s="1"/>
  <c r="E9" i="2" a="1"/>
  <c r="E9" i="2" s="1"/>
  <c r="F9" i="2" s="1"/>
  <c r="E10" i="2" a="1"/>
  <c r="E10" i="2" s="1"/>
  <c r="F10" i="2" s="1"/>
  <c r="E11" i="2" a="1"/>
  <c r="E11" i="2" s="1"/>
  <c r="F11" i="2" s="1"/>
  <c r="E12" i="2" a="1"/>
  <c r="E12" i="2" s="1"/>
  <c r="F12" i="2" s="1"/>
  <c r="E13" i="2" a="1"/>
  <c r="E13" i="2" s="1"/>
  <c r="F13" i="2" s="1"/>
  <c r="H13" i="2"/>
  <c r="Q13" i="2"/>
  <c r="C13" i="2"/>
  <c r="I9" i="14"/>
  <c r="Q12" i="2"/>
  <c r="H12" i="2"/>
  <c r="C12" i="2"/>
  <c r="I8" i="14"/>
  <c r="P11" i="2" s="1"/>
  <c r="Q11" i="2"/>
  <c r="H11" i="2"/>
  <c r="C11" i="2"/>
  <c r="Q3" i="2"/>
  <c r="Q4" i="2"/>
  <c r="Q5" i="2"/>
  <c r="Q6" i="2"/>
  <c r="Q7" i="2"/>
  <c r="Q8" i="2"/>
  <c r="Q9" i="2"/>
  <c r="Q10" i="2"/>
  <c r="I6" i="14"/>
  <c r="P10" i="2" s="1"/>
  <c r="I7" i="14"/>
  <c r="P19" i="2" s="1"/>
  <c r="H10" i="2"/>
  <c r="C10" i="2"/>
  <c r="H9" i="2"/>
  <c r="C9" i="2"/>
  <c r="H8" i="2"/>
  <c r="C8" i="2"/>
  <c r="I5" i="14"/>
  <c r="I17" i="14"/>
  <c r="I3" i="14" s="1"/>
  <c r="I16" i="14"/>
  <c r="P16" i="2" s="1"/>
  <c r="I15" i="14"/>
  <c r="P18" i="2" s="1"/>
  <c r="I26" i="14"/>
  <c r="P23" i="2" s="1"/>
  <c r="I13" i="14"/>
  <c r="P17" i="2" s="1"/>
  <c r="I12" i="14"/>
  <c r="P14" i="2" s="1"/>
  <c r="H7" i="2"/>
  <c r="C7" i="2"/>
  <c r="H6" i="2"/>
  <c r="C6" i="2"/>
  <c r="H5" i="2"/>
  <c r="C5" i="2"/>
  <c r="H3" i="2"/>
  <c r="H4" i="2"/>
  <c r="C4" i="2"/>
  <c r="C3" i="2"/>
  <c r="I10" i="22" a="1"/>
  <c r="I10" i="22" s="1"/>
  <c r="H10" i="22" a="1"/>
  <c r="H10" i="22" s="1"/>
  <c r="I18" i="14"/>
  <c r="I19" i="14" s="1"/>
  <c r="P24" i="2" s="1"/>
  <c r="G10" i="22" a="1"/>
  <c r="G10" i="22" s="1"/>
  <c r="C152" i="24" l="1"/>
  <c r="X584" i="24"/>
  <c r="X574" i="24"/>
  <c r="X514" i="24"/>
  <c r="X504" i="24"/>
  <c r="X404" i="24"/>
  <c r="X394" i="24"/>
  <c r="X384" i="24"/>
  <c r="X374" i="24"/>
  <c r="X364" i="24"/>
  <c r="X354" i="24"/>
  <c r="X344" i="24"/>
  <c r="X324" i="24"/>
  <c r="X314" i="24"/>
  <c r="X304" i="24"/>
  <c r="X264" i="24"/>
  <c r="X254" i="24"/>
  <c r="X234" i="24"/>
  <c r="X184" i="24"/>
  <c r="X174" i="24"/>
  <c r="X124" i="24"/>
  <c r="X114" i="24"/>
  <c r="X104" i="24"/>
  <c r="X94" i="24"/>
  <c r="X84" i="24"/>
  <c r="X74" i="24"/>
  <c r="X64" i="24"/>
  <c r="X54" i="24"/>
  <c r="X44" i="24"/>
  <c r="X34" i="24"/>
  <c r="X24" i="24"/>
  <c r="X14" i="24"/>
  <c r="C165" i="24"/>
  <c r="X583" i="24"/>
  <c r="X573" i="24"/>
  <c r="X513" i="24"/>
  <c r="X503" i="24"/>
  <c r="X403" i="24"/>
  <c r="X393" i="24"/>
  <c r="X383" i="24"/>
  <c r="X373" i="24"/>
  <c r="X363" i="24"/>
  <c r="X353" i="24"/>
  <c r="X323" i="24"/>
  <c r="X313" i="24"/>
  <c r="X303" i="24"/>
  <c r="X263" i="24"/>
  <c r="X253" i="24"/>
  <c r="X233" i="24"/>
  <c r="X183" i="24"/>
  <c r="X173" i="24"/>
  <c r="X123" i="24"/>
  <c r="X113" i="24"/>
  <c r="X103" i="24"/>
  <c r="X93" i="24"/>
  <c r="X83" i="24"/>
  <c r="X73" i="24"/>
  <c r="X63" i="24"/>
  <c r="X53" i="24"/>
  <c r="X43" i="24"/>
  <c r="X33" i="24"/>
  <c r="X23" i="24"/>
  <c r="X13" i="24"/>
  <c r="X592" i="24"/>
  <c r="X582" i="24"/>
  <c r="X572" i="24"/>
  <c r="X512" i="24"/>
  <c r="X502" i="24"/>
  <c r="X402" i="24"/>
  <c r="X392" i="24"/>
  <c r="X382" i="24"/>
  <c r="X372" i="24"/>
  <c r="X362" i="24"/>
  <c r="X352" i="24"/>
  <c r="X322" i="24"/>
  <c r="X312" i="24"/>
  <c r="X302" i="24"/>
  <c r="X262" i="24"/>
  <c r="X252" i="24"/>
  <c r="X232" i="24"/>
  <c r="X182" i="24"/>
  <c r="X172" i="24"/>
  <c r="X122" i="24"/>
  <c r="X112" i="24"/>
  <c r="X102" i="24"/>
  <c r="X92" i="24"/>
  <c r="X82" i="24"/>
  <c r="X72" i="24"/>
  <c r="X62" i="24"/>
  <c r="X52" i="24"/>
  <c r="X42" i="24"/>
  <c r="X32" i="24"/>
  <c r="X22" i="24"/>
  <c r="X12" i="24"/>
  <c r="G596" i="24"/>
  <c r="C596" i="24" s="1"/>
  <c r="X591" i="24"/>
  <c r="X581" i="24"/>
  <c r="X571" i="24"/>
  <c r="X511" i="24"/>
  <c r="X501" i="24"/>
  <c r="X411" i="24"/>
  <c r="X401" i="24"/>
  <c r="X391" i="24"/>
  <c r="X381" i="24"/>
  <c r="X371" i="24"/>
  <c r="X361" i="24"/>
  <c r="X351" i="24"/>
  <c r="X321" i="24"/>
  <c r="X311" i="24"/>
  <c r="X301" i="24"/>
  <c r="X261" i="24"/>
  <c r="X231" i="24"/>
  <c r="X181" i="24"/>
  <c r="X171" i="24"/>
  <c r="X161" i="24"/>
  <c r="X121" i="24"/>
  <c r="X111" i="24"/>
  <c r="X101" i="24"/>
  <c r="X91" i="24"/>
  <c r="X81" i="24"/>
  <c r="X71" i="24"/>
  <c r="X61" i="24"/>
  <c r="X51" i="24"/>
  <c r="X41" i="24"/>
  <c r="X31" i="24"/>
  <c r="X21" i="24"/>
  <c r="X11" i="24"/>
  <c r="X590" i="24"/>
  <c r="X580" i="24"/>
  <c r="X570" i="24"/>
  <c r="X510" i="24"/>
  <c r="X500" i="24"/>
  <c r="X410" i="24"/>
  <c r="X400" i="24"/>
  <c r="X390" i="24"/>
  <c r="X380" i="24"/>
  <c r="X370" i="24"/>
  <c r="X360" i="24"/>
  <c r="X350" i="24"/>
  <c r="X320" i="24"/>
  <c r="X310" i="24"/>
  <c r="X300" i="24"/>
  <c r="X260" i="24"/>
  <c r="X240" i="24"/>
  <c r="X180" i="24"/>
  <c r="X170" i="24"/>
  <c r="X160" i="24"/>
  <c r="X120" i="24"/>
  <c r="X110" i="24"/>
  <c r="X100" i="24"/>
  <c r="X90" i="24"/>
  <c r="X80" i="24"/>
  <c r="X70" i="24"/>
  <c r="X60" i="24"/>
  <c r="X50" i="24"/>
  <c r="X40" i="24"/>
  <c r="X30" i="24"/>
  <c r="X20" i="24"/>
  <c r="X10" i="24"/>
  <c r="X589" i="24"/>
  <c r="X579" i="24"/>
  <c r="X509" i="24"/>
  <c r="X409" i="24"/>
  <c r="X399" i="24"/>
  <c r="X389" i="24"/>
  <c r="X379" i="24"/>
  <c r="X369" i="24"/>
  <c r="X359" i="24"/>
  <c r="X349" i="24"/>
  <c r="X329" i="24"/>
  <c r="X319" i="24"/>
  <c r="X309" i="24"/>
  <c r="X299" i="24"/>
  <c r="X259" i="24"/>
  <c r="X239" i="24"/>
  <c r="X179" i="24"/>
  <c r="X169" i="24"/>
  <c r="X159" i="24"/>
  <c r="X119" i="24"/>
  <c r="X109" i="24"/>
  <c r="X99" i="24"/>
  <c r="X89" i="24"/>
  <c r="X79" i="24"/>
  <c r="X69" i="24"/>
  <c r="X59" i="24"/>
  <c r="X49" i="24"/>
  <c r="X39" i="24"/>
  <c r="X29" i="24"/>
  <c r="X19" i="24"/>
  <c r="X9" i="24"/>
  <c r="G597" i="24"/>
  <c r="C597" i="24" s="1"/>
  <c r="X598" i="24"/>
  <c r="X588" i="24"/>
  <c r="X578" i="24"/>
  <c r="X508" i="24"/>
  <c r="X408" i="24"/>
  <c r="X398" i="24"/>
  <c r="X388" i="24"/>
  <c r="X378" i="24"/>
  <c r="X368" i="24"/>
  <c r="X358" i="24"/>
  <c r="X348" i="24"/>
  <c r="X328" i="24"/>
  <c r="X318" i="24"/>
  <c r="X308" i="24"/>
  <c r="X298" i="24"/>
  <c r="X268" i="24"/>
  <c r="X238" i="24"/>
  <c r="X178" i="24"/>
  <c r="X168" i="24"/>
  <c r="X158" i="24"/>
  <c r="X118" i="24"/>
  <c r="X108" i="24"/>
  <c r="X98" i="24"/>
  <c r="X88" i="24"/>
  <c r="X78" i="24"/>
  <c r="X68" i="24"/>
  <c r="X58" i="24"/>
  <c r="X48" i="24"/>
  <c r="X38" i="24"/>
  <c r="X28" i="24"/>
  <c r="X18" i="24"/>
  <c r="X8" i="24"/>
  <c r="G594" i="24"/>
  <c r="C594" i="24" s="1"/>
  <c r="X597" i="24"/>
  <c r="X587" i="24"/>
  <c r="X577" i="24"/>
  <c r="X517" i="24"/>
  <c r="X507" i="24"/>
  <c r="X407" i="24"/>
  <c r="X397" i="24"/>
  <c r="X387" i="24"/>
  <c r="X377" i="24"/>
  <c r="X367" i="24"/>
  <c r="X357" i="24"/>
  <c r="X347" i="24"/>
  <c r="X327" i="24"/>
  <c r="X317" i="24"/>
  <c r="X307" i="24"/>
  <c r="X267" i="24"/>
  <c r="X257" i="24"/>
  <c r="X237" i="24"/>
  <c r="X177" i="24"/>
  <c r="X117" i="24"/>
  <c r="X107" i="24"/>
  <c r="X97" i="24"/>
  <c r="X87" i="24"/>
  <c r="X77" i="24"/>
  <c r="X67" i="24"/>
  <c r="X57" i="24"/>
  <c r="X47" i="24"/>
  <c r="X37" i="24"/>
  <c r="X27" i="24"/>
  <c r="X17" i="24"/>
  <c r="X7" i="24"/>
  <c r="G595" i="24"/>
  <c r="C595" i="24" s="1"/>
  <c r="X596" i="24"/>
  <c r="X586" i="24"/>
  <c r="X576" i="24"/>
  <c r="X516" i="24"/>
  <c r="X506" i="24"/>
  <c r="X406" i="24"/>
  <c r="X396" i="24"/>
  <c r="X386" i="24"/>
  <c r="X376" i="24"/>
  <c r="X366" i="24"/>
  <c r="X356" i="24"/>
  <c r="X346" i="24"/>
  <c r="X326" i="24"/>
  <c r="X316" i="24"/>
  <c r="X306" i="24"/>
  <c r="X266" i="24"/>
  <c r="X256" i="24"/>
  <c r="X236" i="24"/>
  <c r="X176" i="24"/>
  <c r="X116" i="24"/>
  <c r="X106" i="24"/>
  <c r="X96" i="24"/>
  <c r="X86" i="24"/>
  <c r="X76" i="24"/>
  <c r="X66" i="24"/>
  <c r="X56" i="24"/>
  <c r="X46" i="24"/>
  <c r="X36" i="24"/>
  <c r="X26" i="24"/>
  <c r="X16" i="24"/>
  <c r="X6" i="24"/>
  <c r="C157" i="24"/>
  <c r="G598" i="24"/>
  <c r="C598" i="24" s="1"/>
  <c r="X585" i="24"/>
  <c r="X575" i="24"/>
  <c r="X515" i="24"/>
  <c r="X405" i="24"/>
  <c r="X395" i="24"/>
  <c r="X385" i="24"/>
  <c r="X375" i="24"/>
  <c r="X365" i="24"/>
  <c r="X315" i="24"/>
  <c r="X305" i="24"/>
  <c r="X175" i="24"/>
  <c r="X115" i="24"/>
  <c r="X105" i="24"/>
  <c r="X95" i="24"/>
  <c r="X85" i="24"/>
  <c r="X75" i="24"/>
  <c r="X65" i="24"/>
  <c r="X55" i="24"/>
  <c r="X45" i="24"/>
  <c r="X35" i="24"/>
  <c r="X25" i="24"/>
  <c r="X15" i="24"/>
  <c r="X5" i="24"/>
  <c r="G593" i="24"/>
  <c r="G521" i="24"/>
  <c r="C521" i="24" s="1"/>
  <c r="I136" i="14"/>
  <c r="P78" i="2" s="1"/>
  <c r="I135" i="14"/>
  <c r="P77" i="2" s="1"/>
  <c r="C585" i="24"/>
  <c r="G581" i="24"/>
  <c r="G571" i="24"/>
  <c r="G584" i="24"/>
  <c r="G591" i="24"/>
  <c r="G580" i="24"/>
  <c r="G583" i="24"/>
  <c r="G579" i="24"/>
  <c r="G582" i="24"/>
  <c r="G578" i="24"/>
  <c r="G592" i="24"/>
  <c r="G577" i="24"/>
  <c r="G590" i="24"/>
  <c r="G576" i="24"/>
  <c r="G586" i="24"/>
  <c r="G589" i="24"/>
  <c r="G575" i="24"/>
  <c r="G588" i="24"/>
  <c r="G570" i="24"/>
  <c r="G574" i="24"/>
  <c r="G587" i="24"/>
  <c r="G573" i="24"/>
  <c r="G572" i="24"/>
  <c r="I74" i="2"/>
  <c r="G569" i="24"/>
  <c r="I71" i="2"/>
  <c r="G551" i="24"/>
  <c r="C563" i="24"/>
  <c r="G561" i="24"/>
  <c r="C554" i="24"/>
  <c r="C545" i="24"/>
  <c r="C187" i="24"/>
  <c r="G560" i="24"/>
  <c r="G553" i="24"/>
  <c r="G557" i="24"/>
  <c r="G568" i="24"/>
  <c r="G544" i="24"/>
  <c r="G564" i="24"/>
  <c r="G567" i="24"/>
  <c r="G566" i="24"/>
  <c r="G550" i="24"/>
  <c r="G558" i="24"/>
  <c r="G565" i="24"/>
  <c r="G549" i="24"/>
  <c r="G548" i="24"/>
  <c r="G556" i="24"/>
  <c r="G562" i="24"/>
  <c r="I67" i="2"/>
  <c r="G547" i="24"/>
  <c r="G555" i="24"/>
  <c r="G559" i="24"/>
  <c r="P67" i="2"/>
  <c r="G546" i="24"/>
  <c r="C553" i="24"/>
  <c r="C552" i="24"/>
  <c r="I65" i="2"/>
  <c r="C229" i="24"/>
  <c r="C413" i="24"/>
  <c r="G426" i="24"/>
  <c r="C176" i="24"/>
  <c r="I130" i="14"/>
  <c r="P68" i="2" s="1"/>
  <c r="I118" i="14"/>
  <c r="P52" i="2" s="1"/>
  <c r="G541" i="24"/>
  <c r="G500" i="24"/>
  <c r="G535" i="24"/>
  <c r="G534" i="24"/>
  <c r="G542" i="24"/>
  <c r="G543" i="24"/>
  <c r="I44" i="2"/>
  <c r="G537" i="24"/>
  <c r="G538" i="24"/>
  <c r="C527" i="24"/>
  <c r="G533" i="24"/>
  <c r="G532" i="24"/>
  <c r="G536" i="24"/>
  <c r="G540" i="24"/>
  <c r="G539" i="24"/>
  <c r="Y58" i="12"/>
  <c r="AA58" i="12" s="1"/>
  <c r="D58" i="12"/>
  <c r="F58" i="12" s="1"/>
  <c r="G58" i="12"/>
  <c r="I58" i="12" s="1"/>
  <c r="J58" i="12"/>
  <c r="L58" i="12" s="1"/>
  <c r="M58" i="12"/>
  <c r="O58" i="12" s="1"/>
  <c r="P58" i="12"/>
  <c r="R58" i="12" s="1"/>
  <c r="S58" i="12"/>
  <c r="U58" i="12" s="1"/>
  <c r="V58" i="12"/>
  <c r="X58" i="12" s="1"/>
  <c r="G518" i="24"/>
  <c r="G528" i="24"/>
  <c r="G484" i="24"/>
  <c r="G519" i="24"/>
  <c r="G529" i="24"/>
  <c r="G507" i="24"/>
  <c r="G520" i="24"/>
  <c r="G530" i="24"/>
  <c r="G531" i="24"/>
  <c r="G473" i="24"/>
  <c r="I63" i="2"/>
  <c r="G522" i="24"/>
  <c r="G523" i="24"/>
  <c r="G469" i="24"/>
  <c r="G524" i="24"/>
  <c r="G470" i="24"/>
  <c r="G505" i="24"/>
  <c r="G525" i="24"/>
  <c r="G526" i="24"/>
  <c r="G480" i="24"/>
  <c r="I124" i="14"/>
  <c r="P62" i="2"/>
  <c r="I126" i="14"/>
  <c r="G509" i="24"/>
  <c r="G504" i="24"/>
  <c r="G496" i="24"/>
  <c r="G501" i="24"/>
  <c r="G517" i="24"/>
  <c r="G493" i="24"/>
  <c r="G485" i="24"/>
  <c r="G508" i="24"/>
  <c r="G516" i="24"/>
  <c r="G491" i="24"/>
  <c r="G515" i="24"/>
  <c r="G498" i="24"/>
  <c r="G488" i="24"/>
  <c r="G502" i="24"/>
  <c r="G514" i="24"/>
  <c r="G494" i="24"/>
  <c r="G475" i="24"/>
  <c r="G513" i="24"/>
  <c r="G497" i="24"/>
  <c r="C479" i="24"/>
  <c r="G506" i="24"/>
  <c r="G512" i="24"/>
  <c r="G499" i="24"/>
  <c r="G489" i="24"/>
  <c r="G503" i="24"/>
  <c r="G511" i="24"/>
  <c r="G495" i="24"/>
  <c r="G476" i="24"/>
  <c r="G490" i="24"/>
  <c r="G492" i="24"/>
  <c r="C515" i="24"/>
  <c r="C510" i="24"/>
  <c r="G477" i="24"/>
  <c r="G486" i="24"/>
  <c r="G474" i="24"/>
  <c r="G483" i="24"/>
  <c r="G471" i="24"/>
  <c r="G481" i="24"/>
  <c r="G478" i="24"/>
  <c r="G487" i="24"/>
  <c r="G472" i="24"/>
  <c r="G482" i="24"/>
  <c r="G468" i="24"/>
  <c r="I62" i="2"/>
  <c r="I61" i="2"/>
  <c r="P41" i="2"/>
  <c r="G464" i="24"/>
  <c r="G466" i="24"/>
  <c r="G467" i="24"/>
  <c r="G465" i="24"/>
  <c r="I120" i="14"/>
  <c r="I60" i="2"/>
  <c r="G450" i="24"/>
  <c r="G460" i="24"/>
  <c r="G455" i="24"/>
  <c r="G452" i="24"/>
  <c r="G462" i="24"/>
  <c r="I57" i="2"/>
  <c r="G451" i="24"/>
  <c r="G463" i="24"/>
  <c r="G458" i="24"/>
  <c r="G459" i="24"/>
  <c r="G457" i="24"/>
  <c r="G456" i="24"/>
  <c r="G461" i="24"/>
  <c r="G454" i="24"/>
  <c r="G453" i="24"/>
  <c r="I58" i="2"/>
  <c r="V61" i="12"/>
  <c r="X61" i="12" s="1"/>
  <c r="J56" i="12"/>
  <c r="L56" i="12" s="1"/>
  <c r="D53" i="12"/>
  <c r="F53" i="12" s="1"/>
  <c r="G54" i="12"/>
  <c r="I54" i="12" s="1"/>
  <c r="J55" i="12"/>
  <c r="L55" i="12" s="1"/>
  <c r="M56" i="12"/>
  <c r="O56" i="12" s="1"/>
  <c r="P57" i="12"/>
  <c r="R57" i="12" s="1"/>
  <c r="S59" i="12"/>
  <c r="U59" i="12" s="1"/>
  <c r="V60" i="12"/>
  <c r="X60" i="12" s="1"/>
  <c r="Y61" i="12"/>
  <c r="AA61" i="12" s="1"/>
  <c r="G55" i="12"/>
  <c r="I55" i="12" s="1"/>
  <c r="D52" i="12"/>
  <c r="F52" i="12" s="1"/>
  <c r="G53" i="12"/>
  <c r="I53" i="12" s="1"/>
  <c r="J54" i="12"/>
  <c r="L54" i="12" s="1"/>
  <c r="M55" i="12"/>
  <c r="O55" i="12" s="1"/>
  <c r="P56" i="12"/>
  <c r="R56" i="12" s="1"/>
  <c r="S57" i="12"/>
  <c r="U57" i="12" s="1"/>
  <c r="V59" i="12"/>
  <c r="X59" i="12" s="1"/>
  <c r="Y60" i="12"/>
  <c r="AA60" i="12" s="1"/>
  <c r="M57" i="12"/>
  <c r="O57" i="12" s="1"/>
  <c r="G52" i="12"/>
  <c r="I52" i="12" s="1"/>
  <c r="J53" i="12"/>
  <c r="L53" i="12" s="1"/>
  <c r="M54" i="12"/>
  <c r="O54" i="12" s="1"/>
  <c r="P55" i="12"/>
  <c r="R55" i="12" s="1"/>
  <c r="S56" i="12"/>
  <c r="U56" i="12" s="1"/>
  <c r="V57" i="12"/>
  <c r="X57" i="12" s="1"/>
  <c r="Y59" i="12"/>
  <c r="AA59" i="12" s="1"/>
  <c r="D54" i="12"/>
  <c r="F54" i="12" s="1"/>
  <c r="J52" i="12"/>
  <c r="L52" i="12" s="1"/>
  <c r="M53" i="12"/>
  <c r="O53" i="12" s="1"/>
  <c r="P54" i="12"/>
  <c r="R54" i="12" s="1"/>
  <c r="S55" i="12"/>
  <c r="U55" i="12" s="1"/>
  <c r="V56" i="12"/>
  <c r="X56" i="12" s="1"/>
  <c r="Y57" i="12"/>
  <c r="AA57" i="12" s="1"/>
  <c r="D61" i="12"/>
  <c r="F61" i="12" s="1"/>
  <c r="P59" i="12"/>
  <c r="R59" i="12" s="1"/>
  <c r="M52" i="12"/>
  <c r="O52" i="12" s="1"/>
  <c r="P53" i="12"/>
  <c r="R53" i="12" s="1"/>
  <c r="S54" i="12"/>
  <c r="U54" i="12" s="1"/>
  <c r="V55" i="12"/>
  <c r="X55" i="12" s="1"/>
  <c r="Y56" i="12"/>
  <c r="AA56" i="12" s="1"/>
  <c r="D60" i="12"/>
  <c r="F60" i="12" s="1"/>
  <c r="G61" i="12"/>
  <c r="I61" i="12" s="1"/>
  <c r="P52" i="12"/>
  <c r="R52" i="12" s="1"/>
  <c r="S53" i="12"/>
  <c r="U53" i="12" s="1"/>
  <c r="V54" i="12"/>
  <c r="X54" i="12" s="1"/>
  <c r="Y55" i="12"/>
  <c r="AA55" i="12" s="1"/>
  <c r="D59" i="12"/>
  <c r="G60" i="12"/>
  <c r="I60" i="12" s="1"/>
  <c r="J61" i="12"/>
  <c r="L61" i="12" s="1"/>
  <c r="S60" i="12"/>
  <c r="U60" i="12" s="1"/>
  <c r="S52" i="12"/>
  <c r="U52" i="12" s="1"/>
  <c r="V53" i="12"/>
  <c r="X53" i="12" s="1"/>
  <c r="Y54" i="12"/>
  <c r="AA54" i="12" s="1"/>
  <c r="D57" i="12"/>
  <c r="F57" i="12" s="1"/>
  <c r="G59" i="12"/>
  <c r="I59" i="12" s="1"/>
  <c r="J60" i="12"/>
  <c r="L60" i="12" s="1"/>
  <c r="M61" i="12"/>
  <c r="O61" i="12" s="1"/>
  <c r="V52" i="12"/>
  <c r="X52" i="12" s="1"/>
  <c r="Y53" i="12"/>
  <c r="AA53" i="12" s="1"/>
  <c r="D56" i="12"/>
  <c r="G57" i="12"/>
  <c r="I57" i="12" s="1"/>
  <c r="J59" i="12"/>
  <c r="L59" i="12" s="1"/>
  <c r="M60" i="12"/>
  <c r="O60" i="12" s="1"/>
  <c r="P61" i="12"/>
  <c r="R61" i="12" s="1"/>
  <c r="Y52" i="12"/>
  <c r="AA52" i="12" s="1"/>
  <c r="D55" i="12"/>
  <c r="F55" i="12" s="1"/>
  <c r="G56" i="12"/>
  <c r="I56" i="12" s="1"/>
  <c r="J57" i="12"/>
  <c r="L57" i="12" s="1"/>
  <c r="M59" i="12"/>
  <c r="O59" i="12" s="1"/>
  <c r="P60" i="12"/>
  <c r="R60" i="12" s="1"/>
  <c r="S61" i="12"/>
  <c r="U61" i="12" s="1"/>
  <c r="C208" i="24"/>
  <c r="G351" i="24"/>
  <c r="C428" i="24"/>
  <c r="C260" i="24"/>
  <c r="C331" i="24"/>
  <c r="C429" i="24"/>
  <c r="C335" i="24"/>
  <c r="C346" i="24"/>
  <c r="C407" i="24"/>
  <c r="C310" i="24"/>
  <c r="C251" i="24"/>
  <c r="C283" i="24"/>
  <c r="C439" i="24"/>
  <c r="C420" i="24"/>
  <c r="C247" i="24"/>
  <c r="C274" i="24"/>
  <c r="C341" i="24"/>
  <c r="C233" i="24"/>
  <c r="C262" i="24"/>
  <c r="C431" i="24"/>
  <c r="C422" i="24"/>
  <c r="C440" i="24"/>
  <c r="C257" i="24"/>
  <c r="C322" i="24"/>
  <c r="I119" i="14"/>
  <c r="P56" i="2" s="1"/>
  <c r="I113" i="14"/>
  <c r="G349" i="24"/>
  <c r="G446" i="24"/>
  <c r="G443" i="24"/>
  <c r="G434" i="24"/>
  <c r="G447" i="24"/>
  <c r="G435" i="24"/>
  <c r="G444" i="24"/>
  <c r="G436" i="24"/>
  <c r="G441" i="24"/>
  <c r="G448" i="24"/>
  <c r="G445" i="24"/>
  <c r="G358" i="24"/>
  <c r="G442" i="24"/>
  <c r="G449" i="24"/>
  <c r="I54" i="2"/>
  <c r="P55" i="2"/>
  <c r="I53" i="2"/>
  <c r="I55" i="2"/>
  <c r="G381" i="24"/>
  <c r="G437" i="24"/>
  <c r="G438" i="24"/>
  <c r="I52" i="2"/>
  <c r="P51" i="2"/>
  <c r="I51" i="2"/>
  <c r="J46" i="12"/>
  <c r="L46" i="12" s="1"/>
  <c r="P46" i="2"/>
  <c r="I116" i="14"/>
  <c r="G226" i="24"/>
  <c r="I47" i="2"/>
  <c r="G432" i="24"/>
  <c r="I50" i="2"/>
  <c r="G433" i="24"/>
  <c r="V50" i="12"/>
  <c r="X50" i="12" s="1"/>
  <c r="Y46" i="12"/>
  <c r="AA46" i="12" s="1"/>
  <c r="G50" i="12"/>
  <c r="I50" i="12" s="1"/>
  <c r="D50" i="12"/>
  <c r="F50" i="12" s="1"/>
  <c r="D49" i="12"/>
  <c r="F49" i="12" s="1"/>
  <c r="J51" i="12"/>
  <c r="L51" i="12" s="1"/>
  <c r="I115" i="14"/>
  <c r="I114" i="14"/>
  <c r="I107" i="14"/>
  <c r="I111" i="14"/>
  <c r="G360" i="24"/>
  <c r="I108" i="14"/>
  <c r="G355" i="24"/>
  <c r="G345" i="24"/>
  <c r="G353" i="24"/>
  <c r="G362" i="24"/>
  <c r="G352" i="24"/>
  <c r="G361" i="24"/>
  <c r="G394" i="24"/>
  <c r="G350" i="24"/>
  <c r="G359" i="24"/>
  <c r="G377" i="24"/>
  <c r="G369" i="24"/>
  <c r="G404" i="24"/>
  <c r="G347" i="24"/>
  <c r="G348" i="24"/>
  <c r="G391" i="24"/>
  <c r="G387" i="24"/>
  <c r="G357" i="24"/>
  <c r="G401" i="24"/>
  <c r="G356" i="24"/>
  <c r="G367" i="24"/>
  <c r="G363" i="24"/>
  <c r="G384" i="24"/>
  <c r="G411" i="24"/>
  <c r="G368" i="24"/>
  <c r="G378" i="24"/>
  <c r="G388" i="24"/>
  <c r="G398" i="24"/>
  <c r="G408" i="24"/>
  <c r="G418" i="24"/>
  <c r="G375" i="24"/>
  <c r="G385" i="24"/>
  <c r="G395" i="24"/>
  <c r="G405" i="24"/>
  <c r="G419" i="24"/>
  <c r="G425" i="24"/>
  <c r="G354" i="24"/>
  <c r="G366" i="24"/>
  <c r="G374" i="24"/>
  <c r="G382" i="24"/>
  <c r="G392" i="24"/>
  <c r="G402" i="24"/>
  <c r="G412" i="24"/>
  <c r="G365" i="24"/>
  <c r="G373" i="24"/>
  <c r="G379" i="24"/>
  <c r="G389" i="24"/>
  <c r="G399" i="24"/>
  <c r="G409" i="24"/>
  <c r="G417" i="24"/>
  <c r="G344" i="24"/>
  <c r="G364" i="24"/>
  <c r="G372" i="24"/>
  <c r="G376" i="24"/>
  <c r="G386" i="24"/>
  <c r="G396" i="24"/>
  <c r="G406" i="24"/>
  <c r="G416" i="24"/>
  <c r="G423" i="24"/>
  <c r="G427" i="24"/>
  <c r="G371" i="24"/>
  <c r="G383" i="24"/>
  <c r="G393" i="24"/>
  <c r="G403" i="24"/>
  <c r="G415" i="24"/>
  <c r="G430" i="24"/>
  <c r="G370" i="24"/>
  <c r="G380" i="24"/>
  <c r="G390" i="24"/>
  <c r="G400" i="24"/>
  <c r="G410" i="24"/>
  <c r="G414" i="24"/>
  <c r="G421" i="24"/>
  <c r="G397" i="24"/>
  <c r="G424" i="24"/>
  <c r="C424" i="24" s="1"/>
  <c r="P45" i="2"/>
  <c r="I45" i="2"/>
  <c r="D46" i="12"/>
  <c r="F46" i="12" s="1"/>
  <c r="G340" i="24"/>
  <c r="I43" i="2"/>
  <c r="P44" i="2"/>
  <c r="P42" i="2"/>
  <c r="G343" i="24"/>
  <c r="I42" i="2"/>
  <c r="G342" i="24"/>
  <c r="D45" i="12"/>
  <c r="F45" i="12" s="1"/>
  <c r="G264" i="24"/>
  <c r="G272" i="24"/>
  <c r="G263" i="24"/>
  <c r="G268" i="24"/>
  <c r="G316" i="24"/>
  <c r="G289" i="24"/>
  <c r="G278" i="24"/>
  <c r="G303" i="24"/>
  <c r="I90" i="14"/>
  <c r="I91" i="14"/>
  <c r="G266" i="24"/>
  <c r="G292" i="24"/>
  <c r="G306" i="24"/>
  <c r="G319" i="24"/>
  <c r="G309" i="24"/>
  <c r="G321" i="24"/>
  <c r="G265" i="24"/>
  <c r="G291" i="24"/>
  <c r="G305" i="24"/>
  <c r="G318" i="24"/>
  <c r="G334" i="24"/>
  <c r="G273" i="24"/>
  <c r="G290" i="24"/>
  <c r="G304" i="24"/>
  <c r="G317" i="24"/>
  <c r="G329" i="24"/>
  <c r="G333" i="24"/>
  <c r="G320" i="24"/>
  <c r="G328" i="24"/>
  <c r="G330" i="24"/>
  <c r="G271" i="24"/>
  <c r="G277" i="24"/>
  <c r="G281" i="24"/>
  <c r="G288" i="24"/>
  <c r="G296" i="24"/>
  <c r="G302" i="24"/>
  <c r="G315" i="24"/>
  <c r="G327" i="24"/>
  <c r="G270" i="24"/>
  <c r="G276" i="24"/>
  <c r="G280" i="24"/>
  <c r="G287" i="24"/>
  <c r="G301" i="24"/>
  <c r="G314" i="24"/>
  <c r="G326" i="24"/>
  <c r="G339" i="24"/>
  <c r="I40" i="2"/>
  <c r="G297" i="24"/>
  <c r="G269" i="24"/>
  <c r="G275" i="24"/>
  <c r="G279" i="24"/>
  <c r="G286" i="24"/>
  <c r="G295" i="24"/>
  <c r="G300" i="24"/>
  <c r="G313" i="24"/>
  <c r="G325" i="24"/>
  <c r="G338" i="24"/>
  <c r="P40" i="2"/>
  <c r="G285" i="24"/>
  <c r="G294" i="24"/>
  <c r="G298" i="24"/>
  <c r="G299" i="24"/>
  <c r="G312" i="24"/>
  <c r="G324" i="24"/>
  <c r="G337" i="24"/>
  <c r="G267" i="24"/>
  <c r="G284" i="24"/>
  <c r="G293" i="24"/>
  <c r="G308" i="24"/>
  <c r="G311" i="24"/>
  <c r="G323" i="24"/>
  <c r="G332" i="24"/>
  <c r="G336" i="24"/>
  <c r="G282" i="24"/>
  <c r="G307" i="24"/>
  <c r="I85" i="14"/>
  <c r="I87" i="14"/>
  <c r="G231" i="24"/>
  <c r="I88" i="14"/>
  <c r="I83" i="14"/>
  <c r="G258" i="24"/>
  <c r="G261" i="24"/>
  <c r="I38" i="2"/>
  <c r="I82" i="14"/>
  <c r="G259" i="24"/>
  <c r="G245" i="24"/>
  <c r="G241" i="24"/>
  <c r="G242" i="24"/>
  <c r="G239" i="24"/>
  <c r="G252" i="24"/>
  <c r="G232" i="24"/>
  <c r="G246" i="24"/>
  <c r="G243" i="24"/>
  <c r="G240" i="24"/>
  <c r="G256" i="24"/>
  <c r="G255" i="24"/>
  <c r="P39" i="2"/>
  <c r="G238" i="24"/>
  <c r="G244" i="24"/>
  <c r="G254" i="24"/>
  <c r="G237" i="24"/>
  <c r="G253" i="24"/>
  <c r="G236" i="24"/>
  <c r="G235" i="24"/>
  <c r="G249" i="24"/>
  <c r="G250" i="24"/>
  <c r="G234" i="24"/>
  <c r="G248" i="24"/>
  <c r="P38" i="2"/>
  <c r="I76" i="14"/>
  <c r="I75" i="14"/>
  <c r="M43" i="12"/>
  <c r="O43" i="12" s="1"/>
  <c r="P44" i="12"/>
  <c r="R44" i="12" s="1"/>
  <c r="S45" i="12"/>
  <c r="U45" i="12" s="1"/>
  <c r="D48" i="12"/>
  <c r="F48" i="12" s="1"/>
  <c r="G49" i="12"/>
  <c r="I49" i="12" s="1"/>
  <c r="J50" i="12"/>
  <c r="L50" i="12" s="1"/>
  <c r="M51" i="12"/>
  <c r="O51" i="12" s="1"/>
  <c r="P43" i="12"/>
  <c r="R43" i="12" s="1"/>
  <c r="S44" i="12"/>
  <c r="U44" i="12" s="1"/>
  <c r="V45" i="12"/>
  <c r="X45" i="12" s="1"/>
  <c r="D47" i="12"/>
  <c r="F47" i="12" s="1"/>
  <c r="G48" i="12"/>
  <c r="I48" i="12" s="1"/>
  <c r="J49" i="12"/>
  <c r="L49" i="12" s="1"/>
  <c r="M50" i="12"/>
  <c r="O50" i="12" s="1"/>
  <c r="P51" i="12"/>
  <c r="R51" i="12" s="1"/>
  <c r="S43" i="12"/>
  <c r="U43" i="12" s="1"/>
  <c r="V44" i="12"/>
  <c r="X44" i="12" s="1"/>
  <c r="Y45" i="12"/>
  <c r="AA45" i="12" s="1"/>
  <c r="G47" i="12"/>
  <c r="I47" i="12" s="1"/>
  <c r="J48" i="12"/>
  <c r="L48" i="12" s="1"/>
  <c r="M49" i="12"/>
  <c r="O49" i="12" s="1"/>
  <c r="P50" i="12"/>
  <c r="R50" i="12" s="1"/>
  <c r="S51" i="12"/>
  <c r="U51" i="12" s="1"/>
  <c r="V43" i="12"/>
  <c r="X43" i="12" s="1"/>
  <c r="Y44" i="12"/>
  <c r="AA44" i="12" s="1"/>
  <c r="J47" i="12"/>
  <c r="L47" i="12" s="1"/>
  <c r="M48" i="12"/>
  <c r="O48" i="12" s="1"/>
  <c r="P49" i="12"/>
  <c r="R49" i="12" s="1"/>
  <c r="S50" i="12"/>
  <c r="U50" i="12" s="1"/>
  <c r="V51" i="12"/>
  <c r="X51" i="12" s="1"/>
  <c r="Y43" i="12"/>
  <c r="AA43" i="12" s="1"/>
  <c r="G46" i="12"/>
  <c r="I46" i="12" s="1"/>
  <c r="M47" i="12"/>
  <c r="O47" i="12" s="1"/>
  <c r="P48" i="12"/>
  <c r="R48" i="12" s="1"/>
  <c r="S49" i="12"/>
  <c r="U49" i="12" s="1"/>
  <c r="Y51" i="12"/>
  <c r="AA51" i="12" s="1"/>
  <c r="P47" i="12"/>
  <c r="R47" i="12" s="1"/>
  <c r="S48" i="12"/>
  <c r="U48" i="12" s="1"/>
  <c r="V49" i="12"/>
  <c r="X49" i="12" s="1"/>
  <c r="Y50" i="12"/>
  <c r="AA50" i="12" s="1"/>
  <c r="D44" i="12"/>
  <c r="F44" i="12" s="1"/>
  <c r="G45" i="12"/>
  <c r="I45" i="12" s="1"/>
  <c r="M46" i="12"/>
  <c r="S47" i="12"/>
  <c r="U47" i="12" s="1"/>
  <c r="V48" i="12"/>
  <c r="X48" i="12" s="1"/>
  <c r="Y49" i="12"/>
  <c r="AA49" i="12" s="1"/>
  <c r="D43" i="12"/>
  <c r="F43" i="12" s="1"/>
  <c r="G44" i="12"/>
  <c r="I44" i="12" s="1"/>
  <c r="J45" i="12"/>
  <c r="L45" i="12" s="1"/>
  <c r="P46" i="12"/>
  <c r="R46" i="12" s="1"/>
  <c r="V47" i="12"/>
  <c r="X47" i="12" s="1"/>
  <c r="Y48" i="12"/>
  <c r="AA48" i="12" s="1"/>
  <c r="D51" i="12"/>
  <c r="G43" i="12"/>
  <c r="I43" i="12" s="1"/>
  <c r="J44" i="12"/>
  <c r="L44" i="12" s="1"/>
  <c r="M45" i="12"/>
  <c r="O45" i="12" s="1"/>
  <c r="S46" i="12"/>
  <c r="U46" i="12" s="1"/>
  <c r="Y47" i="12"/>
  <c r="AA47" i="12" s="1"/>
  <c r="G51" i="12"/>
  <c r="I51" i="12" s="1"/>
  <c r="J43" i="12"/>
  <c r="L43" i="12" s="1"/>
  <c r="M44" i="12"/>
  <c r="O44" i="12" s="1"/>
  <c r="P45" i="12"/>
  <c r="R45" i="12" s="1"/>
  <c r="V46" i="12"/>
  <c r="X46" i="12" s="1"/>
  <c r="I37" i="2"/>
  <c r="P37" i="2"/>
  <c r="P34" i="2"/>
  <c r="I72" i="14"/>
  <c r="I71" i="14"/>
  <c r="C222" i="24"/>
  <c r="P36" i="2"/>
  <c r="G205" i="24"/>
  <c r="I35" i="2"/>
  <c r="G215" i="24"/>
  <c r="P35" i="2"/>
  <c r="C218" i="24"/>
  <c r="G225" i="24"/>
  <c r="G201" i="24"/>
  <c r="C201" i="24" s="1"/>
  <c r="C204" i="24"/>
  <c r="P32" i="2"/>
  <c r="I65" i="14"/>
  <c r="G188" i="24"/>
  <c r="G200" i="24"/>
  <c r="C200" i="24" s="1"/>
  <c r="G202" i="24"/>
  <c r="G212" i="24"/>
  <c r="G223" i="24"/>
  <c r="I66" i="14"/>
  <c r="G199" i="24"/>
  <c r="C199" i="24" s="1"/>
  <c r="G209" i="24"/>
  <c r="G219" i="24"/>
  <c r="G230" i="24"/>
  <c r="G206" i="24"/>
  <c r="G216" i="24"/>
  <c r="G227" i="24"/>
  <c r="I67" i="14"/>
  <c r="G191" i="24"/>
  <c r="C191" i="24" s="1"/>
  <c r="G203" i="24"/>
  <c r="G213" i="24"/>
  <c r="G221" i="24"/>
  <c r="G210" i="24"/>
  <c r="G220" i="24"/>
  <c r="G198" i="24"/>
  <c r="C198" i="24" s="1"/>
  <c r="G207" i="24"/>
  <c r="G217" i="24"/>
  <c r="G228" i="24"/>
  <c r="I34" i="2"/>
  <c r="G195" i="24"/>
  <c r="C195" i="24" s="1"/>
  <c r="G197" i="24"/>
  <c r="C197" i="24" s="1"/>
  <c r="G214" i="24"/>
  <c r="G224" i="24"/>
  <c r="I64" i="14"/>
  <c r="G194" i="24"/>
  <c r="C194" i="24" s="1"/>
  <c r="G196" i="24"/>
  <c r="C196" i="24" s="1"/>
  <c r="G211" i="24"/>
  <c r="G193" i="24"/>
  <c r="C193" i="24" s="1"/>
  <c r="G192" i="24"/>
  <c r="C192" i="24" s="1"/>
  <c r="G11" i="12"/>
  <c r="I11" i="12" s="1"/>
  <c r="I61" i="14"/>
  <c r="I62" i="14"/>
  <c r="I60" i="14"/>
  <c r="I59" i="14"/>
  <c r="I55" i="14"/>
  <c r="I54" i="14"/>
  <c r="G48" i="24"/>
  <c r="G44" i="24"/>
  <c r="G159" i="24"/>
  <c r="C159" i="24" s="1"/>
  <c r="G175" i="24"/>
  <c r="G174" i="24"/>
  <c r="C174" i="24" s="1"/>
  <c r="G185" i="24"/>
  <c r="G172" i="24"/>
  <c r="C172" i="24" s="1"/>
  <c r="G173" i="24"/>
  <c r="C173" i="24" s="1"/>
  <c r="G182" i="24"/>
  <c r="G184" i="24"/>
  <c r="G189" i="24"/>
  <c r="G181" i="24"/>
  <c r="G183" i="24"/>
  <c r="G186" i="24"/>
  <c r="G180" i="24"/>
  <c r="G179" i="24"/>
  <c r="G178" i="24"/>
  <c r="G190" i="24"/>
  <c r="P31" i="2"/>
  <c r="G177" i="24"/>
  <c r="G40" i="12"/>
  <c r="I40" i="12" s="1"/>
  <c r="G30" i="12"/>
  <c r="I30" i="12" s="1"/>
  <c r="G20" i="12"/>
  <c r="I20" i="12" s="1"/>
  <c r="G10" i="12"/>
  <c r="I10" i="12" s="1"/>
  <c r="G39" i="12"/>
  <c r="I39" i="12" s="1"/>
  <c r="G29" i="12"/>
  <c r="I29" i="12" s="1"/>
  <c r="G19" i="12"/>
  <c r="I19" i="12" s="1"/>
  <c r="G38" i="12"/>
  <c r="I38" i="12" s="1"/>
  <c r="G28" i="12"/>
  <c r="I28" i="12" s="1"/>
  <c r="G18" i="12"/>
  <c r="I18" i="12" s="1"/>
  <c r="G37" i="12"/>
  <c r="I37" i="12" s="1"/>
  <c r="G27" i="12"/>
  <c r="I27" i="12" s="1"/>
  <c r="G17" i="12"/>
  <c r="I17" i="12" s="1"/>
  <c r="G36" i="12"/>
  <c r="I36" i="12" s="1"/>
  <c r="G26" i="12"/>
  <c r="I26" i="12" s="1"/>
  <c r="G16" i="12"/>
  <c r="I16" i="12" s="1"/>
  <c r="G35" i="12"/>
  <c r="I35" i="12" s="1"/>
  <c r="G25" i="12"/>
  <c r="I25" i="12" s="1"/>
  <c r="G15" i="12"/>
  <c r="I15" i="12" s="1"/>
  <c r="G34" i="12"/>
  <c r="I34" i="12" s="1"/>
  <c r="G24" i="12"/>
  <c r="I24" i="12" s="1"/>
  <c r="G14" i="12"/>
  <c r="I14" i="12" s="1"/>
  <c r="G33" i="12"/>
  <c r="I33" i="12" s="1"/>
  <c r="G23" i="12"/>
  <c r="I23" i="12" s="1"/>
  <c r="G13" i="12"/>
  <c r="I13" i="12" s="1"/>
  <c r="G42" i="12"/>
  <c r="I42" i="12" s="1"/>
  <c r="G32" i="12"/>
  <c r="I32" i="12" s="1"/>
  <c r="G22" i="12"/>
  <c r="I22" i="12" s="1"/>
  <c r="G12" i="12"/>
  <c r="I12" i="12" s="1"/>
  <c r="G41" i="12"/>
  <c r="I41" i="12" s="1"/>
  <c r="G31" i="12"/>
  <c r="I31" i="12" s="1"/>
  <c r="G21" i="12"/>
  <c r="I21" i="12" s="1"/>
  <c r="I49" i="14"/>
  <c r="I43" i="14"/>
  <c r="G146" i="24"/>
  <c r="C146" i="24" s="1"/>
  <c r="I38" i="14"/>
  <c r="P48" i="2" s="1"/>
  <c r="G158" i="24"/>
  <c r="C158" i="24" s="1"/>
  <c r="G151" i="24"/>
  <c r="C151" i="24" s="1"/>
  <c r="G150" i="24"/>
  <c r="C150" i="24" s="1"/>
  <c r="I16" i="2"/>
  <c r="G160" i="24"/>
  <c r="C160" i="24" s="1"/>
  <c r="Y10" i="12"/>
  <c r="Y39" i="12"/>
  <c r="Y29" i="12"/>
  <c r="Y19" i="12"/>
  <c r="Y38" i="12"/>
  <c r="Y28" i="12"/>
  <c r="Y18" i="12"/>
  <c r="Y27" i="12"/>
  <c r="Y17" i="12"/>
  <c r="Y37" i="12"/>
  <c r="Y36" i="12"/>
  <c r="Y26" i="12"/>
  <c r="Y16" i="12"/>
  <c r="Y35" i="12"/>
  <c r="Y25" i="12"/>
  <c r="Y15" i="12"/>
  <c r="Y34" i="12"/>
  <c r="Y24" i="12"/>
  <c r="AA24" i="12" s="1"/>
  <c r="Y14" i="12"/>
  <c r="Y33" i="12"/>
  <c r="Y23" i="12"/>
  <c r="Y13" i="12"/>
  <c r="Y42" i="12"/>
  <c r="Y32" i="12"/>
  <c r="Y22" i="12"/>
  <c r="Y12" i="12"/>
  <c r="Y41" i="12"/>
  <c r="Y31" i="12"/>
  <c r="Y21" i="12"/>
  <c r="Y11" i="12"/>
  <c r="Y40" i="12"/>
  <c r="Y30" i="12"/>
  <c r="Y20" i="12"/>
  <c r="P27" i="2"/>
  <c r="G169" i="24"/>
  <c r="C169" i="24" s="1"/>
  <c r="G168" i="24"/>
  <c r="C168" i="24" s="1"/>
  <c r="G167" i="24"/>
  <c r="C167" i="24" s="1"/>
  <c r="G171" i="24"/>
  <c r="C171" i="24" s="1"/>
  <c r="G148" i="24"/>
  <c r="C148" i="24" s="1"/>
  <c r="G166" i="24"/>
  <c r="C166" i="24" s="1"/>
  <c r="G170" i="24"/>
  <c r="C170" i="24" s="1"/>
  <c r="G147" i="24"/>
  <c r="C147" i="24" s="1"/>
  <c r="G161" i="24"/>
  <c r="C161" i="24" s="1"/>
  <c r="I28" i="2"/>
  <c r="G163" i="24"/>
  <c r="C163" i="24" s="1"/>
  <c r="G164" i="24"/>
  <c r="C164" i="24" s="1"/>
  <c r="G162" i="24"/>
  <c r="C162" i="24" s="1"/>
  <c r="I31" i="14"/>
  <c r="G149" i="24"/>
  <c r="C149" i="24" s="1"/>
  <c r="I33" i="14"/>
  <c r="G57" i="24"/>
  <c r="G156" i="24"/>
  <c r="C156" i="24" s="1"/>
  <c r="G155" i="24"/>
  <c r="C155" i="24" s="1"/>
  <c r="G154" i="24"/>
  <c r="C154" i="24" s="1"/>
  <c r="G153" i="24"/>
  <c r="C153" i="24" s="1"/>
  <c r="I13" i="2"/>
  <c r="G51" i="24"/>
  <c r="G55" i="24"/>
  <c r="I30" i="14"/>
  <c r="G76" i="24"/>
  <c r="G97" i="24"/>
  <c r="G80" i="24"/>
  <c r="G84" i="24"/>
  <c r="G63" i="24"/>
  <c r="G96" i="24"/>
  <c r="G87" i="24"/>
  <c r="G90" i="24"/>
  <c r="G86" i="24"/>
  <c r="G124" i="24"/>
  <c r="C123" i="24"/>
  <c r="G99" i="24"/>
  <c r="G94" i="24"/>
  <c r="G77" i="24"/>
  <c r="G125" i="24"/>
  <c r="G137" i="24"/>
  <c r="G127" i="24"/>
  <c r="G142" i="24"/>
  <c r="G75" i="24"/>
  <c r="G49" i="24"/>
  <c r="G136" i="24"/>
  <c r="G126" i="24"/>
  <c r="G60" i="24"/>
  <c r="G95" i="24"/>
  <c r="G56" i="24"/>
  <c r="G135" i="24"/>
  <c r="G134" i="24"/>
  <c r="G122" i="24"/>
  <c r="I25" i="2"/>
  <c r="G133" i="24"/>
  <c r="G132" i="24"/>
  <c r="G66" i="24"/>
  <c r="G131" i="24"/>
  <c r="G141" i="24"/>
  <c r="G58" i="24"/>
  <c r="G47" i="24"/>
  <c r="G130" i="24"/>
  <c r="G140" i="24"/>
  <c r="G145" i="24"/>
  <c r="G61" i="24"/>
  <c r="G54" i="24"/>
  <c r="G50" i="24"/>
  <c r="G129" i="24"/>
  <c r="G139" i="24"/>
  <c r="G144" i="24"/>
  <c r="G128" i="24"/>
  <c r="G138" i="24"/>
  <c r="G143" i="24"/>
  <c r="I26" i="2"/>
  <c r="G100" i="24"/>
  <c r="G68" i="24"/>
  <c r="G23" i="24"/>
  <c r="G33" i="24"/>
  <c r="G26" i="24"/>
  <c r="G19" i="24"/>
  <c r="I21" i="2"/>
  <c r="G21" i="24"/>
  <c r="G65" i="24"/>
  <c r="G20" i="24"/>
  <c r="I19" i="2"/>
  <c r="G30" i="24"/>
  <c r="G16" i="24"/>
  <c r="G71" i="24"/>
  <c r="I17" i="2"/>
  <c r="G64" i="24"/>
  <c r="I14" i="2"/>
  <c r="G67" i="24"/>
  <c r="G36" i="24"/>
  <c r="G29" i="24"/>
  <c r="G22" i="24"/>
  <c r="G83" i="24"/>
  <c r="G79" i="24"/>
  <c r="G70" i="24"/>
  <c r="G32" i="24"/>
  <c r="G25" i="24"/>
  <c r="G69" i="24"/>
  <c r="G31" i="24"/>
  <c r="G24" i="24"/>
  <c r="G17" i="24"/>
  <c r="G93" i="24"/>
  <c r="G85" i="24"/>
  <c r="G72" i="24"/>
  <c r="G34" i="24"/>
  <c r="G27" i="24"/>
  <c r="G89" i="24"/>
  <c r="G103" i="24"/>
  <c r="G98" i="24"/>
  <c r="G88" i="24"/>
  <c r="G78" i="24"/>
  <c r="G59" i="24"/>
  <c r="I15" i="2"/>
  <c r="G91" i="24"/>
  <c r="G81" i="24"/>
  <c r="G45" i="24"/>
  <c r="C73" i="24"/>
  <c r="G108" i="24"/>
  <c r="G40" i="24"/>
  <c r="G43" i="24"/>
  <c r="G41" i="24"/>
  <c r="G37" i="24"/>
  <c r="I11" i="2"/>
  <c r="G118" i="24"/>
  <c r="G15" i="24"/>
  <c r="G92" i="24"/>
  <c r="G82" i="24"/>
  <c r="G53" i="24"/>
  <c r="G46" i="24"/>
  <c r="G116" i="24"/>
  <c r="G119" i="24"/>
  <c r="G39" i="24"/>
  <c r="G105" i="24"/>
  <c r="G74" i="24"/>
  <c r="G104" i="24"/>
  <c r="G106" i="24"/>
  <c r="G117" i="24"/>
  <c r="C11" i="24"/>
  <c r="G121" i="24"/>
  <c r="G107" i="24"/>
  <c r="G115" i="24"/>
  <c r="G120" i="24"/>
  <c r="P22" i="2"/>
  <c r="G109" i="24"/>
  <c r="G13" i="24"/>
  <c r="G9" i="24"/>
  <c r="G113" i="24"/>
  <c r="I18" i="2"/>
  <c r="G7" i="24"/>
  <c r="C18" i="24"/>
  <c r="G112" i="24"/>
  <c r="G62" i="24"/>
  <c r="G52" i="24"/>
  <c r="G42" i="24"/>
  <c r="G35" i="24"/>
  <c r="G111" i="24"/>
  <c r="G10" i="24"/>
  <c r="G110" i="24"/>
  <c r="G114" i="24"/>
  <c r="P20" i="2"/>
  <c r="G8" i="24"/>
  <c r="G101" i="24"/>
  <c r="G28" i="24"/>
  <c r="P21" i="2"/>
  <c r="G6" i="24"/>
  <c r="G12" i="24"/>
  <c r="G102" i="24"/>
  <c r="C5" i="24"/>
  <c r="C14" i="24"/>
  <c r="C38" i="24"/>
  <c r="S25" i="12"/>
  <c r="U25" i="12" s="1"/>
  <c r="I4" i="2"/>
  <c r="I9" i="2"/>
  <c r="E10" i="22" a="1"/>
  <c r="E10" i="22" s="1"/>
  <c r="V25" i="12"/>
  <c r="X25" i="12" s="1"/>
  <c r="D25" i="12"/>
  <c r="J25" i="12"/>
  <c r="L25" i="12" s="1"/>
  <c r="M25" i="12"/>
  <c r="O25" i="12" s="1"/>
  <c r="P25" i="12"/>
  <c r="R25" i="12" s="1"/>
  <c r="P12" i="2"/>
  <c r="P9" i="2"/>
  <c r="P13" i="12"/>
  <c r="R13" i="12" s="1"/>
  <c r="S13" i="12"/>
  <c r="U13" i="12" s="1"/>
  <c r="D13" i="12"/>
  <c r="M13" i="12"/>
  <c r="O13" i="12" s="1"/>
  <c r="V13" i="12"/>
  <c r="X13" i="12" s="1"/>
  <c r="J13" i="12"/>
  <c r="L13" i="12" s="1"/>
  <c r="I4" i="14"/>
  <c r="S24" i="12"/>
  <c r="U24" i="12" s="1"/>
  <c r="V24" i="12"/>
  <c r="X24" i="12" s="1"/>
  <c r="D24" i="12"/>
  <c r="M24" i="12"/>
  <c r="O24" i="12" s="1"/>
  <c r="D10" i="12"/>
  <c r="J24" i="12"/>
  <c r="L24" i="12" s="1"/>
  <c r="P24" i="12"/>
  <c r="R24" i="12" s="1"/>
  <c r="I21" i="14"/>
  <c r="I23" i="14"/>
  <c r="I22" i="14"/>
  <c r="I20" i="14"/>
  <c r="P8" i="2" s="1"/>
  <c r="AG98" i="6"/>
  <c r="AN85" i="6"/>
  <c r="AM85" i="6"/>
  <c r="AL85" i="6"/>
  <c r="AK85" i="6"/>
  <c r="AJ85" i="6"/>
  <c r="AI85" i="6"/>
  <c r="AH85" i="6"/>
  <c r="AG85" i="6"/>
  <c r="AC85" i="6"/>
  <c r="AB85" i="6"/>
  <c r="Y85" i="6"/>
  <c r="AO84" i="6"/>
  <c r="AP84" i="6" s="1"/>
  <c r="AD84" i="6"/>
  <c r="AO83" i="6"/>
  <c r="AP83" i="6" s="1"/>
  <c r="AD83" i="6"/>
  <c r="AO82" i="6"/>
  <c r="AP82" i="6" s="1"/>
  <c r="AD82" i="6"/>
  <c r="AO81" i="6"/>
  <c r="AP81" i="6" s="1"/>
  <c r="AD81" i="6"/>
  <c r="AO80" i="6"/>
  <c r="AP80" i="6" s="1"/>
  <c r="AD80" i="6"/>
  <c r="AO79" i="6"/>
  <c r="AP79" i="6" s="1"/>
  <c r="AD79" i="6"/>
  <c r="AO78" i="6"/>
  <c r="AP78" i="6" s="1"/>
  <c r="AD78" i="6"/>
  <c r="AO77" i="6"/>
  <c r="AP77" i="6" s="1"/>
  <c r="AD77" i="6"/>
  <c r="AO76" i="6"/>
  <c r="AD76" i="6"/>
  <c r="I109" i="14" l="1"/>
  <c r="X551" i="24"/>
  <c r="X552" i="24"/>
  <c r="X553" i="24"/>
  <c r="P60" i="2"/>
  <c r="X465" i="24"/>
  <c r="X466" i="24"/>
  <c r="X467" i="24"/>
  <c r="X464" i="24"/>
  <c r="X330" i="24"/>
  <c r="X331" i="24"/>
  <c r="X332" i="24"/>
  <c r="P28" i="2"/>
  <c r="X165" i="24"/>
  <c r="X166" i="24"/>
  <c r="X167" i="24"/>
  <c r="X162" i="24"/>
  <c r="X163" i="24"/>
  <c r="X164" i="24"/>
  <c r="X275" i="24"/>
  <c r="X595" i="24"/>
  <c r="X276" i="24"/>
  <c r="X277" i="24"/>
  <c r="X278" i="24"/>
  <c r="X269" i="24"/>
  <c r="X279" i="24"/>
  <c r="X270" i="24"/>
  <c r="X280" i="24"/>
  <c r="X271" i="24"/>
  <c r="X281" i="24"/>
  <c r="X272" i="24"/>
  <c r="X273" i="24"/>
  <c r="X593" i="24"/>
  <c r="X274" i="24"/>
  <c r="X594" i="24"/>
  <c r="P63" i="2"/>
  <c r="X525" i="24"/>
  <c r="X535" i="24"/>
  <c r="X526" i="24"/>
  <c r="X536" i="24"/>
  <c r="X527" i="24"/>
  <c r="X537" i="24"/>
  <c r="X518" i="24"/>
  <c r="X528" i="24"/>
  <c r="X538" i="24"/>
  <c r="X519" i="24"/>
  <c r="X529" i="24"/>
  <c r="X539" i="24"/>
  <c r="X520" i="24"/>
  <c r="X530" i="24"/>
  <c r="X540" i="24"/>
  <c r="X521" i="24"/>
  <c r="X531" i="24"/>
  <c r="X541" i="24"/>
  <c r="X522" i="24"/>
  <c r="X532" i="24"/>
  <c r="X542" i="24"/>
  <c r="X523" i="24"/>
  <c r="X533" i="24"/>
  <c r="X543" i="24"/>
  <c r="X524" i="24"/>
  <c r="X534" i="24"/>
  <c r="X125" i="24"/>
  <c r="X135" i="24"/>
  <c r="X145" i="24"/>
  <c r="X126" i="24"/>
  <c r="X136" i="24"/>
  <c r="X127" i="24"/>
  <c r="X137" i="24"/>
  <c r="X128" i="24"/>
  <c r="X138" i="24"/>
  <c r="X129" i="24"/>
  <c r="X139" i="24"/>
  <c r="X130" i="24"/>
  <c r="X140" i="24"/>
  <c r="X131" i="24"/>
  <c r="X141" i="24"/>
  <c r="X132" i="24"/>
  <c r="X142" i="24"/>
  <c r="X133" i="24"/>
  <c r="X143" i="24"/>
  <c r="X134" i="24"/>
  <c r="X144" i="24"/>
  <c r="X545" i="24"/>
  <c r="X546" i="24"/>
  <c r="X547" i="24"/>
  <c r="X548" i="24"/>
  <c r="X549" i="24"/>
  <c r="X550" i="24"/>
  <c r="X544" i="24"/>
  <c r="P61" i="2"/>
  <c r="X475" i="24"/>
  <c r="X485" i="24"/>
  <c r="X495" i="24"/>
  <c r="X476" i="24"/>
  <c r="X486" i="24"/>
  <c r="X496" i="24"/>
  <c r="X477" i="24"/>
  <c r="X487" i="24"/>
  <c r="X497" i="24"/>
  <c r="X468" i="24"/>
  <c r="X478" i="24"/>
  <c r="X488" i="24"/>
  <c r="X498" i="24"/>
  <c r="X469" i="24"/>
  <c r="X479" i="24"/>
  <c r="X489" i="24"/>
  <c r="X499" i="24"/>
  <c r="X470" i="24"/>
  <c r="X480" i="24"/>
  <c r="X490" i="24"/>
  <c r="X471" i="24"/>
  <c r="X481" i="24"/>
  <c r="X491" i="24"/>
  <c r="X472" i="24"/>
  <c r="X482" i="24"/>
  <c r="X492" i="24"/>
  <c r="X473" i="24"/>
  <c r="X483" i="24"/>
  <c r="X493" i="24"/>
  <c r="X474" i="24"/>
  <c r="X484" i="24"/>
  <c r="X494" i="24"/>
  <c r="X155" i="24"/>
  <c r="X455" i="24"/>
  <c r="X146" i="24"/>
  <c r="X156" i="24"/>
  <c r="X456" i="24"/>
  <c r="X147" i="24"/>
  <c r="X457" i="24"/>
  <c r="X148" i="24"/>
  <c r="X458" i="24"/>
  <c r="X149" i="24"/>
  <c r="X459" i="24"/>
  <c r="X569" i="24"/>
  <c r="X150" i="24"/>
  <c r="X450" i="24"/>
  <c r="X460" i="24"/>
  <c r="X151" i="24"/>
  <c r="X451" i="24"/>
  <c r="X461" i="24"/>
  <c r="X152" i="24"/>
  <c r="X452" i="24"/>
  <c r="X153" i="24"/>
  <c r="X453" i="24"/>
  <c r="X154" i="24"/>
  <c r="X454" i="24"/>
  <c r="X245" i="24"/>
  <c r="X246" i="24"/>
  <c r="X247" i="24"/>
  <c r="X248" i="24"/>
  <c r="X249" i="24"/>
  <c r="X250" i="24"/>
  <c r="X241" i="24"/>
  <c r="X242" i="24"/>
  <c r="X243" i="24"/>
  <c r="X244" i="24"/>
  <c r="X445" i="24"/>
  <c r="X446" i="24"/>
  <c r="X447" i="24"/>
  <c r="X448" i="24"/>
  <c r="X449" i="24"/>
  <c r="X251" i="24"/>
  <c r="X441" i="24"/>
  <c r="X442" i="24"/>
  <c r="X443" i="24"/>
  <c r="X444" i="24"/>
  <c r="X285" i="24"/>
  <c r="X295" i="24"/>
  <c r="X286" i="24"/>
  <c r="X296" i="24"/>
  <c r="X287" i="24"/>
  <c r="X297" i="24"/>
  <c r="X288" i="24"/>
  <c r="X289" i="24"/>
  <c r="X290" i="24"/>
  <c r="X291" i="24"/>
  <c r="X282" i="24"/>
  <c r="X292" i="24"/>
  <c r="X283" i="24"/>
  <c r="X293" i="24"/>
  <c r="X284" i="24"/>
  <c r="X294" i="24"/>
  <c r="P33" i="2"/>
  <c r="X195" i="24"/>
  <c r="X196" i="24"/>
  <c r="X197" i="24"/>
  <c r="X198" i="24"/>
  <c r="X199" i="24"/>
  <c r="X200" i="24"/>
  <c r="X191" i="24"/>
  <c r="X201" i="24"/>
  <c r="X192" i="24"/>
  <c r="X193" i="24"/>
  <c r="X194" i="24"/>
  <c r="X340" i="24"/>
  <c r="X341" i="24"/>
  <c r="X342" i="24"/>
  <c r="X343" i="24"/>
  <c r="X335" i="24"/>
  <c r="X336" i="24"/>
  <c r="X337" i="24"/>
  <c r="X338" i="24"/>
  <c r="X339" i="24"/>
  <c r="X333" i="24"/>
  <c r="X334" i="24"/>
  <c r="P59" i="2"/>
  <c r="X462" i="24"/>
  <c r="X463" i="24"/>
  <c r="P50" i="2"/>
  <c r="X435" i="24"/>
  <c r="X436" i="24"/>
  <c r="X437" i="24"/>
  <c r="X438" i="24"/>
  <c r="X439" i="24"/>
  <c r="X434" i="24"/>
  <c r="H598" i="24" a="1"/>
  <c r="H598" i="24" s="1"/>
  <c r="H596" i="24" a="1"/>
  <c r="H596" i="24" s="1"/>
  <c r="H597" i="24" a="1"/>
  <c r="H597" i="24" s="1"/>
  <c r="H594" i="24" a="1"/>
  <c r="H594" i="24" s="1"/>
  <c r="H595" i="24" a="1"/>
  <c r="H595" i="24" s="1"/>
  <c r="C102" i="24"/>
  <c r="C175" i="24"/>
  <c r="C255" i="24"/>
  <c r="C74" i="24"/>
  <c r="C181" i="24"/>
  <c r="C44" i="24"/>
  <c r="C136" i="24"/>
  <c r="C112" i="24"/>
  <c r="C75" i="24"/>
  <c r="C88" i="24"/>
  <c r="C65" i="24"/>
  <c r="C237" i="24"/>
  <c r="C121" i="24"/>
  <c r="C98" i="24"/>
  <c r="C31" i="24"/>
  <c r="C67" i="24"/>
  <c r="C21" i="24"/>
  <c r="C138" i="24"/>
  <c r="C130" i="24"/>
  <c r="C134" i="24"/>
  <c r="C127" i="24"/>
  <c r="C87" i="24"/>
  <c r="C178" i="24"/>
  <c r="C224" i="24"/>
  <c r="C210" i="24"/>
  <c r="C219" i="24"/>
  <c r="C254" i="24"/>
  <c r="C252" i="24"/>
  <c r="C311" i="24"/>
  <c r="C294" i="24"/>
  <c r="C275" i="24"/>
  <c r="C276" i="24"/>
  <c r="C330" i="24"/>
  <c r="C318" i="24"/>
  <c r="C370" i="24"/>
  <c r="C406" i="24"/>
  <c r="C389" i="24"/>
  <c r="C354" i="24"/>
  <c r="C388" i="24"/>
  <c r="C387" i="24"/>
  <c r="C361" i="24"/>
  <c r="C432" i="24"/>
  <c r="C438" i="24"/>
  <c r="C445" i="24"/>
  <c r="C349" i="24"/>
  <c r="C453" i="24"/>
  <c r="C462" i="24"/>
  <c r="C464" i="24"/>
  <c r="C471" i="24"/>
  <c r="C495" i="24"/>
  <c r="C475" i="24"/>
  <c r="C485" i="24"/>
  <c r="C518" i="24"/>
  <c r="C540" i="24"/>
  <c r="C534" i="24"/>
  <c r="C556" i="24"/>
  <c r="C568" i="24"/>
  <c r="C589" i="24"/>
  <c r="C580" i="24"/>
  <c r="C117" i="24"/>
  <c r="C19" i="24"/>
  <c r="C12" i="24"/>
  <c r="C139" i="24"/>
  <c r="C77" i="24"/>
  <c r="C15" i="24"/>
  <c r="C131" i="24"/>
  <c r="C118" i="24"/>
  <c r="C16" i="24"/>
  <c r="C23" i="24"/>
  <c r="C126" i="24"/>
  <c r="C97" i="24"/>
  <c r="C57" i="24"/>
  <c r="C212" i="24"/>
  <c r="C28" i="24"/>
  <c r="C132" i="24"/>
  <c r="C39" i="24"/>
  <c r="C93" i="24"/>
  <c r="C61" i="24"/>
  <c r="C8" i="24"/>
  <c r="C41" i="24"/>
  <c r="C145" i="24"/>
  <c r="C107" i="24"/>
  <c r="C43" i="24"/>
  <c r="C24" i="24"/>
  <c r="C36" i="24"/>
  <c r="C140" i="24"/>
  <c r="C142" i="24"/>
  <c r="C90" i="24"/>
  <c r="C51" i="24"/>
  <c r="C230" i="24"/>
  <c r="C232" i="24"/>
  <c r="C114" i="24"/>
  <c r="C7" i="24"/>
  <c r="C46" i="24"/>
  <c r="C40" i="24"/>
  <c r="C110" i="24"/>
  <c r="C53" i="24"/>
  <c r="C108" i="24"/>
  <c r="C103" i="24"/>
  <c r="C69" i="24"/>
  <c r="C128" i="24"/>
  <c r="C47" i="24"/>
  <c r="C135" i="24"/>
  <c r="C137" i="24"/>
  <c r="C96" i="24"/>
  <c r="C179" i="24"/>
  <c r="C185" i="24"/>
  <c r="C214" i="24"/>
  <c r="C221" i="24"/>
  <c r="C209" i="24"/>
  <c r="C244" i="24"/>
  <c r="C239" i="24"/>
  <c r="C308" i="24"/>
  <c r="C285" i="24"/>
  <c r="C269" i="24"/>
  <c r="C270" i="24"/>
  <c r="C328" i="24"/>
  <c r="C305" i="24"/>
  <c r="C342" i="24"/>
  <c r="C430" i="24"/>
  <c r="C396" i="24"/>
  <c r="C379" i="24"/>
  <c r="C425" i="24"/>
  <c r="C378" i="24"/>
  <c r="C391" i="24"/>
  <c r="C352" i="24"/>
  <c r="C437" i="24"/>
  <c r="C448" i="24"/>
  <c r="C454" i="24"/>
  <c r="C452" i="24"/>
  <c r="C483" i="24"/>
  <c r="C511" i="24"/>
  <c r="C494" i="24"/>
  <c r="C493" i="24"/>
  <c r="C480" i="24"/>
  <c r="C473" i="24"/>
  <c r="C536" i="24"/>
  <c r="C535" i="24"/>
  <c r="C548" i="24"/>
  <c r="C557" i="24"/>
  <c r="C569" i="24"/>
  <c r="C586" i="24"/>
  <c r="C591" i="24"/>
  <c r="C89" i="24"/>
  <c r="C58" i="24"/>
  <c r="C63" i="24"/>
  <c r="C180" i="24"/>
  <c r="C213" i="24"/>
  <c r="C248" i="24"/>
  <c r="C238" i="24"/>
  <c r="C242" i="24"/>
  <c r="C231" i="24"/>
  <c r="C293" i="24"/>
  <c r="C297" i="24"/>
  <c r="C327" i="24"/>
  <c r="C320" i="24"/>
  <c r="C291" i="24"/>
  <c r="C303" i="24"/>
  <c r="C415" i="24"/>
  <c r="C386" i="24"/>
  <c r="C373" i="24"/>
  <c r="C419" i="24"/>
  <c r="C368" i="24"/>
  <c r="C348" i="24"/>
  <c r="C362" i="24"/>
  <c r="C226" i="24"/>
  <c r="C381" i="24"/>
  <c r="C441" i="24"/>
  <c r="C461" i="24"/>
  <c r="C455" i="24"/>
  <c r="C474" i="24"/>
  <c r="C503" i="24"/>
  <c r="C514" i="24"/>
  <c r="C517" i="24"/>
  <c r="C526" i="24"/>
  <c r="C531" i="24"/>
  <c r="C532" i="24"/>
  <c r="C500" i="24"/>
  <c r="C549" i="24"/>
  <c r="C576" i="24"/>
  <c r="C584" i="24"/>
  <c r="C82" i="24"/>
  <c r="C203" i="24"/>
  <c r="C225" i="24"/>
  <c r="C234" i="24"/>
  <c r="C241" i="24"/>
  <c r="C284" i="24"/>
  <c r="C338" i="24"/>
  <c r="C315" i="24"/>
  <c r="C333" i="24"/>
  <c r="C265" i="24"/>
  <c r="C278" i="24"/>
  <c r="C343" i="24"/>
  <c r="C397" i="24"/>
  <c r="C403" i="24"/>
  <c r="C376" i="24"/>
  <c r="C365" i="24"/>
  <c r="C405" i="24"/>
  <c r="C411" i="24"/>
  <c r="C347" i="24"/>
  <c r="C353" i="24"/>
  <c r="C436" i="24"/>
  <c r="C456" i="24"/>
  <c r="C460" i="24"/>
  <c r="C486" i="24"/>
  <c r="C489" i="24"/>
  <c r="C502" i="24"/>
  <c r="C501" i="24"/>
  <c r="C525" i="24"/>
  <c r="C530" i="24"/>
  <c r="C533" i="24"/>
  <c r="C541" i="24"/>
  <c r="C546" i="24"/>
  <c r="C565" i="24"/>
  <c r="C560" i="24"/>
  <c r="C572" i="24"/>
  <c r="C590" i="24"/>
  <c r="C571" i="24"/>
  <c r="C111" i="24"/>
  <c r="C27" i="24"/>
  <c r="C26" i="24"/>
  <c r="C183" i="24"/>
  <c r="C223" i="24"/>
  <c r="C302" i="24"/>
  <c r="C329" i="24"/>
  <c r="C321" i="24"/>
  <c r="C289" i="24"/>
  <c r="C421" i="24"/>
  <c r="C393" i="24"/>
  <c r="C372" i="24"/>
  <c r="C412" i="24"/>
  <c r="C395" i="24"/>
  <c r="C384" i="24"/>
  <c r="C404" i="24"/>
  <c r="C345" i="24"/>
  <c r="C444" i="24"/>
  <c r="C457" i="24"/>
  <c r="C450" i="24"/>
  <c r="C468" i="24"/>
  <c r="C477" i="24"/>
  <c r="C499" i="24"/>
  <c r="C488" i="24"/>
  <c r="C496" i="24"/>
  <c r="C505" i="24"/>
  <c r="C520" i="24"/>
  <c r="C558" i="24"/>
  <c r="C573" i="24"/>
  <c r="C577" i="24"/>
  <c r="C581" i="24"/>
  <c r="C70" i="24"/>
  <c r="C250" i="24"/>
  <c r="C109" i="24"/>
  <c r="C259" i="24"/>
  <c r="C307" i="24"/>
  <c r="C337" i="24"/>
  <c r="C313" i="24"/>
  <c r="C326" i="24"/>
  <c r="C296" i="24"/>
  <c r="C317" i="24"/>
  <c r="C309" i="24"/>
  <c r="C316" i="24"/>
  <c r="C414" i="24"/>
  <c r="C383" i="24"/>
  <c r="C364" i="24"/>
  <c r="C402" i="24"/>
  <c r="C385" i="24"/>
  <c r="C363" i="24"/>
  <c r="C369" i="24"/>
  <c r="C355" i="24"/>
  <c r="C435" i="24"/>
  <c r="C351" i="24"/>
  <c r="C459" i="24"/>
  <c r="C482" i="24"/>
  <c r="C512" i="24"/>
  <c r="C498" i="24"/>
  <c r="C504" i="24"/>
  <c r="C470" i="24"/>
  <c r="C507" i="24"/>
  <c r="C538" i="24"/>
  <c r="C559" i="24"/>
  <c r="C550" i="24"/>
  <c r="C587" i="24"/>
  <c r="C592" i="24"/>
  <c r="C144" i="24"/>
  <c r="C106" i="24"/>
  <c r="C104" i="24"/>
  <c r="C34" i="24"/>
  <c r="C339" i="24"/>
  <c r="C52" i="24"/>
  <c r="C30" i="24"/>
  <c r="C76" i="24"/>
  <c r="C189" i="24"/>
  <c r="C48" i="24"/>
  <c r="C211" i="24"/>
  <c r="C227" i="24"/>
  <c r="C202" i="24"/>
  <c r="C215" i="24"/>
  <c r="C235" i="24"/>
  <c r="C240" i="24"/>
  <c r="C282" i="24"/>
  <c r="C324" i="24"/>
  <c r="C300" i="24"/>
  <c r="C314" i="24"/>
  <c r="C288" i="24"/>
  <c r="C304" i="24"/>
  <c r="C319" i="24"/>
  <c r="C268" i="24"/>
  <c r="C410" i="24"/>
  <c r="C371" i="24"/>
  <c r="C344" i="24"/>
  <c r="C392" i="24"/>
  <c r="C375" i="24"/>
  <c r="C367" i="24"/>
  <c r="C377" i="24"/>
  <c r="C447" i="24"/>
  <c r="C458" i="24"/>
  <c r="C472" i="24"/>
  <c r="C506" i="24"/>
  <c r="C509" i="24"/>
  <c r="C524" i="24"/>
  <c r="C529" i="24"/>
  <c r="C537" i="24"/>
  <c r="C555" i="24"/>
  <c r="C566" i="24"/>
  <c r="C574" i="24"/>
  <c r="C578" i="24"/>
  <c r="C113" i="24"/>
  <c r="C64" i="24"/>
  <c r="C9" i="24"/>
  <c r="C92" i="24"/>
  <c r="C32" i="24"/>
  <c r="C95" i="24"/>
  <c r="C71" i="24"/>
  <c r="C245" i="24"/>
  <c r="C42" i="24"/>
  <c r="C91" i="24"/>
  <c r="C66" i="24"/>
  <c r="C99" i="24"/>
  <c r="C228" i="24"/>
  <c r="C85" i="24"/>
  <c r="C120" i="24"/>
  <c r="C22" i="24"/>
  <c r="C133" i="24"/>
  <c r="C49" i="24"/>
  <c r="C124" i="24"/>
  <c r="C177" i="24"/>
  <c r="C184" i="24"/>
  <c r="C207" i="24"/>
  <c r="C216" i="24"/>
  <c r="C236" i="24"/>
  <c r="C243" i="24"/>
  <c r="C336" i="24"/>
  <c r="C312" i="24"/>
  <c r="C295" i="24"/>
  <c r="C301" i="24"/>
  <c r="C281" i="24"/>
  <c r="C290" i="24"/>
  <c r="C306" i="24"/>
  <c r="C263" i="24"/>
  <c r="C400" i="24"/>
  <c r="C427" i="24"/>
  <c r="C417" i="24"/>
  <c r="C382" i="24"/>
  <c r="C418" i="24"/>
  <c r="C356" i="24"/>
  <c r="C359" i="24"/>
  <c r="C360" i="24"/>
  <c r="C449" i="24"/>
  <c r="C434" i="24"/>
  <c r="C463" i="24"/>
  <c r="C465" i="24"/>
  <c r="C487" i="24"/>
  <c r="C492" i="24"/>
  <c r="C491" i="24"/>
  <c r="C469" i="24"/>
  <c r="C519" i="24"/>
  <c r="C426" i="24"/>
  <c r="C547" i="24"/>
  <c r="C567" i="24"/>
  <c r="C561" i="24"/>
  <c r="C570" i="24"/>
  <c r="C582" i="24"/>
  <c r="C10" i="24"/>
  <c r="C25" i="24"/>
  <c r="C56" i="24"/>
  <c r="C186" i="24"/>
  <c r="C35" i="24"/>
  <c r="C81" i="24"/>
  <c r="C33" i="24"/>
  <c r="C267" i="24"/>
  <c r="C72" i="24"/>
  <c r="C50" i="24"/>
  <c r="C256" i="24"/>
  <c r="C83" i="24"/>
  <c r="C54" i="24"/>
  <c r="C101" i="24"/>
  <c r="C59" i="24"/>
  <c r="C119" i="24"/>
  <c r="C78" i="24"/>
  <c r="C20" i="24"/>
  <c r="C86" i="24"/>
  <c r="C55" i="24"/>
  <c r="C182" i="24"/>
  <c r="C206" i="24"/>
  <c r="C188" i="24"/>
  <c r="C205" i="24"/>
  <c r="C253" i="24"/>
  <c r="C246" i="24"/>
  <c r="C261" i="24"/>
  <c r="C332" i="24"/>
  <c r="C299" i="24"/>
  <c r="C286" i="24"/>
  <c r="C287" i="24"/>
  <c r="C277" i="24"/>
  <c r="C273" i="24"/>
  <c r="C292" i="24"/>
  <c r="C272" i="24"/>
  <c r="C340" i="24"/>
  <c r="C390" i="24"/>
  <c r="C423" i="24"/>
  <c r="C409" i="24"/>
  <c r="C374" i="24"/>
  <c r="C408" i="24"/>
  <c r="C401" i="24"/>
  <c r="C350" i="24"/>
  <c r="C433" i="24"/>
  <c r="C442" i="24"/>
  <c r="C443" i="24"/>
  <c r="C451" i="24"/>
  <c r="C467" i="24"/>
  <c r="C478" i="24"/>
  <c r="C490" i="24"/>
  <c r="C497" i="24"/>
  <c r="C516" i="24"/>
  <c r="C523" i="24"/>
  <c r="C484" i="24"/>
  <c r="C543" i="24"/>
  <c r="C564" i="24"/>
  <c r="C588" i="24"/>
  <c r="C579" i="24"/>
  <c r="C125" i="24"/>
  <c r="C45" i="24"/>
  <c r="C141" i="24"/>
  <c r="C84" i="24"/>
  <c r="C13" i="24"/>
  <c r="C129" i="24"/>
  <c r="C60" i="24"/>
  <c r="C94" i="24"/>
  <c r="C80" i="24"/>
  <c r="C325" i="24"/>
  <c r="C79" i="24"/>
  <c r="C249" i="24"/>
  <c r="C105" i="24"/>
  <c r="C68" i="24"/>
  <c r="C62" i="24"/>
  <c r="C37" i="24"/>
  <c r="C100" i="24"/>
  <c r="C115" i="24"/>
  <c r="C17" i="24"/>
  <c r="C29" i="24"/>
  <c r="C116" i="24"/>
  <c r="C143" i="24"/>
  <c r="C122" i="24"/>
  <c r="C190" i="24"/>
  <c r="C220" i="24"/>
  <c r="C258" i="24"/>
  <c r="C323" i="24"/>
  <c r="C298" i="24"/>
  <c r="C279" i="24"/>
  <c r="C280" i="24"/>
  <c r="C271" i="24"/>
  <c r="C334" i="24"/>
  <c r="C266" i="24"/>
  <c r="C264" i="24"/>
  <c r="C380" i="24"/>
  <c r="C416" i="24"/>
  <c r="C399" i="24"/>
  <c r="C366" i="24"/>
  <c r="C398" i="24"/>
  <c r="C357" i="24"/>
  <c r="C394" i="24"/>
  <c r="C358" i="24"/>
  <c r="C446" i="24"/>
  <c r="C466" i="24"/>
  <c r="C481" i="24"/>
  <c r="C476" i="24"/>
  <c r="C513" i="24"/>
  <c r="C508" i="24"/>
  <c r="C522" i="24"/>
  <c r="C528" i="24"/>
  <c r="C539" i="24"/>
  <c r="C542" i="24"/>
  <c r="C562" i="24"/>
  <c r="C544" i="24"/>
  <c r="C551" i="24"/>
  <c r="C575" i="24"/>
  <c r="C583" i="24"/>
  <c r="C593" i="24"/>
  <c r="H593" i="24" a="1"/>
  <c r="H593" i="24" s="1"/>
  <c r="H592" i="24" a="1"/>
  <c r="H592" i="24" s="1"/>
  <c r="H590" i="24" a="1"/>
  <c r="H590" i="24" s="1"/>
  <c r="H591" i="24" a="1"/>
  <c r="H591" i="24" s="1"/>
  <c r="H587" i="24" a="1"/>
  <c r="H587" i="24" s="1"/>
  <c r="H588" i="24" a="1"/>
  <c r="H588" i="24" s="1"/>
  <c r="H589" i="24" a="1"/>
  <c r="H589" i="24" s="1"/>
  <c r="H585" i="24" a="1"/>
  <c r="H585" i="24" s="1"/>
  <c r="H586" i="24" a="1"/>
  <c r="H586" i="24" s="1"/>
  <c r="H582" i="24" a="1"/>
  <c r="H582" i="24" s="1"/>
  <c r="H583" i="24" a="1"/>
  <c r="H583" i="24" s="1"/>
  <c r="H584" i="24" a="1"/>
  <c r="H584" i="24" s="1"/>
  <c r="H574" i="24" a="1"/>
  <c r="H574" i="24" s="1"/>
  <c r="H571" i="24" a="1"/>
  <c r="H571" i="24" s="1"/>
  <c r="H573" i="24" a="1"/>
  <c r="H573" i="24" s="1"/>
  <c r="H576" i="24" a="1"/>
  <c r="H576" i="24" s="1"/>
  <c r="H578" i="24" a="1"/>
  <c r="H578" i="24" s="1"/>
  <c r="H581" i="24" a="1"/>
  <c r="H581" i="24" s="1"/>
  <c r="H570" i="24" a="1"/>
  <c r="H570" i="24" s="1"/>
  <c r="H572" i="24" a="1"/>
  <c r="H572" i="24" s="1"/>
  <c r="H579" i="24" a="1"/>
  <c r="H579" i="24" s="1"/>
  <c r="H580" i="24" a="1"/>
  <c r="H580" i="24" s="1"/>
  <c r="H577" i="24" a="1"/>
  <c r="H577" i="24" s="1"/>
  <c r="H575" i="24" a="1"/>
  <c r="H575" i="24" s="1"/>
  <c r="P57" i="2"/>
  <c r="P71" i="2"/>
  <c r="H569" i="24" a="1"/>
  <c r="H569" i="24" s="1"/>
  <c r="H568" i="24" a="1"/>
  <c r="H568" i="24" s="1"/>
  <c r="H565" i="24" a="1"/>
  <c r="H565" i="24" s="1"/>
  <c r="H566" i="24" a="1"/>
  <c r="H566" i="24" s="1"/>
  <c r="H567" i="24" a="1"/>
  <c r="H567" i="24" s="1"/>
  <c r="H556" i="24" a="1"/>
  <c r="H556" i="24" s="1"/>
  <c r="H564" i="24" a="1"/>
  <c r="H564" i="24" s="1"/>
  <c r="H549" i="24" a="1"/>
  <c r="H549" i="24" s="1"/>
  <c r="H554" i="24" a="1"/>
  <c r="H554" i="24" s="1"/>
  <c r="H557" i="24" a="1"/>
  <c r="H557" i="24" s="1"/>
  <c r="H558" i="24" a="1"/>
  <c r="H558" i="24" s="1"/>
  <c r="H559" i="24" a="1"/>
  <c r="H559" i="24" s="1"/>
  <c r="H560" i="24" a="1"/>
  <c r="H560" i="24" s="1"/>
  <c r="H561" i="24" a="1"/>
  <c r="H561" i="24" s="1"/>
  <c r="H562" i="24" a="1"/>
  <c r="H562" i="24" s="1"/>
  <c r="H555" i="24" a="1"/>
  <c r="H555" i="24" s="1"/>
  <c r="H563" i="24" a="1"/>
  <c r="H563" i="24" s="1"/>
  <c r="H547" i="24" a="1"/>
  <c r="H547" i="24" s="1"/>
  <c r="H546" i="24" a="1"/>
  <c r="H546" i="24" s="1"/>
  <c r="H551" i="24" a="1"/>
  <c r="H551" i="24" s="1"/>
  <c r="H544" i="24" a="1"/>
  <c r="H544" i="24" s="1"/>
  <c r="H548" i="24" a="1"/>
  <c r="H548" i="24" s="1"/>
  <c r="H553" i="24" a="1"/>
  <c r="H553" i="24" s="1"/>
  <c r="H545" i="24" a="1"/>
  <c r="H545" i="24" s="1"/>
  <c r="H550" i="24" a="1"/>
  <c r="H550" i="24" s="1"/>
  <c r="H552" i="24" a="1"/>
  <c r="H552" i="24" s="1"/>
  <c r="H426" i="24" a="1"/>
  <c r="H426" i="24" s="1"/>
  <c r="P49" i="2"/>
  <c r="P65" i="2"/>
  <c r="I52" i="14"/>
  <c r="P66" i="2"/>
  <c r="AB58" i="12"/>
  <c r="AD58" i="12" s="1"/>
  <c r="AE58" i="12" s="1"/>
  <c r="H539" i="24" a="1"/>
  <c r="H539" i="24" s="1"/>
  <c r="H543" i="24" a="1"/>
  <c r="H543" i="24" s="1"/>
  <c r="H540" i="24" a="1"/>
  <c r="H540" i="24" s="1"/>
  <c r="H535" i="24" a="1"/>
  <c r="H535" i="24" s="1"/>
  <c r="H541" i="24" a="1"/>
  <c r="H541" i="24" s="1"/>
  <c r="H542" i="24" a="1"/>
  <c r="H542" i="24" s="1"/>
  <c r="H538" i="24" a="1"/>
  <c r="H538" i="24" s="1"/>
  <c r="H536" i="24" a="1"/>
  <c r="H536" i="24" s="1"/>
  <c r="H532" i="24" a="1"/>
  <c r="H532" i="24" s="1"/>
  <c r="H537" i="24" a="1"/>
  <c r="H537" i="24" s="1"/>
  <c r="H534" i="24" a="1"/>
  <c r="H534" i="24" s="1"/>
  <c r="H533" i="24" a="1"/>
  <c r="H533" i="24" s="1"/>
  <c r="H518" i="24" a="1"/>
  <c r="H518" i="24" s="1"/>
  <c r="H522" i="24" a="1"/>
  <c r="H522" i="24" s="1"/>
  <c r="H519" i="24" a="1"/>
  <c r="H519" i="24" s="1"/>
  <c r="H520" i="24" a="1"/>
  <c r="H520" i="24" s="1"/>
  <c r="H527" i="24" a="1"/>
  <c r="H527" i="24" s="1"/>
  <c r="H526" i="24" a="1"/>
  <c r="H526" i="24" s="1"/>
  <c r="H525" i="24" a="1"/>
  <c r="H525" i="24" s="1"/>
  <c r="H523" i="24" a="1"/>
  <c r="H523" i="24" s="1"/>
  <c r="H530" i="24" a="1"/>
  <c r="H530" i="24" s="1"/>
  <c r="H528" i="24" a="1"/>
  <c r="H528" i="24" s="1"/>
  <c r="H524" i="24" a="1"/>
  <c r="H524" i="24" s="1"/>
  <c r="H521" i="24" a="1"/>
  <c r="H521" i="24" s="1"/>
  <c r="H531" i="24" a="1"/>
  <c r="H531" i="24" s="1"/>
  <c r="H529" i="24" a="1"/>
  <c r="H529" i="24" s="1"/>
  <c r="H499" i="24" a="1"/>
  <c r="H499" i="24" s="1"/>
  <c r="H496" i="24" a="1"/>
  <c r="H496" i="24" s="1"/>
  <c r="H498" i="24" a="1"/>
  <c r="H498" i="24" s="1"/>
  <c r="H495" i="24" a="1"/>
  <c r="H495" i="24" s="1"/>
  <c r="H493" i="24" a="1"/>
  <c r="H493" i="24" s="1"/>
  <c r="H494" i="24" a="1"/>
  <c r="H494" i="24" s="1"/>
  <c r="H497" i="24" a="1"/>
  <c r="H497" i="24" s="1"/>
  <c r="H492" i="24" a="1"/>
  <c r="H492" i="24" s="1"/>
  <c r="H510" i="24" a="1"/>
  <c r="H510" i="24" s="1"/>
  <c r="H491" i="24" a="1"/>
  <c r="H491" i="24" s="1"/>
  <c r="H515" i="24" a="1"/>
  <c r="H515" i="24" s="1"/>
  <c r="H513" i="24" a="1"/>
  <c r="H513" i="24" s="1"/>
  <c r="H511" i="24" a="1"/>
  <c r="H511" i="24" s="1"/>
  <c r="H516" i="24" a="1"/>
  <c r="H516" i="24" s="1"/>
  <c r="H517" i="24" a="1"/>
  <c r="H517" i="24" s="1"/>
  <c r="H509" i="24" a="1"/>
  <c r="H509" i="24" s="1"/>
  <c r="H514" i="24" a="1"/>
  <c r="H514" i="24" s="1"/>
  <c r="H512" i="24" a="1"/>
  <c r="H512" i="24" s="1"/>
  <c r="H507" i="24" a="1"/>
  <c r="H507" i="24" s="1"/>
  <c r="H508" i="24" a="1"/>
  <c r="H508" i="24" s="1"/>
  <c r="H505" i="24" a="1"/>
  <c r="H505" i="24" s="1"/>
  <c r="H506" i="24" a="1"/>
  <c r="H506" i="24" s="1"/>
  <c r="H503" i="24" a="1"/>
  <c r="H503" i="24" s="1"/>
  <c r="H504" i="24" a="1"/>
  <c r="H504" i="24" s="1"/>
  <c r="H501" i="24" a="1"/>
  <c r="H501" i="24" s="1"/>
  <c r="H502" i="24" a="1"/>
  <c r="H502" i="24" s="1"/>
  <c r="H489" i="24" a="1"/>
  <c r="H489" i="24" s="1"/>
  <c r="H490" i="24" a="1"/>
  <c r="H490" i="24" s="1"/>
  <c r="H488" i="24" a="1"/>
  <c r="H488" i="24" s="1"/>
  <c r="H500" i="24" a="1"/>
  <c r="H500" i="24" s="1"/>
  <c r="H486" i="24" a="1"/>
  <c r="H486" i="24" s="1"/>
  <c r="H487" i="24" a="1"/>
  <c r="H487" i="24" s="1"/>
  <c r="H484" i="24" a="1"/>
  <c r="H484" i="24" s="1"/>
  <c r="H485" i="24" a="1"/>
  <c r="H485" i="24" s="1"/>
  <c r="H469" i="24" a="1"/>
  <c r="H469" i="24" s="1"/>
  <c r="H483" i="24" a="1"/>
  <c r="H483" i="24" s="1"/>
  <c r="H481" i="24" a="1"/>
  <c r="H481" i="24" s="1"/>
  <c r="H482" i="24" a="1"/>
  <c r="H482" i="24" s="1"/>
  <c r="H480" i="24" a="1"/>
  <c r="H480" i="24" s="1"/>
  <c r="H478" i="24" a="1"/>
  <c r="H478" i="24" s="1"/>
  <c r="H479" i="24" a="1"/>
  <c r="H479" i="24" s="1"/>
  <c r="H476" i="24" a="1"/>
  <c r="H476" i="24" s="1"/>
  <c r="H477" i="24" a="1"/>
  <c r="H477" i="24" s="1"/>
  <c r="H474" i="24" a="1"/>
  <c r="H474" i="24" s="1"/>
  <c r="H475" i="24" a="1"/>
  <c r="H475" i="24" s="1"/>
  <c r="H472" i="24" a="1"/>
  <c r="H472" i="24" s="1"/>
  <c r="H473" i="24" a="1"/>
  <c r="H473" i="24" s="1"/>
  <c r="H470" i="24" a="1"/>
  <c r="H470" i="24" s="1"/>
  <c r="H471" i="24" a="1"/>
  <c r="H471" i="24" s="1"/>
  <c r="H468" i="24" a="1"/>
  <c r="H468" i="24" s="1"/>
  <c r="H464" i="24" a="1"/>
  <c r="H464" i="24" s="1"/>
  <c r="H467" i="24" a="1"/>
  <c r="H467" i="24" s="1"/>
  <c r="H466" i="24" a="1"/>
  <c r="H466" i="24" s="1"/>
  <c r="H465" i="24" a="1"/>
  <c r="H465" i="24" s="1"/>
  <c r="H461" i="24" a="1"/>
  <c r="H461" i="24" s="1"/>
  <c r="AB54" i="12"/>
  <c r="AD54" i="12" s="1"/>
  <c r="AE54" i="12" s="1"/>
  <c r="AB59" i="12"/>
  <c r="AD59" i="12" s="1"/>
  <c r="AE59" i="12" s="1"/>
  <c r="AB52" i="12"/>
  <c r="AD52" i="12" s="1"/>
  <c r="AE52" i="12" s="1"/>
  <c r="F59" i="12"/>
  <c r="AB56" i="12"/>
  <c r="AD56" i="12" s="1"/>
  <c r="AE56" i="12" s="1"/>
  <c r="AB61" i="12"/>
  <c r="AD61" i="12" s="1"/>
  <c r="AE61" i="12" s="1"/>
  <c r="F56" i="12"/>
  <c r="AB53" i="12"/>
  <c r="AD53" i="12" s="1"/>
  <c r="AE53" i="12" s="1"/>
  <c r="AB55" i="12"/>
  <c r="AD55" i="12" s="1"/>
  <c r="AE55" i="12" s="1"/>
  <c r="AB57" i="12"/>
  <c r="AD57" i="12" s="1"/>
  <c r="AE57" i="12" s="1"/>
  <c r="AB60" i="12"/>
  <c r="AD60" i="12" s="1"/>
  <c r="AE60" i="12" s="1"/>
  <c r="H463" i="24" a="1"/>
  <c r="H463" i="24" s="1"/>
  <c r="H462" i="24" a="1"/>
  <c r="H462" i="24" s="1"/>
  <c r="H460" i="24" a="1"/>
  <c r="H460" i="24" s="1"/>
  <c r="H454" i="24" a="1"/>
  <c r="H454" i="24" s="1"/>
  <c r="H459" i="24" a="1"/>
  <c r="H459" i="24" s="1"/>
  <c r="H452" i="24" a="1"/>
  <c r="H452" i="24" s="1"/>
  <c r="H457" i="24" a="1"/>
  <c r="H457" i="24" s="1"/>
  <c r="H453" i="24" a="1"/>
  <c r="H453" i="24" s="1"/>
  <c r="H458" i="24" a="1"/>
  <c r="H458" i="24" s="1"/>
  <c r="H455" i="24" a="1"/>
  <c r="H455" i="24" s="1"/>
  <c r="H451" i="24" a="1"/>
  <c r="H451" i="24" s="1"/>
  <c r="H450" i="24" a="1"/>
  <c r="H450" i="24" s="1"/>
  <c r="H456" i="24" a="1"/>
  <c r="H456" i="24" s="1"/>
  <c r="H449" i="24" a="1"/>
  <c r="H449" i="24" s="1"/>
  <c r="H447" i="24" a="1"/>
  <c r="H447" i="24" s="1"/>
  <c r="H448" i="24" a="1"/>
  <c r="H448" i="24" s="1"/>
  <c r="H444" i="24" a="1"/>
  <c r="H444" i="24" s="1"/>
  <c r="H446" i="24" a="1"/>
  <c r="H446" i="24" s="1"/>
  <c r="H445" i="24" a="1"/>
  <c r="H445" i="24" s="1"/>
  <c r="H443" i="24" a="1"/>
  <c r="H443" i="24" s="1"/>
  <c r="H441" i="24" a="1"/>
  <c r="H441" i="24" s="1"/>
  <c r="H442" i="24" a="1"/>
  <c r="H442" i="24" s="1"/>
  <c r="P43" i="2"/>
  <c r="P53" i="2"/>
  <c r="P54" i="2"/>
  <c r="H440" i="24" a="1"/>
  <c r="H440" i="24" s="1"/>
  <c r="H438" i="24" a="1"/>
  <c r="H438" i="24" s="1"/>
  <c r="H439" i="24" a="1"/>
  <c r="H439" i="24" s="1"/>
  <c r="H436" i="24" a="1"/>
  <c r="H436" i="24" s="1"/>
  <c r="H437" i="24" a="1"/>
  <c r="H437" i="24" s="1"/>
  <c r="H434" i="24" a="1"/>
  <c r="H434" i="24" s="1"/>
  <c r="H435" i="24" a="1"/>
  <c r="H435" i="24" s="1"/>
  <c r="H433" i="24" a="1"/>
  <c r="H433" i="24" s="1"/>
  <c r="H226" i="24" a="1"/>
  <c r="H226" i="24" s="1"/>
  <c r="H431" i="24" a="1"/>
  <c r="H431" i="24" s="1"/>
  <c r="H432" i="24" a="1"/>
  <c r="H432" i="24" s="1"/>
  <c r="I110" i="14"/>
  <c r="H428" i="24" a="1"/>
  <c r="H428" i="24" s="1"/>
  <c r="H429" i="24" a="1"/>
  <c r="H429" i="24" s="1"/>
  <c r="H430" i="24" a="1"/>
  <c r="H430" i="24" s="1"/>
  <c r="H425" i="24" a="1"/>
  <c r="H425" i="24" s="1"/>
  <c r="H427" i="24" a="1"/>
  <c r="H427" i="24" s="1"/>
  <c r="H419" i="24" a="1"/>
  <c r="H419" i="24" s="1"/>
  <c r="H424" i="24" a="1"/>
  <c r="H424" i="24" s="1"/>
  <c r="H421" i="24" a="1"/>
  <c r="H421" i="24" s="1"/>
  <c r="H422" i="24" a="1"/>
  <c r="H422" i="24" s="1"/>
  <c r="H423" i="24" a="1"/>
  <c r="H423" i="24" s="1"/>
  <c r="H420" i="24" a="1"/>
  <c r="H420" i="24" s="1"/>
  <c r="H418" i="24" a="1"/>
  <c r="H418" i="24" s="1"/>
  <c r="H416" i="24" a="1"/>
  <c r="H416" i="24" s="1"/>
  <c r="H413" i="24" a="1"/>
  <c r="H413" i="24" s="1"/>
  <c r="H414" i="24" a="1"/>
  <c r="H414" i="24" s="1"/>
  <c r="H417" i="24" a="1"/>
  <c r="H417" i="24" s="1"/>
  <c r="H415" i="24" a="1"/>
  <c r="H415" i="24" s="1"/>
  <c r="H411" i="24" a="1"/>
  <c r="H411" i="24" s="1"/>
  <c r="H412" i="24" a="1"/>
  <c r="H412" i="24" s="1"/>
  <c r="H409" i="24" a="1"/>
  <c r="H409" i="24" s="1"/>
  <c r="H410" i="24" a="1"/>
  <c r="H410" i="24" s="1"/>
  <c r="H407" i="24" a="1"/>
  <c r="H407" i="24" s="1"/>
  <c r="H408" i="24" a="1"/>
  <c r="H408" i="24" s="1"/>
  <c r="H405" i="24" a="1"/>
  <c r="H405" i="24" s="1"/>
  <c r="H406" i="24" a="1"/>
  <c r="H406" i="24" s="1"/>
  <c r="H403" i="24" a="1"/>
  <c r="H403" i="24" s="1"/>
  <c r="H404" i="24" a="1"/>
  <c r="H404" i="24" s="1"/>
  <c r="H401" i="24" a="1"/>
  <c r="H401" i="24" s="1"/>
  <c r="H402" i="24" a="1"/>
  <c r="H402" i="24" s="1"/>
  <c r="H399" i="24" a="1"/>
  <c r="H399" i="24" s="1"/>
  <c r="H400" i="24" a="1"/>
  <c r="H400" i="24" s="1"/>
  <c r="H397" i="24" a="1"/>
  <c r="H397" i="24" s="1"/>
  <c r="H398" i="24" a="1"/>
  <c r="H398" i="24" s="1"/>
  <c r="H395" i="24" a="1"/>
  <c r="H395" i="24" s="1"/>
  <c r="H396" i="24" a="1"/>
  <c r="H396" i="24" s="1"/>
  <c r="H393" i="24" a="1"/>
  <c r="H393" i="24" s="1"/>
  <c r="H394" i="24" a="1"/>
  <c r="H394" i="24" s="1"/>
  <c r="H391" i="24" a="1"/>
  <c r="H391" i="24" s="1"/>
  <c r="H392" i="24" a="1"/>
  <c r="H392" i="24" s="1"/>
  <c r="H389" i="24" a="1"/>
  <c r="H389" i="24" s="1"/>
  <c r="H390" i="24" a="1"/>
  <c r="H390" i="24" s="1"/>
  <c r="H387" i="24" a="1"/>
  <c r="H387" i="24" s="1"/>
  <c r="H388" i="24" a="1"/>
  <c r="H388" i="24" s="1"/>
  <c r="H385" i="24" a="1"/>
  <c r="H385" i="24" s="1"/>
  <c r="H386" i="24" a="1"/>
  <c r="H386" i="24" s="1"/>
  <c r="H383" i="24" a="1"/>
  <c r="H383" i="24" s="1"/>
  <c r="H384" i="24" a="1"/>
  <c r="H384" i="24" s="1"/>
  <c r="H381" i="24" a="1"/>
  <c r="H381" i="24" s="1"/>
  <c r="H382" i="24" a="1"/>
  <c r="H382" i="24" s="1"/>
  <c r="H379" i="24" a="1"/>
  <c r="H379" i="24" s="1"/>
  <c r="H380" i="24" a="1"/>
  <c r="H380" i="24" s="1"/>
  <c r="H377" i="24" a="1"/>
  <c r="H377" i="24" s="1"/>
  <c r="H378" i="24" a="1"/>
  <c r="H378" i="24" s="1"/>
  <c r="H373" i="24" a="1"/>
  <c r="H373" i="24" s="1"/>
  <c r="H376" i="24" a="1"/>
  <c r="H376" i="24" s="1"/>
  <c r="H374" i="24" a="1"/>
  <c r="H374" i="24" s="1"/>
  <c r="H369" i="24" a="1"/>
  <c r="H369" i="24" s="1"/>
  <c r="H375" i="24" a="1"/>
  <c r="H375" i="24" s="1"/>
  <c r="H370" i="24" a="1"/>
  <c r="H370" i="24" s="1"/>
  <c r="H368" i="24" a="1"/>
  <c r="H368" i="24" s="1"/>
  <c r="H372" i="24" a="1"/>
  <c r="H372" i="24" s="1"/>
  <c r="H371" i="24" a="1"/>
  <c r="H371" i="24" s="1"/>
  <c r="H355" i="24" a="1"/>
  <c r="H355" i="24" s="1"/>
  <c r="H362" i="24" a="1"/>
  <c r="H362" i="24" s="1"/>
  <c r="H360" i="24" a="1"/>
  <c r="H360" i="24" s="1"/>
  <c r="H363" i="24" a="1"/>
  <c r="H363" i="24" s="1"/>
  <c r="H361" i="24" a="1"/>
  <c r="H361" i="24" s="1"/>
  <c r="H365" i="24" a="1"/>
  <c r="H365" i="24" s="1"/>
  <c r="H364" i="24" a="1"/>
  <c r="H364" i="24" s="1"/>
  <c r="H366" i="24" a="1"/>
  <c r="H366" i="24" s="1"/>
  <c r="H367" i="24" a="1"/>
  <c r="H367" i="24" s="1"/>
  <c r="H359" i="24" a="1"/>
  <c r="H359" i="24" s="1"/>
  <c r="H356" i="24" a="1"/>
  <c r="H356" i="24" s="1"/>
  <c r="H351" i="24" a="1"/>
  <c r="H351" i="24" s="1"/>
  <c r="H358" i="24" a="1"/>
  <c r="H358" i="24" s="1"/>
  <c r="H348" i="24" a="1"/>
  <c r="H348" i="24" s="1"/>
  <c r="H354" i="24" a="1"/>
  <c r="H354" i="24" s="1"/>
  <c r="H350" i="24" a="1"/>
  <c r="H350" i="24" s="1"/>
  <c r="H357" i="24" a="1"/>
  <c r="H357" i="24" s="1"/>
  <c r="H349" i="24" a="1"/>
  <c r="H349" i="24" s="1"/>
  <c r="H352" i="24" a="1"/>
  <c r="H352" i="24" s="1"/>
  <c r="H353" i="24" a="1"/>
  <c r="H353" i="24" s="1"/>
  <c r="H347" i="24" a="1"/>
  <c r="H347" i="24" s="1"/>
  <c r="H345" i="24" a="1"/>
  <c r="H345" i="24" s="1"/>
  <c r="H344" i="24" a="1"/>
  <c r="H344" i="24" s="1"/>
  <c r="H346" i="24" a="1"/>
  <c r="H346" i="24" s="1"/>
  <c r="H341" i="24" a="1"/>
  <c r="H341" i="24" s="1"/>
  <c r="H342" i="24" a="1"/>
  <c r="H342" i="24" s="1"/>
  <c r="H343" i="24" a="1"/>
  <c r="H343" i="24" s="1"/>
  <c r="H340" i="24" a="1"/>
  <c r="H340" i="24" s="1"/>
  <c r="H339" i="24" a="1"/>
  <c r="H339" i="24" s="1"/>
  <c r="H335" i="24" a="1"/>
  <c r="H335" i="24" s="1"/>
  <c r="H338" i="24" a="1"/>
  <c r="H338" i="24" s="1"/>
  <c r="H337" i="24" a="1"/>
  <c r="H337" i="24" s="1"/>
  <c r="H336" i="24" a="1"/>
  <c r="H336" i="24" s="1"/>
  <c r="H334" i="24" a="1"/>
  <c r="H334" i="24" s="1"/>
  <c r="H332" i="24" a="1"/>
  <c r="H332" i="24" s="1"/>
  <c r="H331" i="24" a="1"/>
  <c r="H331" i="24" s="1"/>
  <c r="H333" i="24" a="1"/>
  <c r="H333" i="24" s="1"/>
  <c r="H321" i="24" a="1"/>
  <c r="H321" i="24" s="1"/>
  <c r="H325" i="24" a="1"/>
  <c r="H325" i="24" s="1"/>
  <c r="H324" i="24" a="1"/>
  <c r="H324" i="24" s="1"/>
  <c r="H322" i="24" a="1"/>
  <c r="H322" i="24" s="1"/>
  <c r="H330" i="24" a="1"/>
  <c r="H330" i="24" s="1"/>
  <c r="H328" i="24" a="1"/>
  <c r="H328" i="24" s="1"/>
  <c r="H326" i="24" a="1"/>
  <c r="H326" i="24" s="1"/>
  <c r="H329" i="24" a="1"/>
  <c r="H329" i="24" s="1"/>
  <c r="H323" i="24" a="1"/>
  <c r="H323" i="24" s="1"/>
  <c r="H327" i="24" a="1"/>
  <c r="H327" i="24" s="1"/>
  <c r="H319" i="24" a="1"/>
  <c r="H319" i="24" s="1"/>
  <c r="H318" i="24" a="1"/>
  <c r="H318" i="24" s="1"/>
  <c r="H313" i="24" a="1"/>
  <c r="H313" i="24" s="1"/>
  <c r="H320" i="24" a="1"/>
  <c r="H320" i="24" s="1"/>
  <c r="H312" i="24" a="1"/>
  <c r="H312" i="24" s="1"/>
  <c r="H316" i="24" a="1"/>
  <c r="H316" i="24" s="1"/>
  <c r="H317" i="24" a="1"/>
  <c r="H317" i="24" s="1"/>
  <c r="H314" i="24" a="1"/>
  <c r="H314" i="24" s="1"/>
  <c r="H310" i="24" a="1"/>
  <c r="H310" i="24" s="1"/>
  <c r="H311" i="24" a="1"/>
  <c r="H311" i="24" s="1"/>
  <c r="H315" i="24" a="1"/>
  <c r="H315" i="24" s="1"/>
  <c r="H309" i="24" a="1"/>
  <c r="H309" i="24" s="1"/>
  <c r="H299" i="24" a="1"/>
  <c r="H299" i="24" s="1"/>
  <c r="H307" i="24" a="1"/>
  <c r="H307" i="24" s="1"/>
  <c r="H300" i="24" a="1"/>
  <c r="H300" i="24" s="1"/>
  <c r="H298" i="24" a="1"/>
  <c r="H298" i="24" s="1"/>
  <c r="H302" i="24" a="1"/>
  <c r="H302" i="24" s="1"/>
  <c r="H305" i="24" a="1"/>
  <c r="H305" i="24" s="1"/>
  <c r="H303" i="24" a="1"/>
  <c r="H303" i="24" s="1"/>
  <c r="H308" i="24" a="1"/>
  <c r="H308" i="24" s="1"/>
  <c r="H306" i="24" a="1"/>
  <c r="H306" i="24" s="1"/>
  <c r="H304" i="24" a="1"/>
  <c r="H304" i="24" s="1"/>
  <c r="H301" i="24" a="1"/>
  <c r="H301" i="24" s="1"/>
  <c r="H296" i="24" a="1"/>
  <c r="H296" i="24" s="1"/>
  <c r="H297" i="24" a="1"/>
  <c r="H297" i="24" s="1"/>
  <c r="H294" i="24" a="1"/>
  <c r="H294" i="24" s="1"/>
  <c r="H295" i="24" a="1"/>
  <c r="H295" i="24" s="1"/>
  <c r="H293" i="24" a="1"/>
  <c r="H293" i="24" s="1"/>
  <c r="H285" i="24" a="1"/>
  <c r="H285" i="24" s="1"/>
  <c r="H291" i="24" a="1"/>
  <c r="H291" i="24" s="1"/>
  <c r="H280" i="24" a="1"/>
  <c r="H280" i="24" s="1"/>
  <c r="H283" i="24" a="1"/>
  <c r="H283" i="24" s="1"/>
  <c r="H286" i="24" a="1"/>
  <c r="H286" i="24" s="1"/>
  <c r="H289" i="24" a="1"/>
  <c r="H289" i="24" s="1"/>
  <c r="H288" i="24" a="1"/>
  <c r="H288" i="24" s="1"/>
  <c r="H292" i="24" a="1"/>
  <c r="H292" i="24" s="1"/>
  <c r="H284" i="24" a="1"/>
  <c r="H284" i="24" s="1"/>
  <c r="H290" i="24" a="1"/>
  <c r="H290" i="24" s="1"/>
  <c r="H287" i="24" a="1"/>
  <c r="H287" i="24" s="1"/>
  <c r="H281" i="24" a="1"/>
  <c r="H281" i="24" s="1"/>
  <c r="H282" i="24" a="1"/>
  <c r="H282" i="24" s="1"/>
  <c r="H279" i="24" a="1"/>
  <c r="H279" i="24" s="1"/>
  <c r="H276" i="24" a="1"/>
  <c r="H276" i="24" s="1"/>
  <c r="H277" i="24" a="1"/>
  <c r="H277" i="24" s="1"/>
  <c r="H274" i="24" a="1"/>
  <c r="H274" i="24" s="1"/>
  <c r="H275" i="24" a="1"/>
  <c r="H275" i="24" s="1"/>
  <c r="H278" i="24" a="1"/>
  <c r="H278" i="24" s="1"/>
  <c r="H272" i="24" a="1"/>
  <c r="H272" i="24" s="1"/>
  <c r="H273" i="24" a="1"/>
  <c r="H273" i="24" s="1"/>
  <c r="H268" i="24" a="1"/>
  <c r="H268" i="24" s="1"/>
  <c r="H271" i="24" a="1"/>
  <c r="H271" i="24" s="1"/>
  <c r="H269" i="24" a="1"/>
  <c r="H269" i="24" s="1"/>
  <c r="H265" i="24" a="1"/>
  <c r="H265" i="24" s="1"/>
  <c r="H270" i="24" a="1"/>
  <c r="H270" i="24" s="1"/>
  <c r="H267" i="24" a="1"/>
  <c r="H267" i="24" s="1"/>
  <c r="H264" i="24" a="1"/>
  <c r="H264" i="24" s="1"/>
  <c r="H262" i="24" a="1"/>
  <c r="H262" i="24" s="1"/>
  <c r="H266" i="24" a="1"/>
  <c r="H266" i="24" s="1"/>
  <c r="H263" i="24" a="1"/>
  <c r="H263" i="24" s="1"/>
  <c r="H260" i="24" a="1"/>
  <c r="H260" i="24" s="1"/>
  <c r="H261" i="24" a="1"/>
  <c r="H261" i="24" s="1"/>
  <c r="H259" i="24" a="1"/>
  <c r="H259" i="24" s="1"/>
  <c r="H258" i="24" a="1"/>
  <c r="H258" i="24" s="1"/>
  <c r="H256" i="24" a="1"/>
  <c r="H256" i="24" s="1"/>
  <c r="H257" i="24" a="1"/>
  <c r="H257" i="24" s="1"/>
  <c r="H255" i="24" a="1"/>
  <c r="H255" i="24" s="1"/>
  <c r="H252" i="24" a="1"/>
  <c r="H252" i="24" s="1"/>
  <c r="H253" i="24" a="1"/>
  <c r="H253" i="24" s="1"/>
  <c r="H254" i="24" a="1"/>
  <c r="H254" i="24" s="1"/>
  <c r="H251" i="24" a="1"/>
  <c r="H251" i="24" s="1"/>
  <c r="H244" i="24" a="1"/>
  <c r="H244" i="24" s="1"/>
  <c r="H250" i="24" a="1"/>
  <c r="H250" i="24" s="1"/>
  <c r="H249" i="24" a="1"/>
  <c r="H249" i="24" s="1"/>
  <c r="H243" i="24" a="1"/>
  <c r="H243" i="24" s="1"/>
  <c r="H248" i="24" a="1"/>
  <c r="H248" i="24" s="1"/>
  <c r="H245" i="24" a="1"/>
  <c r="H245" i="24" s="1"/>
  <c r="H246" i="24" a="1"/>
  <c r="H246" i="24" s="1"/>
  <c r="H247" i="24" a="1"/>
  <c r="H247" i="24" s="1"/>
  <c r="H242" i="24" a="1"/>
  <c r="H242" i="24" s="1"/>
  <c r="H241" i="24" a="1"/>
  <c r="H241" i="24" s="1"/>
  <c r="H232" i="24" a="1"/>
  <c r="H232" i="24" s="1"/>
  <c r="H238" i="24" a="1"/>
  <c r="H238" i="24" s="1"/>
  <c r="H233" i="24" a="1"/>
  <c r="H233" i="24" s="1"/>
  <c r="H235" i="24" a="1"/>
  <c r="H235" i="24" s="1"/>
  <c r="H234" i="24" a="1"/>
  <c r="H234" i="24" s="1"/>
  <c r="H237" i="24" a="1"/>
  <c r="H237" i="24" s="1"/>
  <c r="H240" i="24" a="1"/>
  <c r="H240" i="24" s="1"/>
  <c r="H239" i="24" a="1"/>
  <c r="H239" i="24" s="1"/>
  <c r="H236" i="24" a="1"/>
  <c r="H236" i="24" s="1"/>
  <c r="H231" i="24" a="1"/>
  <c r="H231" i="24" s="1"/>
  <c r="AB48" i="12"/>
  <c r="AD48" i="12" s="1"/>
  <c r="AE48" i="12" s="1"/>
  <c r="AB43" i="12"/>
  <c r="AD43" i="12" s="1"/>
  <c r="AE43" i="12" s="1"/>
  <c r="AB45" i="12"/>
  <c r="AD45" i="12" s="1"/>
  <c r="AE45" i="12" s="1"/>
  <c r="AB50" i="12"/>
  <c r="AD50" i="12" s="1"/>
  <c r="AE50" i="12" s="1"/>
  <c r="F51" i="12"/>
  <c r="AB51" i="12"/>
  <c r="AD51" i="12" s="1"/>
  <c r="AE51" i="12" s="1"/>
  <c r="O46" i="12"/>
  <c r="AB46" i="12"/>
  <c r="AD46" i="12" s="1"/>
  <c r="AB49" i="12"/>
  <c r="AD49" i="12" s="1"/>
  <c r="AE49" i="12" s="1"/>
  <c r="AB44" i="12"/>
  <c r="AD44" i="12" s="1"/>
  <c r="AE44" i="12" s="1"/>
  <c r="AB47" i="12"/>
  <c r="AD47" i="12" s="1"/>
  <c r="AE47" i="12" s="1"/>
  <c r="H230" i="24" a="1"/>
  <c r="H230" i="24" s="1"/>
  <c r="H228" i="24" a="1"/>
  <c r="H228" i="24" s="1"/>
  <c r="H229" i="24" a="1"/>
  <c r="H229" i="24" s="1"/>
  <c r="H225" i="24" a="1"/>
  <c r="H225" i="24" s="1"/>
  <c r="H227" i="24" a="1"/>
  <c r="H227" i="24" s="1"/>
  <c r="H221" i="24" a="1"/>
  <c r="H221" i="24" s="1"/>
  <c r="H224" i="24" a="1"/>
  <c r="H224" i="24" s="1"/>
  <c r="H222" i="24" a="1"/>
  <c r="H222" i="24" s="1"/>
  <c r="H223" i="24" a="1"/>
  <c r="H223" i="24" s="1"/>
  <c r="H219" i="24" a="1"/>
  <c r="H219" i="24" s="1"/>
  <c r="H220" i="24" a="1"/>
  <c r="H220" i="24" s="1"/>
  <c r="H217" i="24" a="1"/>
  <c r="H217" i="24" s="1"/>
  <c r="H218" i="24" a="1"/>
  <c r="H218" i="24" s="1"/>
  <c r="H215" i="24" a="1"/>
  <c r="H215" i="24" s="1"/>
  <c r="H216" i="24" a="1"/>
  <c r="H216" i="24" s="1"/>
  <c r="H213" i="24" a="1"/>
  <c r="H213" i="24" s="1"/>
  <c r="H214" i="24" a="1"/>
  <c r="H214" i="24" s="1"/>
  <c r="H211" i="24" a="1"/>
  <c r="H211" i="24" s="1"/>
  <c r="H212" i="24" a="1"/>
  <c r="H212" i="24" s="1"/>
  <c r="H209" i="24" a="1"/>
  <c r="H209" i="24" s="1"/>
  <c r="H210" i="24" a="1"/>
  <c r="H210" i="24" s="1"/>
  <c r="H207" i="24" a="1"/>
  <c r="H207" i="24" s="1"/>
  <c r="H208" i="24" a="1"/>
  <c r="H208" i="24" s="1"/>
  <c r="H205" i="24" a="1"/>
  <c r="H205" i="24" s="1"/>
  <c r="H206" i="24" a="1"/>
  <c r="H206" i="24" s="1"/>
  <c r="H203" i="24" a="1"/>
  <c r="H203" i="24" s="1"/>
  <c r="H204" i="24" a="1"/>
  <c r="H204" i="24" s="1"/>
  <c r="H202" i="24" a="1"/>
  <c r="H202" i="24" s="1"/>
  <c r="H200" i="24" a="1"/>
  <c r="H200" i="24" s="1"/>
  <c r="H201" i="24" a="1"/>
  <c r="H201" i="24" s="1"/>
  <c r="H199" i="24" a="1"/>
  <c r="H199" i="24" s="1"/>
  <c r="H197" i="24" a="1"/>
  <c r="H197" i="24" s="1"/>
  <c r="H198" i="24" a="1"/>
  <c r="H198" i="24" s="1"/>
  <c r="H196" i="24" a="1"/>
  <c r="H196" i="24" s="1"/>
  <c r="H192" i="24" a="1"/>
  <c r="H192" i="24" s="1"/>
  <c r="H194" i="24" a="1"/>
  <c r="H194" i="24" s="1"/>
  <c r="H195" i="24" a="1"/>
  <c r="H195" i="24" s="1"/>
  <c r="H193" i="24" a="1"/>
  <c r="H193" i="24" s="1"/>
  <c r="H191" i="24" a="1"/>
  <c r="H191" i="24" s="1"/>
  <c r="H190" i="24" a="1"/>
  <c r="H190" i="24" s="1"/>
  <c r="H189" i="24" a="1"/>
  <c r="H189" i="24" s="1"/>
  <c r="H187" i="24" a="1"/>
  <c r="H187" i="24" s="1"/>
  <c r="H188" i="24" a="1"/>
  <c r="H188" i="24" s="1"/>
  <c r="H185" i="24" a="1"/>
  <c r="H185" i="24" s="1"/>
  <c r="H186" i="24" a="1"/>
  <c r="H186" i="24" s="1"/>
  <c r="H181" i="24" a="1"/>
  <c r="H181" i="24" s="1"/>
  <c r="H183" i="24" a="1"/>
  <c r="H183" i="24" s="1"/>
  <c r="H184" i="24" a="1"/>
  <c r="H184" i="24" s="1"/>
  <c r="H176" i="24" a="1"/>
  <c r="H176" i="24" s="1"/>
  <c r="H172" i="24" a="1"/>
  <c r="H172" i="24" s="1"/>
  <c r="H182" i="24" a="1"/>
  <c r="H182" i="24" s="1"/>
  <c r="H177" i="24" a="1"/>
  <c r="H177" i="24" s="1"/>
  <c r="H173" i="24" a="1"/>
  <c r="H173" i="24" s="1"/>
  <c r="H174" i="24" a="1"/>
  <c r="H174" i="24" s="1"/>
  <c r="H175" i="24" a="1"/>
  <c r="H175" i="24" s="1"/>
  <c r="H178" i="24" a="1"/>
  <c r="H178" i="24" s="1"/>
  <c r="H179" i="24" a="1"/>
  <c r="H179" i="24" s="1"/>
  <c r="H180" i="24" a="1"/>
  <c r="H180" i="24" s="1"/>
  <c r="I44" i="14"/>
  <c r="I45" i="14"/>
  <c r="I48" i="14"/>
  <c r="I47" i="14"/>
  <c r="I46" i="14"/>
  <c r="I50" i="14"/>
  <c r="I51" i="14"/>
  <c r="I41" i="14"/>
  <c r="I42" i="14"/>
  <c r="I39" i="14"/>
  <c r="I40" i="14"/>
  <c r="AB24" i="12"/>
  <c r="AD24" i="12" s="1"/>
  <c r="AE24" i="12" s="1"/>
  <c r="F25" i="12"/>
  <c r="AB25" i="12"/>
  <c r="AD25" i="12" s="1"/>
  <c r="AE25" i="12" s="1"/>
  <c r="F13" i="12"/>
  <c r="AB13" i="12"/>
  <c r="AD13" i="12" s="1"/>
  <c r="AE13" i="12" s="1"/>
  <c r="H170" i="24" a="1"/>
  <c r="H170" i="24" s="1"/>
  <c r="H171" i="24" a="1"/>
  <c r="H171" i="24" s="1"/>
  <c r="H168" i="24" a="1"/>
  <c r="H168" i="24" s="1"/>
  <c r="H169" i="24" a="1"/>
  <c r="H169" i="24" s="1"/>
  <c r="H167" i="24" a="1"/>
  <c r="H167" i="24" s="1"/>
  <c r="H166" i="24" a="1"/>
  <c r="H166" i="24" s="1"/>
  <c r="H161" i="24" a="1"/>
  <c r="H161" i="24" s="1"/>
  <c r="H162" i="24" a="1"/>
  <c r="H162" i="24" s="1"/>
  <c r="H163" i="24" a="1"/>
  <c r="H163" i="24" s="1"/>
  <c r="H159" i="24" a="1"/>
  <c r="H159" i="24" s="1"/>
  <c r="H160" i="24" a="1"/>
  <c r="H160" i="24" s="1"/>
  <c r="H158" i="24" a="1"/>
  <c r="H158" i="24" s="1"/>
  <c r="H165" i="24" a="1"/>
  <c r="H165" i="24" s="1"/>
  <c r="H164" i="24" a="1"/>
  <c r="H164" i="24" s="1"/>
  <c r="H155" i="24" a="1"/>
  <c r="H155" i="24" s="1"/>
  <c r="H157" i="24" a="1"/>
  <c r="H157" i="24" s="1"/>
  <c r="H153" i="24" a="1"/>
  <c r="H153" i="24" s="1"/>
  <c r="H156" i="24" a="1"/>
  <c r="H156" i="24" s="1"/>
  <c r="H148" i="24" a="1"/>
  <c r="H148" i="24" s="1"/>
  <c r="H151" i="24" a="1"/>
  <c r="H151" i="24" s="1"/>
  <c r="H154" i="24" a="1"/>
  <c r="H154" i="24" s="1"/>
  <c r="H149" i="24" a="1"/>
  <c r="H149" i="24" s="1"/>
  <c r="H150" i="24" a="1"/>
  <c r="H150" i="24" s="1"/>
  <c r="H147" i="24" a="1"/>
  <c r="H147" i="24" s="1"/>
  <c r="H152" i="24" a="1"/>
  <c r="H152" i="24" s="1"/>
  <c r="H146" i="24" a="1"/>
  <c r="H146" i="24" s="1"/>
  <c r="P3" i="2"/>
  <c r="P26" i="2"/>
  <c r="H145" i="24" a="1"/>
  <c r="H145" i="24" s="1"/>
  <c r="H141" i="24" a="1"/>
  <c r="H141" i="24" s="1"/>
  <c r="H143" i="24" a="1"/>
  <c r="H143" i="24" s="1"/>
  <c r="H144" i="24" a="1"/>
  <c r="H144" i="24" s="1"/>
  <c r="H142" i="24" a="1"/>
  <c r="H142" i="24" s="1"/>
  <c r="H139" i="24" a="1"/>
  <c r="H139" i="24" s="1"/>
  <c r="H140" i="24" a="1"/>
  <c r="H140" i="24" s="1"/>
  <c r="H126" i="24" a="1"/>
  <c r="H126" i="24" s="1"/>
  <c r="H138" i="24" a="1"/>
  <c r="H138" i="24" s="1"/>
  <c r="H137" i="24" a="1"/>
  <c r="H137" i="24" s="1"/>
  <c r="H135" i="24" a="1"/>
  <c r="H135" i="24" s="1"/>
  <c r="H129" i="24" a="1"/>
  <c r="H129" i="24" s="1"/>
  <c r="H132" i="24" a="1"/>
  <c r="H132" i="24" s="1"/>
  <c r="H125" i="24" a="1"/>
  <c r="H125" i="24" s="1"/>
  <c r="H134" i="24" a="1"/>
  <c r="H134" i="24" s="1"/>
  <c r="H128" i="24" a="1"/>
  <c r="H128" i="24" s="1"/>
  <c r="H130" i="24" a="1"/>
  <c r="H130" i="24" s="1"/>
  <c r="H133" i="24" a="1"/>
  <c r="H133" i="24" s="1"/>
  <c r="H127" i="24" a="1"/>
  <c r="H127" i="24" s="1"/>
  <c r="H136" i="24" a="1"/>
  <c r="H136" i="24" s="1"/>
  <c r="H131" i="24" a="1"/>
  <c r="H131" i="24" s="1"/>
  <c r="H122" i="24" a="1"/>
  <c r="H122" i="24" s="1"/>
  <c r="H123" i="24" a="1"/>
  <c r="H123" i="24" s="1"/>
  <c r="H124" i="24" a="1"/>
  <c r="H124" i="24" s="1"/>
  <c r="H120" i="24" a="1"/>
  <c r="H120" i="24" s="1"/>
  <c r="H121" i="24" a="1"/>
  <c r="H121" i="24" s="1"/>
  <c r="H118" i="24" a="1"/>
  <c r="H118" i="24" s="1"/>
  <c r="H119" i="24" a="1"/>
  <c r="H119" i="24" s="1"/>
  <c r="H117" i="24" a="1"/>
  <c r="H117" i="24" s="1"/>
  <c r="H115" i="24" a="1"/>
  <c r="H115" i="24" s="1"/>
  <c r="H116" i="24" a="1"/>
  <c r="H116" i="24" s="1"/>
  <c r="H43" i="24" a="1"/>
  <c r="H43" i="24" s="1"/>
  <c r="H45" i="24" a="1"/>
  <c r="H45" i="24" s="1"/>
  <c r="H76" i="24" a="1"/>
  <c r="H76" i="24" s="1"/>
  <c r="H73" i="24" a="1"/>
  <c r="H73" i="24" s="1"/>
  <c r="H74" i="24" a="1"/>
  <c r="H74" i="24" s="1"/>
  <c r="H8" i="24" a="1"/>
  <c r="H8" i="24" s="1"/>
  <c r="H82" i="24" a="1"/>
  <c r="H82" i="24" s="1"/>
  <c r="H10" i="24" a="1"/>
  <c r="H10" i="24" s="1"/>
  <c r="H107" i="24" a="1"/>
  <c r="H107" i="24" s="1"/>
  <c r="H60" i="24" a="1"/>
  <c r="H60" i="24" s="1"/>
  <c r="H7" i="24" a="1"/>
  <c r="H7" i="24" s="1"/>
  <c r="H93" i="24" a="1"/>
  <c r="H93" i="24" s="1"/>
  <c r="H68" i="24" a="1"/>
  <c r="H68" i="24" s="1"/>
  <c r="H9" i="24" a="1"/>
  <c r="H9" i="24" s="1"/>
  <c r="H67" i="24" a="1"/>
  <c r="H67" i="24" s="1"/>
  <c r="H64" i="24" a="1"/>
  <c r="H64" i="24" s="1"/>
  <c r="H65" i="24" a="1"/>
  <c r="H65" i="24" s="1"/>
  <c r="H11" i="24" a="1"/>
  <c r="H11" i="24" s="1"/>
  <c r="H106" i="24" a="1"/>
  <c r="H106" i="24" s="1"/>
  <c r="H83" i="24" a="1"/>
  <c r="H83" i="24" s="1"/>
  <c r="H77" i="24" a="1"/>
  <c r="H77" i="24" s="1"/>
  <c r="H81" i="24" a="1"/>
  <c r="H81" i="24" s="1"/>
  <c r="H62" i="24" a="1"/>
  <c r="H62" i="24" s="1"/>
  <c r="H28" i="24" a="1"/>
  <c r="H28" i="24" s="1"/>
  <c r="H47" i="24" a="1"/>
  <c r="H47" i="24" s="1"/>
  <c r="H78" i="24" a="1"/>
  <c r="H78" i="24" s="1"/>
  <c r="H19" i="24" a="1"/>
  <c r="H19" i="24" s="1"/>
  <c r="H86" i="24" a="1"/>
  <c r="H86" i="24" s="1"/>
  <c r="H72" i="24" a="1"/>
  <c r="H72" i="24" s="1"/>
  <c r="H23" i="24" a="1"/>
  <c r="H23" i="24" s="1"/>
  <c r="H94" i="24" a="1"/>
  <c r="H94" i="24" s="1"/>
  <c r="H92" i="24" a="1"/>
  <c r="H92" i="24" s="1"/>
  <c r="H14" i="24" a="1"/>
  <c r="H14" i="24" s="1"/>
  <c r="H15" i="24" a="1"/>
  <c r="H15" i="24" s="1"/>
  <c r="H96" i="24" a="1"/>
  <c r="H96" i="24" s="1"/>
  <c r="H55" i="24" a="1"/>
  <c r="H55" i="24" s="1"/>
  <c r="H25" i="24" a="1"/>
  <c r="H25" i="24" s="1"/>
  <c r="H17" i="24" a="1"/>
  <c r="H17" i="24" s="1"/>
  <c r="H34" i="24" a="1"/>
  <c r="H34" i="24" s="1"/>
  <c r="H88" i="24" a="1"/>
  <c r="H88" i="24" s="1"/>
  <c r="H37" i="24" a="1"/>
  <c r="H37" i="24" s="1"/>
  <c r="H30" i="24" a="1"/>
  <c r="H30" i="24" s="1"/>
  <c r="H22" i="24" a="1"/>
  <c r="H22" i="24" s="1"/>
  <c r="H39" i="24" a="1"/>
  <c r="H39" i="24" s="1"/>
  <c r="H85" i="24" a="1"/>
  <c r="H85" i="24" s="1"/>
  <c r="H91" i="24" a="1"/>
  <c r="H91" i="24" s="1"/>
  <c r="H20" i="24" a="1"/>
  <c r="H20" i="24" s="1"/>
  <c r="H12" i="24" a="1"/>
  <c r="H12" i="24" s="1"/>
  <c r="H29" i="24" a="1"/>
  <c r="H29" i="24" s="1"/>
  <c r="H70" i="24" a="1"/>
  <c r="H70" i="24" s="1"/>
  <c r="H97" i="24" a="1"/>
  <c r="H97" i="24" s="1"/>
  <c r="H35" i="24" a="1"/>
  <c r="H35" i="24" s="1"/>
  <c r="H27" i="24" a="1"/>
  <c r="H27" i="24" s="1"/>
  <c r="H44" i="24" a="1"/>
  <c r="H44" i="24" s="1"/>
  <c r="H16" i="24" a="1"/>
  <c r="H16" i="24" s="1"/>
  <c r="H63" i="24" a="1"/>
  <c r="H63" i="24" s="1"/>
  <c r="H24" i="24" a="1"/>
  <c r="H24" i="24" s="1"/>
  <c r="H50" i="24" a="1"/>
  <c r="H50" i="24" s="1"/>
  <c r="H40" i="24" a="1"/>
  <c r="H40" i="24" s="1"/>
  <c r="H66" i="24" a="1"/>
  <c r="H66" i="24" s="1"/>
  <c r="H49" i="24" a="1"/>
  <c r="H49" i="24" s="1"/>
  <c r="H21" i="24" a="1"/>
  <c r="H21" i="24" s="1"/>
  <c r="H75" i="24" a="1"/>
  <c r="H75" i="24" s="1"/>
  <c r="H111" i="24" a="1"/>
  <c r="H111" i="24" s="1"/>
  <c r="H114" i="24" a="1"/>
  <c r="H114" i="24" s="1"/>
  <c r="H69" i="24" a="1"/>
  <c r="H69" i="24" s="1"/>
  <c r="H53" i="24" a="1"/>
  <c r="H53" i="24" s="1"/>
  <c r="H79" i="24" a="1"/>
  <c r="H79" i="24" s="1"/>
  <c r="H95" i="24" a="1"/>
  <c r="H95" i="24" s="1"/>
  <c r="H13" i="24" a="1"/>
  <c r="H13" i="24" s="1"/>
  <c r="H52" i="24" a="1"/>
  <c r="H52" i="24" s="1"/>
  <c r="H109" i="24" a="1"/>
  <c r="H109" i="24" s="1"/>
  <c r="H84" i="24" a="1"/>
  <c r="H84" i="24" s="1"/>
  <c r="H110" i="24" a="1"/>
  <c r="H110" i="24" s="1"/>
  <c r="H41" i="24" a="1"/>
  <c r="H41" i="24" s="1"/>
  <c r="H112" i="24" a="1"/>
  <c r="H112" i="24" s="1"/>
  <c r="H99" i="24" a="1"/>
  <c r="H99" i="24" s="1"/>
  <c r="H54" i="24" a="1"/>
  <c r="H54" i="24" s="1"/>
  <c r="H61" i="24" a="1"/>
  <c r="H61" i="24" s="1"/>
  <c r="H32" i="24" a="1"/>
  <c r="H32" i="24" s="1"/>
  <c r="H6" i="24" a="1"/>
  <c r="H6" i="24" s="1"/>
  <c r="H113" i="24" a="1"/>
  <c r="H113" i="24" s="1"/>
  <c r="H98" i="24" a="1"/>
  <c r="H98" i="24" s="1"/>
  <c r="H87" i="24" a="1"/>
  <c r="H87" i="24" s="1"/>
  <c r="H59" i="24" a="1"/>
  <c r="H59" i="24" s="1"/>
  <c r="H71" i="24" a="1"/>
  <c r="H71" i="24" s="1"/>
  <c r="H18" i="24" a="1"/>
  <c r="H18" i="24" s="1"/>
  <c r="H57" i="24" a="1"/>
  <c r="H57" i="24" s="1"/>
  <c r="H90" i="24" a="1"/>
  <c r="H90" i="24" s="1"/>
  <c r="H89" i="24" a="1"/>
  <c r="H89" i="24" s="1"/>
  <c r="H46" i="24" a="1"/>
  <c r="H46" i="24" s="1"/>
  <c r="H38" i="24" a="1"/>
  <c r="H38" i="24" s="1"/>
  <c r="H58" i="24" a="1"/>
  <c r="H58" i="24" s="1"/>
  <c r="H56" i="24" a="1"/>
  <c r="H56" i="24" s="1"/>
  <c r="H108" i="24" a="1"/>
  <c r="H108" i="24" s="1"/>
  <c r="H33" i="24" a="1"/>
  <c r="H33" i="24" s="1"/>
  <c r="H51" i="24" a="1"/>
  <c r="H51" i="24" s="1"/>
  <c r="H105" i="24" a="1"/>
  <c r="H105" i="24" s="1"/>
  <c r="H31" i="24" a="1"/>
  <c r="H31" i="24" s="1"/>
  <c r="C6" i="24"/>
  <c r="H104" i="24" a="1"/>
  <c r="H104" i="24" s="1"/>
  <c r="H80" i="24" a="1"/>
  <c r="H80" i="24" s="1"/>
  <c r="H36" i="24" a="1"/>
  <c r="H36" i="24" s="1"/>
  <c r="H103" i="24" a="1"/>
  <c r="H103" i="24" s="1"/>
  <c r="H26" i="24" a="1"/>
  <c r="H26" i="24" s="1"/>
  <c r="H100" i="24" a="1"/>
  <c r="H100" i="24" s="1"/>
  <c r="H101" i="24" a="1"/>
  <c r="H101" i="24" s="1"/>
  <c r="H42" i="24" a="1"/>
  <c r="H42" i="24" s="1"/>
  <c r="H48" i="24" a="1"/>
  <c r="H48" i="24" s="1"/>
  <c r="H102" i="24" a="1"/>
  <c r="H102" i="24" s="1"/>
  <c r="P5" i="2"/>
  <c r="P4" i="2"/>
  <c r="F24" i="12"/>
  <c r="I24" i="14"/>
  <c r="P6" i="2" s="1"/>
  <c r="I25" i="14"/>
  <c r="P7" i="2" s="1"/>
  <c r="P20" i="12"/>
  <c r="R20" i="12" s="1"/>
  <c r="P41" i="12"/>
  <c r="R41" i="12" s="1"/>
  <c r="P31" i="12"/>
  <c r="R31" i="12" s="1"/>
  <c r="P19" i="12"/>
  <c r="R19" i="12" s="1"/>
  <c r="P40" i="12"/>
  <c r="R40" i="12" s="1"/>
  <c r="P30" i="12"/>
  <c r="R30" i="12" s="1"/>
  <c r="P18" i="12"/>
  <c r="R18" i="12" s="1"/>
  <c r="P39" i="12"/>
  <c r="R39" i="12" s="1"/>
  <c r="P29" i="12"/>
  <c r="R29" i="12" s="1"/>
  <c r="P17" i="12"/>
  <c r="R17" i="12" s="1"/>
  <c r="P38" i="12"/>
  <c r="R38" i="12" s="1"/>
  <c r="P28" i="12"/>
  <c r="R28" i="12" s="1"/>
  <c r="P16" i="12"/>
  <c r="R16" i="12" s="1"/>
  <c r="P37" i="12"/>
  <c r="R37" i="12" s="1"/>
  <c r="P27" i="12"/>
  <c r="R27" i="12" s="1"/>
  <c r="P15" i="12"/>
  <c r="R15" i="12" s="1"/>
  <c r="P36" i="12"/>
  <c r="R36" i="12" s="1"/>
  <c r="P26" i="12"/>
  <c r="R26" i="12" s="1"/>
  <c r="P14" i="12"/>
  <c r="R14" i="12" s="1"/>
  <c r="P35" i="12"/>
  <c r="R35" i="12" s="1"/>
  <c r="P23" i="12"/>
  <c r="R23" i="12" s="1"/>
  <c r="P12" i="12"/>
  <c r="R12" i="12" s="1"/>
  <c r="P34" i="12"/>
  <c r="R34" i="12" s="1"/>
  <c r="P22" i="12"/>
  <c r="R22" i="12" s="1"/>
  <c r="P11" i="12"/>
  <c r="R11" i="12" s="1"/>
  <c r="P33" i="12"/>
  <c r="R33" i="12" s="1"/>
  <c r="P21" i="12"/>
  <c r="R21" i="12" s="1"/>
  <c r="P10" i="12"/>
  <c r="R10" i="12" s="1"/>
  <c r="P42" i="12"/>
  <c r="R42" i="12" s="1"/>
  <c r="P32" i="12"/>
  <c r="R32" i="12" s="1"/>
  <c r="AJ36" i="12"/>
  <c r="AJ35" i="12"/>
  <c r="AA14" i="12"/>
  <c r="D14" i="12"/>
  <c r="J14" i="12"/>
  <c r="L14" i="12" s="1"/>
  <c r="M14" i="12"/>
  <c r="O14" i="12" s="1"/>
  <c r="S14" i="12"/>
  <c r="U14" i="12" s="1"/>
  <c r="V14" i="12"/>
  <c r="X14" i="12" s="1"/>
  <c r="J12" i="12"/>
  <c r="L12" i="12" s="1"/>
  <c r="D18" i="12"/>
  <c r="J20" i="12"/>
  <c r="L20" i="12" s="1"/>
  <c r="M20" i="12"/>
  <c r="O20" i="12" s="1"/>
  <c r="V12" i="12"/>
  <c r="X12" i="12" s="1"/>
  <c r="AA17" i="12"/>
  <c r="M34" i="12"/>
  <c r="O34" i="12" s="1"/>
  <c r="S36" i="12"/>
  <c r="U36" i="12" s="1"/>
  <c r="V37" i="12"/>
  <c r="X37" i="12" s="1"/>
  <c r="D42" i="12"/>
  <c r="J23" i="12"/>
  <c r="L23" i="12" s="1"/>
  <c r="M26" i="12"/>
  <c r="O26" i="12" s="1"/>
  <c r="S28" i="12"/>
  <c r="U28" i="12" s="1"/>
  <c r="V29" i="12"/>
  <c r="X29" i="12" s="1"/>
  <c r="AA31" i="12"/>
  <c r="D17" i="12"/>
  <c r="J21" i="12"/>
  <c r="L21" i="12" s="1"/>
  <c r="M21" i="12"/>
  <c r="O21" i="12" s="1"/>
  <c r="S12" i="12"/>
  <c r="U12" i="12" s="1"/>
  <c r="V15" i="12"/>
  <c r="X15" i="12" s="1"/>
  <c r="S35" i="12"/>
  <c r="U35" i="12" s="1"/>
  <c r="V36" i="12"/>
  <c r="X36" i="12" s="1"/>
  <c r="AA38" i="12"/>
  <c r="D41" i="12"/>
  <c r="J42" i="12"/>
  <c r="L42" i="12" s="1"/>
  <c r="M23" i="12"/>
  <c r="O23" i="12" s="1"/>
  <c r="S27" i="12"/>
  <c r="U27" i="12" s="1"/>
  <c r="V28" i="12"/>
  <c r="X28" i="12" s="1"/>
  <c r="D33" i="12"/>
  <c r="D16" i="12"/>
  <c r="J22" i="12"/>
  <c r="L22" i="12" s="1"/>
  <c r="M22" i="12"/>
  <c r="O22" i="12" s="1"/>
  <c r="S15" i="12"/>
  <c r="U15" i="12" s="1"/>
  <c r="V16" i="12"/>
  <c r="X16" i="12" s="1"/>
  <c r="S34" i="12"/>
  <c r="U34" i="12" s="1"/>
  <c r="V35" i="12"/>
  <c r="X35" i="12" s="1"/>
  <c r="D40" i="12"/>
  <c r="J41" i="12"/>
  <c r="L41" i="12" s="1"/>
  <c r="M42" i="12"/>
  <c r="O42" i="12" s="1"/>
  <c r="S26" i="12"/>
  <c r="U26" i="12" s="1"/>
  <c r="V27" i="12"/>
  <c r="X27" i="12" s="1"/>
  <c r="AA29" i="12"/>
  <c r="D32" i="12"/>
  <c r="J33" i="12"/>
  <c r="L33" i="12" s="1"/>
  <c r="S16" i="12"/>
  <c r="U16" i="12" s="1"/>
  <c r="V17" i="12"/>
  <c r="X17" i="12" s="1"/>
  <c r="V34" i="12"/>
  <c r="X34" i="12" s="1"/>
  <c r="AA36" i="12"/>
  <c r="D39" i="12"/>
  <c r="J40" i="12"/>
  <c r="L40" i="12" s="1"/>
  <c r="M41" i="12"/>
  <c r="O41" i="12" s="1"/>
  <c r="S23" i="12"/>
  <c r="U23" i="12" s="1"/>
  <c r="V26" i="12"/>
  <c r="X26" i="12" s="1"/>
  <c r="AA28" i="12"/>
  <c r="D31" i="12"/>
  <c r="J32" i="12"/>
  <c r="L32" i="12" s="1"/>
  <c r="M33" i="12"/>
  <c r="O33" i="12" s="1"/>
  <c r="D15" i="12"/>
  <c r="AA21" i="12"/>
  <c r="AA35" i="12"/>
  <c r="D38" i="12"/>
  <c r="J39" i="12"/>
  <c r="L39" i="12" s="1"/>
  <c r="M40" i="12"/>
  <c r="O40" i="12" s="1"/>
  <c r="S42" i="12"/>
  <c r="U42" i="12" s="1"/>
  <c r="V23" i="12"/>
  <c r="X23" i="12" s="1"/>
  <c r="AA27" i="12"/>
  <c r="D30" i="12"/>
  <c r="J31" i="12"/>
  <c r="L31" i="12" s="1"/>
  <c r="M32" i="12"/>
  <c r="O32" i="12" s="1"/>
  <c r="M12" i="12"/>
  <c r="O12" i="12" s="1"/>
  <c r="J15" i="12"/>
  <c r="L15" i="12" s="1"/>
  <c r="M15" i="12"/>
  <c r="O15" i="12" s="1"/>
  <c r="S18" i="12"/>
  <c r="U18" i="12" s="1"/>
  <c r="V19" i="12"/>
  <c r="X19" i="12" s="1"/>
  <c r="D37" i="12"/>
  <c r="J38" i="12"/>
  <c r="L38" i="12" s="1"/>
  <c r="M39" i="12"/>
  <c r="O39" i="12" s="1"/>
  <c r="S41" i="12"/>
  <c r="U41" i="12" s="1"/>
  <c r="V42" i="12"/>
  <c r="X42" i="12" s="1"/>
  <c r="D29" i="12"/>
  <c r="J30" i="12"/>
  <c r="L30" i="12" s="1"/>
  <c r="M31" i="12"/>
  <c r="O31" i="12" s="1"/>
  <c r="S33" i="12"/>
  <c r="U33" i="12" s="1"/>
  <c r="S17" i="12"/>
  <c r="U17" i="12" s="1"/>
  <c r="D22" i="12"/>
  <c r="J16" i="12"/>
  <c r="L16" i="12" s="1"/>
  <c r="M16" i="12"/>
  <c r="O16" i="12" s="1"/>
  <c r="S19" i="12"/>
  <c r="U19" i="12" s="1"/>
  <c r="V20" i="12"/>
  <c r="X20" i="12" s="1"/>
  <c r="D36" i="12"/>
  <c r="J37" i="12"/>
  <c r="L37" i="12" s="1"/>
  <c r="M38" i="12"/>
  <c r="O38" i="12" s="1"/>
  <c r="S40" i="12"/>
  <c r="U40" i="12" s="1"/>
  <c r="V41" i="12"/>
  <c r="X41" i="12" s="1"/>
  <c r="AA23" i="12"/>
  <c r="D28" i="12"/>
  <c r="J29" i="12"/>
  <c r="L29" i="12" s="1"/>
  <c r="M30" i="12"/>
  <c r="O30" i="12" s="1"/>
  <c r="S32" i="12"/>
  <c r="U32" i="12" s="1"/>
  <c r="V33" i="12"/>
  <c r="X33" i="12" s="1"/>
  <c r="D21" i="12"/>
  <c r="J17" i="12"/>
  <c r="L17" i="12" s="1"/>
  <c r="M17" i="12"/>
  <c r="O17" i="12" s="1"/>
  <c r="S20" i="12"/>
  <c r="U20" i="12" s="1"/>
  <c r="V22" i="12"/>
  <c r="X22" i="12" s="1"/>
  <c r="AA12" i="12"/>
  <c r="D35" i="12"/>
  <c r="J36" i="12"/>
  <c r="L36" i="12" s="1"/>
  <c r="M37" i="12"/>
  <c r="O37" i="12" s="1"/>
  <c r="S39" i="12"/>
  <c r="U39" i="12" s="1"/>
  <c r="V40" i="12"/>
  <c r="X40" i="12" s="1"/>
  <c r="AA42" i="12"/>
  <c r="D27" i="12"/>
  <c r="J28" i="12"/>
  <c r="L28" i="12" s="1"/>
  <c r="M29" i="12"/>
  <c r="O29" i="12" s="1"/>
  <c r="S31" i="12"/>
  <c r="U31" i="12" s="1"/>
  <c r="V32" i="12"/>
  <c r="X32" i="12" s="1"/>
  <c r="D12" i="12"/>
  <c r="D20" i="12"/>
  <c r="J18" i="12"/>
  <c r="L18" i="12" s="1"/>
  <c r="M18" i="12"/>
  <c r="O18" i="12" s="1"/>
  <c r="S21" i="12"/>
  <c r="U21" i="12" s="1"/>
  <c r="AA15" i="12"/>
  <c r="D34" i="12"/>
  <c r="J35" i="12"/>
  <c r="L35" i="12" s="1"/>
  <c r="M36" i="12"/>
  <c r="O36" i="12" s="1"/>
  <c r="S38" i="12"/>
  <c r="U38" i="12" s="1"/>
  <c r="V39" i="12"/>
  <c r="X39" i="12" s="1"/>
  <c r="D26" i="12"/>
  <c r="J27" i="12"/>
  <c r="L27" i="12" s="1"/>
  <c r="M28" i="12"/>
  <c r="O28" i="12" s="1"/>
  <c r="S30" i="12"/>
  <c r="U30" i="12" s="1"/>
  <c r="V31" i="12"/>
  <c r="X31" i="12" s="1"/>
  <c r="AA33" i="12"/>
  <c r="V18" i="12"/>
  <c r="X18" i="12" s="1"/>
  <c r="D19" i="12"/>
  <c r="J19" i="12"/>
  <c r="L19" i="12" s="1"/>
  <c r="M19" i="12"/>
  <c r="O19" i="12" s="1"/>
  <c r="S22" i="12"/>
  <c r="U22" i="12" s="1"/>
  <c r="J34" i="12"/>
  <c r="L34" i="12" s="1"/>
  <c r="M35" i="12"/>
  <c r="O35" i="12" s="1"/>
  <c r="S37" i="12"/>
  <c r="U37" i="12" s="1"/>
  <c r="V38" i="12"/>
  <c r="X38" i="12" s="1"/>
  <c r="AA40" i="12"/>
  <c r="D23" i="12"/>
  <c r="J26" i="12"/>
  <c r="L26" i="12" s="1"/>
  <c r="M27" i="12"/>
  <c r="O27" i="12" s="1"/>
  <c r="S29" i="12"/>
  <c r="U29" i="12" s="1"/>
  <c r="V30" i="12"/>
  <c r="X30" i="12" s="1"/>
  <c r="J10" i="12"/>
  <c r="L10" i="12" s="1"/>
  <c r="D11" i="12"/>
  <c r="J11" i="12"/>
  <c r="L11" i="12" s="1"/>
  <c r="M11" i="12"/>
  <c r="O11" i="12" s="1"/>
  <c r="V10" i="12"/>
  <c r="X10" i="12" s="1"/>
  <c r="S11" i="12"/>
  <c r="U11" i="12" s="1"/>
  <c r="S10" i="12"/>
  <c r="U10" i="12" s="1"/>
  <c r="V11" i="12"/>
  <c r="X11" i="12" s="1"/>
  <c r="M10" i="12"/>
  <c r="O10" i="12" s="1"/>
  <c r="AA10" i="12"/>
  <c r="V21" i="12"/>
  <c r="X21" i="12" s="1"/>
  <c r="AO85" i="6"/>
  <c r="AP76" i="6"/>
  <c r="AD85" i="6"/>
  <c r="X425" i="24" l="1"/>
  <c r="X426" i="24"/>
  <c r="X422" i="24"/>
  <c r="X423" i="24"/>
  <c r="X424" i="24"/>
  <c r="X227" i="24"/>
  <c r="X228" i="24"/>
  <c r="X229" i="24"/>
  <c r="X230" i="24"/>
  <c r="X225" i="24"/>
  <c r="X226" i="24"/>
  <c r="X220" i="24"/>
  <c r="X221" i="24"/>
  <c r="X222" i="24"/>
  <c r="X223" i="24"/>
  <c r="X224" i="24"/>
  <c r="X565" i="24"/>
  <c r="X566" i="24"/>
  <c r="X567" i="24"/>
  <c r="X568" i="24"/>
  <c r="X562" i="24"/>
  <c r="X563" i="24"/>
  <c r="X564" i="24"/>
  <c r="X415" i="24"/>
  <c r="X416" i="24"/>
  <c r="X417" i="24"/>
  <c r="X418" i="24"/>
  <c r="X412" i="24"/>
  <c r="X413" i="24"/>
  <c r="X414" i="24"/>
  <c r="X429" i="24"/>
  <c r="X430" i="24"/>
  <c r="X419" i="24"/>
  <c r="X420" i="24"/>
  <c r="X421" i="24"/>
  <c r="X431" i="24"/>
  <c r="X432" i="24"/>
  <c r="X433" i="24"/>
  <c r="X217" i="24"/>
  <c r="X218" i="24"/>
  <c r="X219" i="24"/>
  <c r="X185" i="24"/>
  <c r="X186" i="24"/>
  <c r="X187" i="24"/>
  <c r="X188" i="24"/>
  <c r="X189" i="24"/>
  <c r="X190" i="24"/>
  <c r="X215" i="24"/>
  <c r="X216" i="24"/>
  <c r="X208" i="24"/>
  <c r="X209" i="24"/>
  <c r="X210" i="24"/>
  <c r="X211" i="24"/>
  <c r="X212" i="24"/>
  <c r="X213" i="24"/>
  <c r="X214" i="24"/>
  <c r="X205" i="24"/>
  <c r="X206" i="24"/>
  <c r="X207" i="24"/>
  <c r="X202" i="24"/>
  <c r="X203" i="24"/>
  <c r="X204" i="24"/>
  <c r="X427" i="24"/>
  <c r="X428" i="24"/>
  <c r="X555" i="24"/>
  <c r="X556" i="24"/>
  <c r="X557" i="24"/>
  <c r="X558" i="24"/>
  <c r="X559" i="24"/>
  <c r="X560" i="24"/>
  <c r="X561" i="24"/>
  <c r="X554" i="24"/>
  <c r="AE46" i="12"/>
  <c r="AB20" i="12"/>
  <c r="AD20" i="12" s="1"/>
  <c r="AE20" i="12" s="1"/>
  <c r="AB26" i="12"/>
  <c r="AD26" i="12" s="1"/>
  <c r="AE26" i="12" s="1"/>
  <c r="AB15" i="12"/>
  <c r="AD15" i="12" s="1"/>
  <c r="AE15" i="12" s="1"/>
  <c r="AB28" i="12"/>
  <c r="AD28" i="12" s="1"/>
  <c r="AE28" i="12" s="1"/>
  <c r="AB35" i="12"/>
  <c r="AD35" i="12" s="1"/>
  <c r="AE35" i="12" s="1"/>
  <c r="AB36" i="12"/>
  <c r="AD36" i="12" s="1"/>
  <c r="AE36" i="12" s="1"/>
  <c r="AB29" i="12"/>
  <c r="AD29" i="12" s="1"/>
  <c r="AE29" i="12" s="1"/>
  <c r="AB14" i="12"/>
  <c r="AD14" i="12" s="1"/>
  <c r="AE14" i="12" s="1"/>
  <c r="AB16" i="12"/>
  <c r="AD16" i="12" s="1"/>
  <c r="AE16" i="12" s="1"/>
  <c r="AB42" i="12"/>
  <c r="AD42" i="12" s="1"/>
  <c r="AE42" i="12" s="1"/>
  <c r="AB39" i="12"/>
  <c r="AD39" i="12" s="1"/>
  <c r="AE39" i="12" s="1"/>
  <c r="AB33" i="12"/>
  <c r="AD33" i="12" s="1"/>
  <c r="AE33" i="12" s="1"/>
  <c r="AB30" i="12"/>
  <c r="AD30" i="12" s="1"/>
  <c r="AE30" i="12" s="1"/>
  <c r="AB40" i="12"/>
  <c r="AD40" i="12" s="1"/>
  <c r="AE40" i="12" s="1"/>
  <c r="AB17" i="12"/>
  <c r="AD17" i="12" s="1"/>
  <c r="AE17" i="12" s="1"/>
  <c r="AB37" i="12"/>
  <c r="AD37" i="12" s="1"/>
  <c r="AE37" i="12" s="1"/>
  <c r="AB31" i="12"/>
  <c r="AD31" i="12" s="1"/>
  <c r="AE31" i="12" s="1"/>
  <c r="AB10" i="12"/>
  <c r="AD10" i="12" s="1"/>
  <c r="AE10" i="12" s="1"/>
  <c r="AB12" i="12"/>
  <c r="AD12" i="12" s="1"/>
  <c r="AE12" i="12" s="1"/>
  <c r="AB34" i="12"/>
  <c r="AD34" i="12" s="1"/>
  <c r="AE34" i="12" s="1"/>
  <c r="AB41" i="12"/>
  <c r="AD41" i="12" s="1"/>
  <c r="AE41" i="12" s="1"/>
  <c r="AB23" i="12"/>
  <c r="AD23" i="12" s="1"/>
  <c r="AE23" i="12" s="1"/>
  <c r="AB22" i="12"/>
  <c r="AD22" i="12" s="1"/>
  <c r="AE22" i="12" s="1"/>
  <c r="AB27" i="12"/>
  <c r="AD27" i="12" s="1"/>
  <c r="AE27" i="12" s="1"/>
  <c r="AB32" i="12"/>
  <c r="AD32" i="12" s="1"/>
  <c r="AE32" i="12" s="1"/>
  <c r="AB18" i="12"/>
  <c r="AD18" i="12" s="1"/>
  <c r="AE18" i="12" s="1"/>
  <c r="AB19" i="12"/>
  <c r="AD19" i="12" s="1"/>
  <c r="AE19" i="12" s="1"/>
  <c r="AB11" i="12"/>
  <c r="AD11" i="12" s="1"/>
  <c r="AE11" i="12" s="1"/>
  <c r="AB21" i="12"/>
  <c r="AD21" i="12" s="1"/>
  <c r="AE21" i="12" s="1"/>
  <c r="AB38" i="12"/>
  <c r="AD38" i="12" s="1"/>
  <c r="AE38" i="12" s="1"/>
  <c r="AA34" i="12"/>
  <c r="AA20" i="12"/>
  <c r="AA18" i="12"/>
  <c r="AA22" i="12"/>
  <c r="AA37" i="12"/>
  <c r="AA30" i="12"/>
  <c r="AA11" i="12"/>
  <c r="AA32" i="12"/>
  <c r="AA16" i="12"/>
  <c r="AA39" i="12"/>
  <c r="AA41" i="12"/>
  <c r="AA19" i="12"/>
  <c r="AA26" i="12"/>
  <c r="AA13" i="12"/>
  <c r="AA25" i="12"/>
  <c r="F26" i="12"/>
  <c r="F36" i="12"/>
  <c r="F20" i="12"/>
  <c r="F29" i="12"/>
  <c r="F32" i="12"/>
  <c r="F19" i="12"/>
  <c r="F35" i="12"/>
  <c r="F38" i="12"/>
  <c r="F17" i="12"/>
  <c r="F28" i="12"/>
  <c r="F41" i="12"/>
  <c r="F39" i="12"/>
  <c r="F14" i="12"/>
  <c r="F34" i="12"/>
  <c r="F22" i="12"/>
  <c r="F15" i="12"/>
  <c r="F12" i="12"/>
  <c r="F27" i="12"/>
  <c r="F30" i="12"/>
  <c r="F16" i="12"/>
  <c r="F40" i="12"/>
  <c r="F33" i="12"/>
  <c r="F18" i="12"/>
  <c r="F21" i="12"/>
  <c r="F31" i="12"/>
  <c r="F42" i="12"/>
  <c r="F10" i="12"/>
  <c r="F11" i="12"/>
  <c r="F37" i="12"/>
  <c r="F23" i="12"/>
  <c r="AP85" i="6"/>
  <c r="AK35" i="12" l="1"/>
  <c r="AK3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F4D003-D986-0845-85CF-617F6D7E92D1}" keepAlive="1" name="Abfrage - Abfrage" description="Verbindung mit der Abfrage 'Abfrage' in der Arbeitsmappe." type="5" refreshedVersion="8" background="1" saveData="1">
    <dbPr connection="Provider=Microsoft.Mashup.OleDb.1;Data Source=$Workbook$;Location=Abfrage;Extended Properties=&quot;&quot;" command="SELECT * FROM [Abfrage]"/>
  </connection>
  <connection id="2" xr16:uid="{BB844AE1-9C95-9846-8546-1B5F1693E562}" keepAlive="1" name="Abfrage - Abfrage (2)" description="Verbindung mit der Abfrage 'Abfrage (2)' in der Arbeitsmappe." type="5" refreshedVersion="0" background="1">
    <dbPr connection="Provider=Microsoft.Mashup.OleDb.1;Data Source=$Workbook$;Location=&quot;Abfrage (2)&quot;;Extended Properties=&quot;&quot;" command="SELECT * FROM [Abfrage (2)]"/>
  </connection>
  <connection id="3" xr16:uid="{78B62040-7EA5-234E-A0F6-B952ED9E57E2}" keepAlive="1" name="Abfrage - Abfrage (2)(1)" description="Verbindung mit der Abfrage 'Abfrage (2)' in der Arbeitsmappe." type="5" refreshedVersion="0" background="1">
    <dbPr connection="Provider=Microsoft.Mashup.OleDb.1;Data Source=$Workbook$;Location=&quot;Abfrage (2)&quot;;Extended Properties=&quot;&quot;" command="SELECT * FROM [Abfrage (2)]"/>
  </connection>
  <connection id="4" xr16:uid="{6AC9BEC3-D146-A94A-8F1A-FABC58072335}" keepAlive="1" name="Abfrage - Abfrage (3)" description="Verbindung mit der Abfrage 'Abfrage (3)' in der Arbeitsmappe." type="5" refreshedVersion="0" background="1">
    <dbPr connection="Provider=Microsoft.Mashup.OleDb.1;Data Source=$Workbook$;Location=&quot;Abfrage (3)&quot;;Extended Properties=&quot;&quot;" command="SELECT * FROM [Abfrage (3)]"/>
  </connection>
  <connection id="5" xr16:uid="{30F8EA43-AF95-3443-A0D3-BBE60E5347E3}" keepAlive="1" name="Abfrage - Abfrage (3)(1)" description="Verbindung mit der Abfrage 'Abfrage (3)' in der Arbeitsmappe." type="5" refreshedVersion="0" background="1">
    <dbPr connection="Provider=Microsoft.Mashup.OleDb.1;Data Source=$Workbook$;Location=&quot;Abfrage (3)&quot;;Extended Properties=&quot;&quot;" command="SELECT * FROM [Abfrage (3)]"/>
  </connection>
  <connection id="6" xr16:uid="{9C262AA1-B56F-A849-B6DF-5365AAA0D3E7}" keepAlive="1" name="Abfrage - Abfrage(1)" description="Verbindung mit der Abfrage 'Abfrage' in der Arbeitsmappe." type="5" refreshedVersion="8" background="1" saveData="1">
    <dbPr connection="Provider=Microsoft.Mashup.OleDb.1;Data Source=$Workbook$;Location=Abfrage;Extended Properties=&quot;&quot;" command="SELECT * FROM [Abfrage]"/>
  </connection>
  <connection id="7" xr16:uid="{77C7D9D7-8B95-854B-BDD0-8AFEDE2C1F3C}" keepAlive="1" name="Abfrage - Abfrage(2)" description="Verbindung mit der Abfrage 'Abfrage' in der Arbeitsmappe." type="5" refreshedVersion="8" background="1" saveData="1">
    <dbPr connection="Provider=Microsoft.Mashup.OleDb.1;Data Source=$Workbook$;Location=Abfrage;Extended Properties=&quot;&quot;" command="SELECT * FROM [Abfr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<sst xmlns="http://schemas.openxmlformats.org/spreadsheetml/2006/main" count="9691" uniqueCount="1673">
  <si>
    <t>CP</t>
  </si>
  <si>
    <t>Veranstaltung</t>
  </si>
  <si>
    <t>Theo2</t>
  </si>
  <si>
    <t>Theo4</t>
  </si>
  <si>
    <t>RiemGeo</t>
  </si>
  <si>
    <t>Lie Gruppen</t>
  </si>
  <si>
    <t>Subject</t>
  </si>
  <si>
    <t>Date</t>
  </si>
  <si>
    <t>Process</t>
  </si>
  <si>
    <t>Time</t>
  </si>
  <si>
    <t>Zeilenbeschriftungen</t>
  </si>
  <si>
    <t>Gesamtergebnis</t>
  </si>
  <si>
    <t>Exc</t>
  </si>
  <si>
    <t>Summe von Time</t>
  </si>
  <si>
    <t>Spaltenbeschriftungen</t>
  </si>
  <si>
    <t>Stud</t>
  </si>
  <si>
    <t>Spalte1</t>
  </si>
  <si>
    <t>Week</t>
  </si>
  <si>
    <t>GeoPDE</t>
  </si>
  <si>
    <t>Sum</t>
  </si>
  <si>
    <t>EFT1</t>
  </si>
  <si>
    <t>Topo2</t>
  </si>
  <si>
    <t>Knot</t>
  </si>
  <si>
    <t>KommAlg</t>
  </si>
  <si>
    <t>QMS</t>
  </si>
  <si>
    <t>ÜB (h)</t>
  </si>
  <si>
    <t>VL (h)</t>
  </si>
  <si>
    <t>SAQ</t>
  </si>
  <si>
    <t>CAQ (VL)</t>
  </si>
  <si>
    <t>CAQ (EX)</t>
  </si>
  <si>
    <t>CAQ (SS)</t>
  </si>
  <si>
    <t>Content Acquisition</t>
  </si>
  <si>
    <t>Structure Aq</t>
  </si>
  <si>
    <t>Studying</t>
  </si>
  <si>
    <t>Excercising</t>
  </si>
  <si>
    <t>Reping</t>
  </si>
  <si>
    <t>Presenting</t>
  </si>
  <si>
    <t>Rep</t>
  </si>
  <si>
    <t>Pres</t>
  </si>
  <si>
    <t>Tot (Vera.)</t>
  </si>
  <si>
    <t>Phase</t>
  </si>
  <si>
    <t>State (P2)</t>
  </si>
  <si>
    <t>Exa</t>
  </si>
  <si>
    <t>Done</t>
  </si>
  <si>
    <t>AQ</t>
  </si>
  <si>
    <t>Sum/M</t>
  </si>
  <si>
    <t>Subject2</t>
  </si>
  <si>
    <t>Subject22</t>
  </si>
  <si>
    <t>_</t>
  </si>
  <si>
    <t>Woche:</t>
  </si>
  <si>
    <t>Sum - (Week*Plan)</t>
  </si>
  <si>
    <t>PRES-S</t>
  </si>
  <si>
    <t>PRES-L</t>
  </si>
  <si>
    <t>PRES-∆</t>
  </si>
  <si>
    <t>∆</t>
  </si>
  <si>
    <t>∆*</t>
  </si>
  <si>
    <t>L</t>
  </si>
  <si>
    <t>S</t>
  </si>
  <si>
    <t>VL-S</t>
  </si>
  <si>
    <t>VL-L</t>
  </si>
  <si>
    <t>VL-∆</t>
  </si>
  <si>
    <t>EX-L</t>
  </si>
  <si>
    <t>EX-∆</t>
  </si>
  <si>
    <t>EX-S</t>
  </si>
  <si>
    <t>16-2025</t>
  </si>
  <si>
    <t>15-2025</t>
  </si>
  <si>
    <t>KW-Jahr</t>
  </si>
  <si>
    <t>14-2025</t>
  </si>
  <si>
    <t>ST-S</t>
  </si>
  <si>
    <t>ST-L</t>
  </si>
  <si>
    <t>ST-∆</t>
  </si>
  <si>
    <t>AP-S</t>
  </si>
  <si>
    <t>AP-L</t>
  </si>
  <si>
    <t>AP-∆</t>
  </si>
  <si>
    <t>KW</t>
  </si>
  <si>
    <t>Summe von VL-∆</t>
  </si>
  <si>
    <t>Summe von EX-∆</t>
  </si>
  <si>
    <t>Summe von ST-∆</t>
  </si>
  <si>
    <t>Summe von AP-∆</t>
  </si>
  <si>
    <t>Summe von PRES-∆</t>
  </si>
  <si>
    <t>Summe von ∆</t>
  </si>
  <si>
    <t>Summe von ∆*</t>
  </si>
  <si>
    <t>Summe von S</t>
  </si>
  <si>
    <t>Summe von L</t>
  </si>
  <si>
    <t>17-2025</t>
  </si>
  <si>
    <t>Phy Sum</t>
  </si>
  <si>
    <t>Math Sum</t>
  </si>
  <si>
    <t>AQ-S</t>
  </si>
  <si>
    <t>AQ-L</t>
  </si>
  <si>
    <t>AQ-∆</t>
  </si>
  <si>
    <t>LRN-S</t>
  </si>
  <si>
    <t>LRN-L</t>
  </si>
  <si>
    <t>LRN-∆</t>
  </si>
  <si>
    <t>Topic</t>
  </si>
  <si>
    <t>ParentTopic</t>
  </si>
  <si>
    <t>TopicPath</t>
  </si>
  <si>
    <t>TopicParent</t>
  </si>
  <si>
    <t>PredComp</t>
  </si>
  <si>
    <t>ExpComp</t>
  </si>
  <si>
    <t>Relev</t>
  </si>
  <si>
    <t>TOP1</t>
  </si>
  <si>
    <t>Mayer-Vietoris Sequenz in SHT</t>
  </si>
  <si>
    <t>Unterteilung  und Ausschneidung in SHT</t>
  </si>
  <si>
    <t>Basics der SHT</t>
  </si>
  <si>
    <t>Singuläre Homologie (SHT)</t>
  </si>
  <si>
    <t>Kreuzprodukt in SHT</t>
  </si>
  <si>
    <t>GPDE</t>
  </si>
  <si>
    <t>RG</t>
  </si>
  <si>
    <t>TOP2</t>
  </si>
  <si>
    <t>KNO</t>
  </si>
  <si>
    <t>KA</t>
  </si>
  <si>
    <t>T2</t>
  </si>
  <si>
    <t>T4</t>
  </si>
  <si>
    <t>Singuläre Homologie (SHT)/Basics der SHT</t>
  </si>
  <si>
    <t>Singuläre Homologie (SHT)/Kreuzprodukt in SHT</t>
  </si>
  <si>
    <t>Singuläre Homologie (SHT)/Mayer-Vietoris Sequenz in SHT</t>
  </si>
  <si>
    <t>Singuläre Homologie (SHT)/Unterteilung  und Ausschneidung in SHT</t>
  </si>
  <si>
    <t>Kreuzprodukt auf Kettengruppenkomplexe in SHT</t>
  </si>
  <si>
    <t>Homologie Kreuzprodukt in SHT</t>
  </si>
  <si>
    <t>HA</t>
  </si>
  <si>
    <t>Kategorische Formulierung der SHT</t>
  </si>
  <si>
    <t>Splitting</t>
  </si>
  <si>
    <t>Absolute und Relative Homologie</t>
  </si>
  <si>
    <t>Kategorische Formulierung der Homologietheorie</t>
  </si>
  <si>
    <t>Reduzierte Homologie</t>
  </si>
  <si>
    <t>Homologie mit Koeffizienten</t>
  </si>
  <si>
    <t>Tensorprodukt von abelschen Gruppen (HmK)</t>
  </si>
  <si>
    <t>Torsionsprodukt von abelschen Gruppen (HmK)</t>
  </si>
  <si>
    <t>Homologisches Kreuzprodukt (HA)</t>
  </si>
  <si>
    <t>16-2025 Ergebnis</t>
  </si>
  <si>
    <t>SubjectCount</t>
  </si>
  <si>
    <t>Homologische Algebra</t>
  </si>
  <si>
    <t>Moduln in HA</t>
  </si>
  <si>
    <t>Tensorprodukt in HA</t>
  </si>
  <si>
    <t>Abelsche Kategorien</t>
  </si>
  <si>
    <t>Singuläre Homologie (SHT)/Kategorische Formulierung der SHT</t>
  </si>
  <si>
    <t>Singuläre Homologie (SHT)/Kreuzprodukt in SHT/Kreuzprodukt auf Kettengruppenkomplexe in SHT</t>
  </si>
  <si>
    <t>Singuläre Homologie (SHT)/Kreuzprodukt in SHT/Homologie Kreuzprodukt in SHT</t>
  </si>
  <si>
    <t>Homologie mit Koeffizienten/Tensorprodukt von abelschen Gruppen (HmK)</t>
  </si>
  <si>
    <t>Homologie mit Koeffizienten/Torsionsprodukt von abelschen Gruppen (HmK)</t>
  </si>
  <si>
    <t>Komplexe in HA</t>
  </si>
  <si>
    <t>Homologie Funktor in HA</t>
  </si>
  <si>
    <t>Content</t>
  </si>
  <si>
    <t>CTyp</t>
  </si>
  <si>
    <t>AQ-State</t>
  </si>
  <si>
    <t>Layer</t>
  </si>
  <si>
    <t>PROOF</t>
  </si>
  <si>
    <t>REM</t>
  </si>
  <si>
    <t>KORO</t>
  </si>
  <si>
    <t>LEM</t>
  </si>
  <si>
    <t>THEO</t>
  </si>
  <si>
    <t>PROP</t>
  </si>
  <si>
    <t>DEF</t>
  </si>
  <si>
    <t>OTH</t>
  </si>
  <si>
    <t>SYS-State</t>
  </si>
  <si>
    <t>TopicID</t>
  </si>
  <si>
    <t>Order</t>
  </si>
  <si>
    <t>UnitID</t>
  </si>
  <si>
    <t>Kategorien und Funktoren in HA</t>
  </si>
  <si>
    <t>TopicIDCount</t>
  </si>
  <si>
    <t>Comp</t>
  </si>
  <si>
    <t>RelInt</t>
  </si>
  <si>
    <t>RelId</t>
  </si>
  <si>
    <t>Cont</t>
  </si>
  <si>
    <t>Cint</t>
  </si>
  <si>
    <t>CID</t>
  </si>
  <si>
    <t>Comments</t>
  </si>
  <si>
    <t>NoteID</t>
  </si>
  <si>
    <t>Eilenberg-Stennrod Axiom</t>
  </si>
  <si>
    <t>Hilftslemma für Diagramme der HA</t>
  </si>
  <si>
    <t>Exaktheit von Sequenzen</t>
  </si>
  <si>
    <t>Basics für Exaktheit von Sequenzen</t>
  </si>
  <si>
    <t>Kurze Exakte Sequenzen Basics</t>
  </si>
  <si>
    <t>5-Lemma</t>
  </si>
  <si>
    <t>Schlangen Lemma</t>
  </si>
  <si>
    <t>Schlagstock Lemma</t>
  </si>
  <si>
    <t>Splitting Basics</t>
  </si>
  <si>
    <t>Splitting Cases</t>
  </si>
  <si>
    <t>Exa Kategorien</t>
  </si>
  <si>
    <t>EXA</t>
  </si>
  <si>
    <t>Exa Volle Unterkategorie</t>
  </si>
  <si>
    <t>Funktor</t>
  </si>
  <si>
    <t>Hom-Funktor</t>
  </si>
  <si>
    <t>Sequenz in Kategorie</t>
  </si>
  <si>
    <t>Volle Unterkategorie</t>
  </si>
  <si>
    <t>Unterkategorie</t>
  </si>
  <si>
    <t>Kategorie</t>
  </si>
  <si>
    <t>Diagramm in Katagorie</t>
  </si>
  <si>
    <t>Weg in Kategorie</t>
  </si>
  <si>
    <t>Gelabelter Weg</t>
  </si>
  <si>
    <t>Einfacher Weg</t>
  </si>
  <si>
    <t>Kommutatives Diagramm</t>
  </si>
  <si>
    <t>Kontravariante Funktoren</t>
  </si>
  <si>
    <t>Isopmorphie in Kategorie</t>
  </si>
  <si>
    <t>Natürliche Transformation</t>
  </si>
  <si>
    <t>Natürlicher Isomorphismus</t>
  </si>
  <si>
    <t>Komposition von Natürlichen Transformationen</t>
  </si>
  <si>
    <t>(Kleine) Funktorenkategorie</t>
  </si>
  <si>
    <t xml:space="preserve">Exa Kleine Funktorenkategorie: Diag / Seq </t>
  </si>
  <si>
    <t>Komplex und Ketten-Abbildung</t>
  </si>
  <si>
    <t>Links/Rechts Moduln</t>
  </si>
  <si>
    <t>Abelsche Gruppe</t>
  </si>
  <si>
    <t>Additiver Funktor von Rmod &gt; Ab</t>
  </si>
  <si>
    <t>Kern / Im / CoKern für R-Hom</t>
  </si>
  <si>
    <t>ISO-Sätze</t>
  </si>
  <si>
    <t>Freie Abelsche Gruppe</t>
  </si>
  <si>
    <t>Freie R-Moduln</t>
  </si>
  <si>
    <t>MON-S</t>
  </si>
  <si>
    <t>MON-L</t>
  </si>
  <si>
    <t>MON-∆</t>
  </si>
  <si>
    <t>Additive Kategorie</t>
  </si>
  <si>
    <t>Additiver Funktor von additiven Kategorien</t>
  </si>
  <si>
    <t>Direkte Summe in additiven Kategorien</t>
  </si>
  <si>
    <t>Monomorphismen in Kategorien</t>
  </si>
  <si>
    <t>Epimorphismen in Kategorien</t>
  </si>
  <si>
    <t>Monics / Epics in additiven Kategorien</t>
  </si>
  <si>
    <t>Ker / Coker in additiven Kategorien</t>
  </si>
  <si>
    <t>Beziehung Monic / Epic und ker / cokern in additiven Kategorien</t>
  </si>
  <si>
    <t>Subgadget von Objekten in additiven Katgeorien</t>
  </si>
  <si>
    <t>Quotienten-Objekt in additiven Kategorien</t>
  </si>
  <si>
    <t>Abelsche Kategorie</t>
  </si>
  <si>
    <t xml:space="preserve">Exa abelsche Kategorie: (Volle Unterkategorien von) Abelsche Gruppen </t>
  </si>
  <si>
    <t>Exakte Kategorie</t>
  </si>
  <si>
    <t>Exa Exakte Kategorie</t>
  </si>
  <si>
    <t>Exaktheit in abelschen Kategorien durch Subobjekt in Gadgete</t>
  </si>
  <si>
    <t>Abelsche Unterkategorie</t>
  </si>
  <si>
    <t>Funktorkategorie zu abelschen Kategorie ist abelsch</t>
  </si>
  <si>
    <t>Projektive Objekte in abelschen Kategorien</t>
  </si>
  <si>
    <t>Injektive Objekte in abelschen Kategorien</t>
  </si>
  <si>
    <t>Komplex in abelschen Kategorien</t>
  </si>
  <si>
    <t>Ketten Abbildung zwischen Komplexen in abelschen Kategorien</t>
  </si>
  <si>
    <t>Kategorie der Komplexe in abelschen Kategorien</t>
  </si>
  <si>
    <t>Unterkomplex in abelschen Kategorien</t>
  </si>
  <si>
    <t>Kategorie der Komplexe abelsch, falls Kategorie abelsch</t>
  </si>
  <si>
    <t>PROOF: Kategorie der Komplexe abelsch, falls Kategorie abelsch</t>
  </si>
  <si>
    <t>Isomorphie in Kategorie der Komplexe</t>
  </si>
  <si>
    <t>Direkte Summe von Komplexen</t>
  </si>
  <si>
    <t>Exaktheit von Sequenze von Komplexen und Ketten Abbildungen</t>
  </si>
  <si>
    <t>Kurze Exakte Sequenzen von Komplexen und Ketten Abbildungen</t>
  </si>
  <si>
    <t>Exakte Sequenzen sind Komplexe</t>
  </si>
  <si>
    <t>Kurze Exakte Sequenzen zu Komplexen erweitern</t>
  </si>
  <si>
    <t>Sequenzen von Objekte</t>
  </si>
  <si>
    <t>Positive / Negative Komplexe</t>
  </si>
  <si>
    <t>Ketten / Zyklen / Ränder in Komplexen</t>
  </si>
  <si>
    <t>n-te Homologie in Komplexen</t>
  </si>
  <si>
    <t>Homologie als Abweichung von Exaktheit eines Komplexes</t>
  </si>
  <si>
    <t>Fundamentale Exakte Sequenzen für Komplexe: Zyklen Ränder und Homologie</t>
  </si>
  <si>
    <t>n-te Homologie ist additiver Funktor</t>
  </si>
  <si>
    <t>PROOF: n-te Homologie ist additiver Funktor</t>
  </si>
  <si>
    <t>Zusammenhangs-Homomorphismus zu kurzen exakten Sequenzen in Kategorie der Komplexe ist natürlich</t>
  </si>
  <si>
    <t>PROOF: Zusammenhangs-Homomorphismus zu kurzen exakten Sequenzen in Kategorie der Komplexe ist natürlich</t>
  </si>
  <si>
    <t>Arrow Kategorie</t>
  </si>
  <si>
    <t>Interpretation des Zusammenhangs-Homomorphismus</t>
  </si>
  <si>
    <t>Kurze Exakte Sequenz in Kategorie der Komplexe induziert lange exakte Homologie-Sequenz</t>
  </si>
  <si>
    <t>PROOF: Kurze Exakte Sequenz in Kategorie der Komplexe induziert lange exakte Homologie-Sequenz</t>
  </si>
  <si>
    <t>Grad einer Abbildung zwischen Komplexen</t>
  </si>
  <si>
    <t>Exa Grad einer Abbildung zwischen Komplexen</t>
  </si>
  <si>
    <t>Homotope Ketten Abbildungen (Null-Homotopie)</t>
  </si>
  <si>
    <t>Homotope Ketten Abbildungen induzieren gleiche Homologie Abbildungen</t>
  </si>
  <si>
    <t>PROOF: Homotope Ketten Abbildungen induzieren gleiche Homologie Abbildungen</t>
  </si>
  <si>
    <t>Kontrahierbare Komplexe</t>
  </si>
  <si>
    <t>Kontrahierbare Komplexe sind azyklisch</t>
  </si>
  <si>
    <t>HA-1-10</t>
  </si>
  <si>
    <t>HA-1-12</t>
  </si>
  <si>
    <t>Summe von Layer</t>
  </si>
  <si>
    <t>Summe von Comp</t>
  </si>
  <si>
    <t>Summe von RelInt</t>
  </si>
  <si>
    <t>Summe von RelId</t>
  </si>
  <si>
    <t>Summe von CID</t>
  </si>
  <si>
    <t>Summe von Cont</t>
  </si>
  <si>
    <t>Summe von Cint</t>
  </si>
  <si>
    <t>STUD</t>
  </si>
  <si>
    <t>3 Grundbegriffe: Kat, Funk, naat Trafo</t>
  </si>
  <si>
    <t>Von (kleinen) Funktorkategorien zur Kategorie der Komplexe in der Kategroei der Abelschen Gruppen</t>
  </si>
  <si>
    <t>Herleitung abelscher Kategorien und additiver Funktoren als allg. Rahmen für Komplexe in abelschen Kategorien</t>
  </si>
  <si>
    <t>Warum Monics und Epics</t>
  </si>
  <si>
    <t>Basics der allg. Komplexe in abelschen Kategorien und die Kategorie der Komplexe</t>
  </si>
  <si>
    <t>cokern Konstruktion von Homologie-Objekt</t>
  </si>
  <si>
    <t>Einführung der Homologie-Funktoren</t>
  </si>
  <si>
    <t>(Natürlicher) Zusammenhangs-Homomorphismus</t>
  </si>
  <si>
    <t>Standard-p-Simpelx</t>
  </si>
  <si>
    <t>Singulärer-p-Simplex</t>
  </si>
  <si>
    <t>Rand-Operator auf Singulären-p-Kettengruppen</t>
  </si>
  <si>
    <t>Singuläre-p-Kettengruppe</t>
  </si>
  <si>
    <t>Definition der Singulären Homologie Abbildung und Singuläre Komplexe</t>
  </si>
  <si>
    <t>Inklusion' der Singulären Komplexe</t>
  </si>
  <si>
    <t>Problem: Ist die definierte Singuläre Homologie Abbildung eine Instanz einer Homologie Theorie?</t>
  </si>
  <si>
    <t>Interpretation des Zusammenhangs-Isomorphismus via Arrow Kategorie</t>
  </si>
  <si>
    <t>Quotienten Komplex</t>
  </si>
  <si>
    <t>Kettenabbildung in Quotienten Komplex durch natürliche Abbildung</t>
  </si>
  <si>
    <t>Was ist die Singuläre Homologie Theorie</t>
  </si>
  <si>
    <t>Kurze Exakte Sequenz von relative Singulären Komplexen induziert lange exakte relative Homologie-Sequenz</t>
  </si>
  <si>
    <t>Relative Zyklen und Ränder</t>
  </si>
  <si>
    <t>Relative Homologie (QuotientenKomplexe)</t>
  </si>
  <si>
    <t>Relative Homologie (Relative Zyklen u Ränder)</t>
  </si>
  <si>
    <t>Definition der relativen Homologie sind isomorph</t>
  </si>
  <si>
    <t>Aumentierter singulärer Komplex</t>
  </si>
  <si>
    <t>Reduzierte Homologiegruppe</t>
  </si>
  <si>
    <t>Affiner Singulärer Simplex</t>
  </si>
  <si>
    <t>Unterkategorie von Singulärer Komplex der Standard Simplex erzeugt durch affine singuläre Simplize</t>
  </si>
  <si>
    <t>Kegel Operator auf affine singuläre Simplize</t>
  </si>
  <si>
    <t>Rand von Kegel eines affinen singulären Simplex</t>
  </si>
  <si>
    <t>Barycenter-Operator (Subdivison Operator) auf Unterkomplex der affinen singulären Simplize</t>
  </si>
  <si>
    <t>Barycenter-Operator ist Kettenabbildung zwischen Subkomplexen der affinen singulären Simplize</t>
  </si>
  <si>
    <t>Barycenter-Operator ist homotop zu Identität-K-Abb bzgl Homotopie-Operator</t>
  </si>
  <si>
    <t>Barycenter-Operator auf singulären Komplexe</t>
  </si>
  <si>
    <t>Homotopie-Operator auf singulären Komplexen</t>
  </si>
  <si>
    <t>a) Operatoren sind Natürlich 
b) BC-Operator ist Ketten-Abbildung und homotop zu Identität bzgl H-Operator 
c) Verträglich mit Def auf Subkompelx der affinen sing. Simplize
d) Abbildungen von sing Simplex im Bild des sing Simplex</t>
  </si>
  <si>
    <t>Iterative Anwendung von BC-Operator ist kettenhomotop zur Identität bzgl Abbildung abhängig von H-Operator</t>
  </si>
  <si>
    <t>Hier gemeint bzgl sing Simplex oder affin sing Simplex?</t>
  </si>
  <si>
    <t>Durchmesser Abschätzung für Simplize in Ketten der Barycenter Unterteilung von affinen Simplize</t>
  </si>
  <si>
    <t>Durchmesser Abschätzung für affine Simplize in k-fach BC-unterteilten Identitäten von Standard-Simplizes</t>
  </si>
  <si>
    <t>k-fach BC-unterteilter singulärer Simplex ist U-klein</t>
  </si>
  <si>
    <t>Quasi-Isomorph</t>
  </si>
  <si>
    <t>Homologie-Äquivalenz von normalen Homologiegruppen und Homologiegruppen über offenen Überdeckungen</t>
  </si>
  <si>
    <t>Singulärer Subkomplexe erzeugt durch U-kleine singuläre Simplize und Homologiegruppen über offener Überdeckung</t>
  </si>
  <si>
    <t>Singulärer Quotientenkomplex über offener Überdeckung</t>
  </si>
  <si>
    <t>Ausschneidungsaxiom</t>
  </si>
  <si>
    <t>HA-1-05</t>
  </si>
  <si>
    <t>HA-1-01</t>
  </si>
  <si>
    <t>TOP1-1-04</t>
  </si>
  <si>
    <t>HA-1-04</t>
  </si>
  <si>
    <t>HA-1-06</t>
  </si>
  <si>
    <t>TOP1-1-09</t>
  </si>
  <si>
    <t>TOP1-1-02</t>
  </si>
  <si>
    <t>HA-1-07</t>
  </si>
  <si>
    <t>HA-1-02</t>
  </si>
  <si>
    <t>Eigenschaften des Barycenter / Homotopie Operators</t>
  </si>
  <si>
    <t>Regularitätsklassen</t>
  </si>
  <si>
    <t>GPDE Basics</t>
  </si>
  <si>
    <t>Maximum Prinzipien</t>
  </si>
  <si>
    <t>Differentialoperatoren</t>
  </si>
  <si>
    <t>Schwache Maximum Prinzipien</t>
  </si>
  <si>
    <t>Starke Maximum Prinzipien</t>
  </si>
  <si>
    <t>Affin linear in k-ter Komponente</t>
  </si>
  <si>
    <t>Lineare Operator k-ter Ordnung</t>
  </si>
  <si>
    <t>Semilineare Operator k-ter Ordnung</t>
  </si>
  <si>
    <t>Quasilineare Operator k-ter Ordnung</t>
  </si>
  <si>
    <t>Voll nichtlineare Operator k-ter Ordnung</t>
  </si>
  <si>
    <t>Lineare Operator 2-ter Ordnung</t>
  </si>
  <si>
    <t>Parabolischer lineaer Operator 2-ter Ordnung</t>
  </si>
  <si>
    <t>Elliptischer linearer Operator 3-ter Ordnung</t>
  </si>
  <si>
    <t>Strikt linearer Operator 2-ter Ordnung</t>
  </si>
  <si>
    <t>Uniform linearer Operator 2-ter Ordnung</t>
  </si>
  <si>
    <t>Lp-Raum</t>
  </si>
  <si>
    <t>Ungleichungen und Abschätzungen</t>
  </si>
  <si>
    <t>Lokal Hölder Stetig mit Exponent</t>
  </si>
  <si>
    <t>Hölder Stetig mit Exponent</t>
  </si>
  <si>
    <t>Lipschitz Stetig</t>
  </si>
  <si>
    <t>Ck Differenzierbar mit (lokal) Hölder Stetigen k-ten Ableitungen</t>
  </si>
  <si>
    <t>Allgemeine Differentialoperator</t>
  </si>
  <si>
    <t>Was ist ein schw. MP?</t>
  </si>
  <si>
    <t>Parabolischer Rand</t>
  </si>
  <si>
    <t>Parabolisches schwaches Maximum Prinzip</t>
  </si>
  <si>
    <t>Eindeutigkeit von Lösungen von parabolischen Differentialoperatoren</t>
  </si>
  <si>
    <t>Elliptisches schwaches Maximumsprinzip</t>
  </si>
  <si>
    <t>Eindeutigkeit von Lösungen von elliptischen Differentialoperatoren</t>
  </si>
  <si>
    <t>Motivation Starke Maximum Prinzipien</t>
  </si>
  <si>
    <t>Propagation von Positivität</t>
  </si>
  <si>
    <t>Elliptisches starkes Maximum Prinzip</t>
  </si>
  <si>
    <t>Parabolisches starkes Maximum Prinzip</t>
  </si>
  <si>
    <t>QM</t>
  </si>
  <si>
    <t>Quantenmechanik</t>
  </si>
  <si>
    <t>Schrödinger Gleichung</t>
  </si>
  <si>
    <t>Wellenpakete in QM</t>
  </si>
  <si>
    <t>Einführung der Schrödinger Gleichung</t>
  </si>
  <si>
    <t>Herleitung für freie Teilchen</t>
  </si>
  <si>
    <t>Teilchen in äußeren Potentialen</t>
  </si>
  <si>
    <t>Operatoren</t>
  </si>
  <si>
    <t>Korrespondenz Prinzip</t>
  </si>
  <si>
    <t>Interpretation der Wellenfunktion</t>
  </si>
  <si>
    <t>Wahrscheinlichkeitsdichte</t>
  </si>
  <si>
    <t>Kontinuitätsgleichung</t>
  </si>
  <si>
    <t>Impulsraum</t>
  </si>
  <si>
    <t>Erwartungswert</t>
  </si>
  <si>
    <t>Beugung und Inferenz</t>
  </si>
  <si>
    <t>Ehrenfest Theorem</t>
  </si>
  <si>
    <t>Hermitisch konjugierte Operatoren</t>
  </si>
  <si>
    <t>Bewegungsgleichung für Erwartungswert</t>
  </si>
  <si>
    <t>Quasiklassische Bewegung</t>
  </si>
  <si>
    <t>CONC</t>
  </si>
  <si>
    <t>Plancksche Wirkungsquantum für Energie-Kreisfrequenz und Impuls-Wellenvektor</t>
  </si>
  <si>
    <t>Ebene (kompl) Welle</t>
  </si>
  <si>
    <t>Wellenpaket</t>
  </si>
  <si>
    <t>Überlagerung zweier Wellen</t>
  </si>
  <si>
    <t>Gruppengeschwindigkeit</t>
  </si>
  <si>
    <t>Gruppengeschwindigkeit = Mechanische Geschwindigkeit der zugeordneten Teilchen</t>
  </si>
  <si>
    <t>Phasengeschwindigkeit einer Welle</t>
  </si>
  <si>
    <t>Allgemeine Wellenpaket</t>
  </si>
  <si>
    <t>Gaußsche Wellenpaket in 1D</t>
  </si>
  <si>
    <t>Breite des Wellenpakets im Ort-Raum</t>
  </si>
  <si>
    <t>Breite des Gauß'schen Wellenpakets im k-Raum</t>
  </si>
  <si>
    <t>Born-Interpretation</t>
  </si>
  <si>
    <t>Ebene Wellen mit Plankschem Wirkungsquantum</t>
  </si>
  <si>
    <t>Ebene Wellen mit Plankschem Wirkungsquantum zu nicht-relativistischem Teilchen</t>
  </si>
  <si>
    <t>Schrödinger Gleichung für nicht-relativistisches Teilchen</t>
  </si>
  <si>
    <t>Linearität und Superposition der Schrödinger Gleichung</t>
  </si>
  <si>
    <t>Herleitung der freien Schrödinger Gleichung durch Korrspondenzprinzip</t>
  </si>
  <si>
    <t>Symmetrie in Quantenmechanik</t>
  </si>
  <si>
    <t>Raum Translation</t>
  </si>
  <si>
    <t>Zeit Translation</t>
  </si>
  <si>
    <t>Rotation</t>
  </si>
  <si>
    <t>Gruppentheorie für QMS</t>
  </si>
  <si>
    <t>Basics Gruppentheorie für QMS</t>
  </si>
  <si>
    <t>Repräsentation von Gruppen</t>
  </si>
  <si>
    <t>Einfache und Semi-Einfache Lie Gruppen</t>
  </si>
  <si>
    <t>Gruppe SU(3)</t>
  </si>
  <si>
    <t>Generatoren</t>
  </si>
  <si>
    <t>Struktur Konstanten</t>
  </si>
  <si>
    <t>Unteralgebren und Untergruppen</t>
  </si>
  <si>
    <t>Qasimir Operator, Multiplet, Schur Lemma</t>
  </si>
  <si>
    <t>Konstruktion von Multiplets von fundamentalen Repräsentationen</t>
  </si>
  <si>
    <t>Young Tableaux</t>
  </si>
  <si>
    <t>Bezeihugn zw. Ket-Zustands in Hilbertraum und Wellenfunktion</t>
  </si>
  <si>
    <t>Symmetrie Transformation</t>
  </si>
  <si>
    <t>Wieso folgt aus Kommutiert die Symmetrie</t>
  </si>
  <si>
    <t>Darstellung der Raum Translationen durch Raum Translation Operator</t>
  </si>
  <si>
    <t>Raum Translation symmetrisch, dann Wahrscheinlichkeit konstant</t>
  </si>
  <si>
    <t>Exponential Darstellung des RT-Operator durch Taylor-Entwicklung von räumlich translierter Wellenfunktion</t>
  </si>
  <si>
    <t>Gleichheit der Norm von Wellenfunktion und räumlich transformierter Wellenfunktion, lässt vermuten, dass RT-Operator unitär</t>
  </si>
  <si>
    <t>RT-Operator (Exp-Darstellung) ist unitär</t>
  </si>
  <si>
    <t>Hamilton-Operator invariant unter räumlicher Translation</t>
  </si>
  <si>
    <t>Lösung von Schrödinger Gleichung invariant unter räumlicher Translation</t>
  </si>
  <si>
    <t>RT-Operator und Hamilton-Operator kommutieren impliziert Symmetrie von RT-Operator</t>
  </si>
  <si>
    <t>Matrix-Operator</t>
  </si>
  <si>
    <t>EXA Matrix-Operatoren</t>
  </si>
  <si>
    <t>Linearer Operator</t>
  </si>
  <si>
    <t>Komplexe Konjugation ist antilinear</t>
  </si>
  <si>
    <t>Kommutator</t>
  </si>
  <si>
    <t>Skalarprodukt</t>
  </si>
  <si>
    <t>Schrödinger Operator</t>
  </si>
  <si>
    <t>Linearität des Schrödinger Operator</t>
  </si>
  <si>
    <t>Darstellung des Schrödinger Operators durch Orts und Impulsoperator</t>
  </si>
  <si>
    <t>Ortsoperator als lin. Multiplikationsoperator</t>
  </si>
  <si>
    <t>Impulsoperator als lin. Differentialoperator</t>
  </si>
  <si>
    <t>Vertauschungsrelation zwischen Orts und Impulsoperator</t>
  </si>
  <si>
    <t>Schrödinger Operator als Hamilton Operator</t>
  </si>
  <si>
    <t>Korrespondenzprinzip zw. Klassischer Mechanik und Quantenmechanik bzgl Ort und Impuls</t>
  </si>
  <si>
    <t>Poisson Klammer</t>
  </si>
  <si>
    <t>Wahrscheinlichkeitsdichte für die Anwesenheit eines Teilchens in einem Gebiet zu einer Wellenfunktion</t>
  </si>
  <si>
    <t>Normierung der Wahrscheinlichkeitsdichte</t>
  </si>
  <si>
    <t>Normierung von Gauß-Wellenpaket in 3D zu t=0</t>
  </si>
  <si>
    <t>Normierung invariant unter zeitlicher Entwicklung</t>
  </si>
  <si>
    <t>Kontinuitätsgleichung für W-keits-Stromdichte</t>
  </si>
  <si>
    <t>Reelle Wellenfunktionen können keinen Strom transportieren</t>
  </si>
  <si>
    <t>W-keits-Stromdichte zu einer Wellenfunktion</t>
  </si>
  <si>
    <t>Kontinuitätsgleichung impliziert Normierungs-Erhaltung</t>
  </si>
  <si>
    <t>Gaußsche Wellenpaket in 3D: W-keitsdichte wird mit Gruppengeschwindigkeit transportiert</t>
  </si>
  <si>
    <t>W-keitsdichte und Stromdichte für ebene Welle: Erfüllt Kontinuitätsgleichung, aber nicht normierbar</t>
  </si>
  <si>
    <t>Fourier-Integral: Fouriertrafo und Inverse Fouriertrafo von Lösungen der (allg) Schrödingergleichung in Ortsvariable</t>
  </si>
  <si>
    <t>Fourier-Trafo von Lösung der Schrödinger Gleichung in Normierungsbedingung</t>
  </si>
  <si>
    <t>Interpre: Betrag der Inversen Fourier-Trafo als W-keitsdichte im Impulsraum</t>
  </si>
  <si>
    <t>Was ist der Impulsraum</t>
  </si>
  <si>
    <t>CM</t>
  </si>
  <si>
    <t>QM-ÜB-00: Hermitische Unitäre Matrizen</t>
  </si>
  <si>
    <t>QM-ÜB</t>
  </si>
  <si>
    <t>Hopf Lemma</t>
  </si>
  <si>
    <t>Vergleichsprinzipien für voll nicht-lineare Differentialoperatoren</t>
  </si>
  <si>
    <t>17-2025 Ergebnis</t>
  </si>
  <si>
    <t>Kategorien und Funktoren in HA2</t>
  </si>
  <si>
    <t>Klassische Streutheorie</t>
  </si>
  <si>
    <t>Wirkungsquerschnitt</t>
  </si>
  <si>
    <t>Berechnung des Wirkungsquerschnitts für elastische Streuung am Zentralpotential</t>
  </si>
  <si>
    <t>Rücktransformation ins Laborsystem</t>
  </si>
  <si>
    <t>2-Körper Problem mit konservativen Zentralkräften</t>
  </si>
  <si>
    <t>Effektive Einkörper Problem</t>
  </si>
  <si>
    <t>Aufbau Streuexperiment</t>
  </si>
  <si>
    <t>Beschreibung vor Streuung:
-Geschwindigkeit und Energie der Teilchen
- Homo Teilchenstromdichte des Teilchenstrahls
- Stoßparameter</t>
  </si>
  <si>
    <t xml:space="preserve">Beschreibung nach Streuung:
- Raumwinkel u Zählrate (Detektor)
- Zählrate als Teilchenstrom
- Differenzieller Wirkungsquerschnitt
- Totaler Wirkungsquerschnitt
</t>
  </si>
  <si>
    <t>Differenzieller und totaler Wirkungsquerschnitt</t>
  </si>
  <si>
    <t>Totale WQS als effektive Querschnittfläche, die das Potential der Projektile bietet</t>
  </si>
  <si>
    <t>Streunung an harter Kugel</t>
  </si>
  <si>
    <t>Definitionen unabhängig von Klassische / QM</t>
  </si>
  <si>
    <t>Berechnung des WQS unter Annahmen:
1) Streuung im Rahmen der CM beschreibbar
2) Elastische Streuung (kein Ener.Austausch zw. Projektil u Target
3) Streuung am Zentralpotential (Zw. Proj und Targ wirkende Potential hängt nur von Betrag Abstand ab</t>
  </si>
  <si>
    <t>Trajektorie des Projektils für repulsives Potential</t>
  </si>
  <si>
    <t>Darstellung des Streuparameters als Funktion von Streuwinkel und Energie</t>
  </si>
  <si>
    <t>Darstellung des Drehimpulses durch Streuparameter und Energie (Erhaltungssätze)</t>
  </si>
  <si>
    <t>Bilanzgleichung für Streuung</t>
  </si>
  <si>
    <t>Darstellung von differentielle WQS durch Streuparameter und Energie</t>
  </si>
  <si>
    <t>Streuwinkel und differentieller WQS hängen für ein Zentralpotential nur von von Streuparameter und Energie ab</t>
  </si>
  <si>
    <t>Rutherfordscher Wirkungsquerschnitt</t>
  </si>
  <si>
    <t>Anmerkungen</t>
  </si>
  <si>
    <t>2-Körper und effektives 1-Körper Problem</t>
  </si>
  <si>
    <t xml:space="preserve">2-Körper Problem mit konservativen Zentralkräften </t>
  </si>
  <si>
    <t>Reduktion of effektives 1-Körper Problem</t>
  </si>
  <si>
    <t>Gesamtenergie in reduzierte 1-Körper Problem</t>
  </si>
  <si>
    <t>Explizite Formel für Bahnkurve on Polarkoordianten</t>
  </si>
  <si>
    <t>Qualitative Beschreibung der Bewegung durch Graph des effektiven Potentials</t>
  </si>
  <si>
    <t>Streuung als ungebundene Bewegung im 2KP</t>
  </si>
  <si>
    <t>CM-ÜB</t>
  </si>
  <si>
    <t>CM-ÜB-01: Streutheorie</t>
  </si>
  <si>
    <t>Atwood-Pendel</t>
  </si>
  <si>
    <t>EXE</t>
  </si>
  <si>
    <t>Totale Wirkungsquerschnitt für feste Kugel</t>
  </si>
  <si>
    <t>Allgemeine Herleitung des tot. WQS in reduzierten 1-Körper Systemen</t>
  </si>
  <si>
    <t>Streuwinkel relativ zu asymptotischer Verlauf</t>
  </si>
  <si>
    <t>Differenzierbare Mannigfaltigkeiten</t>
  </si>
  <si>
    <t>Untermannigfaltigkeiten im euklidischen Raum</t>
  </si>
  <si>
    <t>Glatte Mannigfaltigkeiten</t>
  </si>
  <si>
    <t>Glatte Abbildungen und Vektorfelder</t>
  </si>
  <si>
    <t>Riemannische Mannigfaltigkeiten</t>
  </si>
  <si>
    <t>Definitionen und Beispiele</t>
  </si>
  <si>
    <t>Levi-Civita Zusammenhang</t>
  </si>
  <si>
    <t>Kovariante Ableitung längs einer Kurve</t>
  </si>
  <si>
    <t>Paralleltransport</t>
  </si>
  <si>
    <t>Geodätische und Exponentialabbildung</t>
  </si>
  <si>
    <t>Geodätische</t>
  </si>
  <si>
    <t>Exponentialabbildung</t>
  </si>
  <si>
    <t>Satz von Hopf-Rinow</t>
  </si>
  <si>
    <t>n-dimensionale Untermannigfaltigkeit des euklidischen Raumes</t>
  </si>
  <si>
    <t>n-Sphäre</t>
  </si>
  <si>
    <t>Hyperboloid</t>
  </si>
  <si>
    <t>n-Torus</t>
  </si>
  <si>
    <t>Charakterisierungen von Untermannigfaltigkeiten im euklidischen Raum</t>
  </si>
  <si>
    <t>Äquivalente Atlanten</t>
  </si>
  <si>
    <t>Beispiel für nicht äquivalente Atlanten</t>
  </si>
  <si>
    <t>Atlas auf topologischen Hausdorff-Räumen</t>
  </si>
  <si>
    <t>Glatte Mannigfaltigkeit</t>
  </si>
  <si>
    <t>Orientierte Mannigfaltigkeiten</t>
  </si>
  <si>
    <t>Untermannigfaltigkeit einer Mannigfaltigkeit</t>
  </si>
  <si>
    <t>Hyperboloid als Mfk</t>
  </si>
  <si>
    <t>n-Torus als Mfk</t>
  </si>
  <si>
    <t>n-Sphäre als Mfk</t>
  </si>
  <si>
    <t>Reelle projektiver Raum als Mfk</t>
  </si>
  <si>
    <t>Komplexe projektive Raum als Mfk</t>
  </si>
  <si>
    <t>Möbiusband als Mfk</t>
  </si>
  <si>
    <t>Quotienten-Räume als Mfk als Motivation für verallg. Mfk-Begriff</t>
  </si>
  <si>
    <t>Glatte Abbildung zwischen Mfk</t>
  </si>
  <si>
    <t>Immersion / Submersion von Mfk</t>
  </si>
  <si>
    <t>Einbettung von Mfk</t>
  </si>
  <si>
    <t>Diffeomorphismus von Mfk</t>
  </si>
  <si>
    <t>Tangentialvektor: Äquivalenzklassen von Kurven</t>
  </si>
  <si>
    <t>Tangentenvektoren: Keime</t>
  </si>
  <si>
    <t>Tangentenvektoren: Paare von Koordinatensysteme um p und Vektor</t>
  </si>
  <si>
    <t>Konstruktion des Tangentialraums</t>
  </si>
  <si>
    <t>Tangentialbündel</t>
  </si>
  <si>
    <t>Tangentialbündel ist 2n-dimensional Mfk</t>
  </si>
  <si>
    <t>Vektorfeld als glatter Schnitt in Tangentialbündel</t>
  </si>
  <si>
    <t>Darstellung von Vektorfeldern durch partielle Abbleitungen (Tangentenvektoren)</t>
  </si>
  <si>
    <t>Vektorfeld als Abbildung von glatten Funktionen auf Mfk</t>
  </si>
  <si>
    <t>Partielle Abbleitungen auf glatte Funktionen</t>
  </si>
  <si>
    <t>Lieklammer:
Jacobi-Identität
Schiefsymmetrisch
Nicht linear über R</t>
  </si>
  <si>
    <t>Lieklammer von Vektorfeldern (ergibt Vektorfelder)</t>
  </si>
  <si>
    <t>Differential von glatten Abbildungen</t>
  </si>
  <si>
    <t>Finsler-Metrik auf Mfk</t>
  </si>
  <si>
    <t>Länge von Kurven auf Mfk</t>
  </si>
  <si>
    <t>Riemannische Metrik auf Mfk</t>
  </si>
  <si>
    <t>Pseudo-Riemannische Metrik auf Mfk</t>
  </si>
  <si>
    <t>Lokale Beschreibung von Riemannischer Metrik</t>
  </si>
  <si>
    <t>Abzählbare Mfk im Unendlichen</t>
  </si>
  <si>
    <t>Relevanz der Abzählbarkeit im Unendlichen
1) Existenz von Verfeinerungen (lokal endlich) für offene Überdeckungen
2) Zerlegung der Eins</t>
  </si>
  <si>
    <t>Jede Mfk besitzt eine Riemannische Metrik</t>
  </si>
  <si>
    <t>(Lokale) Isometrie von RMfk</t>
  </si>
  <si>
    <t>Isometrische Einbettung von RMfk</t>
  </si>
  <si>
    <t>Untermannigfaltigkeit mit induzierter Metrik</t>
  </si>
  <si>
    <t>Kompakte Mfk lassen sich in Euklidischen Raum einbetten</t>
  </si>
  <si>
    <t>Unterscheidung zw. Innerer und äußerer Geometrie: Eigenschaften der Mfk vs der Einbettung</t>
  </si>
  <si>
    <t>Rotationsfläche</t>
  </si>
  <si>
    <t>Hyperbolischer Raum</t>
  </si>
  <si>
    <t>Poincaremodell des hyperbolischen Raumes</t>
  </si>
  <si>
    <t>Riemannisches Produkt</t>
  </si>
  <si>
    <t>RxSn</t>
  </si>
  <si>
    <t>Flacher Torus</t>
  </si>
  <si>
    <t>Charakterisierung der Isometrien von flachen Tori</t>
  </si>
  <si>
    <t>Kleinsche Flasche</t>
  </si>
  <si>
    <t>MOT</t>
  </si>
  <si>
    <t>Ableitung von Vektorfeldern längs Vektorfeldern</t>
  </si>
  <si>
    <t>Zusammenhang auf Mfk</t>
  </si>
  <si>
    <t>Fundamentaltheorem der Riemannischen Geometrie</t>
  </si>
  <si>
    <t>Chirstoffelsymbole als Korrekturterme in lokalen Koordinaten</t>
  </si>
  <si>
    <t>Koszulgleichung für Zusammenhänge</t>
  </si>
  <si>
    <t>Formel für Christoffelsymbole aus Koszulgleichung</t>
  </si>
  <si>
    <t>Christoffelsymbole für Rn für euklidische Metrik</t>
  </si>
  <si>
    <t>Induzierter LC-Zusammenhang auf Untermannigfaltigkeiten von RMfk</t>
  </si>
  <si>
    <t>Vektorfelder längs Kurven</t>
  </si>
  <si>
    <t>Kovariante Ableitungs-Operator längs Kurven induziert durch LC-Zusammenhang der RMfk (EE)</t>
  </si>
  <si>
    <t>Kovariante Ableitung der Riemannischen Metrik längs Kurven</t>
  </si>
  <si>
    <t>Parallele Vektorfelder längs Kurven</t>
  </si>
  <si>
    <t>Eind. Existenz von parallelen Vektorfelder für Anfangswert (Punkt,Tangentialvektor)</t>
  </si>
  <si>
    <t>Parallelverschiebung von Tangentialvektoren bzgl parallelen Vektorfeldern längs Kurven</t>
  </si>
  <si>
    <t>Abhängigkeit der Parallelverschiebung von Kurve</t>
  </si>
  <si>
    <t>Parallelverschiebung ist Isometrie zwischen Tangentialräumen</t>
  </si>
  <si>
    <t>Parallelverschiebung im euklidischen Raum</t>
  </si>
  <si>
    <t>Riemannische Geometrie</t>
  </si>
  <si>
    <t>18-2025</t>
  </si>
  <si>
    <t>Topologie 2</t>
  </si>
  <si>
    <t>Parabolisches Hopf-Lemma für Rand-Punkte</t>
  </si>
  <si>
    <t>Interior Ball Kondition an offene Mengen</t>
  </si>
  <si>
    <t>Eindeutigkeit für Neumann Probleme für elliptische Operatoren auf Mengen mit Interior Ball Kondition</t>
  </si>
  <si>
    <t>Elliptisches Hopf-Lemma für Rand-Punkte</t>
  </si>
  <si>
    <t>RG-ÜB</t>
  </si>
  <si>
    <t>RG-ÜB-01: Glatte Mannigfaltigkeiten</t>
  </si>
  <si>
    <t>n-Torus ist glatte Mfk</t>
  </si>
  <si>
    <t>Lie-Klammer berechnen von Vektorfeldern</t>
  </si>
  <si>
    <t>Beziehung zu R^n/Z^n</t>
  </si>
  <si>
    <t>Eichfeldtheorie</t>
  </si>
  <si>
    <t>Faserbündel</t>
  </si>
  <si>
    <t>Prinzipialbündel</t>
  </si>
  <si>
    <t>An- und Abmontieren von Fasern</t>
  </si>
  <si>
    <t>Lie Gruppen in EFT</t>
  </si>
  <si>
    <t>Invariante Vektorfelder und Differentialformen</t>
  </si>
  <si>
    <t>Lie Algebren in EFT</t>
  </si>
  <si>
    <t>Exponentialabbildung in EFT</t>
  </si>
  <si>
    <t>Homogene Räume</t>
  </si>
  <si>
    <t>Lokale triviale Faserung mit typischen Fasern auf Mfk</t>
  </si>
  <si>
    <t>Vektorraumbündel</t>
  </si>
  <si>
    <t>Projektion von Kreuzprodukt ist eine lokal triviale Faserung</t>
  </si>
  <si>
    <t>Tangentialbündel mit differenzierbarer Struktur ist Vektorraumbündel</t>
  </si>
  <si>
    <t>Lokale triviale Faserung als Tripel von Totalraum, Basisraum, Bündelprojektion mit typischen Fasern</t>
  </si>
  <si>
    <t>Reale Fasern in lokal trivialen Faserungen</t>
  </si>
  <si>
    <t>Bündelkarten für offene Teilmengen der Basis</t>
  </si>
  <si>
    <t>Bündelatlas für lokale triviale Faserungen</t>
  </si>
  <si>
    <t>Faserkarte am Punkt x im Basisraum</t>
  </si>
  <si>
    <t>Bündelkartenwechsel zwischen Bündelkarten</t>
  </si>
  <si>
    <t>G-Faserbündel mit Liegruppen als Strukturgruppen</t>
  </si>
  <si>
    <t>Prinzipalbüdel / Hauptfaserbündel</t>
  </si>
  <si>
    <t>Beziehung zwischen Vektorraumbündeln und GL-Faserbündeln</t>
  </si>
  <si>
    <t>(Differenzierbare) (Lokale) Schnitte in lokal trivialen Faserungen</t>
  </si>
  <si>
    <t>Raum der differenzierbaren lokalen Schnitte</t>
  </si>
  <si>
    <t>Raum der diff. lokalen Schnitte in Kreuzprodukten</t>
  </si>
  <si>
    <t>Raum der diff. Lokalen Schnitte im Tangentialbündel</t>
  </si>
  <si>
    <t>Im Tangentialbündel existiert kein diff. Schnitt, der nirgends verschwindet</t>
  </si>
  <si>
    <t>Raum der diff Schnitte in Vektorraumbündeln ist der Vektorraum von glatten Abbildungen auf M</t>
  </si>
  <si>
    <t>Für Bündelkarten in Vektorraumbündeln existieren k lokale Schnitte, die an jeder Stelle eine Basis der realen Faser bilden</t>
  </si>
  <si>
    <t>k lokale Schnitte, die bei Punkt eine Basis der Faser bilden, induzieren eine Bündelkarte</t>
  </si>
  <si>
    <t>Bündelkarten in G-Prinzipalbündeln induzieren lokale Schnitte</t>
  </si>
  <si>
    <t>Präbündel mit Strukturgruppe G zu Liegruppe G, Mfk, (disj) Vereinigung von punktweise Mfk und Projektion</t>
  </si>
  <si>
    <t>Bündelstruktur von Tangentialbündel als Ergebnis der Konstruktion von Präbündeln</t>
  </si>
  <si>
    <t>Präbündel zum GL-Prinzipalbündel</t>
  </si>
  <si>
    <t>Direkte Summe von Vektorraumbündeln ergeben Prävektorraumbündel</t>
  </si>
  <si>
    <t>Hom-Raum für Homomorphismen zwischen Vektorraumbündeln sind Vektorraumbündel</t>
  </si>
  <si>
    <t>Mult</t>
  </si>
  <si>
    <t>Sym</t>
  </si>
  <si>
    <t>Alt</t>
  </si>
  <si>
    <t>Riemannische Metrik als Bündelmetrik im Tangentialbündel</t>
  </si>
  <si>
    <t>Vektorraumbündel vom endlichen Typ</t>
  </si>
  <si>
    <t>Bündelabbildung zwischen Faserbündel mit Strukturgruppe</t>
  </si>
  <si>
    <t>Bündelisomorphismus</t>
  </si>
  <si>
    <t>Trivialisierung von Totalraum</t>
  </si>
  <si>
    <t>Vektorraumbündelisomorphismus</t>
  </si>
  <si>
    <t>Vektorraumbündelabbildung über diff. Abbildungen zwischen Vektorraumbündeln</t>
  </si>
  <si>
    <t>Induzierte Bündel durch Abbildungen</t>
  </si>
  <si>
    <t>Menge der Vektorfelder längs Kurven</t>
  </si>
  <si>
    <t>Vektorraumbündel bzgl Grassmann-Mfk</t>
  </si>
  <si>
    <t>Bündelabbildungen bzgl induzierte Bündel</t>
  </si>
  <si>
    <t>Homotope Abbildungen in Faserbündel induzieren isomorphe Bündel</t>
  </si>
  <si>
    <t>Induzierte Bündel bei Einbettungen von UnterMfk</t>
  </si>
  <si>
    <t>Untervektorraumbündel</t>
  </si>
  <si>
    <t>Untervektorraumbündel sind Vektorraumbündel</t>
  </si>
  <si>
    <t>Quotienten-Räume bzgl Untervektorraumbündel sind Vektorraumbündel</t>
  </si>
  <si>
    <t>Untervektorraumbündel bzgl Bündelmetrik</t>
  </si>
  <si>
    <t>Tangentialbündel von UnterMfk sind Untervektorraumbündel</t>
  </si>
  <si>
    <t>Normalenbündel von UnterMfk</t>
  </si>
  <si>
    <t>Rang-Satz für Vektorraumhomomorphismen: Konstanter Rang impliziert ker und im sind Untervektorraumbündel</t>
  </si>
  <si>
    <t>Charakterisierung von Vektorraumbündeln von endlichem Typ</t>
  </si>
  <si>
    <t>Reduktionen von Faserbündeln mit Strukturgruppe bzgl abgeschlossener Untergruppe</t>
  </si>
  <si>
    <t>Charakterisierung von orientierten Mfk</t>
  </si>
  <si>
    <t>Ehresmannscher Faserungssatz: Totalräume mit eigentlich regulären Abbildungen in zusammenhängenden Basisraum implizieren eine lokale triviale Faserung</t>
  </si>
  <si>
    <t>Erwartungswert eine Größe</t>
  </si>
  <si>
    <t>Erwartungswert des Impulsoperators im Ortsraum</t>
  </si>
  <si>
    <t>Erwartungswert des Impulsoperators im Impulsraum</t>
  </si>
  <si>
    <t>Basisdarstellungen im Funktionenraum</t>
  </si>
  <si>
    <t>Mittlere Schwankungsquadrat / Varianz einer Größe</t>
  </si>
  <si>
    <t>Heisenberg'sche Unschärfe-Relation</t>
  </si>
  <si>
    <t>Doppelspaltexperiment</t>
  </si>
  <si>
    <t>Gangdifferenz, Kugelwellen</t>
  </si>
  <si>
    <t>Wellen-Bild und Abstände der Inferenz-Maxima</t>
  </si>
  <si>
    <t>Ein-Teilchen Inferenz</t>
  </si>
  <si>
    <t>Hermitisch konjugierter Operator</t>
  </si>
  <si>
    <t>(A*psi)^*=psi^*A^HK</t>
  </si>
  <si>
    <t>Anwendung von Hermitische Konjugation auf Schrödinger Gleichung</t>
  </si>
  <si>
    <t>Selbst-adjungierte Operatoren</t>
  </si>
  <si>
    <t>Zeitliche Entwicklung des Erwartungswertes</t>
  </si>
  <si>
    <t>Ehrenfest-Theorem, falls Operator A zusätzlich von Zeit abhängt</t>
  </si>
  <si>
    <t>Anwendung von Ehrenfest-Theorem auf Impuls- und Orts-Operator für Teilchen in Zeit-unabhängigem Potential</t>
  </si>
  <si>
    <t>Erwartungswert von Operatoren gehorcht den klassischen Bewegungsgleichungen (Verträglich mit Korrespondenzprinzip)</t>
  </si>
  <si>
    <t>Eindimensionale Systeme</t>
  </si>
  <si>
    <t>Stationäre Schrödinger Gleichung</t>
  </si>
  <si>
    <t>Eindimensionale Potentialstufe</t>
  </si>
  <si>
    <t>Streuzustände</t>
  </si>
  <si>
    <t>Reflektierte Zustände</t>
  </si>
  <si>
    <t>Potentialbarriere</t>
  </si>
  <si>
    <t>Unendlich tiefer Potentialtopf</t>
  </si>
  <si>
    <t>Potentialtopf mit endlicher Tiefe</t>
  </si>
  <si>
    <t>Paritätsoperator</t>
  </si>
  <si>
    <t>Zusammenfassung</t>
  </si>
  <si>
    <t>Unschärfe-Relation für 1D Gaußsche Wellenpaket zw. Impuls und Ort</t>
  </si>
  <si>
    <t>Energie eines klassischen Teilchen in Potential</t>
  </si>
  <si>
    <t>Verallgemeinerte Schrödinger-Gleichung mit Potential</t>
  </si>
  <si>
    <t>Plausibilitätsbetrachtung für allg. Version der Schrödingergleichung</t>
  </si>
  <si>
    <t>Reelle Faktoren tragen nicht zur Stromdichte bei 
Stromdichte=Geschwindigkeit * Teilchendichte gilt allg</t>
  </si>
  <si>
    <t>QM-ÜB-01: Delta-Distribution, Kommutator und W-keit</t>
  </si>
  <si>
    <t>QM-Ex</t>
  </si>
  <si>
    <t>QM-Ex-ÜB 00</t>
  </si>
  <si>
    <t>18-2025 Ergebnis</t>
  </si>
  <si>
    <t>(Leer)</t>
  </si>
  <si>
    <t>GPDE Basics/Regularitätsklassen</t>
  </si>
  <si>
    <t>GPDE Basics/Differentialoperatoren</t>
  </si>
  <si>
    <t>GPDE Basics/Ungleichungen und Abschätzungen</t>
  </si>
  <si>
    <t>Maximum Prinzipien/Schwache Maximum Prinzipien</t>
  </si>
  <si>
    <t>Maximum Prinzipien/Starke Maximum Prinzipien</t>
  </si>
  <si>
    <t>Maximum Prinzipien/Hopf Lemma</t>
  </si>
  <si>
    <t>Maximum Prinzipien/Vergleichsprinzipien für voll nicht-lineare Differentialoperatoren</t>
  </si>
  <si>
    <t>Schrödinger Gleichung/Wellenpakete in QM</t>
  </si>
  <si>
    <t>Schrödinger Gleichung/Einführung der Schrödinger Gleichung</t>
  </si>
  <si>
    <t>Schrödinger Gleichung/Einführung der Schrödinger Gleichung/Herleitung für freie Teilchen</t>
  </si>
  <si>
    <t>Schrödinger Gleichung/Einführung der Schrödinger Gleichung/Teilchen in äußeren Potentialen</t>
  </si>
  <si>
    <t>Schrödinger Gleichung/Einführung der Schrödinger Gleichung/Operatoren</t>
  </si>
  <si>
    <t>Schrödinger Gleichung/Einführung der Schrödinger Gleichung/Korrespondenz Prinzip</t>
  </si>
  <si>
    <t>Schrödinger Gleichung/Interpretation der Wellenfunktion</t>
  </si>
  <si>
    <t>Schrödinger Gleichung/Interpretation der Wellenfunktion/Wahrscheinlichkeitsdichte</t>
  </si>
  <si>
    <t>Schrödinger Gleichung/Interpretation der Wellenfunktion/Kontinuitätsgleichung</t>
  </si>
  <si>
    <t>Schrödinger Gleichung/Interpretation der Wellenfunktion/Impulsraum</t>
  </si>
  <si>
    <t>Schrödinger Gleichung/Interpretation der Wellenfunktion/Erwartungswert</t>
  </si>
  <si>
    <t>Schrödinger Gleichung/Interpretation der Wellenfunktion/Beugung und Inferenz</t>
  </si>
  <si>
    <t>Schrödinger Gleichung/Ehrenfest Theorem</t>
  </si>
  <si>
    <t>Schrödinger Gleichung/Ehrenfest Theorem/Hermitisch konjugierte Operatoren</t>
  </si>
  <si>
    <t>Schrödinger Gleichung/Ehrenfest Theorem/Bewegungsgleichung für Erwartungswert</t>
  </si>
  <si>
    <t>Schrödinger Gleichung/Ehrenfest Theorem/Quasiklassische Bewegung</t>
  </si>
  <si>
    <t>QM-ÜB/QM-ÜB-00: Hermitische Unitäre Matrizen</t>
  </si>
  <si>
    <t>Eindimensionale Systeme/Stationäre Schrödinger Gleichung</t>
  </si>
  <si>
    <t>Eindimensionale Systeme/Eindimensionale Potentialstufe</t>
  </si>
  <si>
    <t>Eindimensionale Systeme/Eindimensionale Potentialstufe/Streuzustände</t>
  </si>
  <si>
    <t>Eindimensionale Systeme/Eindimensionale Potentialstufe/Reflektierte Zustände</t>
  </si>
  <si>
    <t>Eindimensionale Systeme/Potentialbarriere</t>
  </si>
  <si>
    <t>Eindimensionale Systeme/Unendlich tiefer Potentialtopf</t>
  </si>
  <si>
    <t>Eindimensionale Systeme/Potentialtopf mit endlicher Tiefe</t>
  </si>
  <si>
    <t>Eindimensionale Systeme/Paritätsoperator</t>
  </si>
  <si>
    <t>Eindimensionale Systeme/Zusammenfassung</t>
  </si>
  <si>
    <t>QM-ÜB/QM-ÜB-01: Delta-Distribution, Kommutator und W-keit</t>
  </si>
  <si>
    <t>Symmetrie in Quantenmechanik/Raum Translation</t>
  </si>
  <si>
    <t>Symmetrie in Quantenmechanik/Zeit Translation</t>
  </si>
  <si>
    <t>Symmetrie in Quantenmechanik/Rotation</t>
  </si>
  <si>
    <t>Gruppentheorie für QMS/Basics Gruppentheorie für QMS</t>
  </si>
  <si>
    <t>Gruppentheorie für QMS/Repräsentation von Gruppen</t>
  </si>
  <si>
    <t>Gruppentheorie für QMS/Lie Gruppen</t>
  </si>
  <si>
    <t>Gruppentheorie für QMS/Einfache und Semi-Einfache Lie Gruppen</t>
  </si>
  <si>
    <t>Gruppentheorie für QMS/Qasimir Operator, Multiplet, Schur Lemma</t>
  </si>
  <si>
    <t>Gruppe SU(3)/Generatoren</t>
  </si>
  <si>
    <t>Gruppe SU(3)/Struktur Konstanten</t>
  </si>
  <si>
    <t>Gruppe SU(3)/Unteralgebren und Untergruppen</t>
  </si>
  <si>
    <t>Gruppe SU(3)/Konstruktion von Multiplets von fundamentalen Repräsentationen</t>
  </si>
  <si>
    <t>Gruppe SU(3)/Young Tableaux</t>
  </si>
  <si>
    <t>Klassische Streutheorie/Wirkungsquerschnitt</t>
  </si>
  <si>
    <t>Klassische Streutheorie/Berechnung des Wirkungsquerschnitts für elastische Streuung am Zentralpotential</t>
  </si>
  <si>
    <t>Klassische Streutheorie/Rücktransformation ins Laborsystem</t>
  </si>
  <si>
    <t>CM-ÜB/CM-ÜB-01: Streutheorie</t>
  </si>
  <si>
    <t>Differenzierbare Mannigfaltigkeiten/Untermannigfaltigkeiten im euklidischen Raum</t>
  </si>
  <si>
    <t>Differenzierbare Mannigfaltigkeiten/Glatte Mannigfaltigkeiten</t>
  </si>
  <si>
    <t>Differenzierbare Mannigfaltigkeiten/Glatte Abbildungen und Vektorfelder</t>
  </si>
  <si>
    <t>Riemannische Mannigfaltigkeiten/Definitionen und Beispiele</t>
  </si>
  <si>
    <t>Riemannische Mannigfaltigkeiten/Levi-Civita Zusammenhang</t>
  </si>
  <si>
    <t>Riemannische Mannigfaltigkeiten/Kovariante Ableitung längs einer Kurve</t>
  </si>
  <si>
    <t>Riemannische Mannigfaltigkeiten/Paralleltransport</t>
  </si>
  <si>
    <t>Geodätische und Exponentialabbildung/Geodätische</t>
  </si>
  <si>
    <t>Geodätische und Exponentialabbildung/Exponentialabbildung</t>
  </si>
  <si>
    <t>Geodätische und Exponentialabbildung/Satz von Hopf-Rinow</t>
  </si>
  <si>
    <t>RG-ÜB/RG-ÜB-01: Glatte Mannigfaltigkeiten</t>
  </si>
  <si>
    <t>Deltadistributionen</t>
  </si>
  <si>
    <t>Gaus-Approximation der Deltadistribution</t>
  </si>
  <si>
    <t>Lorentz-Approximation der Deltadistribution</t>
  </si>
  <si>
    <t>Fouriertransformation der Lorentz-Funktion</t>
  </si>
  <si>
    <t>(Alle)</t>
  </si>
  <si>
    <t>QM-1-02</t>
  </si>
  <si>
    <t>QM-1-03</t>
  </si>
  <si>
    <t>QM-1-05</t>
  </si>
  <si>
    <t>QM-1-06</t>
  </si>
  <si>
    <t>QM-1-07</t>
  </si>
  <si>
    <t>QM-1-08</t>
  </si>
  <si>
    <t>QM-1-10</t>
  </si>
  <si>
    <t>QM-1-11</t>
  </si>
  <si>
    <t>QM-1-12</t>
  </si>
  <si>
    <t>QM-1-13</t>
  </si>
  <si>
    <t>QM-1-14</t>
  </si>
  <si>
    <t>QM-1-16</t>
  </si>
  <si>
    <t>QM-1-17</t>
  </si>
  <si>
    <t>QM-1-18</t>
  </si>
  <si>
    <t>QM-1-20</t>
  </si>
  <si>
    <t>QM-1-31</t>
  </si>
  <si>
    <t>CM-1-01</t>
  </si>
  <si>
    <t>CM-1-02</t>
  </si>
  <si>
    <t>CM-1-03</t>
  </si>
  <si>
    <t>CM-1-04</t>
  </si>
  <si>
    <t>CM-1-05</t>
  </si>
  <si>
    <t>CM-1-07</t>
  </si>
  <si>
    <t>EFT1-1-02</t>
  </si>
  <si>
    <t>GPDE-1-02</t>
  </si>
  <si>
    <t>GPDE-1-03</t>
  </si>
  <si>
    <t>GPDE-1-06</t>
  </si>
  <si>
    <t>GPDE-1-07</t>
  </si>
  <si>
    <t>GPDE-1-08</t>
  </si>
  <si>
    <t>QMS-1-02</t>
  </si>
  <si>
    <t>RG-1-02</t>
  </si>
  <si>
    <t>RG-1-03</t>
  </si>
  <si>
    <t>RG-1-04</t>
  </si>
  <si>
    <t>RG-1-05</t>
  </si>
  <si>
    <t>RG-1-07</t>
  </si>
  <si>
    <t>RG-1-08</t>
  </si>
  <si>
    <t>RG-1-09</t>
  </si>
  <si>
    <t>Zusammenhang zwischen Streuwinkel in effektivem 1KP und Streuwinkel des Projektils im 2KP</t>
  </si>
  <si>
    <t>Messung des Wirkungsquerschnitts vom Laborsystem aus: Experimentelle Größe ist Streuwinkel des Projektils</t>
  </si>
  <si>
    <t>Streuprozess im CM-System</t>
  </si>
  <si>
    <t>Herleitung des Zusammenhangs zwischen Streuwinkel des Projektils im Laborsystem und Streuwinkel im effektiven 1KP</t>
  </si>
  <si>
    <t>Beziehung zwischen Laborsystem und CM-System</t>
  </si>
  <si>
    <t>Formel für Beziehung zwischen Streuwinkel des Projektils in Laborsystem und Streuwinkel in eff. 1KP</t>
  </si>
  <si>
    <t>Grenzfälle der Beziehung zwischen Streuwinkel</t>
  </si>
  <si>
    <t>Umrechnung von differentiellem Wirkungsquerschnitt im CMS in Laborsystem</t>
  </si>
  <si>
    <t>Formel für Beziehung zwsichen diff. WQS im CMS und Laborsystem</t>
  </si>
  <si>
    <t>Grenzfälle der Beziehung zwischen diff. WQS</t>
  </si>
  <si>
    <t>CM-ÜB-02: Runge-Lenz-Vektor, 1KP und Zwangsbedingungen</t>
  </si>
  <si>
    <t>Partieller Differentialoperator 2. Ordung</t>
  </si>
  <si>
    <t>Elliptischer partieller Differentialoperator 2. Ordnung</t>
  </si>
  <si>
    <t>Strikt elliptischer Differentialoperator 2. Ordnung</t>
  </si>
  <si>
    <t>Uniform elliptischer Differentialoperator 2. Ordnung</t>
  </si>
  <si>
    <t>Lineare elliptische Differentialoperatoren</t>
  </si>
  <si>
    <t>Korrespondierender Operator zur Mittlere Krümmungs Gleichung ist uniform elliptisch</t>
  </si>
  <si>
    <t>Korrsp. Operator der Monge-Ampère Gleichung ist elliptisch für strikt konvexe Funktionen</t>
  </si>
  <si>
    <t>Parabolischer partieller Differentialoperator 2. Ordnung</t>
  </si>
  <si>
    <t>Uniform parabolischer Differentialoperator 2. Ordnung</t>
  </si>
  <si>
    <t>Strikt parabolischer Differentialoperator 2. Ordnung</t>
  </si>
  <si>
    <t xml:space="preserve">Korresp. Operator zur Mittleren Krümmungsfluss Gleichung ist uniform parabolisch </t>
  </si>
  <si>
    <t>Elliptisches Vergleichsprinzip</t>
  </si>
  <si>
    <t>Parabolisches Vergleichsprinzip</t>
  </si>
  <si>
    <t>Linearisierung von Differentialoperatoren</t>
  </si>
  <si>
    <t>19-2025</t>
  </si>
  <si>
    <t>RG-ÜB-02: Tangentialbündel und Hyperbolischer Raum</t>
  </si>
  <si>
    <t>Tangentialbündel ist glatte Mfk</t>
  </si>
  <si>
    <t>Differential und Untermannigfaltigkeit von regulären Werten</t>
  </si>
  <si>
    <t>Lorentz-Skalarprodukt ist eine Metrik</t>
  </si>
  <si>
    <t>Pullback-Metrik von Hyperbolischem Raum mit Lorentz-Metrik</t>
  </si>
  <si>
    <t>HOM-Funktor</t>
  </si>
  <si>
    <t>Ringe</t>
  </si>
  <si>
    <t>Ringe Basics</t>
  </si>
  <si>
    <t>Ring mit Eins</t>
  </si>
  <si>
    <t>Kommutativer Ring</t>
  </si>
  <si>
    <t>Körper sind Ringe</t>
  </si>
  <si>
    <t>Ring der Funktionen</t>
  </si>
  <si>
    <t>Matrizenring über Ring</t>
  </si>
  <si>
    <t>Nullring</t>
  </si>
  <si>
    <t>Produktring</t>
  </si>
  <si>
    <t>Gruppenring mit Koeffizienten aus Körper</t>
  </si>
  <si>
    <t>Eins eines Ringes mit Eins ist eindeutig</t>
  </si>
  <si>
    <t>Rechenregeln für Ringe mit Eins</t>
  </si>
  <si>
    <t>Ring ohne Eins</t>
  </si>
  <si>
    <t>Ringhomomorphismus</t>
  </si>
  <si>
    <t>Ringhomomorphismen induzieren Gruppenhomomorphismen zwischen abelschen Gruppen</t>
  </si>
  <si>
    <t>Pullback-Ringhomomorphismus</t>
  </si>
  <si>
    <t>Einschränkung als Pullback der Inklusion</t>
  </si>
  <si>
    <t>Auswertungshomomorphismus für Punkt-Inklusion</t>
  </si>
  <si>
    <t>Matrizenringe über Körper</t>
  </si>
  <si>
    <t>Potenzreihenring mit Koeffizienten in Ring</t>
  </si>
  <si>
    <t>Potenzreihenringe und Polynomringe</t>
  </si>
  <si>
    <t>Unterring eines Ringes</t>
  </si>
  <si>
    <t>R-Linearkombination in Ringen</t>
  </si>
  <si>
    <t>Bild von Ringhomomorphismen ist ein Unterring</t>
  </si>
  <si>
    <t>Polynomring mit Koeffizienten in Ring als Unterring von Potenzreihenring</t>
  </si>
  <si>
    <t>Eindeutige Darstellung in Polynomringen</t>
  </si>
  <si>
    <t>Polynomring als Unterring der R-Linearkombinationen</t>
  </si>
  <si>
    <t>Eigenschaften der Gradfunktion von Leitkoeffizienten</t>
  </si>
  <si>
    <t>Identifikation von R als Unterring von Polynomring mit Koeff in R</t>
  </si>
  <si>
    <t>Universelle Eigenschaft des Polynomringes: Auswertungs-Ringhomomorphismus</t>
  </si>
  <si>
    <t xml:space="preserve">Auswertungshomomorphismus für Abbildung von Körper in Matrzenring </t>
  </si>
  <si>
    <t>Polynomring in n-Variablen mit Koeffizienten aus Ring</t>
  </si>
  <si>
    <t>Eindeutige Darstellung in Polynomringen in n-Variablen</t>
  </si>
  <si>
    <t>Multiindex-Schreibweise</t>
  </si>
  <si>
    <t>Gruppenhomomorphismus zwischen Symmetrische Gruppe und Gruppe der Ring-Automorphismen des Polynomringes in n-Variablen</t>
  </si>
  <si>
    <t>Symmetrisches Polynom</t>
  </si>
  <si>
    <t>Elementarsymmetrische Polynom in n-Variablen</t>
  </si>
  <si>
    <t>Vieta-Formel</t>
  </si>
  <si>
    <t>Jedes symmetrische Polynom ist ein Polynom in den elementarsymmetrischen Polynomen</t>
  </si>
  <si>
    <t>Induzierter Ringautomorphismus auf Polynomring durch Permutation</t>
  </si>
  <si>
    <t>Einheiten in Ringen</t>
  </si>
  <si>
    <t>Einheitsgruppe: Menge der Einheiten in Ringen sind Gruppe bzgl. Multiplikation in R</t>
  </si>
  <si>
    <t>Einheitengruppe von ganzen Zahlen</t>
  </si>
  <si>
    <t>Einheitengruppe von Gruppenringe</t>
  </si>
  <si>
    <t>Einheiten von Matrizenringe mit Koeffizienten in Körper</t>
  </si>
  <si>
    <t>Ringhomomorphismen bilden Einheiten auf Einheiten ab und induzieren G-Hom auf Einheitsgruppen</t>
  </si>
  <si>
    <t>Körper als abelscher Schiefkörper</t>
  </si>
  <si>
    <t>Quaternionen als nichtkommutativer Schiefkörper</t>
  </si>
  <si>
    <t>Ideale und Quotienten</t>
  </si>
  <si>
    <t>A</t>
  </si>
  <si>
    <t>Kern von Ringhomomorphismen nicht i.A. Unterring</t>
  </si>
  <si>
    <t>Ideal eines Ringes</t>
  </si>
  <si>
    <t>Charakterisierung von Idealen</t>
  </si>
  <si>
    <t>Kern eines R-Homs ist ein Ideal</t>
  </si>
  <si>
    <t>Von Teilmengen erzeugte Ideale</t>
  </si>
  <si>
    <t>Warum ist die Menge der erzeugten R-Linearkombinationen eine Ideal?</t>
  </si>
  <si>
    <t>Schnitte von Idealen sind Ideale</t>
  </si>
  <si>
    <t>Erzeugendensysteme von Ideale</t>
  </si>
  <si>
    <t>Vereinigung von aufsteigend inkludierten Idealen sind Ideale</t>
  </si>
  <si>
    <t>Faktorring als Quotientenring bzgl, Ideale</t>
  </si>
  <si>
    <t>Jedes Ideal ist Kern eines geeigneten R-Homs</t>
  </si>
  <si>
    <t>Quotienten für Ideale in Ringen mit Quotientenabbildung</t>
  </si>
  <si>
    <t>Faktorringe für Ideale mit kanonischer Projektion sind Quotienten</t>
  </si>
  <si>
    <t>Quotientenabbildung ist surjektiv</t>
  </si>
  <si>
    <t>Urbild von Idealen längs R-Homs ist Ideal</t>
  </si>
  <si>
    <t>Bilder von Idealen längs surjektiven R-Homs sind Ideale</t>
  </si>
  <si>
    <t>Homomorphisatz</t>
  </si>
  <si>
    <t>Erster Isomorphiesatz</t>
  </si>
  <si>
    <t>Zweiter Isomorphiesatz</t>
  </si>
  <si>
    <t>Algebra</t>
  </si>
  <si>
    <t>QMS-Ex</t>
  </si>
  <si>
    <t>QMS-ÜB</t>
  </si>
  <si>
    <t>QMS-ÜB-01</t>
  </si>
  <si>
    <t>Erwartungswert der Ortskoordinate</t>
  </si>
  <si>
    <t>Hermitische Konjugierte Schrödinger Gleichung</t>
  </si>
  <si>
    <t>QM-ÜB-02:</t>
  </si>
  <si>
    <t>Seperation der Variablen für Schrödinger Gleichung mit zeitunabhängigem Potential</t>
  </si>
  <si>
    <t>Stationäre Schrödinger Gleichung als Eigenwertgleichung</t>
  </si>
  <si>
    <t>Eigenwerte und Eigenfunktionen</t>
  </si>
  <si>
    <t>Lineare Superposition von Lösungen der Schrödinger Gleichung mit zeitunabh. Potential</t>
  </si>
  <si>
    <t>Eigenwert-Spektrum</t>
  </si>
  <si>
    <t>Überlagerungen von orthonormierten Eigenfunktionen sind Lösungen</t>
  </si>
  <si>
    <t>Eigenfunktionen des Impulsoperators</t>
  </si>
  <si>
    <t>Eindimensionale, zeitunabhängige Potential (Heaviside) und zugehörige zeitunabhäängige Schrödinger Gleichung</t>
  </si>
  <si>
    <t>Einfluss von Diskontinuitäten auf Wellenfunktion</t>
  </si>
  <si>
    <t>Randbedingungen</t>
  </si>
  <si>
    <t xml:space="preserve">Für konstante Potentiale wird die stationäre Schrödingergleichung durch ebene Wellen gelöst </t>
  </si>
  <si>
    <t>Teilchenfluss (W-keits-Stromdichte) der Superposition</t>
  </si>
  <si>
    <t>Transmitierte Welle für x&gt;=0</t>
  </si>
  <si>
    <t>Superposition von einlaufende und reflektierte Welle für x&lt;=0</t>
  </si>
  <si>
    <t>Stetigkeitsbedingungen an Lösung</t>
  </si>
  <si>
    <t>Teilchenstromerhaltung: W-keits-Teilchenstromdichte ist stetig bei x=0</t>
  </si>
  <si>
    <t>Unterschied zur CM: Bei E&gt;V wird an der Potentialstufe ein Bruchteil des Elektrons reflektiert</t>
  </si>
  <si>
    <t>Case: E&gt;V: Eigenenergie des Zustandes &gt; Potential</t>
  </si>
  <si>
    <t>Case: E&lt;V: Eigenenergie des Zustandes &lt; Potential</t>
  </si>
  <si>
    <t>Allg. Lösung für x&lt;=0</t>
  </si>
  <si>
    <t>Allg. Lösung für x&gt;=0</t>
  </si>
  <si>
    <t>Normierbarkeit von u:: u bei 0 beschränkt:: B2=0</t>
  </si>
  <si>
    <t>Stetigkeitsbedingungen an Lösung für E&lt;V bei x=0</t>
  </si>
  <si>
    <t>W-keits-Stromdichte konstant 0:: Stehende Wellen transportieren keine Teilchen</t>
  </si>
  <si>
    <t>Unterschied zur CM: Bei E&lt;V dringt ein Bruchteil des Teilchens auch in das verbotene Gebiet x&gt;0, klassisch exponentieller Abfall mit Eindingstiefe</t>
  </si>
  <si>
    <t>CM-Ex</t>
  </si>
  <si>
    <t>QMS-VL</t>
  </si>
  <si>
    <t>Definition des allg. Partiellen Differentialoperators 2. Ordnung</t>
  </si>
  <si>
    <t>Moduln</t>
  </si>
  <si>
    <t>Moduln Grundlagen</t>
  </si>
  <si>
    <t>Modul zu einem Ring</t>
  </si>
  <si>
    <t>R-Modulhomomorphismus</t>
  </si>
  <si>
    <t>Untermodul eines Moduls</t>
  </si>
  <si>
    <t>Durch Teilmengen eines R-Moduls erzeugte Untermoduln</t>
  </si>
  <si>
    <t>Kern und Bild eines R-Modulhomomorphismus</t>
  </si>
  <si>
    <t>Innere Direkte Summe von Untermoduln</t>
  </si>
  <si>
    <t>Direkte Summe von Moduln</t>
  </si>
  <si>
    <t>Direkte Produkt von Moduln</t>
  </si>
  <si>
    <t>Annulatorideal von R-Moduln</t>
  </si>
  <si>
    <t>Zyklischer R-Modul</t>
  </si>
  <si>
    <t>K-Vektorräume sind K-Moduln</t>
  </si>
  <si>
    <t>Moduln bzgl Polynomringe in Körpern sind ein K-Vektorraum mit einem K-linearen Endo</t>
  </si>
  <si>
    <t>Menge der Spaltentupel mit Elementen aus einem Ring ist mit komp. Add und diagonale R-Multip ein R-Moduln</t>
  </si>
  <si>
    <t>Für Körper sind K-Modulnhomomorphismen K-lineare Abbildungen</t>
  </si>
  <si>
    <t>Für Z sind Z-Modulnhomomorphismen Gruppenhomomorphismen</t>
  </si>
  <si>
    <t>Für Körper sind Untermoduln Untervektorräume</t>
  </si>
  <si>
    <t>Für Polynomringe in Körpern sind Untermoduln Endo-Stabile Untervektorräume</t>
  </si>
  <si>
    <t>Untermoduln eines Ringes sind Ideale</t>
  </si>
  <si>
    <t>RG_ÜB_03: Christoffelsymbole und Kovariante Ableitung entlang Kurven</t>
  </si>
  <si>
    <t>CM_ÜB_03: Kinetische Energie in Lagrange, Rollpendel, Trafo von Kart. Koord, Alembert</t>
  </si>
  <si>
    <t>TEST</t>
  </si>
  <si>
    <t/>
  </si>
  <si>
    <t>A-1-03</t>
  </si>
  <si>
    <t>A-1-04</t>
  </si>
  <si>
    <t>A-1-05</t>
  </si>
  <si>
    <t>A-1-07</t>
  </si>
  <si>
    <t>GPDE-1-09</t>
  </si>
  <si>
    <t>QM-1-22</t>
  </si>
  <si>
    <t>QM-1-23</t>
  </si>
  <si>
    <t>QM-1-24</t>
  </si>
  <si>
    <t>QM-1-25</t>
  </si>
  <si>
    <t>RG-1-16</t>
  </si>
  <si>
    <t>RG-1-17</t>
  </si>
  <si>
    <t>19-2025 Ergebnis</t>
  </si>
  <si>
    <t>20-2025</t>
  </si>
  <si>
    <t>20-2025 Ergebnis</t>
  </si>
  <si>
    <t>QM-ÜB/QM-ÜB-02:</t>
  </si>
  <si>
    <t>QMS-ÜB/QMS-ÜB-01</t>
  </si>
  <si>
    <t>CM-ÜB/CM-ÜB-02: Runge-Lenz-Vektor, 1KP und Zwangsbedingungen</t>
  </si>
  <si>
    <t>CM-ÜB/CM_ÜB_03: Kinetische Energie in Lagrange, Rollpendel, Trafo von Kart. Koord, Alembert</t>
  </si>
  <si>
    <t>RG-ÜB/RG-ÜB-02: Tangentialbündel und Hyperbolischer Raum</t>
  </si>
  <si>
    <t>RG-ÜB/RG_ÜB_03: Christoffelsymbole und Kovariante Ableitung entlang Kurven</t>
  </si>
  <si>
    <t>Ringe/Ringe Basics</t>
  </si>
  <si>
    <t>Ringe/Potenzreihenringe und Polynomringe</t>
  </si>
  <si>
    <t>Ringe/Ideale und Quotienten</t>
  </si>
  <si>
    <t>Moduln/Moduln Grundlagen</t>
  </si>
  <si>
    <t>TEST 2</t>
  </si>
  <si>
    <t>TEST 3</t>
  </si>
  <si>
    <t>TEST 4</t>
  </si>
  <si>
    <t>TEST 5</t>
  </si>
  <si>
    <t>TEST 6</t>
  </si>
  <si>
    <t>$030$–$030$ vert. ISO: oben exa $\Leftrightarrow$ unten exa</t>
  </si>
  <si>
    <t>Zu kurzen exakte Sequenz $(K,KAbb)$ in abel. Kategorie der Komplexe existiert ein Zusammenhangs-Homomorphismus</t>
  </si>
  <si>
    <t>Reduzierte Homologiegruppen sind ISO zu punktierte Homologiegruppe für $n\geq 0$</t>
  </si>
  <si>
    <t>Relation $L = \frac{s}{2\mu E}$ in 2-Körper Systemen</t>
  </si>
  <si>
    <t>$\R^2$ in Polarkoordinaten</t>
  </si>
  <si>
    <t>Levi-Civita Zusammenhang $D_XY_p$ hängt nur von $X_p$ ab</t>
  </si>
  <si>
    <t>Vektorraumbündel zu $S^1$</t>
  </si>
  <si>
    <t>Lokale triviale Faserung über $S^1$</t>
  </si>
  <si>
    <t>Jedes Vektorraumbündel hat einen lokalen Schnitt $x$ auf $O_x$ in $E_x$</t>
  </si>
  <si>
    <t>$S^1$ auf $S^1$, $z$ auf $z^2$ gibt es keinen Schnitt</t>
  </si>
  <si>
    <t>Für Präbündel $(E,\pi,M)$ existiert auf E genau einem Topologie und differenzierbare Struktur, sodass $(E,\pi,M)$ ein Faserbündel mit Strukturgruppe G wird und Präbündelkarten Bündelkarten werden</t>
  </si>
  <si>
    <t>Präbündel zum $O(n)$-Prinzipalbündel für Riemannische Mfk</t>
  </si>
  <si>
    <t xml:space="preserve">Bündelmetrik auf Totalraum ist ein Schnitt in $Sym^2(E)$, sodass g pw. positiv definit </t>
  </si>
  <si>
    <t>$\Gamma (Alt^k(TM))$</t>
  </si>
  <si>
    <t>Tangentialbündel von $S^n$ ist von endlichem Typ</t>
  </si>
  <si>
    <t>$(A*psi)^*=psi^*A^{HK}$</t>
  </si>
  <si>
    <t>Quantenmechanischer Drehimpuls
- Komponenten durch Korrespondenz
- Kommutator Relationen zwischen Komponenten
- Relationen für Kommutator
- $L^2$,$L_i$ kommutieren
Maximale Menge von kommutierenden (Drehimpuls) Operatoren</t>
  </si>
  <si>
    <t>Hamiltonian mit komplexem Potential
- Kontinuitätsgleichung für komplexe Potential
- Evolution-Gleichung für totale Wahrscheinlichkeit
- Darstellung von totaler W-keit für W=w reell
- Totale W-keit für $W=0$
- Totale W-keit für $W=w\neq 0$; Interpretation</t>
  </si>
  <si>
    <t>$(\Z,+,*)$ kommutaiver Ring</t>
  </si>
  <si>
    <t>$(End_k(V),+,\circ)$ Ring</t>
  </si>
  <si>
    <t>Wenn Ring mit $0=1$, dann Nullring</t>
  </si>
  <si>
    <t>Auswertungshomomorphismus für Abbildung von Körper in Abbildungsring der $End_V$</t>
  </si>
  <si>
    <t>$Rx$ sind Ideale von R</t>
  </si>
  <si>
    <t>R-Hom ist injektiv gdw $Kern = 0$</t>
  </si>
  <si>
    <t>$n\Z$</t>
  </si>
  <si>
    <t>$\{0\}$ und $\{1\}$ in jedem Ring sind Ideale</t>
  </si>
  <si>
    <t>$(2,X)$ im Polynomring $\Z(X)$</t>
  </si>
  <si>
    <t>Komplexen Zahlen isomorph zu Faktorring des Polynomringes in reellen Zahlen Mod $(X^2+1)$</t>
  </si>
  <si>
    <t>Struktur von Faktorring bestimmen durch raten eines Isomorphismus zw S und $R\backslash I$ und $I=ker(f)$</t>
  </si>
  <si>
    <t>Case: $E&gt;V$: Eigenenergie des Zustandes $&gt;$ Potential</t>
  </si>
  <si>
    <t>Superposition von einlaufende und reflektierte Welle für $x\leq 0$</t>
  </si>
  <si>
    <t>Transmitierte Welle für $x\geq 0$</t>
  </si>
  <si>
    <t>Teilchenstromerhaltung: W-keits-Teilchenstromdichte ist stetig bei $x=0$</t>
  </si>
  <si>
    <t>Unterschied zur CM: Bei $E&gt;V$ wird an der Potentialstufe ein Bruchteil des Elektrons reflektiert</t>
  </si>
  <si>
    <t>Case: $E&lt;V$: Eigenenergie des Zustandes $&lt;$ Potential</t>
  </si>
  <si>
    <t>Allg. Lösung für $x\leq 0$</t>
  </si>
  <si>
    <t>Allg. Lösung für $x\geq 0$</t>
  </si>
  <si>
    <t>Normierbarkeit von u:: u bei $0$ beschränkt:: $B_2=0$</t>
  </si>
  <si>
    <t>Stetigkeitsbedingungen an Lösung für $E&lt;V$ bei $x=0$</t>
  </si>
  <si>
    <t>Unterschied zur CM: Bei $E&lt;V$ dringt ein Bruchteil des Teilchens auch in das verbotene Gebiet $x&gt;0$, klassisch exponentieller Abfall mit Eindingstiefe</t>
  </si>
  <si>
    <t>Abelsche Gruppen sind $\Z$-Moduln</t>
  </si>
  <si>
    <t>Für Polynomringe in Körpern sind Modulnhomomorphismen K-lineare Abbildungen, die mit $X*$ Polynom kommutieren</t>
  </si>
  <si>
    <t>Freie Moduln vom Rang n als isomorphe R-Moduln zu $R^n$</t>
  </si>
  <si>
    <t>Für $\Z$ sind Untermoduln Untergruppen</t>
  </si>
  <si>
    <t>R-Modulhomomorphismus von Koeffizienten aus $R^n$ in M für fixiertes Elemente-Tupel in R-Moduln: Surjektiv gdw Endlich erzeugt</t>
  </si>
  <si>
    <t xml:space="preserve">Christoffelsymbole für $\R^2\backslash 0$ und lokale Darstellung der Metrik zur Polarkoordianten </t>
  </si>
  <si>
    <t>Links/Rechts Vervollständigung von $03-03$ Komm Exa</t>
  </si>
  <si>
    <t>$3\times 3$ Lemma</t>
  </si>
  <si>
    <t>PROOF: Zu kurzen exakte Sequenz $(K,KAbb)$ in abel. Kategorie der Komplexe existiert ein Zusammenhangs-Homomorphismus</t>
  </si>
  <si>
    <t>Existenz von exakter sing. Homologie-Sequenz für $(X,A)$</t>
  </si>
  <si>
    <t>Splitting der Singulären Komplexe von $(X,A)$ nach $(X)$</t>
  </si>
  <si>
    <t>Homotopie-Operator von Subkomp p nach Subkomp $p+1$</t>
  </si>
  <si>
    <t>Ausschneidungssatz: Zu $B\subset A\subset X$ induziert die Inklusion $(X-B,A-B)$ in $(X,A)$ eine Isomorphismus zw relativen Homologiegruppen $(X,A)$ über $\{A,X-B\}$ und relative Homologiegruppe $(X,A)$</t>
  </si>
  <si>
    <t>Normierung von Gauß-Wellenpaket in 3D zu $t=0$</t>
  </si>
  <si>
    <t>Reelle Faktoren tragen nicht zur Stromdichte bei 
Stromdichte $=$ Geschwindigkeit $*$ Teilchendichte gilt allg</t>
  </si>
  <si>
    <t xml:space="preserve">Gesamtzahl gestreuter Teilchen $\backslash$ Zeiteinh $=$ tot WQS $*$ Teilchenstromdichte </t>
  </si>
  <si>
    <t>Zusammenhang zwischen Streuwinkel und Restwinkel $/phi_inf$</t>
  </si>
  <si>
    <t>$SO(n)$</t>
  </si>
  <si>
    <t>Parallelverschiebung auf $S^n$</t>
  </si>
  <si>
    <t>R mit zwei $0$ ist nicht Hausdorff</t>
  </si>
  <si>
    <t>Differential von glatten Abbildungen zw. Tangentialbündel von Mfk ist eine Vektorraumbündelabbildung über glatte Abbildung $f$</t>
  </si>
  <si>
    <t>Schnitte in induzierten Bündeln längs $f$</t>
  </si>
  <si>
    <t>Schiefkörper als Ring mit Einheitsgruppe $= R$ ohne $0$</t>
  </si>
  <si>
    <t>T12</t>
  </si>
  <si>
    <t>TopicIndex</t>
  </si>
  <si>
    <t>LitID</t>
  </si>
  <si>
    <t>03</t>
  </si>
  <si>
    <t>04</t>
  </si>
  <si>
    <t>05</t>
  </si>
  <si>
    <t>07</t>
  </si>
  <si>
    <t>01</t>
  </si>
  <si>
    <t>02</t>
  </si>
  <si>
    <t>06</t>
  </si>
  <si>
    <t>08</t>
  </si>
  <si>
    <t>09</t>
  </si>
  <si>
    <t>10</t>
  </si>
  <si>
    <t>HA-T12-12-01</t>
  </si>
  <si>
    <t>12</t>
  </si>
  <si>
    <t>11</t>
  </si>
  <si>
    <t>13</t>
  </si>
  <si>
    <t>14</t>
  </si>
  <si>
    <t>16</t>
  </si>
  <si>
    <t>17</t>
  </si>
  <si>
    <t>18</t>
  </si>
  <si>
    <t>20</t>
  </si>
  <si>
    <t>22</t>
  </si>
  <si>
    <t>23</t>
  </si>
  <si>
    <t>24</t>
  </si>
  <si>
    <t>25</t>
  </si>
  <si>
    <t>31</t>
  </si>
  <si>
    <t>A-T12-03-01</t>
  </si>
  <si>
    <t>A-T12-03-02</t>
  </si>
  <si>
    <t>A-T12-03-03</t>
  </si>
  <si>
    <t>A-T12-03-04</t>
  </si>
  <si>
    <t>A-T12-03-05</t>
  </si>
  <si>
    <t>A-T12-03-06</t>
  </si>
  <si>
    <t>A-T12-03-07</t>
  </si>
  <si>
    <t>A-T12-03-08</t>
  </si>
  <si>
    <t>A-T12-03-09</t>
  </si>
  <si>
    <t>A-T12-03-10</t>
  </si>
  <si>
    <t>A-T12-03-11</t>
  </si>
  <si>
    <t>A-T12-03-12</t>
  </si>
  <si>
    <t>A-T12-03-13</t>
  </si>
  <si>
    <t>A-T12-03-14</t>
  </si>
  <si>
    <t>A-T12-03-15</t>
  </si>
  <si>
    <t>A-T12-03-16</t>
  </si>
  <si>
    <t>A-T12-03-17</t>
  </si>
  <si>
    <t>A-T12-03-18</t>
  </si>
  <si>
    <t>A-T12-03-19</t>
  </si>
  <si>
    <t>A-T12-03-20</t>
  </si>
  <si>
    <t>A-T12-03-21</t>
  </si>
  <si>
    <t>A-T12-03-22</t>
  </si>
  <si>
    <t>A-T12-03-23</t>
  </si>
  <si>
    <t>A-T12-03-24</t>
  </si>
  <si>
    <t>A-T12-03-25</t>
  </si>
  <si>
    <t>A-T12-03-26</t>
  </si>
  <si>
    <t>A-T12-03-27</t>
  </si>
  <si>
    <t>A-T12-03-28</t>
  </si>
  <si>
    <t>A-T12-04-01</t>
  </si>
  <si>
    <t>A-T12-04-02</t>
  </si>
  <si>
    <t>A-T12-04-03</t>
  </si>
  <si>
    <t>A-T12-04-04</t>
  </si>
  <si>
    <t>A-T12-04-05</t>
  </si>
  <si>
    <t>A-T12-04-06</t>
  </si>
  <si>
    <t>A-T12-04-07</t>
  </si>
  <si>
    <t>A-T12-04-08</t>
  </si>
  <si>
    <t>A-T12-04-09</t>
  </si>
  <si>
    <t>A-T12-04-10</t>
  </si>
  <si>
    <t>A-T12-04-11</t>
  </si>
  <si>
    <t>A-T12-04-12</t>
  </si>
  <si>
    <t>A-T12-04-13</t>
  </si>
  <si>
    <t>A-T12-04-14</t>
  </si>
  <si>
    <t>A-T12-04-15</t>
  </si>
  <si>
    <t>A-T12-04-16</t>
  </si>
  <si>
    <t>A-T12-05-01</t>
  </si>
  <si>
    <t>A-T12-05-02</t>
  </si>
  <si>
    <t>A-T12-05-03</t>
  </si>
  <si>
    <t>A-T12-05-04</t>
  </si>
  <si>
    <t>A-T12-05-05</t>
  </si>
  <si>
    <t>A-T12-05-06</t>
  </si>
  <si>
    <t>A-T12-05-07</t>
  </si>
  <si>
    <t>A-T12-05-08</t>
  </si>
  <si>
    <t>A-T12-05-09</t>
  </si>
  <si>
    <t>A-T12-05-10</t>
  </si>
  <si>
    <t>A-T12-05-11</t>
  </si>
  <si>
    <t>A-T12-05-12</t>
  </si>
  <si>
    <t>A-T12-05-13</t>
  </si>
  <si>
    <t>A-T12-05-14</t>
  </si>
  <si>
    <t>A-T12-05-15</t>
  </si>
  <si>
    <t>A-T12-05-16</t>
  </si>
  <si>
    <t>A-T12-05-17</t>
  </si>
  <si>
    <t>A-T12-05-18</t>
  </si>
  <si>
    <t>A-T12-05-19</t>
  </si>
  <si>
    <t>A-T12-05-20</t>
  </si>
  <si>
    <t>A-T12-05-21</t>
  </si>
  <si>
    <t>A-T12-05-22</t>
  </si>
  <si>
    <t>A-T12-05-23</t>
  </si>
  <si>
    <t>A-T12-05-24</t>
  </si>
  <si>
    <t>A-T12-05-25</t>
  </si>
  <si>
    <t>A-T12-05-26</t>
  </si>
  <si>
    <t>A-T12-07-01</t>
  </si>
  <si>
    <t>A-T12-07-02</t>
  </si>
  <si>
    <t>A-T12-07-03</t>
  </si>
  <si>
    <t>A-T12-07-04</t>
  </si>
  <si>
    <t>A-T12-07-05</t>
  </si>
  <si>
    <t>A-T12-07-06</t>
  </si>
  <si>
    <t>A-T12-07-07</t>
  </si>
  <si>
    <t>A-T12-07-08</t>
  </si>
  <si>
    <t>A-T12-07-09</t>
  </si>
  <si>
    <t>A-T12-07-10</t>
  </si>
  <si>
    <t>A-T12-07-11</t>
  </si>
  <si>
    <t>A-T12-07-12</t>
  </si>
  <si>
    <t>A-T12-07-13</t>
  </si>
  <si>
    <t>A-T12-07-14</t>
  </si>
  <si>
    <t>A-T12-07-15</t>
  </si>
  <si>
    <t>A-T12-07-16</t>
  </si>
  <si>
    <t>A-T12-07-17</t>
  </si>
  <si>
    <t>A-T12-07-18</t>
  </si>
  <si>
    <t>A-T12-07-19</t>
  </si>
  <si>
    <t>A-T12-07-20</t>
  </si>
  <si>
    <t>A-T12-07-21</t>
  </si>
  <si>
    <t>A-T12-07-22</t>
  </si>
  <si>
    <t>A-T12-07-23</t>
  </si>
  <si>
    <t>CM-T12-01-01</t>
  </si>
  <si>
    <t>CM-T12-01-02</t>
  </si>
  <si>
    <t>CM-T12-02-01</t>
  </si>
  <si>
    <t>CM-T12-02-02</t>
  </si>
  <si>
    <t>CM-T12-02-03</t>
  </si>
  <si>
    <t>CM-T12-02-04</t>
  </si>
  <si>
    <t>CM-T12-02-05</t>
  </si>
  <si>
    <t>CM-T12-02-06</t>
  </si>
  <si>
    <t>CM-T12-02-07</t>
  </si>
  <si>
    <t>CM-T12-02-08</t>
  </si>
  <si>
    <t>CM-T12-03-01</t>
  </si>
  <si>
    <t>CM-T12-03-02</t>
  </si>
  <si>
    <t>CM-T12-03-03</t>
  </si>
  <si>
    <t>CM-T12-03-04</t>
  </si>
  <si>
    <t>CM-T12-03-05</t>
  </si>
  <si>
    <t>CM-T12-03-06</t>
  </si>
  <si>
    <t>CM-T12-03-07</t>
  </si>
  <si>
    <t>CM-T12-03-08</t>
  </si>
  <si>
    <t>CM-T12-03-09</t>
  </si>
  <si>
    <t>CM-T12-03-10</t>
  </si>
  <si>
    <t>CM-T12-04-01</t>
  </si>
  <si>
    <t>CM-T12-04-02</t>
  </si>
  <si>
    <t>CM-T12-04-03</t>
  </si>
  <si>
    <t>CM-T12-04-04</t>
  </si>
  <si>
    <t>CM-T12-04-05</t>
  </si>
  <si>
    <t>CM-T12-04-06</t>
  </si>
  <si>
    <t>CM-T12-04-07</t>
  </si>
  <si>
    <t>CM-T12-04-08</t>
  </si>
  <si>
    <t>CM-T12-04-09</t>
  </si>
  <si>
    <t>CM-T12-04-10</t>
  </si>
  <si>
    <t>CM-T12-05-01</t>
  </si>
  <si>
    <t>CM-T12-05-02</t>
  </si>
  <si>
    <t>CM-T12-05-03</t>
  </si>
  <si>
    <t>CM-T12-05-04</t>
  </si>
  <si>
    <t>CM-T12-05-05</t>
  </si>
  <si>
    <t>CM-T12-05-06</t>
  </si>
  <si>
    <t>CM-T12-07-01</t>
  </si>
  <si>
    <t>CM-T12-07-02</t>
  </si>
  <si>
    <t>CM-T12-07-03</t>
  </si>
  <si>
    <t>CM-T12-07-04</t>
  </si>
  <si>
    <t>EFT1-T12-02-01</t>
  </si>
  <si>
    <t>EFT1-T12-02-02</t>
  </si>
  <si>
    <t>EFT1-T12-02-03</t>
  </si>
  <si>
    <t>EFT1-T12-02-04</t>
  </si>
  <si>
    <t>EFT1-T12-02-05</t>
  </si>
  <si>
    <t>EFT1-T12-02-06</t>
  </si>
  <si>
    <t>EFT1-T12-02-07</t>
  </si>
  <si>
    <t>EFT1-T12-02-08</t>
  </si>
  <si>
    <t>EFT1-T12-02-09</t>
  </si>
  <si>
    <t>EFT1-T12-02-10</t>
  </si>
  <si>
    <t>EFT1-T12-02-11</t>
  </si>
  <si>
    <t>EFT1-T12-02-12</t>
  </si>
  <si>
    <t>EFT1-T12-02-13</t>
  </si>
  <si>
    <t>EFT1-T12-02-14</t>
  </si>
  <si>
    <t>EFT1-T12-02-15</t>
  </si>
  <si>
    <t>EFT1-T12-02-16</t>
  </si>
  <si>
    <t>EFT1-T12-02-17</t>
  </si>
  <si>
    <t>EFT1-T12-02-18</t>
  </si>
  <si>
    <t>EFT1-T12-02-19</t>
  </si>
  <si>
    <t>EFT1-T12-02-20</t>
  </si>
  <si>
    <t>EFT1-T12-02-21</t>
  </si>
  <si>
    <t>EFT1-T12-02-22</t>
  </si>
  <si>
    <t>EFT1-T12-02-23</t>
  </si>
  <si>
    <t>EFT1-T12-02-24</t>
  </si>
  <si>
    <t>EFT1-T12-02-25</t>
  </si>
  <si>
    <t>EFT1-T12-02-26</t>
  </si>
  <si>
    <t>EFT1-T12-02-27</t>
  </si>
  <si>
    <t>EFT1-T12-02-28</t>
  </si>
  <si>
    <t>EFT1-T12-02-29</t>
  </si>
  <si>
    <t>EFT1-T12-02-30</t>
  </si>
  <si>
    <t>EFT1-T12-02-31</t>
  </si>
  <si>
    <t>EFT1-T12-02-32</t>
  </si>
  <si>
    <t>EFT1-T12-02-33</t>
  </si>
  <si>
    <t>EFT1-T12-02-34</t>
  </si>
  <si>
    <t>EFT1-T12-02-35</t>
  </si>
  <si>
    <t>EFT1-T12-02-36</t>
  </si>
  <si>
    <t>EFT1-T12-02-37</t>
  </si>
  <si>
    <t>EFT1-T12-02-38</t>
  </si>
  <si>
    <t>EFT1-T12-02-39</t>
  </si>
  <si>
    <t>EFT1-T12-02-40</t>
  </si>
  <si>
    <t>EFT1-T12-02-41</t>
  </si>
  <si>
    <t>EFT1-T12-02-42</t>
  </si>
  <si>
    <t>EFT1-T12-02-43</t>
  </si>
  <si>
    <t>EFT1-T12-02-44</t>
  </si>
  <si>
    <t>EFT1-T12-02-45</t>
  </si>
  <si>
    <t>EFT1-T12-02-46</t>
  </si>
  <si>
    <t>EFT1-T12-02-47</t>
  </si>
  <si>
    <t>EFT1-T12-02-48</t>
  </si>
  <si>
    <t>EFT1-T12-02-49</t>
  </si>
  <si>
    <t>EFT1-T12-02-50</t>
  </si>
  <si>
    <t>EFT1-T12-02-51</t>
  </si>
  <si>
    <t>EFT1-T12-02-52</t>
  </si>
  <si>
    <t>EFT1-T12-02-53</t>
  </si>
  <si>
    <t>EFT1-T12-02-54</t>
  </si>
  <si>
    <t>EFT1-T12-02-55</t>
  </si>
  <si>
    <t>EFT1-T12-02-56</t>
  </si>
  <si>
    <t>EFT1-T12-02-57</t>
  </si>
  <si>
    <t>EFT1-T12-02-58</t>
  </si>
  <si>
    <t>EFT1-T12-02-59</t>
  </si>
  <si>
    <t>EFT1-T12-02-60</t>
  </si>
  <si>
    <t>EFT1-T12-02-61</t>
  </si>
  <si>
    <t>EFT1-T12-02-62</t>
  </si>
  <si>
    <t>EFT1-T12-02-63</t>
  </si>
  <si>
    <t>EFT1-T12-02-64</t>
  </si>
  <si>
    <t>EFT1-T12-02-65</t>
  </si>
  <si>
    <t>EFT1-T12-02-66</t>
  </si>
  <si>
    <t>EFT1-T12-02-67</t>
  </si>
  <si>
    <t>EFT1-T12-02-68</t>
  </si>
  <si>
    <t>GPDE-T12-02-01</t>
  </si>
  <si>
    <t>GPDE-T12-02-02</t>
  </si>
  <si>
    <t>GPDE-T12-02-03</t>
  </si>
  <si>
    <t>GPDE-T12-02-04</t>
  </si>
  <si>
    <t>GPDE-T12-02-05</t>
  </si>
  <si>
    <t>GPDE-T12-02-06</t>
  </si>
  <si>
    <t>GPDE-T12-02-07</t>
  </si>
  <si>
    <t>GPDE-T12-02-08</t>
  </si>
  <si>
    <t>GPDE-T12-02-09</t>
  </si>
  <si>
    <t>GPDE-T12-02-10</t>
  </si>
  <si>
    <t>GPDE-T12-02-11</t>
  </si>
  <si>
    <t>GPDE-T12-02-12</t>
  </si>
  <si>
    <t>GPDE-T12-02-13</t>
  </si>
  <si>
    <t>GPDE-T12-02-14</t>
  </si>
  <si>
    <t>GPDE-T12-02-15</t>
  </si>
  <si>
    <t>GPDE-T12-02-16</t>
  </si>
  <si>
    <t>GPDE-T12-02-17</t>
  </si>
  <si>
    <t>GPDE-T12-02-18</t>
  </si>
  <si>
    <t>GPDE-T12-02-19</t>
  </si>
  <si>
    <t>GPDE-T12-02-20</t>
  </si>
  <si>
    <t>GPDE-T12-02-21</t>
  </si>
  <si>
    <t>GPDE-T12-02-22</t>
  </si>
  <si>
    <t>GPDE-T12-02-23</t>
  </si>
  <si>
    <t>GPDE-T12-02-24</t>
  </si>
  <si>
    <t>GPDE-T12-03-01</t>
  </si>
  <si>
    <t>GPDE-T12-03-02</t>
  </si>
  <si>
    <t>GPDE-T12-03-03</t>
  </si>
  <si>
    <t>GPDE-T12-03-04</t>
  </si>
  <si>
    <t>GPDE-T12-03-05</t>
  </si>
  <si>
    <t>GPDE-T12-06-01</t>
  </si>
  <si>
    <t>GPDE-T12-06-02</t>
  </si>
  <si>
    <t>GPDE-T12-06-03</t>
  </si>
  <si>
    <t>GPDE-T12-06-04</t>
  </si>
  <si>
    <t>GPDE-T12-06-05</t>
  </si>
  <si>
    <t>GPDE-T12-06-06</t>
  </si>
  <si>
    <t>GPDE-T12-07-01</t>
  </si>
  <si>
    <t>GPDE-T12-07-02</t>
  </si>
  <si>
    <t>GPDE-T12-07-03</t>
  </si>
  <si>
    <t>GPDE-T12-07-04</t>
  </si>
  <si>
    <t>GPDE-T12-08-01</t>
  </si>
  <si>
    <t>GPDE-T12-08-02</t>
  </si>
  <si>
    <t>GPDE-T12-08-03</t>
  </si>
  <si>
    <t>GPDE-T12-08-04</t>
  </si>
  <si>
    <t>GPDE-T12-09-01</t>
  </si>
  <si>
    <t>GPDE-T12-09-02</t>
  </si>
  <si>
    <t>HA-T12-01-01</t>
  </si>
  <si>
    <t>HA-T12-01-02</t>
  </si>
  <si>
    <t>HA-T12-01-03</t>
  </si>
  <si>
    <t>HA-T12-01-04</t>
  </si>
  <si>
    <t>HA-T12-01-05</t>
  </si>
  <si>
    <t>HA-T12-01-06</t>
  </si>
  <si>
    <t>HA-T12-01-07</t>
  </si>
  <si>
    <t>HA-T12-01-08</t>
  </si>
  <si>
    <t>HA-T12-01-09</t>
  </si>
  <si>
    <t>HA-T12-01-10</t>
  </si>
  <si>
    <t>HA-T12-01-11</t>
  </si>
  <si>
    <t>HA-T12-01-12</t>
  </si>
  <si>
    <t>HA-T12-01-13</t>
  </si>
  <si>
    <t>HA-T12-01-14</t>
  </si>
  <si>
    <t>HA-T12-01-15</t>
  </si>
  <si>
    <t>HA-T12-01-16</t>
  </si>
  <si>
    <t>HA-T12-01-17</t>
  </si>
  <si>
    <t>HA-T12-01-18</t>
  </si>
  <si>
    <t>HA-T12-01-19</t>
  </si>
  <si>
    <t>HA-T12-01-20</t>
  </si>
  <si>
    <t>HA-T12-01-21</t>
  </si>
  <si>
    <t>HA-T12-01-22</t>
  </si>
  <si>
    <t>HA-T12-01-23</t>
  </si>
  <si>
    <t>HA-T12-02-01</t>
  </si>
  <si>
    <t>HA-T12-02-02</t>
  </si>
  <si>
    <t>HA-T12-02-03</t>
  </si>
  <si>
    <t>HA-T12-02-04</t>
  </si>
  <si>
    <t>HA-T12-02-05</t>
  </si>
  <si>
    <t>HA-T12-02-06</t>
  </si>
  <si>
    <t>HA-T12-02-07</t>
  </si>
  <si>
    <t>HA-T12-04-01</t>
  </si>
  <si>
    <t>HA-T12-04-02</t>
  </si>
  <si>
    <t>HA-T12-04-03</t>
  </si>
  <si>
    <t>HA-T12-04-04</t>
  </si>
  <si>
    <t>HA-T12-04-05</t>
  </si>
  <si>
    <t>HA-T12-04-06</t>
  </si>
  <si>
    <t>HA-T12-04-07</t>
  </si>
  <si>
    <t>HA-T12-04-08</t>
  </si>
  <si>
    <t>HA-T12-04-09</t>
  </si>
  <si>
    <t>HA-T12-04-10</t>
  </si>
  <si>
    <t>HA-T12-04-11</t>
  </si>
  <si>
    <t>HA-T12-04-12</t>
  </si>
  <si>
    <t>HA-T12-04-13</t>
  </si>
  <si>
    <t>HA-T12-04-14</t>
  </si>
  <si>
    <t>HA-T12-04-15</t>
  </si>
  <si>
    <t>HA-T12-04-16</t>
  </si>
  <si>
    <t>HA-T12-04-17</t>
  </si>
  <si>
    <t>HA-T12-04-18</t>
  </si>
  <si>
    <t>HA-T12-04-19</t>
  </si>
  <si>
    <t>HA-T12-04-20</t>
  </si>
  <si>
    <t>HA-T12-05-01</t>
  </si>
  <si>
    <t>HA-T12-05-02</t>
  </si>
  <si>
    <t>HA-T12-05-03</t>
  </si>
  <si>
    <t>HA-T12-05-04</t>
  </si>
  <si>
    <t>HA-T12-05-05</t>
  </si>
  <si>
    <t>HA-T12-05-06</t>
  </si>
  <si>
    <t>HA-T12-05-07</t>
  </si>
  <si>
    <t>HA-T12-05-08</t>
  </si>
  <si>
    <t>HA-T12-05-09</t>
  </si>
  <si>
    <t>HA-T12-05-10</t>
  </si>
  <si>
    <t>HA-T12-05-11</t>
  </si>
  <si>
    <t>HA-T12-05-12</t>
  </si>
  <si>
    <t>HA-T12-05-13</t>
  </si>
  <si>
    <t>HA-T12-05-14</t>
  </si>
  <si>
    <t>HA-T12-05-15</t>
  </si>
  <si>
    <t>HA-T12-05-16</t>
  </si>
  <si>
    <t>HA-T12-05-17</t>
  </si>
  <si>
    <t>HA-T12-05-18</t>
  </si>
  <si>
    <t>HA-T12-05-19</t>
  </si>
  <si>
    <t>HA-T12-05-20</t>
  </si>
  <si>
    <t>HA-T12-05-21</t>
  </si>
  <si>
    <t>HA-T12-05-22</t>
  </si>
  <si>
    <t>HA-T12-05-23</t>
  </si>
  <si>
    <t>HA-T12-05-24</t>
  </si>
  <si>
    <t>HA-T12-05-25</t>
  </si>
  <si>
    <t>HA-T12-05-26</t>
  </si>
  <si>
    <t>HA-T12-05-27</t>
  </si>
  <si>
    <t>HA-T12-05-28</t>
  </si>
  <si>
    <t>HA-T12-05-29</t>
  </si>
  <si>
    <t>HA-T12-06-01</t>
  </si>
  <si>
    <t>HA-T12-06-02</t>
  </si>
  <si>
    <t>HA-T12-06-03</t>
  </si>
  <si>
    <t>HA-T12-06-04</t>
  </si>
  <si>
    <t>HA-T12-06-05</t>
  </si>
  <si>
    <t>HA-T12-06-06</t>
  </si>
  <si>
    <t>HA-T12-06-07</t>
  </si>
  <si>
    <t>HA-T12-06-08</t>
  </si>
  <si>
    <t>HA-T12-06-09</t>
  </si>
  <si>
    <t>HA-T12-06-10</t>
  </si>
  <si>
    <t>HA-T12-06-11</t>
  </si>
  <si>
    <t>HA-T12-06-12</t>
  </si>
  <si>
    <t>HA-T12-06-13</t>
  </si>
  <si>
    <t>HA-T12-07-01</t>
  </si>
  <si>
    <t>HA-T12-07-02</t>
  </si>
  <si>
    <t>HA-T12-07-03</t>
  </si>
  <si>
    <t>HA-T12-07-04</t>
  </si>
  <si>
    <t>HA-T12-07-05</t>
  </si>
  <si>
    <t>HA-T12-07-06</t>
  </si>
  <si>
    <t>HA-T12-07-07</t>
  </si>
  <si>
    <t>HA-T12-07-08</t>
  </si>
  <si>
    <t>HA-T12-10-01</t>
  </si>
  <si>
    <t>HA-T12-10-02</t>
  </si>
  <si>
    <t>QM-T12-02-01</t>
  </si>
  <si>
    <t>QM-T12-03-01</t>
  </si>
  <si>
    <t>QM-T12-03-02</t>
  </si>
  <si>
    <t>QM-T12-03-03</t>
  </si>
  <si>
    <t>QM-T12-03-04</t>
  </si>
  <si>
    <t>QM-T12-03-05</t>
  </si>
  <si>
    <t>QM-T12-03-06</t>
  </si>
  <si>
    <t>QM-T12-03-07</t>
  </si>
  <si>
    <t>QM-T12-03-08</t>
  </si>
  <si>
    <t>QM-T12-03-09</t>
  </si>
  <si>
    <t>QM-T12-03-10</t>
  </si>
  <si>
    <t>QM-T12-03-11</t>
  </si>
  <si>
    <t>QM-T12-03-12</t>
  </si>
  <si>
    <t>QM-T12-05-01</t>
  </si>
  <si>
    <t>QM-T12-05-02</t>
  </si>
  <si>
    <t>QM-T12-05-03</t>
  </si>
  <si>
    <t>QM-T12-05-04</t>
  </si>
  <si>
    <t>QM-T12-05-05</t>
  </si>
  <si>
    <t>QM-T12-05-06</t>
  </si>
  <si>
    <t>QM-T12-06-01</t>
  </si>
  <si>
    <t>QM-T12-06-02</t>
  </si>
  <si>
    <t>QM-T12-06-03</t>
  </si>
  <si>
    <t>QM-T12-07-01</t>
  </si>
  <si>
    <t>QM-T12-07-02</t>
  </si>
  <si>
    <t>QM-T12-07-03</t>
  </si>
  <si>
    <t>QM-T12-07-04</t>
  </si>
  <si>
    <t>QM-T12-07-05</t>
  </si>
  <si>
    <t>QM-T12-07-06</t>
  </si>
  <si>
    <t>QM-T12-08-01</t>
  </si>
  <si>
    <t>QM-T12-08-02</t>
  </si>
  <si>
    <t>QM-T12-08-03</t>
  </si>
  <si>
    <t>QM-T12-08-04</t>
  </si>
  <si>
    <t>QM-T12-08-05</t>
  </si>
  <si>
    <t>QM-T12-08-06</t>
  </si>
  <si>
    <t>QM-T12-08-07</t>
  </si>
  <si>
    <t>QM-T12-08-08</t>
  </si>
  <si>
    <t>QM-T12-08-09</t>
  </si>
  <si>
    <t>QM-T12-10-01</t>
  </si>
  <si>
    <t>QM-T12-10-02</t>
  </si>
  <si>
    <t>QM-T12-10-03</t>
  </si>
  <si>
    <t>QM-T12-11-01</t>
  </si>
  <si>
    <t>QM-T12-11-02</t>
  </si>
  <si>
    <t>QM-T12-11-03</t>
  </si>
  <si>
    <t>QM-T12-11-04</t>
  </si>
  <si>
    <t>QM-T12-11-05</t>
  </si>
  <si>
    <t>QM-T12-11-06</t>
  </si>
  <si>
    <t>QM-T12-11-07</t>
  </si>
  <si>
    <t>QM-T12-12-01</t>
  </si>
  <si>
    <t>QM-T12-12-02</t>
  </si>
  <si>
    <t>QM-T12-12-03</t>
  </si>
  <si>
    <t>QM-T12-12-04</t>
  </si>
  <si>
    <t>QM-T12-13-01</t>
  </si>
  <si>
    <t>QM-T12-13-02</t>
  </si>
  <si>
    <t>QM-T12-13-03</t>
  </si>
  <si>
    <t>QM-T12-13-04</t>
  </si>
  <si>
    <t>QM-T12-13-05</t>
  </si>
  <si>
    <t>QM-T12-13-06</t>
  </si>
  <si>
    <t>QM-T12-13-07</t>
  </si>
  <si>
    <t>QM-T12-14-01</t>
  </si>
  <si>
    <t>QM-T12-14-02</t>
  </si>
  <si>
    <t>QM-T12-14-03</t>
  </si>
  <si>
    <t>QM-T12-16-01</t>
  </si>
  <si>
    <t>QM-T12-16-02</t>
  </si>
  <si>
    <t>QM-T12-16-03</t>
  </si>
  <si>
    <t>QM-T12-16-04</t>
  </si>
  <si>
    <t>QM-T12-16-05</t>
  </si>
  <si>
    <t>QM-T12-17-01</t>
  </si>
  <si>
    <t>QM-T12-17-02</t>
  </si>
  <si>
    <t>QM-T12-18-01</t>
  </si>
  <si>
    <t>QM-T12-18-02</t>
  </si>
  <si>
    <t>QM-T12-20-01</t>
  </si>
  <si>
    <t>QM-T12-22-01</t>
  </si>
  <si>
    <t>QM-T12-22-02</t>
  </si>
  <si>
    <t>QM-T12-22-03</t>
  </si>
  <si>
    <t>QM-T12-22-04</t>
  </si>
  <si>
    <t>QM-T12-22-05</t>
  </si>
  <si>
    <t>QM-T12-22-06</t>
  </si>
  <si>
    <t>QM-T12-22-07</t>
  </si>
  <si>
    <t>QM-T12-23-01</t>
  </si>
  <si>
    <t>QM-T12-23-02</t>
  </si>
  <si>
    <t>QM-T12-23-03</t>
  </si>
  <si>
    <t>QM-T12-24-01</t>
  </si>
  <si>
    <t>QM-T12-24-02</t>
  </si>
  <si>
    <t>QM-T12-24-03</t>
  </si>
  <si>
    <t>QM-T12-24-04</t>
  </si>
  <si>
    <t>QM-T12-24-05</t>
  </si>
  <si>
    <t>QM-T12-24-06</t>
  </si>
  <si>
    <t>QM-T12-24-07</t>
  </si>
  <si>
    <t>QM-T12-24-08</t>
  </si>
  <si>
    <t>QM-T12-25-01</t>
  </si>
  <si>
    <t>QM-T12-25-02</t>
  </si>
  <si>
    <t>QM-T12-25-03</t>
  </si>
  <si>
    <t>QM-T12-25-04</t>
  </si>
  <si>
    <t>QM-T12-25-05</t>
  </si>
  <si>
    <t>QM-T12-25-06</t>
  </si>
  <si>
    <t>QM-T12-25-07</t>
  </si>
  <si>
    <t>QM-T12-31-01</t>
  </si>
  <si>
    <t>QM-T12-31-02</t>
  </si>
  <si>
    <t>QM-T12-31-03</t>
  </si>
  <si>
    <t>QM-T12-31-04</t>
  </si>
  <si>
    <t>QM-T12-31-05</t>
  </si>
  <si>
    <t>QM-T12-31-06</t>
  </si>
  <si>
    <t>QMS-T12-02-01</t>
  </si>
  <si>
    <t>QMS-T12-02-02</t>
  </si>
  <si>
    <t>QMS-T12-02-03</t>
  </si>
  <si>
    <t>QMS-T12-02-04</t>
  </si>
  <si>
    <t>QMS-T12-02-05</t>
  </si>
  <si>
    <t>QMS-T12-02-06</t>
  </si>
  <si>
    <t>QMS-T12-02-07</t>
  </si>
  <si>
    <t>QMS-T12-02-08</t>
  </si>
  <si>
    <t>QMS-T12-02-09</t>
  </si>
  <si>
    <t>QMS-T12-02-10</t>
  </si>
  <si>
    <t>QMS-T12-02-11</t>
  </si>
  <si>
    <t>RG-T12-02-01</t>
  </si>
  <si>
    <t>RG-T12-02-02</t>
  </si>
  <si>
    <t>RG-T12-02-03</t>
  </si>
  <si>
    <t>RG-T12-02-04</t>
  </si>
  <si>
    <t>RG-T12-02-05</t>
  </si>
  <si>
    <t>RG-T12-02-06</t>
  </si>
  <si>
    <t>RG-T12-02-07</t>
  </si>
  <si>
    <t>RG-T12-03-01</t>
  </si>
  <si>
    <t>RG-T12-03-02</t>
  </si>
  <si>
    <t>RG-T12-03-03</t>
  </si>
  <si>
    <t>RG-T12-03-04</t>
  </si>
  <si>
    <t>RG-T12-03-05</t>
  </si>
  <si>
    <t>RG-T12-03-06</t>
  </si>
  <si>
    <t>RG-T12-03-07</t>
  </si>
  <si>
    <t>RG-T12-03-08</t>
  </si>
  <si>
    <t>RG-T12-03-09</t>
  </si>
  <si>
    <t>RG-T12-03-10</t>
  </si>
  <si>
    <t>RG-T12-03-11</t>
  </si>
  <si>
    <t>RG-T12-03-12</t>
  </si>
  <si>
    <t>RG-T12-03-13</t>
  </si>
  <si>
    <t>RG-T12-03-14</t>
  </si>
  <si>
    <t>RG-T12-03-15</t>
  </si>
  <si>
    <t>RG-T12-03-16</t>
  </si>
  <si>
    <t>RG-T12-04-01</t>
  </si>
  <si>
    <t>RG-T12-04-02</t>
  </si>
  <si>
    <t>RG-T12-04-03</t>
  </si>
  <si>
    <t>RG-T12-04-04</t>
  </si>
  <si>
    <t>RG-T12-04-05</t>
  </si>
  <si>
    <t>RG-T12-04-06</t>
  </si>
  <si>
    <t>RG-T12-04-07</t>
  </si>
  <si>
    <t>RG-T12-04-08</t>
  </si>
  <si>
    <t>RG-T12-04-09</t>
  </si>
  <si>
    <t>RG-T12-04-10</t>
  </si>
  <si>
    <t>RG-T12-04-11</t>
  </si>
  <si>
    <t>RG-T12-04-12</t>
  </si>
  <si>
    <t>RG-T12-04-13</t>
  </si>
  <si>
    <t>RG-T12-04-14</t>
  </si>
  <si>
    <t>RG-T12-04-15</t>
  </si>
  <si>
    <t>RG-T12-04-16</t>
  </si>
  <si>
    <t>RG-T12-05-01</t>
  </si>
  <si>
    <t>RG-T12-05-02</t>
  </si>
  <si>
    <t>RG-T12-05-03</t>
  </si>
  <si>
    <t>RG-T12-05-04</t>
  </si>
  <si>
    <t>RG-T12-05-05</t>
  </si>
  <si>
    <t>RG-T12-05-06</t>
  </si>
  <si>
    <t>RG-T12-05-07</t>
  </si>
  <si>
    <t>RG-T12-05-08</t>
  </si>
  <si>
    <t>RG-T12-05-09</t>
  </si>
  <si>
    <t>RG-T12-05-10</t>
  </si>
  <si>
    <t>RG-T12-05-11</t>
  </si>
  <si>
    <t>RG-T12-05-12</t>
  </si>
  <si>
    <t>RG-T12-05-13</t>
  </si>
  <si>
    <t>RG-T12-05-14</t>
  </si>
  <si>
    <t>RG-T12-05-15</t>
  </si>
  <si>
    <t>RG-T12-05-16</t>
  </si>
  <si>
    <t>RG-T12-05-17</t>
  </si>
  <si>
    <t>RG-T12-05-18</t>
  </si>
  <si>
    <t>RG-T12-05-19</t>
  </si>
  <si>
    <t>RG-T12-05-20</t>
  </si>
  <si>
    <t>RG-T12-05-21</t>
  </si>
  <si>
    <t>RG-T12-05-22</t>
  </si>
  <si>
    <t>RG-T12-07-01</t>
  </si>
  <si>
    <t>RG-T12-07-02</t>
  </si>
  <si>
    <t>RG-T12-07-03</t>
  </si>
  <si>
    <t>RG-T12-07-04</t>
  </si>
  <si>
    <t>RG-T12-07-05</t>
  </si>
  <si>
    <t>RG-T12-07-06</t>
  </si>
  <si>
    <t>RG-T12-07-07</t>
  </si>
  <si>
    <t>RG-T12-07-08</t>
  </si>
  <si>
    <t>RG-T12-07-09</t>
  </si>
  <si>
    <t>RG-T12-07-10</t>
  </si>
  <si>
    <t>RG-T12-08-01</t>
  </si>
  <si>
    <t>RG-T12-08-02</t>
  </si>
  <si>
    <t>RG-T12-08-03</t>
  </si>
  <si>
    <t>RG-T12-09-01</t>
  </si>
  <si>
    <t>RG-T12-09-02</t>
  </si>
  <si>
    <t>RG-T12-09-03</t>
  </si>
  <si>
    <t>RG-T12-09-04</t>
  </si>
  <si>
    <t>RG-T12-09-05</t>
  </si>
  <si>
    <t>RG-T12-09-06</t>
  </si>
  <si>
    <t>RG-T12-09-07</t>
  </si>
  <si>
    <t>RG-T12-16-01</t>
  </si>
  <si>
    <t>RG-T12-16-02</t>
  </si>
  <si>
    <t>RG-T12-16-03</t>
  </si>
  <si>
    <t>RG-T12-17-01</t>
  </si>
  <si>
    <t>RG-T12-17-02</t>
  </si>
  <si>
    <t>RG-T12-17-03</t>
  </si>
  <si>
    <t>RG-T12-17-04</t>
  </si>
  <si>
    <t>TOP1-T12-02-01</t>
  </si>
  <si>
    <t>TOP1-T12-02-02</t>
  </si>
  <si>
    <t>TOP1-T12-02-03</t>
  </si>
  <si>
    <t>TOP1-T12-02-04</t>
  </si>
  <si>
    <t>TOP1-T12-02-05</t>
  </si>
  <si>
    <t>TOP1-T12-02-06</t>
  </si>
  <si>
    <t>TOP1-T12-02-07</t>
  </si>
  <si>
    <t>TOP1-T12-04-01</t>
  </si>
  <si>
    <t>TOP1-T12-04-02</t>
  </si>
  <si>
    <t>TOP1-T12-04-03</t>
  </si>
  <si>
    <t>TOP1-T12-04-04</t>
  </si>
  <si>
    <t>TOP1-T12-04-05</t>
  </si>
  <si>
    <t>TOP1-T12-04-06</t>
  </si>
  <si>
    <t>TOP1-T12-04-07</t>
  </si>
  <si>
    <t>TOP1-T12-04-08</t>
  </si>
  <si>
    <t>TOP1-T12-04-09</t>
  </si>
  <si>
    <t>TOP1-T12-04-10</t>
  </si>
  <si>
    <t>TOP1-T12-04-11</t>
  </si>
  <si>
    <t>TOP1-T12-04-12</t>
  </si>
  <si>
    <t>TOP1-T12-04-13</t>
  </si>
  <si>
    <t>TOP1-T12-04-14</t>
  </si>
  <si>
    <t>TOP1-T12-04-15</t>
  </si>
  <si>
    <t>TOP1-T12-04-16</t>
  </si>
  <si>
    <t>TOP1-T12-04-17</t>
  </si>
  <si>
    <t>TOP1-T12-04-18</t>
  </si>
  <si>
    <t>TOP1-T12-04-19</t>
  </si>
  <si>
    <t>TOP1-T12-04-20</t>
  </si>
  <si>
    <t>TOP1-T12-04-21</t>
  </si>
  <si>
    <t>TOP1-T12-09-01</t>
  </si>
  <si>
    <t>TOP1-T12-09-02</t>
  </si>
  <si>
    <t>TOP1-T12-09-03</t>
  </si>
  <si>
    <t>TOP1-T12-09-04</t>
  </si>
  <si>
    <t>TOP1-T12-09-05</t>
  </si>
  <si>
    <t>TOP1-T12-09-06</t>
  </si>
  <si>
    <t>TOP1-T12-09-07</t>
  </si>
  <si>
    <t>TOP1-T12-09-08</t>
  </si>
  <si>
    <t>TOP1-T12-09-09</t>
  </si>
  <si>
    <t>TOP1-T12-09-10</t>
  </si>
  <si>
    <t>T15</t>
  </si>
  <si>
    <t>A-T15-04-01</t>
  </si>
  <si>
    <t>A-T15-04-02</t>
  </si>
  <si>
    <t>RowIndex</t>
  </si>
  <si>
    <t>A-T15-03-01</t>
  </si>
  <si>
    <t>A-T15-03-02</t>
  </si>
  <si>
    <t>A-T15-03-03</t>
  </si>
  <si>
    <t>A-T15-03-04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</si>
</sst>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
    <numFmt numFmtId="165" formatCode="[h]:mm"/>
    <numFmt numFmtId="166" formatCode="[hh]:mm"/>
  </numFmts>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amily val="2"/>
      <scheme val="minor"/>
    </font>
    <font>
      <sz val="14"/>
      <color theme="1"/>
      <name val="Aptos Narrow"/>
      <family val="2"/>
      <scheme val="minor"/>
    </font>
    <font>
      <sz val="16"/>
      <color theme="1"/>
      <name val="Aptos Narrow"/>
      <family val="2"/>
      <scheme val="minor"/>
    </font>
    <font>
      <sz val="16"/>
      <color rgb="FF000000"/>
      <name val="Aptos Narrow"/>
      <family val="2"/>
      <scheme val="minor"/>
    </font>
    <font>
      <b/>
      <sz val="16"/>
      <color theme="1"/>
      <name val="Aptos Narrow"/>
      <scheme val="minor"/>
    </font>
    <font>
      <sz val="11"/>
      <color theme="1"/>
      <name val="Aptos Narrow"/>
      <family val="2"/>
      <scheme val="minor"/>
    </font>
    <font>
      <sz val="14"/>
      <color rgb="FF000000"/>
      <name val="Aptos Narrow"/>
      <scheme val="minor"/>
    </font>
    <font>
      <sz val="8"/>
      <name val="Aptos Narrow"/>
      <family val="2"/>
      <scheme val="minor"/>
    </font>
    <font>
      <sz val="11"/>
      <color theme="0"/>
      <name val="Aptos Narrow"/>
      <family val="2"/>
      <scheme val="minor"/>
    </font>
    <font>
      <b/>
      <sz val="11"/>
      <color theme="1"/>
      <name val="Aptos Narrow"/>
      <scheme val="minor"/>
    </font>
  </fonts>
  <fills count="5">
    <fill>
      <patternFill patternType="none"/>
    </fill>
    <fill>
      <patternFill patternType="gray125"/>
    </fill>
    <fill>
      <patternFill patternType="solid">
        <fgColor theme="3" tint="0.749992370372631"/>
        <bgColor indexed="64"/>
      </patternFill>
    </fill>
    <fill>
      <patternFill patternType="solid">
        <fgColor theme="2" tint="-9.9978637043366805E-2"/>
        <bgColor indexed="64"/>
      </patternFill>
    </fill>
    <fill>
      <patternFill patternType="solid">
        <fgColor theme="4"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F1A983"/>
      </left>
      <right/>
      <top style="thin">
        <color rgb="FFF1A983"/>
      </top>
      <bottom/>
      <diagonal/>
    </border>
    <border>
      <left/>
      <right/>
      <top style="thin">
        <color rgb="FFF1A983"/>
      </top>
      <bottom/>
      <diagonal/>
    </border>
    <border>
      <left style="thin">
        <color rgb="FF156082"/>
      </left>
      <right/>
      <top style="thin">
        <color rgb="FF156082"/>
      </top>
      <bottom/>
      <diagonal/>
    </border>
    <border>
      <left/>
      <right/>
      <top style="thin">
        <color rgb="FF156082"/>
      </top>
      <bottom/>
      <diagonal/>
    </border>
    <border>
      <left style="thin">
        <color rgb="FF44B3E1"/>
      </left>
      <right/>
      <top style="thin">
        <color rgb="FF44B3E1"/>
      </top>
      <bottom/>
      <diagonal/>
    </border>
    <border>
      <left/>
      <right/>
      <top style="thin">
        <color rgb="FF44B3E1"/>
      </top>
      <bottom/>
      <diagonal/>
    </border>
  </borders>
  <cellStyleXfs count="1">
    <xf numFmtId="0" fontId="0" fillId="0" borderId="0"/>
  </cellStyleXfs>
  <cellXfs count="9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0" fillId="0" borderId="0" xfId="0" applyAlignment="1">
      <alignment horizontal="center"/>
    </xf>
    <xf numFmtId="165" fontId="0" fillId="0" borderId="0" xfId="0" applyNumberFormat="1"/>
    <xf numFmtId="0" fontId="4" fillId="0" borderId="0" xfId="0" applyFont="1"/>
    <xf numFmtId="0" fontId="5" fillId="0" borderId="0" xfId="0" applyFont="1"/>
    <xf numFmtId="0" fontId="5" fillId="0" borderId="0" xfId="0" applyFont="1" applyAlignment="1">
      <alignment horizontal="center"/>
    </xf>
    <xf numFmtId="20" fontId="5" fillId="0" borderId="0" xfId="0" applyNumberFormat="1" applyFont="1"/>
    <xf numFmtId="20" fontId="6" fillId="0" borderId="0" xfId="0" applyNumberFormat="1" applyFont="1"/>
    <xf numFmtId="20" fontId="5" fillId="3" borderId="0" xfId="0" applyNumberFormat="1" applyFont="1" applyFill="1"/>
    <xf numFmtId="165" fontId="5" fillId="0" borderId="0" xfId="0" applyNumberFormat="1" applyFont="1"/>
    <xf numFmtId="20" fontId="5" fillId="0" borderId="0" xfId="0" applyNumberFormat="1" applyFont="1" applyAlignment="1">
      <alignment horizontal="center"/>
    </xf>
    <xf numFmtId="20" fontId="7" fillId="0" borderId="0" xfId="0" applyNumberFormat="1" applyFont="1" applyAlignment="1">
      <alignment horizontal="center"/>
    </xf>
    <xf numFmtId="0" fontId="7" fillId="0" borderId="0" xfId="0" applyFont="1"/>
    <xf numFmtId="165" fontId="9" fillId="0" borderId="0" xfId="0" applyNumberFormat="1" applyFont="1"/>
    <xf numFmtId="164" fontId="3" fillId="0" borderId="8" xfId="0" applyNumberFormat="1" applyFont="1" applyBorder="1"/>
    <xf numFmtId="0" fontId="3" fillId="0" borderId="9" xfId="0" applyFont="1" applyBorder="1"/>
    <xf numFmtId="0" fontId="3" fillId="0" borderId="0" xfId="0" applyFont="1"/>
    <xf numFmtId="0" fontId="0" fillId="0" borderId="0" xfId="0" applyAlignment="1">
      <alignment wrapText="1"/>
    </xf>
    <xf numFmtId="0" fontId="0" fillId="0" borderId="0" xfId="0" applyAlignment="1">
      <alignment horizontal="left" indent="3"/>
    </xf>
    <xf numFmtId="0" fontId="1" fillId="0" borderId="5" xfId="0" applyFont="1" applyBorder="1"/>
    <xf numFmtId="165" fontId="2" fillId="0" borderId="5" xfId="0" applyNumberFormat="1" applyFont="1" applyBorder="1" applyAlignment="1">
      <alignment horizontal="center"/>
    </xf>
    <xf numFmtId="165" fontId="2" fillId="0" borderId="4" xfId="0" applyNumberFormat="1" applyFont="1" applyBorder="1" applyAlignment="1">
      <alignment horizontal="center"/>
    </xf>
    <xf numFmtId="165" fontId="2" fillId="0" borderId="0" xfId="0" applyNumberFormat="1" applyFont="1" applyAlignment="1">
      <alignment horizontal="center"/>
    </xf>
    <xf numFmtId="165" fontId="1" fillId="0" borderId="4" xfId="0" applyNumberFormat="1" applyFont="1" applyBorder="1" applyAlignment="1">
      <alignment horizontal="center"/>
    </xf>
    <xf numFmtId="0" fontId="0" fillId="0" borderId="10" xfId="0" applyBorder="1"/>
    <xf numFmtId="0" fontId="3" fillId="0" borderId="10" xfId="0" applyFont="1" applyBorder="1"/>
    <xf numFmtId="0" fontId="0" fillId="0" borderId="11" xfId="0" applyBorder="1"/>
    <xf numFmtId="0" fontId="3" fillId="0" borderId="11" xfId="0" applyFont="1" applyBorder="1"/>
    <xf numFmtId="165" fontId="0" fillId="0" borderId="0" xfId="0" applyNumberFormat="1" applyAlignment="1">
      <alignment horizontal="center"/>
    </xf>
    <xf numFmtId="165" fontId="1" fillId="0" borderId="0" xfId="0" applyNumberFormat="1" applyFont="1" applyAlignment="1">
      <alignment horizontal="center"/>
    </xf>
    <xf numFmtId="2" fontId="0" fillId="0" borderId="0" xfId="0" applyNumberFormat="1" applyAlignment="1">
      <alignment wrapText="1"/>
    </xf>
    <xf numFmtId="0" fontId="3" fillId="0" borderId="11" xfId="0" applyFont="1" applyBorder="1" applyAlignment="1">
      <alignment wrapText="1"/>
    </xf>
    <xf numFmtId="0" fontId="0" fillId="4" borderId="0" xfId="0" applyFill="1" applyAlignment="1">
      <alignment wrapText="1"/>
    </xf>
    <xf numFmtId="0" fontId="0" fillId="0" borderId="0" xfId="0" pivotButton="1" applyAlignment="1">
      <alignment wrapText="1"/>
    </xf>
    <xf numFmtId="0" fontId="0" fillId="0" borderId="0" xfId="0" applyAlignment="1">
      <alignment horizontal="left" wrapText="1"/>
    </xf>
    <xf numFmtId="0" fontId="0" fillId="2" borderId="0" xfId="0" applyFill="1" applyAlignment="1">
      <alignment wrapText="1"/>
    </xf>
    <xf numFmtId="165" fontId="0" fillId="0" borderId="0" xfId="0" applyNumberFormat="1" applyAlignment="1">
      <alignment wrapText="1"/>
    </xf>
    <xf numFmtId="0" fontId="0" fillId="0" borderId="0" xfId="0" quotePrefix="1" applyAlignment="1">
      <alignment wrapText="1"/>
    </xf>
    <xf numFmtId="0" fontId="2" fillId="0" borderId="0" xfId="0" applyFont="1"/>
    <xf numFmtId="165" fontId="11" fillId="0" borderId="0" xfId="0" applyNumberFormat="1" applyFont="1" applyAlignment="1">
      <alignment horizontal="center"/>
    </xf>
    <xf numFmtId="165" fontId="8" fillId="0" borderId="0" xfId="0" applyNumberFormat="1" applyFont="1" applyAlignment="1">
      <alignment horizontal="center"/>
    </xf>
    <xf numFmtId="165" fontId="12" fillId="0" borderId="0" xfId="0" applyNumberFormat="1" applyFont="1" applyAlignment="1">
      <alignment horizontal="center"/>
    </xf>
    <xf numFmtId="165" fontId="2" fillId="0" borderId="6" xfId="0" applyNumberFormat="1" applyFont="1" applyBorder="1" applyAlignment="1">
      <alignment horizontal="center"/>
    </xf>
    <xf numFmtId="165" fontId="2" fillId="0" borderId="7" xfId="0" applyNumberFormat="1" applyFont="1" applyBorder="1" applyAlignment="1">
      <alignment horizontal="center"/>
    </xf>
    <xf numFmtId="0" fontId="0" fillId="0" borderId="2" xfId="0" applyBorder="1"/>
    <xf numFmtId="0" fontId="1" fillId="0" borderId="3" xfId="0" applyFont="1" applyBorder="1"/>
    <xf numFmtId="165" fontId="0" fillId="0" borderId="2" xfId="0" applyNumberFormat="1" applyBorder="1" applyAlignment="1">
      <alignment horizontal="center"/>
    </xf>
    <xf numFmtId="165" fontId="2" fillId="0" borderId="3" xfId="0" applyNumberFormat="1" applyFont="1" applyBorder="1" applyAlignment="1">
      <alignment horizontal="center"/>
    </xf>
    <xf numFmtId="165" fontId="2" fillId="0" borderId="2" xfId="0" applyNumberFormat="1" applyFont="1" applyBorder="1" applyAlignment="1">
      <alignment horizontal="center"/>
    </xf>
    <xf numFmtId="165" fontId="2" fillId="0" borderId="1" xfId="0" applyNumberFormat="1" applyFont="1" applyBorder="1" applyAlignment="1">
      <alignment horizontal="center"/>
    </xf>
    <xf numFmtId="0" fontId="2" fillId="0" borderId="5" xfId="0" applyFont="1" applyBorder="1"/>
    <xf numFmtId="166" fontId="0" fillId="0" borderId="0" xfId="0" applyNumberFormat="1"/>
    <xf numFmtId="165" fontId="1" fillId="0" borderId="1" xfId="0" applyNumberFormat="1" applyFont="1" applyBorder="1" applyAlignment="1">
      <alignment horizontal="center"/>
    </xf>
    <xf numFmtId="165" fontId="1" fillId="0" borderId="2" xfId="0" applyNumberFormat="1" applyFont="1" applyBorder="1" applyAlignment="1">
      <alignment horizontal="center"/>
    </xf>
    <xf numFmtId="0" fontId="5" fillId="0" borderId="0" xfId="0" applyFont="1" applyAlignment="1">
      <alignment horizontal="center"/>
    </xf>
    <xf numFmtId="0" fontId="3" fillId="0" borderId="0" xfId="0" applyNumberFormat="1" applyFont="1"/>
    <xf numFmtId="0" fontId="0" fillId="0" borderId="0" xfId="0" applyNumberFormat="1"/>
    <xf numFmtId="0" fontId="0" fillId="0" borderId="0" xfId="0" applyNumberFormat="1" applyAlignment="1">
      <alignment wrapText="1"/>
    </xf>
    <xf numFmtId="164" fontId="3" fillId="0" borderId="12" xfId="0" applyNumberFormat="1" applyFont="1" applyBorder="1"/>
    <xf numFmtId="164" fontId="3" fillId="0" borderId="13" xfId="0" applyNumberFormat="1" applyFont="1" applyBorder="1"/>
    <xf numFmtId="0" fontId="3" fillId="0" borderId="13" xfId="0" applyFont="1" applyBorder="1"/>
    <xf numFmtId="0" fontId="3" fillId="0" borderId="0" xfId="0" applyNumberFormat="1" applyFont="1" applyBorder="1"/>
    <xf numFmtId="0" fontId="3" fillId="0" borderId="0" xfId="0" applyFont="1" applyBorder="1"/>
    <xf numFmtId="0" fontId="0" fillId="0" borderId="0" xfId="0" applyBorder="1"/>
    <xf numFmtId="165" fontId="0" fillId="0" borderId="0" xfId="0" applyNumberFormat="1" applyBorder="1"/>
    <xf numFmtId="0" fontId="0" fillId="0" borderId="0" xfId="0" applyNumberFormat="1" applyBorder="1"/>
    <xf numFmtId="2" fontId="0" fillId="0" borderId="0" xfId="0" applyNumberFormat="1"/>
    <xf numFmtId="0" fontId="0" fillId="0" borderId="2" xfId="0" applyFill="1" applyBorder="1"/>
    <xf numFmtId="0" fontId="0" fillId="0" borderId="0" xfId="0" applyFill="1"/>
    <xf numFmtId="0" fontId="1" fillId="0" borderId="3" xfId="0" applyFont="1" applyFill="1" applyBorder="1"/>
    <xf numFmtId="0" fontId="2" fillId="0" borderId="5" xfId="0" applyFont="1" applyFill="1" applyBorder="1"/>
    <xf numFmtId="0" fontId="1" fillId="0" borderId="5" xfId="0" applyFont="1" applyFill="1" applyBorder="1"/>
    <xf numFmtId="165" fontId="2" fillId="0" borderId="2" xfId="0" applyNumberFormat="1" applyFont="1" applyFill="1" applyBorder="1" applyAlignment="1">
      <alignment horizontal="center"/>
    </xf>
    <xf numFmtId="165" fontId="2" fillId="0" borderId="0" xfId="0" applyNumberFormat="1" applyFont="1" applyFill="1" applyAlignment="1">
      <alignment horizontal="center"/>
    </xf>
    <xf numFmtId="165" fontId="0" fillId="0" borderId="2" xfId="0" applyNumberFormat="1" applyFill="1" applyBorder="1" applyAlignment="1">
      <alignment horizontal="center"/>
    </xf>
    <xf numFmtId="165" fontId="0" fillId="0" borderId="0" xfId="0" applyNumberFormat="1" applyFill="1" applyAlignment="1">
      <alignment horizontal="center"/>
    </xf>
    <xf numFmtId="165" fontId="2" fillId="0" borderId="3" xfId="0" applyNumberFormat="1" applyFont="1" applyFill="1" applyBorder="1" applyAlignment="1">
      <alignment horizontal="center"/>
    </xf>
    <xf numFmtId="165" fontId="2" fillId="0" borderId="5" xfId="0" applyNumberFormat="1" applyFont="1" applyFill="1" applyBorder="1" applyAlignment="1">
      <alignment horizontal="center"/>
    </xf>
    <xf numFmtId="165" fontId="2" fillId="0" borderId="1" xfId="0" applyNumberFormat="1" applyFont="1" applyFill="1" applyBorder="1" applyAlignment="1">
      <alignment horizontal="center"/>
    </xf>
    <xf numFmtId="165" fontId="2" fillId="0" borderId="4" xfId="0" applyNumberFormat="1" applyFont="1" applyFill="1" applyBorder="1" applyAlignment="1">
      <alignment horizontal="center"/>
    </xf>
    <xf numFmtId="165" fontId="1" fillId="0" borderId="1" xfId="0" applyNumberFormat="1" applyFont="1" applyFill="1" applyBorder="1" applyAlignment="1">
      <alignment horizontal="center"/>
    </xf>
    <xf numFmtId="165" fontId="1" fillId="0" borderId="4" xfId="0" applyNumberFormat="1" applyFont="1" applyFill="1" applyBorder="1" applyAlignment="1">
      <alignment horizontal="center"/>
    </xf>
    <xf numFmtId="165" fontId="1" fillId="0" borderId="2" xfId="0" applyNumberFormat="1" applyFont="1" applyFill="1" applyBorder="1" applyAlignment="1">
      <alignment horizontal="center"/>
    </xf>
    <xf numFmtId="165" fontId="1" fillId="0" borderId="0" xfId="0" applyNumberFormat="1" applyFont="1" applyFill="1" applyAlignment="1">
      <alignment horizontal="center"/>
    </xf>
    <xf numFmtId="165" fontId="0" fillId="0" borderId="0" xfId="0" applyNumberFormat="1" applyFont="1"/>
  </cellXfs>
  <cellStyles count="1">
    <cellStyle name="Standard" xfId="0" builtinId="0"/>
  </cellStyles>
  <dxfs count="183">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strike val="0"/>
        <outline val="0"/>
        <shadow val="0"/>
        <u val="none"/>
        <vertAlign val="baseline"/>
        <sz val="16"/>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fill>
        <patternFill patternType="none">
          <fgColor indexed="64"/>
          <bgColor indexed="65"/>
        </patternFill>
      </fill>
      <border diagonalUp="0" diagonalDown="0" outline="0">
        <left/>
        <right/>
        <top/>
        <bottom/>
      </border>
    </dxf>
    <dxf>
      <font>
        <strike val="0"/>
        <outline val="0"/>
        <shadow val="0"/>
        <u val="none"/>
        <vertAlign val="baseline"/>
        <sz val="16"/>
        <name val="Aptos Narrow"/>
        <family val="2"/>
        <scheme val="minor"/>
      </font>
      <numFmt numFmtId="25" formatCode="hh:mm"/>
      <fill>
        <patternFill patternType="solid">
          <fgColor indexed="64"/>
          <bgColor theme="3" tint="0.499984740745262"/>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b/>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2.xml"/><Relationship Id="rId26" Type="http://schemas.microsoft.com/office/2007/relationships/slicerCache" Target="slicerCaches/slicerCache10.xml"/><Relationship Id="rId21" Type="http://schemas.microsoft.com/office/2007/relationships/slicerCache" Target="slicerCaches/slicerCache5.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7.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6.xml"/><Relationship Id="rId27" Type="http://schemas.microsoft.com/office/2007/relationships/slicerCache" Target="slicerCaches/slicerCache11.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[Stud-Monitoring.xlsm]Pivot!PivotTable5</c:name>
    <c:fmtId val="5"/>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Pivot!$E$82:$E$83</c:f>
              <c:strCache>
                <c:ptCount val="1"/>
                <c:pt idx="0">
                  <c:v>(Leer)</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Pivot!$E$84:$E$108</c:f>
              <c:numCache>
                <c:formatCode>General</c:formatCode>
                <c:ptCount val="11"/>
              </c:numCache>
            </c:numRef>
          </c:val>
          <c:extLst>
            <c:ext xmlns:c16="http://schemas.microsoft.com/office/drawing/2014/chart" uri="{C3380CC4-5D6E-409C-BE32-E72D297353CC}">
              <c16:uniqueId val="{00000000-E188-0F4C-A2DF-6454B2260698}"/>
            </c:ext>
          </c:extLst>
        </c:ser>
        <c:ser>
          <c:idx val="1"/>
          <c:order val="1"/>
          <c:tx>
            <c:strRef>
              <c:f>Pivot!$F$82:$F$83</c:f>
              <c:strCache>
                <c:ptCount val="1"/>
                <c:pt idx="0">
                  <c:v>AP-S</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Pivot!$F$84:$F$108</c:f>
              <c:numCache>
                <c:formatCode>General</c:formatCode>
                <c:ptCount val="11"/>
                <c:pt idx="6" formatCode="h:mm">
                  <c:v>1.3888888888888888E-2</c:v>
                </c:pt>
              </c:numCache>
            </c:numRef>
          </c:val>
          <c:extLst>
            <c:ext xmlns:c16="http://schemas.microsoft.com/office/drawing/2014/chart" uri="{C3380CC4-5D6E-409C-BE32-E72D297353CC}">
              <c16:uniqueId val="{0000002F-E188-0F4C-A2DF-6454B2260698}"/>
            </c:ext>
          </c:extLst>
        </c:ser>
        <c:ser>
          <c:idx val="2"/>
          <c:order val="2"/>
          <c:tx>
            <c:strRef>
              <c:f>Pivot!$G$82:$G$83</c:f>
              <c:strCache>
                <c:ptCount val="1"/>
                <c:pt idx="0">
                  <c:v>AQ-S</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Pivot!$G$84:$G$108</c:f>
              <c:numCache>
                <c:formatCode>h:mm</c:formatCode>
                <c:ptCount val="11"/>
                <c:pt idx="1">
                  <c:v>4.1666666666666664E-2</c:v>
                </c:pt>
                <c:pt idx="2">
                  <c:v>1.3888888888888888E-2</c:v>
                </c:pt>
                <c:pt idx="3">
                  <c:v>2.7777777777777776E-2</c:v>
                </c:pt>
                <c:pt idx="4">
                  <c:v>7.6388888888888881E-2</c:v>
                </c:pt>
                <c:pt idx="5">
                  <c:v>0.19444444444444445</c:v>
                </c:pt>
                <c:pt idx="6">
                  <c:v>3.4722222222222224E-2</c:v>
                </c:pt>
                <c:pt idx="7">
                  <c:v>0.19791666666666669</c:v>
                </c:pt>
                <c:pt idx="8">
                  <c:v>0.22569444444444445</c:v>
                </c:pt>
                <c:pt idx="9">
                  <c:v>0.12847222222222224</c:v>
                </c:pt>
                <c:pt idx="10">
                  <c:v>7.9861111111111105E-2</c:v>
                </c:pt>
              </c:numCache>
            </c:numRef>
          </c:val>
          <c:extLst>
            <c:ext xmlns:c16="http://schemas.microsoft.com/office/drawing/2014/chart" uri="{C3380CC4-5D6E-409C-BE32-E72D297353CC}">
              <c16:uniqueId val="{0000003A-E188-0F4C-A2DF-6454B2260698}"/>
            </c:ext>
          </c:extLst>
        </c:ser>
        <c:ser>
          <c:idx val="3"/>
          <c:order val="3"/>
          <c:tx>
            <c:strRef>
              <c:f>Pivot!$H$82:$H$83</c:f>
              <c:strCache>
                <c:ptCount val="1"/>
                <c:pt idx="0">
                  <c:v>ST-S</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Pivot!$H$84:$H$108</c:f>
              <c:numCache>
                <c:formatCode>h:mm</c:formatCode>
                <c:ptCount val="11"/>
                <c:pt idx="1">
                  <c:v>0.13541666666666669</c:v>
                </c:pt>
                <c:pt idx="2">
                  <c:v>2.4305555555555556E-2</c:v>
                </c:pt>
                <c:pt idx="3">
                  <c:v>4.5138888888888888E-2</c:v>
                </c:pt>
                <c:pt idx="4">
                  <c:v>5.2083333333333336E-2</c:v>
                </c:pt>
                <c:pt idx="10">
                  <c:v>3.472222222222222E-3</c:v>
                </c:pt>
              </c:numCache>
            </c:numRef>
          </c:val>
          <c:extLst>
            <c:ext xmlns:c16="http://schemas.microsoft.com/office/drawing/2014/chart" uri="{C3380CC4-5D6E-409C-BE32-E72D297353CC}">
              <c16:uniqueId val="{0000003B-E188-0F4C-A2DF-6454B2260698}"/>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[Stud-Monitoring.xlsm]Pivot!PivotTable6</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Pivot!$S$128:$S$129</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Pivot!$S$130:$S$143</c:f>
              <c:numCache>
                <c:formatCode>h:mm</c:formatCode>
                <c:ptCount val="10"/>
                <c:pt idx="1">
                  <c:v>0.17708333333333334</c:v>
                </c:pt>
                <c:pt idx="2">
                  <c:v>7.2916666666666671E-2</c:v>
                </c:pt>
                <c:pt idx="3">
                  <c:v>0.12847222222222221</c:v>
                </c:pt>
                <c:pt idx="4">
                  <c:v>0.19444444444444445</c:v>
                </c:pt>
                <c:pt idx="5">
                  <c:v>4.8611111111111112E-2</c:v>
                </c:pt>
                <c:pt idx="6">
                  <c:v>0.19791666666666669</c:v>
                </c:pt>
                <c:pt idx="7">
                  <c:v>0.22569444444444445</c:v>
                </c:pt>
                <c:pt idx="8">
                  <c:v>0.12847222222222224</c:v>
                </c:pt>
                <c:pt idx="9">
                  <c:v>8.3333333333333329E-2</c:v>
                </c:pt>
              </c:numCache>
            </c:numRef>
          </c:val>
          <c:extLst>
            <c:ext xmlns:c16="http://schemas.microsoft.com/office/drawing/2014/chart" uri="{C3380CC4-5D6E-409C-BE32-E72D297353CC}">
              <c16:uniqueId val="{00000000-0BFF-9A42-99D0-7E36E4431F5C}"/>
            </c:ext>
          </c:extLst>
        </c:ser>
        <c:ser>
          <c:idx val="1"/>
          <c:order val="1"/>
          <c:tx>
            <c:strRef>
              <c:f>Pivot!$T$128:$T$129</c:f>
              <c:strCache>
                <c:ptCount val="1"/>
                <c:pt idx="0">
                  <c:v>(Leer)</c:v>
                </c:pt>
              </c:strCache>
            </c:strRef>
          </c:tx>
          <c:spPr>
            <a:solidFill>
              <a:schemeClr val="accent4"/>
            </a:solidFill>
            <a:ln>
              <a:noFill/>
            </a:ln>
            <a:effectLst/>
          </c:spPr>
          <c:invertIfNegative val="0"/>
          <c:dLbls>
            <c:delete val="1"/>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Pivot!$T$130:$T$143</c:f>
              <c:numCache>
                <c:formatCode>General</c:formatCode>
                <c:ptCount val="10"/>
              </c:numCache>
            </c:numRef>
          </c:val>
          <c:extLst>
            <c:ext xmlns:c16="http://schemas.microsoft.com/office/drawing/2014/chart" uri="{C3380CC4-5D6E-409C-BE32-E72D297353CC}">
              <c16:uniqueId val="{00000015-0BFF-9A42-99D0-7E36E4431F5C}"/>
            </c:ext>
          </c:extLst>
        </c:ser>
        <c:ser>
          <c:idx val="2"/>
          <c:order val="2"/>
          <c:tx>
            <c:strRef>
              <c:f>Pivot!$U$128:$U$129</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Pivot!$U$130:$U$143</c:f>
              <c:numCache>
                <c:formatCode>h:mm</c:formatCode>
                <c:ptCount val="10"/>
                <c:pt idx="1">
                  <c:v>3.8194444444444448E-2</c:v>
                </c:pt>
              </c:numCache>
            </c:numRef>
          </c:val>
          <c:extLst>
            <c:ext xmlns:c16="http://schemas.microsoft.com/office/drawing/2014/chart" uri="{C3380CC4-5D6E-409C-BE32-E72D297353CC}">
              <c16:uniqueId val="{00000017-0BFF-9A42-99D0-7E36E4431F5C}"/>
            </c:ext>
          </c:extLst>
        </c:ser>
        <c:dLbls>
          <c:dLblPos val="outEnd"/>
          <c:showLegendKey val="0"/>
          <c:showVal val="1"/>
          <c:showCatName val="0"/>
          <c:showSerName val="0"/>
          <c:showPercent val="0"/>
          <c:showBubbleSize val="0"/>
        </c:dLbls>
        <c:gapWidth val="55"/>
        <c:overlap val="-1"/>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4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[Stud-Monitoring.xlsm]Pivot!PivotTable7</c:name>
    <c:fmtId val="4"/>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Pivot!$AD$177:$AD$178</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Pivot!$AD$179:$AD$182</c:f>
              <c:numCache>
                <c:formatCode>h:mm</c:formatCode>
                <c:ptCount val="3"/>
                <c:pt idx="1">
                  <c:v>0.37847222222222215</c:v>
                </c:pt>
                <c:pt idx="2">
                  <c:v>0.87847222222222221</c:v>
                </c:pt>
              </c:numCache>
            </c:numRef>
          </c:val>
          <c:extLst>
            <c:ext xmlns:c16="http://schemas.microsoft.com/office/drawing/2014/chart" uri="{C3380CC4-5D6E-409C-BE32-E72D297353CC}">
              <c16:uniqueId val="{00000000-1379-4741-9B39-09DE8D558AA7}"/>
            </c:ext>
          </c:extLst>
        </c:ser>
        <c:ser>
          <c:idx val="1"/>
          <c:order val="1"/>
          <c:tx>
            <c:strRef>
              <c:f>Pivot!$AE$177:$AE$178</c:f>
              <c:strCache>
                <c:ptCount val="1"/>
                <c:pt idx="0">
                  <c:v>(Leer)</c:v>
                </c:pt>
              </c:strCache>
            </c:strRef>
          </c:tx>
          <c:spPr>
            <a:solidFill>
              <a:schemeClr val="accent4"/>
            </a:solidFill>
            <a:ln>
              <a:noFill/>
            </a:ln>
            <a:effectLst/>
          </c:spPr>
          <c:invertIfNegative val="0"/>
          <c:cat>
            <c:strRef>
              <c:f>Pivot!$AC$179:$AC$182</c:f>
              <c:strCache>
                <c:ptCount val="3"/>
                <c:pt idx="0">
                  <c:v>(Leer)</c:v>
                </c:pt>
                <c:pt idx="1">
                  <c:v>14-2025</c:v>
                </c:pt>
                <c:pt idx="2">
                  <c:v>15-2025</c:v>
                </c:pt>
              </c:strCache>
            </c:strRef>
          </c:cat>
          <c:val>
            <c:numRef>
              <c:f>Pivot!$AE$179:$AE$182</c:f>
              <c:numCache>
                <c:formatCode>General</c:formatCode>
                <c:ptCount val="3"/>
              </c:numCache>
            </c:numRef>
          </c:val>
          <c:extLst>
            <c:ext xmlns:c16="http://schemas.microsoft.com/office/drawing/2014/chart" uri="{C3380CC4-5D6E-409C-BE32-E72D297353CC}">
              <c16:uniqueId val="{0000000A-1379-4741-9B39-09DE8D558AA7}"/>
            </c:ext>
          </c:extLst>
        </c:ser>
        <c:ser>
          <c:idx val="2"/>
          <c:order val="2"/>
          <c:tx>
            <c:strRef>
              <c:f>Pivot!$AF$177:$AF$178</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Pivot!$AF$179:$AF$182</c:f>
              <c:numCache>
                <c:formatCode>h:mm</c:formatCode>
                <c:ptCount val="3"/>
                <c:pt idx="1">
                  <c:v>3.8194444444444448E-2</c:v>
                </c:pt>
              </c:numCache>
            </c:numRef>
          </c:val>
          <c:extLst>
            <c:ext xmlns:c16="http://schemas.microsoft.com/office/drawing/2014/chart" uri="{C3380CC4-5D6E-409C-BE32-E72D297353CC}">
              <c16:uniqueId val="{0000000C-1379-4741-9B39-09DE8D558AA7}"/>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4.1666700000000001E-2"/>
        <c:minorUnit val="2E-3"/>
      </c:valAx>
      <c:spPr>
        <a:noFill/>
        <a:ln w="15875">
          <a:solidFill>
            <a:schemeClr val="tx1">
              <a:lumMod val="15000"/>
              <a:lumOff val="85000"/>
            </a:schemeClr>
          </a:solidFill>
        </a:ln>
        <a:effectLst/>
      </c:spPr>
    </c:plotArea>
    <c:legend>
      <c:legendPos val="r"/>
      <c:layout>
        <c:manualLayout>
          <c:xMode val="edge"/>
          <c:yMode val="edge"/>
          <c:x val="0.90236893925948458"/>
          <c:y val="8.384681645829474E-2"/>
          <c:w val="9.7631244120594124E-2"/>
          <c:h val="0.1750049272437267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54</xdr:row>
      <xdr:rowOff>76200</xdr:rowOff>
    </xdr:from>
    <xdr:to>
      <xdr:col>3</xdr:col>
      <xdr:colOff>182033</xdr:colOff>
      <xdr:row>69</xdr:row>
      <xdr:rowOff>203200</xdr:rowOff>
    </xdr:to>
    <mc:AlternateContent xmlns:mc="http://schemas.openxmlformats.org/markup-compatibility/2006">
      <mc:Choice xmlns:a14="http://schemas.microsoft.com/office/drawing/2010/main" Requires="a14">
        <xdr:graphicFrame macro="">
          <xdr:nvGraphicFramePr>
            <xdr:cNvPr id="2" name="Subject 1">
              <a:extLst>
                <a:ext uri="{FF2B5EF4-FFF2-40B4-BE49-F238E27FC236}">
                  <a16:creationId xmlns:a16="http://schemas.microsoft.com/office/drawing/2014/main" id="{37396BFB-7224-463E-6600-12CECFD20E1D}"/>
                </a:ext>
              </a:extLst>
            </xdr:cNvPr>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dr:sp macro="" textlink="">
          <xdr:nvSpPr>
            <xdr:cNvPr id="0" name=""/>
            <xdr:cNvSpPr>
              <a:spLocks noTextEdit="1"/>
            </xdr:cNvSpPr>
          </xdr:nvSpPr>
          <xdr:spPr>
            <a:xfrm>
              <a:off x="842433" y="11726333"/>
              <a:ext cx="1828800" cy="33951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38101</xdr:colOff>
      <xdr:row>34</xdr:row>
      <xdr:rowOff>67733</xdr:rowOff>
    </xdr:from>
    <xdr:to>
      <xdr:col>3</xdr:col>
      <xdr:colOff>207434</xdr:colOff>
      <xdr:row>48</xdr:row>
      <xdr:rowOff>186267</xdr:rowOff>
    </xdr:to>
    <mc:AlternateContent xmlns:mc="http://schemas.openxmlformats.org/markup-compatibility/2006">
      <mc:Choice xmlns:a14="http://schemas.microsoft.com/office/drawing/2010/main" Requires="a14">
        <xdr:graphicFrame macro="">
          <xdr:nvGraphicFramePr>
            <xdr:cNvPr id="3" name="CTyp">
              <a:extLst>
                <a:ext uri="{FF2B5EF4-FFF2-40B4-BE49-F238E27FC236}">
                  <a16:creationId xmlns:a16="http://schemas.microsoft.com/office/drawing/2014/main" id="{D4AD693C-11E7-2F72-9CAD-B4EF03C07226}"/>
                </a:ext>
              </a:extLst>
            </xdr:cNvPr>
            <xdr:cNvGraphicFramePr/>
          </xdr:nvGraphicFramePr>
          <xdr:xfrm>
            <a:off x="0" y="0"/>
            <a:ext cx="0" cy="0"/>
          </xdr:xfrm>
          <a:graphic>
            <a:graphicData uri="http://schemas.microsoft.com/office/drawing/2010/slicer">
              <sle:slicer xmlns:sle="http://schemas.microsoft.com/office/drawing/2010/slicer" name="CTyp"/>
            </a:graphicData>
          </a:graphic>
        </xdr:graphicFrame>
      </mc:Choice>
      <mc:Fallback>
        <xdr:sp macro="" textlink="">
          <xdr:nvSpPr>
            <xdr:cNvPr id="0" name=""/>
            <xdr:cNvSpPr>
              <a:spLocks noTextEdit="1"/>
            </xdr:cNvSpPr>
          </xdr:nvSpPr>
          <xdr:spPr>
            <a:xfrm>
              <a:off x="867834" y="7366000"/>
              <a:ext cx="1828800" cy="31665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80433</xdr:colOff>
      <xdr:row>18</xdr:row>
      <xdr:rowOff>194734</xdr:rowOff>
    </xdr:from>
    <xdr:to>
      <xdr:col>3</xdr:col>
      <xdr:colOff>249766</xdr:colOff>
      <xdr:row>30</xdr:row>
      <xdr:rowOff>189440</xdr:rowOff>
    </xdr:to>
    <mc:AlternateContent xmlns:mc="http://schemas.openxmlformats.org/markup-compatibility/2006">
      <mc:Choice xmlns:a14="http://schemas.microsoft.com/office/drawing/2010/main" Requires="a14">
        <xdr:graphicFrame macro="">
          <xdr:nvGraphicFramePr>
            <xdr:cNvPr id="4" name="Layer 1">
              <a:extLst>
                <a:ext uri="{FF2B5EF4-FFF2-40B4-BE49-F238E27FC236}">
                  <a16:creationId xmlns:a16="http://schemas.microsoft.com/office/drawing/2014/main" id="{D32E24FA-92B5-38BB-D623-2ADC973B0BEC}"/>
                </a:ext>
              </a:extLst>
            </xdr:cNvPr>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910166" y="3987801"/>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25400</xdr:colOff>
      <xdr:row>52</xdr:row>
      <xdr:rowOff>21166</xdr:rowOff>
    </xdr:from>
    <xdr:to>
      <xdr:col>16</xdr:col>
      <xdr:colOff>620568</xdr:colOff>
      <xdr:row>74</xdr:row>
      <xdr:rowOff>101022</xdr:rowOff>
    </xdr:to>
    <mc:AlternateContent xmlns:mc="http://schemas.openxmlformats.org/markup-compatibility/2006" xmlns:a14="http://schemas.microsoft.com/office/drawing/2010/main">
      <mc:Choice Requires="a14">
        <xdr:graphicFrame macro="">
          <xdr:nvGraphicFramePr>
            <xdr:cNvPr id="2" name="Topic">
              <a:extLst>
                <a:ext uri="{FF2B5EF4-FFF2-40B4-BE49-F238E27FC236}">
                  <a16:creationId xmlns:a16="http://schemas.microsoft.com/office/drawing/2014/main" id="{1DE0B43E-0576-EA40-C6C7-F57CFE51D86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4803582" y="16834234"/>
              <a:ext cx="3467100" cy="517428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152399</xdr:colOff>
      <xdr:row>37</xdr:row>
      <xdr:rowOff>63500</xdr:rowOff>
    </xdr:from>
    <xdr:to>
      <xdr:col>14</xdr:col>
      <xdr:colOff>491064</xdr:colOff>
      <xdr:row>50</xdr:row>
      <xdr:rowOff>12408</xdr:rowOff>
    </xdr:to>
    <mc:AlternateContent xmlns:mc="http://schemas.openxmlformats.org/markup-compatibility/2006" xmlns:a14="http://schemas.microsoft.com/office/drawing/2010/main">
      <mc:Choice Requires="a14">
        <xdr:graphicFrame macro="">
          <xdr:nvGraphicFramePr>
            <xdr:cNvPr id="3" name="Layer">
              <a:extLst>
                <a:ext uri="{FF2B5EF4-FFF2-40B4-BE49-F238E27FC236}">
                  <a16:creationId xmlns:a16="http://schemas.microsoft.com/office/drawing/2014/main" id="{B41E0011-4FA3-A6FE-41AE-BADF90FE1A9C}"/>
                </a:ext>
              </a:extLst>
            </xdr:cNvP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4930581" y="1319645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194733</xdr:colOff>
      <xdr:row>22</xdr:row>
      <xdr:rowOff>156633</xdr:rowOff>
    </xdr:from>
    <xdr:to>
      <xdr:col>14</xdr:col>
      <xdr:colOff>533398</xdr:colOff>
      <xdr:row>35</xdr:row>
      <xdr:rowOff>105542</xdr:rowOff>
    </xdr:to>
    <mc:AlternateContent xmlns:mc="http://schemas.openxmlformats.org/markup-compatibility/2006" xmlns:a14="http://schemas.microsoft.com/office/drawing/2010/main">
      <mc:Choice Requires="a14">
        <xdr:graphicFrame macro="">
          <xdr:nvGraphicFramePr>
            <xdr:cNvPr id="4" name="RelInt">
              <a:extLst>
                <a:ext uri="{FF2B5EF4-FFF2-40B4-BE49-F238E27FC236}">
                  <a16:creationId xmlns:a16="http://schemas.microsoft.com/office/drawing/2014/main" id="{F3ECA3BE-86A6-1642-116F-FC93AA620FBE}"/>
                </a:ext>
              </a:extLst>
            </xdr:cNvPr>
            <xdr:cNvGraphicFramePr/>
          </xdr:nvGraphicFramePr>
          <xdr:xfrm>
            <a:off x="0" y="0"/>
            <a:ext cx="0" cy="0"/>
          </xdr:xfrm>
          <a:graphic>
            <a:graphicData uri="http://schemas.microsoft.com/office/drawing/2010/slicer">
              <sle:slicer xmlns:sle="http://schemas.microsoft.com/office/drawing/2010/slicer" name="RelInt"/>
            </a:graphicData>
          </a:graphic>
        </xdr:graphicFrame>
      </mc:Choice>
      <mc:Fallback xmlns="">
        <xdr:sp macro="" textlink="">
          <xdr:nvSpPr>
            <xdr:cNvPr id="0" name=""/>
            <xdr:cNvSpPr>
              <a:spLocks noTextEdit="1"/>
            </xdr:cNvSpPr>
          </xdr:nvSpPr>
          <xdr:spPr>
            <a:xfrm>
              <a:off x="14972915" y="7877656"/>
              <a:ext cx="1810711" cy="25755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220133</xdr:colOff>
      <xdr:row>8</xdr:row>
      <xdr:rowOff>97366</xdr:rowOff>
    </xdr:from>
    <xdr:to>
      <xdr:col>14</xdr:col>
      <xdr:colOff>558798</xdr:colOff>
      <xdr:row>21</xdr:row>
      <xdr:rowOff>46274</xdr:rowOff>
    </xdr:to>
    <mc:AlternateContent xmlns:mc="http://schemas.openxmlformats.org/markup-compatibility/2006" xmlns:a14="http://schemas.microsoft.com/office/drawing/2010/main">
      <mc:Choice Requires="a14">
        <xdr:graphicFrame macro="">
          <xdr:nvGraphicFramePr>
            <xdr:cNvPr id="5" name="Cint">
              <a:extLst>
                <a:ext uri="{FF2B5EF4-FFF2-40B4-BE49-F238E27FC236}">
                  <a16:creationId xmlns:a16="http://schemas.microsoft.com/office/drawing/2014/main" id="{03E1818E-EABE-24B7-01C6-A9F1BC9D0665}"/>
                </a:ext>
              </a:extLst>
            </xdr:cNvPr>
            <xdr:cNvGraphicFramePr/>
          </xdr:nvGraphicFramePr>
          <xdr:xfrm>
            <a:off x="0" y="0"/>
            <a:ext cx="0" cy="0"/>
          </xdr:xfrm>
          <a:graphic>
            <a:graphicData uri="http://schemas.microsoft.com/office/drawing/2010/slicer">
              <sle:slicer xmlns:sle="http://schemas.microsoft.com/office/drawing/2010/slicer" name="Cint"/>
            </a:graphicData>
          </a:graphic>
        </xdr:graphicFrame>
      </mc:Choice>
      <mc:Fallback xmlns="">
        <xdr:sp macro="" textlink="">
          <xdr:nvSpPr>
            <xdr:cNvPr id="0" name=""/>
            <xdr:cNvSpPr>
              <a:spLocks noTextEdit="1"/>
            </xdr:cNvSpPr>
          </xdr:nvSpPr>
          <xdr:spPr>
            <a:xfrm>
              <a:off x="14998315" y="175702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520700</xdr:colOff>
      <xdr:row>6</xdr:row>
      <xdr:rowOff>25400</xdr:rowOff>
    </xdr:from>
    <xdr:to>
      <xdr:col>2</xdr:col>
      <xdr:colOff>698500</xdr:colOff>
      <xdr:row>19</xdr:row>
      <xdr:rowOff>3172</xdr:rowOff>
    </xdr:to>
    <mc:AlternateContent xmlns:mc="http://schemas.openxmlformats.org/markup-compatibility/2006">
      <mc:Choice xmlns:a14="http://schemas.microsoft.com/office/drawing/2010/main" Requires="a14">
        <xdr:graphicFrame macro="">
          <xdr:nvGraphicFramePr>
            <xdr:cNvPr id="2" name="Subject">
              <a:extLst>
                <a:ext uri="{FF2B5EF4-FFF2-40B4-BE49-F238E27FC236}">
                  <a16:creationId xmlns:a16="http://schemas.microsoft.com/office/drawing/2014/main" id="{65901E87-C261-D14E-59F7-FA334CFE73FD}"/>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dr:sp macro="" textlink="">
          <xdr:nvSpPr>
            <xdr:cNvPr id="0" name=""/>
            <xdr:cNvSpPr>
              <a:spLocks noTextEdit="1"/>
            </xdr:cNvSpPr>
          </xdr:nvSpPr>
          <xdr:spPr>
            <a:xfrm>
              <a:off x="520700" y="1280459"/>
              <a:ext cx="1821329" cy="2697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508000</xdr:colOff>
      <xdr:row>20</xdr:row>
      <xdr:rowOff>114300</xdr:rowOff>
    </xdr:from>
    <xdr:to>
      <xdr:col>2</xdr:col>
      <xdr:colOff>685800</xdr:colOff>
      <xdr:row>33</xdr:row>
      <xdr:rowOff>92072</xdr:rowOff>
    </xdr:to>
    <mc:AlternateContent xmlns:mc="http://schemas.openxmlformats.org/markup-compatibility/2006">
      <mc:Choice xmlns:a14="http://schemas.microsoft.com/office/drawing/2010/main" Requires="a14">
        <xdr:graphicFrame macro="">
          <xdr:nvGraphicFramePr>
            <xdr:cNvPr id="3" name="Phase">
              <a:extLst>
                <a:ext uri="{FF2B5EF4-FFF2-40B4-BE49-F238E27FC236}">
                  <a16:creationId xmlns:a16="http://schemas.microsoft.com/office/drawing/2014/main" id="{AEBF373B-C79D-2709-4057-28CFE4BF4A62}"/>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08000" y="4297829"/>
              <a:ext cx="1821329" cy="269706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406400</xdr:colOff>
      <xdr:row>16</xdr:row>
      <xdr:rowOff>38100</xdr:rowOff>
    </xdr:from>
    <xdr:to>
      <xdr:col>16</xdr:col>
      <xdr:colOff>584200</xdr:colOff>
      <xdr:row>29</xdr:row>
      <xdr:rowOff>15872</xdr:rowOff>
    </xdr:to>
    <mc:AlternateContent xmlns:mc="http://schemas.openxmlformats.org/markup-compatibility/2006" xmlns:a14="http://schemas.microsoft.com/office/drawing/2010/main">
      <mc:Choice Requires="a14">
        <xdr:graphicFrame macro="">
          <xdr:nvGraphicFramePr>
            <xdr:cNvPr id="2" name="KW-Jahr">
              <a:extLst>
                <a:ext uri="{FF2B5EF4-FFF2-40B4-BE49-F238E27FC236}">
                  <a16:creationId xmlns:a16="http://schemas.microsoft.com/office/drawing/2014/main" id="{14C92022-637F-641F-59E6-9588A8D783AE}"/>
                </a:ext>
              </a:extLst>
            </xdr:cNvPr>
            <xdr:cNvGraphicFramePr/>
          </xdr:nvGraphicFramePr>
          <xdr:xfrm>
            <a:off x="0" y="0"/>
            <a:ext cx="0" cy="0"/>
          </xdr:xfrm>
          <a:graphic>
            <a:graphicData uri="http://schemas.microsoft.com/office/drawing/2010/slicer">
              <sle:slicer xmlns:sle="http://schemas.microsoft.com/office/drawing/2010/slicer" name="KW-Jahr"/>
            </a:graphicData>
          </a:graphic>
        </xdr:graphicFrame>
      </mc:Choice>
      <mc:Fallback xmlns="">
        <xdr:sp macro="" textlink="">
          <xdr:nvSpPr>
            <xdr:cNvPr id="0" name=""/>
            <xdr:cNvSpPr>
              <a:spLocks noTextEdit="1"/>
            </xdr:cNvSpPr>
          </xdr:nvSpPr>
          <xdr:spPr>
            <a:xfrm>
              <a:off x="14947900" y="32893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444500</xdr:colOff>
      <xdr:row>2</xdr:row>
      <xdr:rowOff>12700</xdr:rowOff>
    </xdr:from>
    <xdr:to>
      <xdr:col>16</xdr:col>
      <xdr:colOff>622300</xdr:colOff>
      <xdr:row>14</xdr:row>
      <xdr:rowOff>193672</xdr:rowOff>
    </xdr:to>
    <mc:AlternateContent xmlns:mc="http://schemas.openxmlformats.org/markup-compatibility/2006" xmlns:a14="http://schemas.microsoft.com/office/drawing/2010/main">
      <mc:Choice Requires="a14">
        <xdr:graphicFrame macro="">
          <xdr:nvGraphicFramePr>
            <xdr:cNvPr id="3" name="Subject 6">
              <a:extLst>
                <a:ext uri="{FF2B5EF4-FFF2-40B4-BE49-F238E27FC236}">
                  <a16:creationId xmlns:a16="http://schemas.microsoft.com/office/drawing/2014/main" id="{F9C9BE2C-1474-4C73-CF0A-D04746543709}"/>
                </a:ext>
              </a:extLst>
            </xdr:cNvPr>
            <xdr:cNvGraphicFramePr/>
          </xdr:nvGraphicFramePr>
          <xdr:xfrm>
            <a:off x="0" y="0"/>
            <a:ext cx="0" cy="0"/>
          </xdr:xfrm>
          <a:graphic>
            <a:graphicData uri="http://schemas.microsoft.com/office/drawing/2010/slicer">
              <sle:slicer xmlns:sle="http://schemas.microsoft.com/office/drawing/2010/slicer" name="Subject 6"/>
            </a:graphicData>
          </a:graphic>
        </xdr:graphicFrame>
      </mc:Choice>
      <mc:Fallback xmlns="">
        <xdr:sp macro="" textlink="">
          <xdr:nvSpPr>
            <xdr:cNvPr id="0" name=""/>
            <xdr:cNvSpPr>
              <a:spLocks noTextEdit="1"/>
            </xdr:cNvSpPr>
          </xdr:nvSpPr>
          <xdr:spPr>
            <a:xfrm>
              <a:off x="14986000" y="4191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268230</xdr:colOff>
      <xdr:row>57</xdr:row>
      <xdr:rowOff>185756</xdr:rowOff>
    </xdr:from>
    <xdr:to>
      <xdr:col>20</xdr:col>
      <xdr:colOff>79571</xdr:colOff>
      <xdr:row>101</xdr:row>
      <xdr:rowOff>78869</xdr:rowOff>
    </xdr:to>
    <xdr:sp macro="" textlink="">
      <xdr:nvSpPr>
        <xdr:cNvPr id="21" name="Abgerundetes Rechteck 20">
          <a:extLst>
            <a:ext uri="{FF2B5EF4-FFF2-40B4-BE49-F238E27FC236}">
              <a16:creationId xmlns:a16="http://schemas.microsoft.com/office/drawing/2014/main" id="{22406945-C5B8-7C4A-B5D1-439B7DA5FDDA}"/>
            </a:ext>
          </a:extLst>
        </xdr:cNvPr>
        <xdr:cNvSpPr/>
      </xdr:nvSpPr>
      <xdr:spPr>
        <a:xfrm>
          <a:off x="1944630" y="11768156"/>
          <a:ext cx="14898941" cy="8833913"/>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3</xdr:row>
      <xdr:rowOff>177800</xdr:rowOff>
    </xdr:from>
    <xdr:to>
      <xdr:col>20</xdr:col>
      <xdr:colOff>12700</xdr:colOff>
      <xdr:row>7</xdr:row>
      <xdr:rowOff>101600</xdr:rowOff>
    </xdr:to>
    <xdr:sp macro="" textlink="">
      <xdr:nvSpPr>
        <xdr:cNvPr id="3" name="Abgerundetes Rechteck 2">
          <a:extLst>
            <a:ext uri="{FF2B5EF4-FFF2-40B4-BE49-F238E27FC236}">
              <a16:creationId xmlns:a16="http://schemas.microsoft.com/office/drawing/2014/main" id="{6048015E-E3C0-163D-5314-C8A13687D10D}"/>
            </a:ext>
          </a:extLst>
        </xdr:cNvPr>
        <xdr:cNvSpPr/>
      </xdr:nvSpPr>
      <xdr:spPr>
        <a:xfrm>
          <a:off x="1970030" y="774547"/>
          <a:ext cx="14567971" cy="71946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9</xdr:row>
      <xdr:rowOff>198915</xdr:rowOff>
    </xdr:from>
    <xdr:to>
      <xdr:col>20</xdr:col>
      <xdr:colOff>128841</xdr:colOff>
      <xdr:row>53</xdr:row>
      <xdr:rowOff>92028</xdr:rowOff>
    </xdr:to>
    <xdr:sp macro="" textlink="">
      <xdr:nvSpPr>
        <xdr:cNvPr id="4" name="Abgerundetes Rechteck 3">
          <a:extLst>
            <a:ext uri="{FF2B5EF4-FFF2-40B4-BE49-F238E27FC236}">
              <a16:creationId xmlns:a16="http://schemas.microsoft.com/office/drawing/2014/main" id="{20E42686-6139-E498-AA10-EFA249B262E6}"/>
            </a:ext>
          </a:extLst>
        </xdr:cNvPr>
        <xdr:cNvSpPr/>
      </xdr:nvSpPr>
      <xdr:spPr>
        <a:xfrm>
          <a:off x="1970030" y="1989156"/>
          <a:ext cx="14684112" cy="8645402"/>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706221</xdr:colOff>
      <xdr:row>17</xdr:row>
      <xdr:rowOff>46834</xdr:rowOff>
    </xdr:from>
    <xdr:to>
      <xdr:col>16</xdr:col>
      <xdr:colOff>413238</xdr:colOff>
      <xdr:row>51</xdr:row>
      <xdr:rowOff>7886</xdr:rowOff>
    </xdr:to>
    <xdr:graphicFrame macro="">
      <xdr:nvGraphicFramePr>
        <xdr:cNvPr id="6" name="Diagramm 5">
          <a:extLst>
            <a:ext uri="{FF2B5EF4-FFF2-40B4-BE49-F238E27FC236}">
              <a16:creationId xmlns:a16="http://schemas.microsoft.com/office/drawing/2014/main" id="{6E7C4537-DD0C-AF4C-880C-BAED31211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346095</xdr:colOff>
      <xdr:row>10</xdr:row>
      <xdr:rowOff>52926</xdr:rowOff>
    </xdr:from>
    <xdr:to>
      <xdr:col>40</xdr:col>
      <xdr:colOff>157436</xdr:colOff>
      <xdr:row>53</xdr:row>
      <xdr:rowOff>154236</xdr:rowOff>
    </xdr:to>
    <xdr:sp macro="" textlink="">
      <xdr:nvSpPr>
        <xdr:cNvPr id="10" name="Abgerundetes Rechteck 9">
          <a:extLst>
            <a:ext uri="{FF2B5EF4-FFF2-40B4-BE49-F238E27FC236}">
              <a16:creationId xmlns:a16="http://schemas.microsoft.com/office/drawing/2014/main" id="{6A5EDDB6-8545-8449-8EEF-57F27427372F}"/>
            </a:ext>
          </a:extLst>
        </xdr:cNvPr>
        <xdr:cNvSpPr/>
      </xdr:nvSpPr>
      <xdr:spPr>
        <a:xfrm>
          <a:off x="17834620" y="2134893"/>
          <a:ext cx="14801505" cy="9053769"/>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342266</xdr:colOff>
      <xdr:row>19</xdr:row>
      <xdr:rowOff>135467</xdr:rowOff>
    </xdr:from>
    <xdr:to>
      <xdr:col>36</xdr:col>
      <xdr:colOff>206326</xdr:colOff>
      <xdr:row>44</xdr:row>
      <xdr:rowOff>144785</xdr:rowOff>
    </xdr:to>
    <xdr:graphicFrame macro="">
      <xdr:nvGraphicFramePr>
        <xdr:cNvPr id="11" name="Diagramm 10">
          <a:extLst>
            <a:ext uri="{FF2B5EF4-FFF2-40B4-BE49-F238E27FC236}">
              <a16:creationId xmlns:a16="http://schemas.microsoft.com/office/drawing/2014/main" id="{5E9BF1B9-9DE4-DA46-83FF-43E0B3A4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178349</xdr:colOff>
      <xdr:row>70</xdr:row>
      <xdr:rowOff>101600</xdr:rowOff>
    </xdr:from>
    <xdr:to>
      <xdr:col>14</xdr:col>
      <xdr:colOff>625521</xdr:colOff>
      <xdr:row>90</xdr:row>
      <xdr:rowOff>0</xdr:rowOff>
    </xdr:to>
    <xdr:graphicFrame macro="">
      <xdr:nvGraphicFramePr>
        <xdr:cNvPr id="15" name="Diagramm 14">
          <a:extLst>
            <a:ext uri="{FF2B5EF4-FFF2-40B4-BE49-F238E27FC236}">
              <a16:creationId xmlns:a16="http://schemas.microsoft.com/office/drawing/2014/main" id="{6DACCF72-346F-F142-8DE2-230C90179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288636</xdr:colOff>
      <xdr:row>11</xdr:row>
      <xdr:rowOff>115456</xdr:rowOff>
    </xdr:from>
    <xdr:to>
      <xdr:col>7</xdr:col>
      <xdr:colOff>269394</xdr:colOff>
      <xdr:row>14</xdr:row>
      <xdr:rowOff>19244</xdr:rowOff>
    </xdr:to>
    <xdr:sp macro="" textlink="">
      <xdr:nvSpPr>
        <xdr:cNvPr id="22" name="Textfeld 21">
          <a:extLst>
            <a:ext uri="{FF2B5EF4-FFF2-40B4-BE49-F238E27FC236}">
              <a16:creationId xmlns:a16="http://schemas.microsoft.com/office/drawing/2014/main" id="{D03DE7D2-2EAE-B57F-E4D3-13938457B05E}"/>
            </a:ext>
          </a:extLst>
        </xdr:cNvPr>
        <xdr:cNvSpPr txBox="1"/>
      </xdr:nvSpPr>
      <xdr:spPr>
        <a:xfrm>
          <a:off x="2770909" y="2443789"/>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Pro</a:t>
          </a:r>
          <a:r>
            <a:rPr lang="de-DE" sz="2400" b="1" baseline="0">
              <a:solidFill>
                <a:schemeClr val="tx2"/>
              </a:solidFill>
              <a:latin typeface="+mj-lt"/>
            </a:rPr>
            <a:t> / Sub / Day / Week</a:t>
          </a:r>
          <a:endParaRPr lang="de-DE" sz="2400" b="1">
            <a:solidFill>
              <a:schemeClr val="tx2"/>
            </a:solidFill>
            <a:latin typeface="+mj-lt"/>
          </a:endParaRPr>
        </a:p>
      </xdr:txBody>
    </xdr:sp>
    <xdr:clientData/>
  </xdr:twoCellAnchor>
  <xdr:twoCellAnchor>
    <xdr:from>
      <xdr:col>22</xdr:col>
      <xdr:colOff>652703</xdr:colOff>
      <xdr:row>12</xdr:row>
      <xdr:rowOff>36946</xdr:rowOff>
    </xdr:from>
    <xdr:to>
      <xdr:col>25</xdr:col>
      <xdr:colOff>633461</xdr:colOff>
      <xdr:row>14</xdr:row>
      <xdr:rowOff>152401</xdr:rowOff>
    </xdr:to>
    <xdr:sp macro="" textlink="">
      <xdr:nvSpPr>
        <xdr:cNvPr id="23" name="Textfeld 22">
          <a:extLst>
            <a:ext uri="{FF2B5EF4-FFF2-40B4-BE49-F238E27FC236}">
              <a16:creationId xmlns:a16="http://schemas.microsoft.com/office/drawing/2014/main" id="{76D2BBFA-962F-E346-B13C-E7020C139BF2}"/>
            </a:ext>
          </a:extLst>
        </xdr:cNvPr>
        <xdr:cNvSpPr txBox="1"/>
      </xdr:nvSpPr>
      <xdr:spPr>
        <a:xfrm>
          <a:off x="18856036" y="2576946"/>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Day / Week | Pro</a:t>
          </a:r>
          <a:endParaRPr lang="de-DE" sz="2400" b="1">
            <a:solidFill>
              <a:schemeClr val="tx2"/>
            </a:solidFill>
            <a:latin typeface="+mj-lt"/>
          </a:endParaRPr>
        </a:p>
      </xdr:txBody>
    </xdr:sp>
    <xdr:clientData/>
  </xdr:twoCellAnchor>
  <xdr:twoCellAnchor>
    <xdr:from>
      <xdr:col>4</xdr:col>
      <xdr:colOff>189344</xdr:colOff>
      <xdr:row>61</xdr:row>
      <xdr:rowOff>131618</xdr:rowOff>
    </xdr:from>
    <xdr:to>
      <xdr:col>8</xdr:col>
      <xdr:colOff>170102</xdr:colOff>
      <xdr:row>64</xdr:row>
      <xdr:rowOff>35406</xdr:rowOff>
    </xdr:to>
    <xdr:sp macro="" textlink="">
      <xdr:nvSpPr>
        <xdr:cNvPr id="24" name="Textfeld 23">
          <a:extLst>
            <a:ext uri="{FF2B5EF4-FFF2-40B4-BE49-F238E27FC236}">
              <a16:creationId xmlns:a16="http://schemas.microsoft.com/office/drawing/2014/main" id="{3F9952D3-748C-C749-BFF5-F58159EEE367}"/>
            </a:ext>
          </a:extLst>
        </xdr:cNvPr>
        <xdr:cNvSpPr txBox="1"/>
      </xdr:nvSpPr>
      <xdr:spPr>
        <a:xfrm>
          <a:off x="3499041" y="13043285"/>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Week | Process</a:t>
          </a:r>
          <a:endParaRPr lang="de-DE" sz="2400" b="1">
            <a:solidFill>
              <a:schemeClr val="tx2"/>
            </a:solidFill>
            <a:latin typeface="+mj-lt"/>
          </a:endParaRPr>
        </a:p>
      </xdr:txBody>
    </xdr:sp>
    <xdr:clientData/>
  </xdr:twoCellAnchor>
  <xdr:twoCellAnchor>
    <xdr:from>
      <xdr:col>3</xdr:col>
      <xdr:colOff>306340</xdr:colOff>
      <xdr:row>4</xdr:row>
      <xdr:rowOff>134697</xdr:rowOff>
    </xdr:from>
    <xdr:to>
      <xdr:col>7</xdr:col>
      <xdr:colOff>287098</xdr:colOff>
      <xdr:row>7</xdr:row>
      <xdr:rowOff>38485</xdr:rowOff>
    </xdr:to>
    <xdr:sp macro="" textlink="">
      <xdr:nvSpPr>
        <xdr:cNvPr id="25" name="Textfeld 24">
          <a:extLst>
            <a:ext uri="{FF2B5EF4-FFF2-40B4-BE49-F238E27FC236}">
              <a16:creationId xmlns:a16="http://schemas.microsoft.com/office/drawing/2014/main" id="{8939BD96-49B4-554F-9122-FAC66081E4FC}"/>
            </a:ext>
          </a:extLst>
        </xdr:cNvPr>
        <xdr:cNvSpPr txBox="1"/>
      </xdr:nvSpPr>
      <xdr:spPr>
        <a:xfrm>
          <a:off x="2788613" y="981364"/>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Time-Management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115737" createdVersion="8" refreshedVersion="8" minRefreshableVersion="3" recordCount="134" xr:uid="{8B168C02-9161-3344-82A8-2EB1EC34527F}">
  <cacheSource type="worksheet">
    <worksheetSource name="tbl_TOPIC"/>
  </cacheSource>
  <cacheFields count="7">
    <cacheField name="Subject" numFmtId="0">
      <sharedItems containsBlank="1" count="11">
        <s v="HA"/>
        <s v="TOP1"/>
        <s v="GPDE"/>
        <s v="QM"/>
        <s v="QMS"/>
        <s v="CM"/>
        <s v="RG"/>
        <s v="TOP2"/>
        <s v="EFT1"/>
        <s v="A"/>
        <m u="1"/>
      </sharedItems>
    </cacheField>
    <cacheField name="Phase" numFmtId="0">
      <sharedItems containsSemiMixedTypes="0" containsString="0" containsNumber="1" containsInteger="1" minValue="1" maxValue="1" count="1">
        <n v="1"/>
      </sharedItems>
    </cacheField>
    <cacheField name="Order" numFmtId="0">
      <sharedItems containsString="0" containsBlank="1" containsNumber="1" containsInteger="1" minValue="1" maxValue="34"/>
    </cacheField>
    <cacheField name="TopicID" numFmtId="0">
      <sharedItems/>
    </cacheField>
    <cacheField name="Topic" numFmtId="0">
      <sharedItems/>
    </cacheField>
    <cacheField name="ParentTopic" numFmtId="0">
      <sharedItems containsBlank="1"/>
    </cacheField>
    <cacheField name="TopicPath" numFmtId="0">
      <sharedItems containsMixedTypes="1" containsNumber="1" containsInteger="1" minValue="0" maxValue="0" count="135">
        <s v="Homologie mit Koeffizienten/Tensorprodukt von abelschen Gruppen (HmK)"/>
        <s v="Homologie mit Koeffizienten/Torsionsprodukt von abelschen Gruppen (HmK)"/>
        <s v="Homologisches Kreuzprodukt (HA)"/>
        <s v="Homologische Algebra"/>
        <s v="Kategorien und Funktoren in HA"/>
        <s v="Moduln in HA"/>
        <s v="Tensorprodukt in HA"/>
        <s v="Abelsche Kategorien"/>
        <s v="Homologie Funktor in HA"/>
        <s v="Komplexe in HA"/>
        <s v="Hilftslemma für Diagramme der HA"/>
        <s v="Exaktheit von Sequenzen"/>
        <s v="Splitting"/>
        <s v="Kategorische Formulierung der Homologietheorie"/>
        <s v="Homologie mit Koeffizienten"/>
        <s v="Singuläre Homologie (SHT)"/>
        <s v="Singuläre Homologie (SHT)/Basics der SHT"/>
        <s v="Singuläre Homologie (SHT)/Kategorische Formulierung der SHT"/>
        <s v="Singuläre Homologie (SHT)/Unterteilung  und Ausschneidung in SHT"/>
        <s v="Singuläre Homologie (SHT)/Mayer-Vietoris Sequenz in SHT"/>
        <s v="Singuläre Homologie (SHT)/Kreuzprodukt in SHT"/>
        <s v="Singuläre Homologie (SHT)/Kreuzprodukt in SHT/Kreuzprodukt auf Kettengruppenkomplexe in SHT"/>
        <s v="Singuläre Homologie (SHT)/Kreuzprodukt in SHT/Homologie Kreuzprodukt in SHT"/>
        <s v="Absolute und Relative Homologie"/>
        <s v="Reduzierte Homologie"/>
        <s v="GPDE Basics"/>
        <s v="GPDE Basics/Regularitätsklassen"/>
        <s v="GPDE Basics/Differentialoperatoren"/>
        <s v="GPDE Basics/Ungleichungen und Abschätzungen"/>
        <s v="Maximum Prinzipien"/>
        <s v="Maximum Prinzipien/Schwache Maximum Prinzipien"/>
        <s v="Maximum Prinzipien/Starke Maximum Prinzipien"/>
        <s v="Quantenmechanik"/>
        <s v="Schrödinger Gleichung"/>
        <s v="Schrödinger Gleichung/Wellenpakete in QM"/>
        <s v="Schrödinger Gleichung/Einführung der Schrödinger Gleichung"/>
        <s v="Schrödinger Gleichung/Einführung der Schrödinger Gleichung/Herleitung für freie Teilchen"/>
        <s v="Schrödinger Gleichung/Einführung der Schrödinger Gleichung/Teilchen in äußeren Potentialen"/>
        <s v="Schrödinger Gleichung/Einführung der Schrödinger Gleichung/Operatoren"/>
        <s v="Schrödinger Gleichung/Einführung der Schrödinger Gleichung/Korrespondenz Prinzip"/>
        <s v="Schrödinger Gleichung/Interpretation der Wellenfunktion"/>
        <s v="Schrödinger Gleichung/Interpretation der Wellenfunktion/Wahrscheinlichkeitsdichte"/>
        <s v="Schrödinger Gleichung/Interpretation der Wellenfunktion/Kontinuitätsgleichung"/>
        <s v="Schrödinger Gleichung/Interpretation der Wellenfunktion/Impulsraum"/>
        <s v="Schrödinger Gleichung/Interpretation der Wellenfunktion/Erwartungswert"/>
        <s v="Schrödinger Gleichung/Interpretation der Wellenfunktion/Beugung und Inferenz"/>
        <s v="Schrödinger Gleichung/Ehrenfest Theorem"/>
        <s v="Schrödinger Gleichung/Ehrenfest Theorem/Hermitisch konjugierte Operatoren"/>
        <s v="Schrödinger Gleichung/Ehrenfest Theorem/Bewegungsgleichung für Erwartungswert"/>
        <s v="Schrödinger Gleichung/Ehrenfest Theorem/Quasiklassische Bewegung"/>
        <s v="Symmetrie in Quantenmechanik"/>
        <s v="Symmetrie in Quantenmechanik/Raum Translation"/>
        <s v="Symmetrie in Quantenmechanik/Zeit Translation"/>
        <s v="Symmetrie in Quantenmechanik/Rotation"/>
        <s v="Gruppentheorie für QMS"/>
        <s v="Gruppentheorie für QMS/Basics Gruppentheorie für QMS"/>
        <s v="Gruppentheorie für QMS/Repräsentation von Gruppen"/>
        <s v="Gruppentheorie für QMS/Lie Gruppen"/>
        <s v="Gruppentheorie für QMS/Einfache und Semi-Einfache Lie Gruppen"/>
        <s v="Gruppentheorie für QMS/Qasimir Operator, Multiplet, Schur Lemma"/>
        <s v="Gruppe SU(3)"/>
        <s v="Gruppe SU(3)/Generatoren"/>
        <s v="Gruppe SU(3)/Struktur Konstanten"/>
        <s v="Gruppe SU(3)/Unteralgebren und Untergruppen"/>
        <s v="Gruppe SU(3)/Konstruktion von Multiplets von fundamentalen Repräsentationen"/>
        <s v="Gruppe SU(3)/Young Tableaux"/>
        <s v="QM-ÜB"/>
        <s v="QM-ÜB/QM-ÜB-00: Hermitische Unitäre Matrizen"/>
        <s v="Maximum Prinzipien/Hopf Lemma"/>
        <s v="Maximum Prinzipien/Vergleichsprinzipien für voll nicht-lineare Differentialoperatoren"/>
        <s v="Klassische Streutheorie"/>
        <s v="Klassische Streutheorie/Wirkungsquerschnitt"/>
        <s v="Klassische Streutheorie/Berechnung des Wirkungsquerschnitts für elastische Streuung am Zentralpotential"/>
        <s v="Klassische Streutheorie/Rücktransformation ins Laborsystem"/>
        <s v="2-Körper und effektives 1-Körper Problem"/>
        <s v="CM-ÜB"/>
        <s v="CM-ÜB/CM-ÜB-01: Streutheorie"/>
        <s v="Differenzierbare Mannigfaltigkeiten"/>
        <s v="Differenzierbare Mannigfaltigkeiten/Untermannigfaltigkeiten im euklidischen Raum"/>
        <s v="Differenzierbare Mannigfaltigkeiten/Glatte Mannigfaltigkeiten"/>
        <s v="Differenzierbare Mannigfaltigkeiten/Glatte Abbildungen und Vektorfelder"/>
        <s v="Riemannische Mannigfaltigkeiten"/>
        <s v="Riemannische Mannigfaltigkeiten/Definitionen und Beispiele"/>
        <s v="Riemannische Mannigfaltigkeiten/Levi-Civita Zusammenhang"/>
        <s v="Riemannische Mannigfaltigkeiten/Kovariante Ableitung längs einer Kurve"/>
        <s v="Riemannische Mannigfaltigkeiten/Paralleltransport"/>
        <s v="Geodätische und Exponentialabbildung"/>
        <s v="Geodätische und Exponentialabbildung/Geodätische"/>
        <s v="Geodätische und Exponentialabbildung/Exponentialabbildung"/>
        <s v="Geodätische und Exponentialabbildung/Satz von Hopf-Rinow"/>
        <s v="Riemannische Geometrie"/>
        <s v="Topologie 2"/>
        <s v="RG-ÜB"/>
        <s v="RG-ÜB/RG-ÜB-01: Glatte Mannigfaltigkeiten"/>
        <s v="Eichfeldtheorie"/>
        <s v="Faserbündel"/>
        <s v="Prinzipialbündel"/>
        <s v="An- und Abmontieren von Fasern"/>
        <s v="Lie Gruppen in EFT"/>
        <s v="Invariante Vektorfelder und Differentialformen"/>
        <s v="Lie Algebren in EFT"/>
        <s v="Exponentialabbildung in EFT"/>
        <s v="Homogene Räume"/>
        <s v="Eindimensionale Systeme"/>
        <s v="Eindimensionale Systeme/Stationäre Schrödinger Gleichung"/>
        <s v="Eindimensionale Systeme/Eindimensionale Potentialstufe"/>
        <s v="Eindimensionale Systeme/Eindimensionale Potentialstufe/Streuzustände"/>
        <s v="Eindimensionale Systeme/Eindimensionale Potentialstufe/Reflektierte Zustände"/>
        <s v="Eindimensionale Systeme/Potentialbarriere"/>
        <s v="Eindimensionale Systeme/Unendlich tiefer Potentialtopf"/>
        <s v="Eindimensionale Systeme/Potentialtopf mit endlicher Tiefe"/>
        <s v="Eindimensionale Systeme/Paritätsoperator"/>
        <s v="Eindimensionale Systeme/Zusammenfassung"/>
        <s v="QM-ÜB/QM-ÜB-01: Delta-Distribution, Kommutator und W-keit"/>
        <s v="QM-Ex"/>
        <s v="QM-Ex-ÜB 00"/>
        <s v="CM-ÜB/CM-ÜB-02: Runge-Lenz-Vektor, 1KP und Zwangsbedingungen"/>
        <s v="RG-ÜB/RG-ÜB-02: Tangentialbündel und Hyperbolischer Raum"/>
        <s v="HOM-Funktor"/>
        <s v="Algebra"/>
        <s v="Ringe"/>
        <s v="Ringe/Ringe Basics"/>
        <s v="Ringe/Potenzreihenringe und Polynomringe"/>
        <s v="Ringe/Ideale und Quotienten"/>
        <s v="QMS-Ex"/>
        <s v="QMS-ÜB"/>
        <s v="QMS-ÜB/QMS-ÜB-01"/>
        <s v="QM-ÜB/QM-ÜB-02:"/>
        <s v="CM-Ex"/>
        <s v="QMS-VL"/>
        <s v="Moduln"/>
        <s v="Moduln/Moduln Grundlagen"/>
        <s v="RG-ÜB/RG_ÜB_03: Christoffelsymbole und Kovariante Ableitung entlang Kurven"/>
        <s v="CM-ÜB/CM_ÜB_03: Kinetische Energie in Lagrange, Rollpendel, Trafo von Kart. Koord, Alembert"/>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347222" createdVersion="8" refreshedVersion="8" minRefreshableVersion="3" recordCount="52" xr:uid="{C1A2155F-8F1C-BB43-8ECA-C074DA39FED7}">
  <cacheSource type="worksheet">
    <worksheetSource name="tbl_AUSWERTUNG"/>
  </cacheSource>
  <cacheFields count="30">
    <cacheField name="KW-Jahr" numFmtId="0">
      <sharedItems count="7">
        <s v="14-2025"/>
        <s v="15-2025"/>
        <s v="16-2025"/>
        <s v="17-2025"/>
        <s v="18-2025"/>
        <s v="19-2025"/>
        <s v="15-2029" u="1"/>
      </sharedItems>
    </cacheField>
    <cacheField name="Subject" numFmtId="0">
      <sharedItems count="22">
        <s v="TOP1"/>
        <s v="GPDE"/>
        <s v="RG"/>
        <s v="HA"/>
        <s v="EFT1"/>
        <s v="TOP2"/>
        <s v="KNO"/>
        <s v="KA"/>
        <s v="T2"/>
        <s v="T4"/>
        <s v="QMS"/>
        <s v="CM"/>
        <s v="QM"/>
        <s v="A"/>
        <s v="Topo1" u="1"/>
        <s v="GeoPDE" u="1"/>
        <s v="RiemGeo" u="1"/>
        <s v="Topo2" u="1"/>
        <s v="Knot" u="1"/>
        <s v="KommAlg" u="1"/>
        <s v="Theo2" u="1"/>
        <s v="Theo4" u="1"/>
      </sharedItems>
    </cacheField>
    <cacheField name="AQ-S" numFmtId="165">
      <sharedItems containsSemiMixedTypes="0" containsNonDate="0" containsDate="1" containsString="0" minDate="1904-01-01T00:00:00" maxDate="1904-01-02T00:00:00"/>
    </cacheField>
    <cacheField name="AQ-L" numFmtId="165">
      <sharedItems containsNonDate="0" containsDate="1" containsString="0" containsBlank="1" minDate="1904-01-01T00:00:00" maxDate="1904-01-01T03:05:00"/>
    </cacheField>
    <cacheField name="AQ-∆" numFmtId="165">
      <sharedItems containsSemiMixedTypes="0" containsDate="1" containsString="0" containsMixedTypes="1" minDate="1904-01-01T02:59:11" maxDate="1904-01-02T00:00:00"/>
    </cacheField>
    <cacheField name="MON-S" numFmtId="165">
      <sharedItems containsSemiMixedTypes="0" containsNonDate="0" containsDate="1" containsString="0" minDate="1904-01-01T00:00:00" maxDate="1904-01-02T00:00:00"/>
    </cacheField>
    <cacheField name="MON-L" numFmtId="165">
      <sharedItems containsNonDate="0" containsString="0" containsBlank="1"/>
    </cacheField>
    <cacheField name="MON-∆" numFmtId="165">
      <sharedItems containsSemiMixedTypes="0" containsNonDate="0" containsDate="1" containsString="0" minDate="1904-01-01T00:00:00" maxDate="1904-01-02T00:00:00"/>
    </cacheField>
    <cacheField name="VL-S" numFmtId="165">
      <sharedItems containsSemiMixedTypes="0" containsNonDate="0" containsDate="1" containsString="0" minDate="1904-01-01T00:00:00" maxDate="1904-01-02T00:00:00"/>
    </cacheField>
    <cacheField name="VL-L" numFmtId="165">
      <sharedItems containsNonDate="0" containsDate="1" containsString="0" containsBlank="1" minDate="1904-01-01T00:00:00" maxDate="1904-01-01T01:45:00"/>
    </cacheField>
    <cacheField name="VL-∆" numFmtId="165">
      <sharedItems containsSemiMixedTypes="0" containsDate="1" containsString="0" containsMixedTypes="1" minDate="1904-01-08T05:01:11" maxDate="1904-01-02T00:00:00"/>
    </cacheField>
    <cacheField name="EX-S" numFmtId="165">
      <sharedItems containsSemiMixedTypes="0" containsNonDate="0" containsDate="1" containsString="0" minDate="1904-01-01T00:00:00" maxDate="1904-01-02T00:00:00"/>
    </cacheField>
    <cacheField name="EX-L" numFmtId="165">
      <sharedItems containsNonDate="0" containsDate="1" containsString="0" containsBlank="1" minDate="1904-01-01T00:45:00" maxDate="1904-01-01T01:45:00"/>
    </cacheField>
    <cacheField name="EX-∆" numFmtId="165">
      <sharedItems containsSemiMixedTypes="0" containsDate="1" containsString="0" containsMixedTypes="1" minDate="1904-01-08T05:01:11" maxDate="1904-01-02T00:00:00"/>
    </cacheField>
    <cacheField name="ST-S" numFmtId="165">
      <sharedItems containsSemiMixedTypes="0" containsNonDate="0" containsDate="1" containsString="0" minDate="1904-01-01T00:00:00" maxDate="1904-01-02T00:00:00"/>
    </cacheField>
    <cacheField name="ST-L" numFmtId="165">
      <sharedItems containsNonDate="0" containsString="0" containsBlank="1"/>
    </cacheField>
    <cacheField name="ST-∆" numFmtId="165">
      <sharedItems containsSemiMixedTypes="0" containsNonDate="0" containsDate="1" containsString="0" minDate="1904-01-01T00:00:00" maxDate="1904-01-02T00:00:00"/>
    </cacheField>
    <cacheField name="LRN-S" numFmtId="165">
      <sharedItems containsSemiMixedTypes="0" containsNonDate="0" containsDate="1" containsString="0" minDate="1904-01-01T00:00:00" maxDate="1904-01-02T00:00:00"/>
    </cacheField>
    <cacheField name="LRN-L" numFmtId="165">
      <sharedItems containsNonDate="0" containsString="0" containsBlank="1"/>
    </cacheField>
    <cacheField name="LRN-∆" numFmtId="165">
      <sharedItems containsSemiMixedTypes="0" containsNonDate="0" containsDate="1" containsString="0" minDate="1904-01-01T00:00:00" maxDate="1904-01-02T00:00:00"/>
    </cacheField>
    <cacheField name="AP-S" numFmtId="165">
      <sharedItems containsSemiMixedTypes="0" containsNonDate="0" containsDate="1" containsString="0" minDate="1904-01-01T00:00:00" maxDate="1904-01-02T00:00:00"/>
    </cacheField>
    <cacheField name="AP-L" numFmtId="165">
      <sharedItems containsNonDate="0" containsDate="1" containsString="0" containsBlank="1" minDate="1904-01-01T01:15:00" maxDate="1904-01-01T02:00:00"/>
    </cacheField>
    <cacheField name="AP-∆" numFmtId="165">
      <sharedItems containsSemiMixedTypes="0" containsDate="1" containsString="0" containsMixedTypes="1" minDate="1904-01-01T02:59:11" maxDate="1904-01-02T00:00:00"/>
    </cacheField>
    <cacheField name="PRES-S" numFmtId="165">
      <sharedItems containsSemiMixedTypes="0" containsNonDate="0" containsDate="1" containsString="0" minDate="1904-01-01T00:00:00" maxDate="1904-01-02T00:00:00"/>
    </cacheField>
    <cacheField name="PRES-L" numFmtId="165">
      <sharedItems containsNonDate="0" containsDate="1" containsString="0" containsBlank="1" minDate="1904-01-01T00:25:00" maxDate="1904-01-01T00:25:00"/>
    </cacheField>
    <cacheField name="PRES-∆" numFmtId="165">
      <sharedItems containsSemiMixedTypes="0" containsDate="1" containsString="0" containsMixedTypes="1" minDate="1904-01-01T00:00:00" maxDate="1904-01-02T00:00:00"/>
    </cacheField>
    <cacheField name="S" numFmtId="165">
      <sharedItems containsSemiMixedTypes="0" containsNonDate="0" containsDate="1" containsString="0" minDate="1904-01-01T00:00:00" maxDate="1904-01-02T00:00:00"/>
    </cacheField>
    <cacheField name="L" numFmtId="165">
      <sharedItems containsSemiMixedTypes="0" containsNonDate="0" containsDate="1" containsString="0" minDate="1904-01-01T00:00:00" maxDate="1904-01-02T00:00:00"/>
    </cacheField>
    <cacheField name="∆" numFmtId="165">
      <sharedItems containsSemiMixedTypes="0" containsDate="1" containsString="0" containsMixedTypes="1" minDate="1904-01-01T00:00:00" maxDate="1904-01-02T00:00:00"/>
    </cacheField>
    <cacheField name="∆*" numFmtId="165">
      <sharedItems containsSemiMixedTypes="0" containsDate="1" containsString="0" containsMixedTypes="1" minDate="1904-01-01T03:15:11" maxDate="1904-01-02T00:00:00"/>
    </cacheField>
  </cacheFields>
  <extLst>
    <ext xmlns:x14="http://schemas.microsoft.com/office/spreadsheetml/2009/9/main" uri="{725AE2AE-9491-48be-B2B4-4EB974FC3084}">
      <x14:pivotCacheDefinition pivotCacheId="919049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46296" createdVersion="8" refreshedVersion="8" minRefreshableVersion="3" recordCount="78" xr:uid="{D5885770-D090-8E40-92DC-BBFB451A549D}">
  <cacheSource type="worksheet">
    <worksheetSource name="tbl_SEIN"/>
  </cacheSource>
  <cacheFields count="16">
    <cacheField name="Date" numFmtId="164">
      <sharedItems containsSemiMixedTypes="0" containsNonDate="0" containsDate="1" containsString="0" minDate="2025-04-14T00:00:00" maxDate="2025-05-14T00:00:00"/>
    </cacheField>
    <cacheField name="Week" numFmtId="164">
      <sharedItems containsBlank="1" count="9">
        <s v="16-2025"/>
        <s v="17-2025"/>
        <s v="18-2025"/>
        <s v="19-2025"/>
        <s v="20-2025"/>
        <m u="1"/>
        <s v="14-2025" u="1"/>
        <s v="15-2025" u="1"/>
        <s v="01-2025" u="1"/>
      </sharedItems>
    </cacheField>
    <cacheField name="Subject" numFmtId="0">
      <sharedItems containsBlank="1" count="13">
        <s v="TOP1"/>
        <s v="HA"/>
        <s v="GPDE"/>
        <s v="QM"/>
        <s v="QMS"/>
        <s v="CM"/>
        <s v="RG"/>
        <s v="TOP2"/>
        <s v="EFT1"/>
        <s v="A"/>
        <m u="1"/>
        <s v="GeoPDE" u="1"/>
        <s v="Topo1" u="1"/>
      </sharedItems>
    </cacheField>
    <cacheField name="SubjectCount" numFmtId="0">
      <sharedItems containsSemiMixedTypes="0" containsString="0" containsNumber="1" containsInteger="1" minValue="1" maxValue="15"/>
    </cacheField>
    <cacheField name="NoteID" numFmtId="0">
      <sharedItems/>
    </cacheField>
    <cacheField name="Phase" numFmtId="0">
      <sharedItems containsSemiMixedTypes="0" containsString="0" containsNumber="1" containsInteger="1" minValue="1" maxValue="1" count="1">
        <n v="1"/>
      </sharedItems>
    </cacheField>
    <cacheField name="Spalte1" numFmtId="0">
      <sharedItems/>
    </cacheField>
    <cacheField name="TopicID" numFmtId="0">
      <sharedItems/>
    </cacheField>
    <cacheField name="Topic" numFmtId="0">
      <sharedItems containsBlank="1" count="61">
        <s v="Unterteilung  und Ausschneidung in SHT"/>
        <s v="Mayer-Vietoris Sequenz in SHT"/>
        <s v="Kreuzprodukt auf Kettengruppenkomplexe in SHT"/>
        <s v="Homologie Kreuzprodukt in SHT"/>
        <s v="Kategorische Formulierung der SHT"/>
        <s v="Kategorien und Funktoren in HA"/>
        <s v="Homologische Algebra"/>
        <s v="Moduln in HA"/>
        <s v="Tensorprodukt in HA"/>
        <s v="Abelsche Kategorien"/>
        <s v="Komplexe in HA"/>
        <s v="Homologie Funktor in HA"/>
        <s v="Kategorische Formulierung der Homologietheorie"/>
        <s v="Hilftslemma für Diagramme der HA"/>
        <s v="Splitting"/>
        <s v="Absolute und Relative Homologie"/>
        <s v="Basics der SHT"/>
        <s v="Reduzierte Homologie"/>
        <s v="GPDE Basics"/>
        <s v="Schwache Maximum Prinzipien"/>
        <s v="Starke Maximum Prinzipien"/>
        <s v="Quantenmechanik"/>
        <s v="Schrödinger Gleichung"/>
        <s v="Symmetrie in Quantenmechanik"/>
        <s v="Raum Translation"/>
        <s v="QM-ÜB-00: Hermitische Unitäre Matrizen"/>
        <s v="Maximum Prinzipien"/>
        <s v="Klassische Streutheorie"/>
        <s v="Riemannische Geometrie"/>
        <s v="Topologie 2"/>
        <s v="Hopf Lemma"/>
        <s v="RG-ÜB-01: Glatte Mannigfaltigkeiten"/>
        <s v="Eichfeldtheorie"/>
        <s v="Eindimensionale Systeme"/>
        <s v="Wellenpakete in QM"/>
        <s v="Einführung der Schrödinger Gleichung"/>
        <s v="Interpretation der Wellenfunktion"/>
        <s v="QM-ÜB-01: Delta-Distribution, Kommutator und W-keit"/>
        <s v="QM-Ex-ÜB 00"/>
        <s v="CM-ÜB-02: Runge-Lenz-Vektor, 1KP und Zwangsbedingungen"/>
        <s v="Differentialoperatoren"/>
        <s v="Vergleichsprinzipien für voll nicht-lineare Differentialoperatoren"/>
        <s v="RG-ÜB-02: Tangentialbündel und Hyperbolischer Raum"/>
        <s v="Ringe Basics"/>
        <s v="Potenzreihenringe und Polynomringe"/>
        <s v="Ideale und Quotienten"/>
        <s v="QMS-ÜB-01"/>
        <s v="Ehrenfest Theorem"/>
        <s v="QM-ÜB-02:"/>
        <s v="QMS-VL"/>
        <s v="CM-Ex"/>
        <m/>
        <s v="Moduln Grundlagen"/>
        <s v="RG_ÜB_03: Christoffelsymbole und Kovariante Ableitung entlang Kurven"/>
        <s v="CM_ÜB_03: Kinetische Energie in Lagrange, Rollpendel, Trafo von Kart. Koord, Alembert"/>
        <s v="Kategorien und Funktionen in HA" u="1"/>
        <s v="Kreuz-Produkt" u="1"/>
        <s v="Induzierter Homomorphismus" u="1"/>
        <s v="Subdivision" u="1"/>
        <s v="Singuläre Homologie" u="1"/>
        <s v="Induzierte Homomorphismen" u="1"/>
      </sharedItems>
    </cacheField>
    <cacheField name="Process" numFmtId="0">
      <sharedItems containsBlank="1" count="8">
        <s v="AQ-S"/>
        <s v="ST-S"/>
        <s v="MON-S"/>
        <s v="VL-S"/>
        <s v="AP-S"/>
        <s v="PRES-S"/>
        <s v="EX-S"/>
        <m u="1"/>
      </sharedItems>
    </cacheField>
    <cacheField name="Time" numFmtId="165">
      <sharedItems containsSemiMixedTypes="0" containsNonDate="0" containsDate="1" containsString="0" minDate="1904-01-01T00:00:00" maxDate="1904-01-01T02:50:00"/>
    </cacheField>
    <cacheField name="PredComp" numFmtId="0">
      <sharedItems containsString="0" containsBlank="1" containsNumber="1" containsInteger="1" minValue="2" maxValue="5"/>
    </cacheField>
    <cacheField name="ExpComp" numFmtId="0">
      <sharedItems containsString="0" containsBlank="1" containsNumber="1" containsInteger="1" minValue="1" maxValue="5"/>
    </cacheField>
    <cacheField name="Relev" numFmtId="0">
      <sharedItems containsString="0" containsBlank="1" containsNumber="1" containsInteger="1" minValue="2" maxValue="5"/>
    </cacheField>
    <cacheField name="TopicPath" numFmtId="0">
      <sharedItems/>
    </cacheField>
    <cacheField name="TopicParent" numFmtId="0">
      <sharedItems containsMixedTypes="1" containsNumber="1" containsInteger="1" minValue="0" maxValue="0" count="14">
        <s v="Singuläre Homologie (SHT)"/>
        <s v="Kreuzprodukt in SHT"/>
        <n v="0"/>
        <s v="Maximum Prinzipien"/>
        <s v="Symmetrie in Quantenmechanik"/>
        <s v="QM-ÜB"/>
        <s v="RG-ÜB"/>
        <s v="Schrödinger Gleichung"/>
        <s v="CM-ÜB"/>
        <s v="GPDE Basics"/>
        <s v="Ringe"/>
        <s v="QMS-ÜB"/>
        <s v=""/>
        <s v="Moduln"/>
      </sharedItems>
    </cacheField>
  </cacheFields>
  <extLst>
    <ext xmlns:x14="http://schemas.microsoft.com/office/spreadsheetml/2009/9/main" uri="{725AE2AE-9491-48be-B2B4-4EB974FC3084}">
      <x14:pivotCacheDefinition pivotCacheId="17061302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694445" createdVersion="8" refreshedVersion="8" minRefreshableVersion="3" recordCount="594" xr:uid="{A2DA5D9C-8A7F-CE4E-A8A7-9936DA31EDB6}">
  <cacheSource type="worksheet">
    <worksheetSource name="tbl_CONTENT"/>
  </cacheSource>
  <cacheFields count="18">
    <cacheField name="Subject" numFmtId="0">
      <sharedItems containsMixedTypes="1" containsNumber="1" containsInteger="1" minValue="0" maxValue="0" count="11">
        <s v="HA"/>
        <s v="TOP1"/>
        <s v="GPDE"/>
        <s v="QM"/>
        <s v="QMS"/>
        <s v=""/>
        <s v="CM"/>
        <s v="RG"/>
        <s v="EFT1"/>
        <s v="A"/>
        <n v="0" u="1"/>
      </sharedItems>
    </cacheField>
    <cacheField name="UnitID" numFmtId="0">
      <sharedItems/>
    </cacheField>
    <cacheField name="Lit-ID" numFmtId="0">
      <sharedItems containsBlank="1"/>
    </cacheField>
    <cacheField name="TopicID" numFmtId="0">
      <sharedItems count="67">
        <s v="HA-1-12"/>
        <s v="HA-1-07"/>
        <s v="HA-1-10"/>
        <s v="HA-1-01"/>
        <s v="HA-1-02"/>
        <s v="HA-1-04"/>
        <s v="HA-1-06"/>
        <s v="HA-1-05"/>
        <s v="TOP1-1-02"/>
        <s v="TOP1-1-09"/>
        <s v="TOP1-1-04"/>
        <s v="GPDE-1-02"/>
        <s v="GPDE-1-03"/>
        <s v="GPDE-1-06"/>
        <s v="GPDE-1-07"/>
        <s v="QM-1-02"/>
        <s v="QM-1-03"/>
        <s v="QM-1-05"/>
        <s v="QMS-1-02"/>
        <s v=""/>
        <s v="QM-1-07"/>
        <s v="QM-1-08"/>
        <s v="QM-1-10"/>
        <s v="QM-1-11"/>
        <s v="QM-1-12"/>
        <s v="CM-1-01"/>
        <s v="CM-1-02"/>
        <s v="CM-1-03"/>
        <s v="CM-1-04"/>
        <s v="CM-1-05"/>
        <s v="CM-1-07"/>
        <s v="RG-1-02"/>
        <s v="RG-1-03"/>
        <s v="RG-1-04"/>
        <s v="RG-1-05"/>
        <s v="RG-1-07"/>
        <s v="RG-1-08"/>
        <s v="RG-1-09"/>
        <s v="GPDE-1-08"/>
        <s v="RG-1-16"/>
        <s v="EFT1-1-02"/>
        <s v="QM-1-13"/>
        <s v="QM-1-14"/>
        <s v="QM-1-16"/>
        <s v="QM-1-17"/>
        <s v="QM-1-18"/>
        <s v="QM-1-06"/>
        <s v="QM-1-31"/>
        <s v="QM-1-20"/>
        <s v="GPDE-1-09"/>
        <s v="RG-1-17"/>
        <s v="A-1-03"/>
        <s v="A-1-04"/>
        <s v="A-1-05"/>
        <s v="QM-1-22"/>
        <s v="QM-1-23"/>
        <s v="QM-1-24"/>
        <s v="QM-1-25"/>
        <s v="A-1-07"/>
        <s v="--00" u="1"/>
        <s v="RG-1-26" u="1"/>
        <s v="HA-1-7" u="1"/>
        <s v="HA-1-1" u="1"/>
        <s v="HA-1-2" u="1"/>
        <s v="HA-1-4" u="1"/>
        <s v="HA-1-6" u="1"/>
        <s v="HA-1-5" u="1"/>
      </sharedItems>
    </cacheField>
    <cacheField name="TopicIDCount" numFmtId="0">
      <sharedItems containsSemiMixedTypes="0" containsString="0" containsNumber="1" containsInteger="1" minValue="1" maxValue="67"/>
    </cacheField>
    <cacheField name="Topic" numFmtId="0">
      <sharedItems containsBlank="1" count="60">
        <s v="Kategorische Formulierung der Homologietheorie"/>
        <s v="Hilftslemma für Diagramme der HA"/>
        <s v="Splitting"/>
        <s v="Kategorien und Funktoren in HA"/>
        <s v="Moduln in HA"/>
        <s v="Abelsche Kategorien"/>
        <s v="Komplexe in HA"/>
        <s v="Homologie Funktor in HA"/>
        <s v="Basics der SHT"/>
        <s v="Absolute und Relative Homologie"/>
        <s v="Reduzierte Homologie"/>
        <s v="Unterteilung  und Ausschneidung in SHT"/>
        <s v="Differentialoperatoren"/>
        <s v="Regularitätsklassen"/>
        <s v="Schwache Maximum Prinzipien"/>
        <s v="Starke Maximum Prinzipien"/>
        <s v="Schrödinger Gleichung"/>
        <s v="Wellenpakete in QM"/>
        <s v="Herleitung für freie Teilchen"/>
        <s v="Raum Translation"/>
        <m/>
        <s v="Operatoren"/>
        <s v="Korrespondenz Prinzip"/>
        <s v="Wahrscheinlichkeitsdichte"/>
        <s v="Kontinuitätsgleichung"/>
        <s v="Impulsraum"/>
        <s v="Klassische Streutheorie"/>
        <s v="Wirkungsquerschnitt"/>
        <s v="Berechnung des Wirkungsquerschnitts für elastische Streuung am Zentralpotential"/>
        <s v="Rücktransformation ins Laborsystem"/>
        <s v="2-Körper und effektives 1-Körper Problem"/>
        <s v="CM-ÜB-01: Streutheorie"/>
        <s v="Untermannigfaltigkeiten im euklidischen Raum"/>
        <s v="Glatte Mannigfaltigkeiten"/>
        <s v="Glatte Abbildungen und Vektorfelder"/>
        <s v="Riemannische Mannigfaltigkeiten"/>
        <s v="Levi-Civita Zusammenhang"/>
        <s v="Kovariante Ableitung längs einer Kurve"/>
        <s v="Paralleltransport"/>
        <s v="Hopf Lemma"/>
        <s v="RG-ÜB-01: Glatte Mannigfaltigkeiten"/>
        <s v="Faserbündel"/>
        <s v="Erwartungswert"/>
        <s v="Beugung und Inferenz"/>
        <s v="Hermitisch konjugierte Operatoren"/>
        <s v="Bewegungsgleichung für Erwartungswert"/>
        <s v="Quasiklassische Bewegung"/>
        <s v="Teilchen in äußeren Potentialen"/>
        <s v="QM-ÜB-01: Delta-Distribution, Kommutator und W-keit"/>
        <s v="QM-ÜB-00: Hermitische Unitäre Matrizen"/>
        <s v="Vergleichsprinzipien für voll nicht-lineare Differentialoperatoren"/>
        <s v="RG-ÜB-02: Tangentialbündel und Hyperbolischer Raum"/>
        <s v="Ringe Basics"/>
        <s v="Potenzreihenringe und Polynomringe"/>
        <s v="Ideale und Quotienten"/>
        <s v="Stationäre Schrödinger Gleichung"/>
        <s v="Eindimensionale Potentialstufe"/>
        <s v="Streuzustände"/>
        <s v="Reflektierte Zustände"/>
        <s v="Moduln Grundlagen"/>
      </sharedItems>
    </cacheField>
    <cacheField name="Content" numFmtId="0">
      <sharedItems containsBlank="1" count="592" longText="1">
        <s v="Eilenberg-Stennrod Axiom"/>
        <s v="Basics für Exaktheit von Sequenzen"/>
        <s v="Kurze Exakte Sequenzen Basics"/>
        <s v="Links/Rechts Vervollständigung von 03-03 Komm Exa"/>
        <s v="5-Lemma"/>
        <s v="030-030 vert ISO: oben exa gdw unten exa"/>
        <s v="3x3 Lemma"/>
        <s v="Schlagstock Lemma"/>
        <s v="Schlangen Lemma"/>
        <s v="Splitting Basics"/>
        <s v="Splitting Cases"/>
        <s v="Kategorie"/>
        <s v="Exa Kategorien"/>
        <s v="Unterkategorie"/>
        <s v="Volle Unterkategorie"/>
        <s v="Exa Volle Unterkategorie"/>
        <s v="Funktor"/>
        <s v="Hom-Funktor"/>
        <s v="Sequenz in Kategorie"/>
        <s v="Diagramm in Katagorie"/>
        <s v="Weg in Kategorie"/>
        <s v="Gelabelter Weg"/>
        <s v="Einfacher Weg"/>
        <s v="Kommutatives Diagramm"/>
        <s v="Kontravariante Funktoren"/>
        <s v="Isopmorphie in Kategorie"/>
        <s v="Natürliche Transformation"/>
        <s v="Natürlicher Isomorphismus"/>
        <s v="Komposition von Natürlichen Transformationen"/>
        <s v="(Kleine) Funktorenkategorie"/>
        <s v="Exa Kleine Funktorenkategorie: Diag / Seq "/>
        <s v="Komplex und Ketten-Abbildung"/>
        <s v="Links/Rechts Moduln"/>
        <s v="Abelsche Gruppe"/>
        <s v="Additiver Funktor von Rmod &gt; Ab"/>
        <s v="Kern / Im / CoKern für R-Hom"/>
        <s v="ISO-Sätze"/>
        <s v="Freie R-Moduln"/>
        <s v="Freie Abelsche Gruppe"/>
        <s v="Additive Kategorie"/>
        <s v="Additiver Funktor von additiven Kategorien"/>
        <s v="Direkte Summe in additiven Kategorien"/>
        <s v="Monomorphismen in Kategorien"/>
        <s v="Epimorphismen in Kategorien"/>
        <s v="Monics / Epics in additiven Kategorien"/>
        <s v="Ker / Coker in additiven Kategorien"/>
        <s v="Beziehung Monic / Epic und ker / cokern in additiven Kategorien"/>
        <s v="Subgadget von Objekten in additiven Katgeorien"/>
        <s v="Quotienten-Objekt in additiven Kategorien"/>
        <s v="Abelsche Kategorie"/>
        <s v="Exa abelsche Kategorie: (Volle Unterkategorien von) Abelsche Gruppen "/>
        <s v="Exakte Kategorie"/>
        <s v="Exa Exakte Kategorie"/>
        <s v="Exaktheit in abelschen Kategorien durch Subobjekt in Gadgete"/>
        <s v="Abelsche Unterkategorie"/>
        <s v="Funktorkategorie zu abelschen Kategorie ist abelsch"/>
        <s v="Projektive Objekte in abelschen Kategorien"/>
        <s v="Injektive Objekte in abelschen Kategorien"/>
        <s v="Komplex in abelschen Kategorien"/>
        <s v="Ketten Abbildung zwischen Komplexen in abelschen Kategorien"/>
        <s v="Kategorie der Komplexe in abelschen Kategorien"/>
        <s v="Unterkomplex in abelschen Kategorien"/>
        <s v="Kategorie der Komplexe abelsch, falls Kategorie abelsch"/>
        <s v="PROOF: Kategorie der Komplexe abelsch, falls Kategorie abelsch"/>
        <s v="Isomorphie in Kategorie der Komplexe"/>
        <s v="Direkte Summe von Komplexen"/>
        <s v="Exaktheit von Sequenze von Komplexen und Ketten Abbildungen"/>
        <s v="Kurze Exakte Sequenzen von Komplexen und Ketten Abbildungen"/>
        <s v="Quotienten Komplex"/>
        <s v="Kettenabbildung in Quotienten Komplex durch natürliche Abbildung"/>
        <s v="Exakte Sequenzen sind Komplexe"/>
        <s v="Kurze Exakte Sequenzen zu Komplexen erweitern"/>
        <s v="Sequenzen von Objekte"/>
        <s v="Positive / Negative Komplexe"/>
        <s v="Ketten / Zyklen / Ränder in Komplexen"/>
        <s v="n-te Homologie in Komplexen"/>
        <s v="Homologie als Abweichung von Exaktheit eines Komplexes"/>
        <s v="Fundamentale Exakte Sequenzen für Komplexe: Zyklen Ränder und Homologie"/>
        <s v="n-te Homologie ist additiver Funktor"/>
        <s v="PROOF: n-te Homologie ist additiver Funktor"/>
        <s v="Zu kurzen exakte Sequenz (K,KAbb) in abel. Kategorie der Komplexe existiert ein Zusammenhangs-Homomorphismus"/>
        <s v="PROOF: Zu kurzen exakte Sequenz (K,KAbb) in abel. Kategorie der Komplexe existiert ein Zusammenhangs-Homomorphismus"/>
        <s v="Kurze Exakte Sequenz in Kategorie der Komplexe induziert lange exakte Homologie-Sequenz"/>
        <s v="PROOF: Kurze Exakte Sequenz in Kategorie der Komplexe induziert lange exakte Homologie-Sequenz"/>
        <s v="Zusammenhangs-Homomorphismus zu kurzen exakten Sequenzen in Kategorie der Komplexe ist natürlich"/>
        <s v="PROOF: Zusammenhangs-Homomorphismus zu kurzen exakten Sequenzen in Kategorie der Komplexe ist natürlich"/>
        <s v="Arrow Kategorie"/>
        <s v="Interpretation des Zusammenhangs-Homomorphismus"/>
        <s v="Grad einer Abbildung zwischen Komplexen"/>
        <s v="Exa Grad einer Abbildung zwischen Komplexen"/>
        <s v="Homotope Ketten Abbildungen (Null-Homotopie)"/>
        <s v="Homotope Ketten Abbildungen induzieren gleiche Homologie Abbildungen"/>
        <s v="PROOF: Homotope Ketten Abbildungen induzieren gleiche Homologie Abbildungen"/>
        <s v="Kontrahierbare Komplexe"/>
        <s v="Kontrahierbare Komplexe sind azyklisch"/>
        <s v="3 Grundbegriffe: Kat, Funk, naat Trafo"/>
        <s v="Von (kleinen) Funktorkategorien zur Kategorie der Komplexe in der Kategroei der Abelschen Gruppen"/>
        <s v="Herleitung abelscher Kategorien und additiver Funktoren als allg. Rahmen für Komplexe in abelschen Kategorien"/>
        <s v="Basics der allg. Komplexe in abelschen Kategorien und die Kategorie der Komplexe"/>
        <s v="Einführung der Homologie-Funktoren"/>
        <s v="(Natürlicher) Zusammenhangs-Homomorphismus"/>
        <s v="Interpretation des Zusammenhangs-Isomorphismus via Arrow Kategorie"/>
        <s v="Was ist die Singuläre Homologie Theorie"/>
        <s v="Standard-p-Simpelx"/>
        <s v="Singulärer-p-Simplex"/>
        <s v="Singuläre-p-Kettengruppe"/>
        <s v="Rand-Operator auf Singulären-p-Kettengruppen"/>
        <s v="Definition der Singulären Homologie Abbildung und Singuläre Komplexe"/>
        <s v="Inklusion' der Singulären Komplexe"/>
        <s v="Problem: Ist die definierte Singuläre Homologie Abbildung eine Instanz einer Homologie Theorie?"/>
        <s v="Relative Homologie (QuotientenKomplexe)"/>
        <s v="Existenz von exakter sing. Homologie-Sequenz für (X,A)"/>
        <s v="Kurze Exakte Sequenz von relative Singulären Komplexen induziert lange exakte relative Homologie-Sequenz"/>
        <s v="Splitting der Singulären Komplexe von (X,A) nach (X)"/>
        <s v="Relative Homologie (Relative Zyklen u Ränder)"/>
        <s v="Relative Zyklen und Ränder"/>
        <s v="Definition der relativen Homologie sind isomorph"/>
        <s v="Aumentierter singulärer Komplex"/>
        <s v="Reduzierte Homologiegruppe"/>
        <s v="Reduzierte Homologiegruppen sind ISO zu punktierte Homologiegruppe für n nicht neg"/>
        <s v="Affiner Singulärer Simplex"/>
        <s v="Unterkategorie von Singulärer Komplex der Standard Simplex erzeugt durch affine singuläre Simplize"/>
        <s v="Kegel Operator auf affine singuläre Simplize"/>
        <s v="Rand von Kegel eines affinen singulären Simplex"/>
        <s v="Barycenter-Operator (Subdivison Operator) auf Unterkomplex der affinen singulären Simplize"/>
        <s v="Barycenter-Operator ist Kettenabbildung zwischen Subkomplexen der affinen singulären Simplize"/>
        <s v="Homotopie-Operator von Subkomp p nach Subkomp p+1"/>
        <s v="Barycenter-Operator ist homotop zu Identität-K-Abb bzgl Homotopie-Operator"/>
        <s v="Barycenter-Operator auf singulären Komplexe"/>
        <s v="Homotopie-Operator auf singulären Komplexen"/>
        <s v="a) Operatoren sind Natürlich _x000a_b) BC-Operator ist Ketten-Abbildung und homotop zu Identität bzgl H-Operator _x000a_c) Verträglich mit Def auf Subkompelx der affinen sing. Simplize_x000a_d) Abbildungen von sing Simplex im Bild des sing Simplex"/>
        <s v="Iterative Anwendung von BC-Operator ist kettenhomotop zur Identität bzgl Abbildung abhängig von H-Operator"/>
        <s v="Durchmesser Abschätzung für Simplize in Ketten der Barycenter Unterteilung von affinen Simplize"/>
        <s v="Durchmesser Abschätzung für affine Simplize in k-fach BC-unterteilten Identitäten von Standard-Simplizes"/>
        <s v="k-fach BC-unterteilter singulärer Simplex ist U-klein"/>
        <s v="Singulärer Subkomplexe erzeugt durch U-kleine singuläre Simplize und Homologiegruppen über offener Überdeckung"/>
        <s v="Homologie-Äquivalenz von normalen Homologiegruppen und Homologiegruppen über offenen Überdeckungen"/>
        <s v="Singulärer Quotientenkomplex über offener Überdeckung"/>
        <s v="Ausschneidungssatz: Zu B&lt;A&lt;X induziert die Inklusion (X-B,A-B) in (X,A) eine Isomorphismus zw relativen Homologiegruppen (X,A) über {A,X-B} und relative Homologiegruppe (X,A)"/>
        <s v="Ausschneidungsaxiom"/>
        <s v="Eigenschaften des Barycenter / Homotopie Operators"/>
        <s v="Allgemeine Differentialoperator"/>
        <s v="Affin linear in k-ter Komponente"/>
        <s v="Lineare Operator k-ter Ordnung"/>
        <s v="Semilineare Operator k-ter Ordnung"/>
        <s v="Quasilineare Operator k-ter Ordnung"/>
        <s v="Voll nichtlineare Operator k-ter Ordnung"/>
        <s v="Lineare Operator 2-ter Ordnung"/>
        <s v="Elliptischer linearer Operator 3-ter Ordnung"/>
        <s v="Parabolischer lineaer Operator 2-ter Ordnung"/>
        <s v="Strikt linearer Operator 2-ter Ordnung"/>
        <s v="Uniform linearer Operator 2-ter Ordnung"/>
        <s v="Lp-Raum"/>
        <s v="Lokal Hölder Stetig mit Exponent"/>
        <s v="Hölder Stetig mit Exponent"/>
        <s v="Lipschitz Stetig"/>
        <s v="Ck Differenzierbar mit (lokal) Hölder Stetigen k-ten Ableitungen"/>
        <s v="Was ist ein schw. MP?"/>
        <s v="Parabolischer Rand"/>
        <s v="Parabolisches schwaches Maximum Prinzip"/>
        <s v="Eindeutigkeit von Lösungen von parabolischen Differentialoperatoren"/>
        <s v="Elliptisches schwaches Maximumsprinzip"/>
        <s v="Eindeutigkeit von Lösungen von elliptischen Differentialoperatoren"/>
        <s v="Motivation Starke Maximum Prinzipien"/>
        <s v="Propagation von Positivität"/>
        <s v="Parabolisches starkes Maximum Prinzip"/>
        <s v="Elliptisches starkes Maximum Prinzip"/>
        <s v="Plancksche Wirkungsquantum für Energie-Kreisfrequenz und Impuls-Wellenvektor"/>
        <s v="Ebene (kompl) Welle"/>
        <s v="Wellenpaket"/>
        <s v="Überlagerung zweier Wellen"/>
        <s v="Gruppengeschwindigkeit"/>
        <s v="Gruppengeschwindigkeit = Mechanische Geschwindigkeit der zugeordneten Teilchen"/>
        <s v="Phasengeschwindigkeit einer Welle"/>
        <s v="Allgemeine Wellenpaket"/>
        <s v="Gaußsche Wellenpaket in 1D"/>
        <s v="Breite des Wellenpakets im Ort-Raum"/>
        <s v="Breite des Gauß'schen Wellenpakets im k-Raum"/>
        <s v="Unschärfe-Relation für 1D Gaußsche Wellenpaket zw. Impuls und Ort"/>
        <s v="Born-Interpretation"/>
        <s v="Ebene Wellen mit Plankschem Wirkungsquantum"/>
        <s v="Ebene Wellen mit Plankschem Wirkungsquantum zu nicht-relativistischem Teilchen"/>
        <s v="Schrödinger Gleichung für nicht-relativistisches Teilchen"/>
        <s v="Schrödinger Gleichung"/>
        <s v="Linearität und Superposition der Schrödinger Gleichung"/>
        <s v="Herleitung der freien Schrödinger Gleichung durch Korrspondenzprinzip"/>
        <s v="Bezeihugn zw. Ket-Zustands in Hilbertraum und Wellenfunktion"/>
        <m/>
        <s v="Raum Translation"/>
        <s v="Symmetrie Transformation"/>
        <s v="Darstellung der Raum Translationen durch Raum Translation Operator"/>
        <s v="Raum Translation symmetrisch, dann Wahrscheinlichkeit konstant"/>
        <s v="Gleichheit der Norm von Wellenfunktion und räumlich transformierter Wellenfunktion, lässt vermuten, dass RT-Operator unitär"/>
        <s v="Exponential Darstellung des RT-Operator durch Taylor-Entwicklung von räumlich translierter Wellenfunktion"/>
        <s v="RT-Operator (Exp-Darstellung) ist unitär"/>
        <s v="Hamilton-Operator invariant unter räumlicher Translation"/>
        <s v="Lösung von Schrödinger Gleichung invariant unter räumlicher Translation"/>
        <s v="RT-Operator und Hamilton-Operator kommutieren impliziert Symmetrie von RT-Operator"/>
        <s v="Matrix-Operator"/>
        <s v="EXA Matrix-Operatoren"/>
        <s v="Linearer Operator"/>
        <s v="Komplexe Konjugation ist antilinear"/>
        <s v="Kommutator"/>
        <s v="Skalarprodukt"/>
        <s v="Ortsoperator als lin. Multiplikationsoperator"/>
        <s v="Impulsoperator als lin. Differentialoperator"/>
        <s v="Schrödinger Operator"/>
        <s v="Linearität des Schrödinger Operator"/>
        <s v="Darstellung des Schrödinger Operators durch Orts und Impulsoperator"/>
        <s v="Vertauschungsrelation zwischen Orts und Impulsoperator"/>
        <s v="Schrödinger Operator als Hamilton Operator"/>
        <s v="Korrespondenzprinzip zw. Klassischer Mechanik und Quantenmechanik bzgl Ort und Impuls"/>
        <s v="Poisson Klammer"/>
        <s v="Wahrscheinlichkeitsdichte für die Anwesenheit eines Teilchens in einem Gebiet zu einer Wellenfunktion"/>
        <s v="Normierung der Wahrscheinlichkeitsdichte"/>
        <s v="Normierung von Gauß-Wellenpaket in 3D zu t=0"/>
        <s v="Normierung invariant unter zeitlicher Entwicklung"/>
        <s v="W-keits-Stromdichte zu einer Wellenfunktion"/>
        <s v="Kontinuitätsgleichung für W-keits-Stromdichte"/>
        <s v="Reelle Wellenfunktionen können keinen Strom transportieren"/>
        <s v="Kontinuitätsgleichung impliziert Normierungs-Erhaltung"/>
        <s v="Gaußsche Wellenpaket in 3D: W-keitsdichte wird mit Gruppengeschwindigkeit transportiert"/>
        <s v="Reelle Faktoren tragen nicht zur Stromdichte bei _x000a_Stromdichte=Geschwindigkeit * Teilchendichte gilt allg"/>
        <s v="W-keitsdichte und Stromdichte für ebene Welle: Erfüllt Kontinuitätsgleichung, aber nicht normierbar"/>
        <s v="Fourier-Integral: Fouriertrafo und Inverse Fouriertrafo von Lösungen der (allg) Schrödingergleichung in Ortsvariable"/>
        <s v="Fourier-Trafo von Lösung der Schrödinger Gleichung in Normierungsbedingung"/>
        <s v="Interpre: Betrag der Inversen Fourier-Trafo als W-keitsdichte im Impulsraum"/>
        <s v="2-Körper Problem mit konservativen Zentralkräften"/>
        <s v="Effektive Einkörper Problem"/>
        <s v="Aufbau Streuexperiment"/>
        <s v="Beschreibung vor Streuung:_x000a_-Geschwindigkeit und Energie der Teilchen_x000a_- Homo Teilchenstromdichte des Teilchenstrahls_x000a_- Stoßparameter"/>
        <s v="Beschreibung nach Streuung:_x000a_- Raumwinkel u Zählrate (Detektor)_x000a_- Zählrate als Teilchenstrom_x000a_- Differenzieller Wirkungsquerschnitt_x000a_- Totaler Wirkungsquerschnitt_x000a_"/>
        <s v="Differenzieller und totaler Wirkungsquerschnitt"/>
        <s v="Gesamtzahl gestreuter Teilchen / Zeiteinh = tot WQS * Teilchenstromdichte "/>
        <s v="Totale WQS als effektive Querschnittfläche, die das Potential der Projektile bietet"/>
        <s v="Streunung an harter Kugel"/>
        <s v="Definitionen unabhängig von Klassische / QM"/>
        <s v="Berechnung des WQS unter Annahmen:_x000a_1) Streuung im Rahmen der CM beschreibbar_x000a_2) Elastische Streuung (kein Ener.Austausch zw. Projektil u Target_x000a_3) Streuung am Zentralpotential (Zw. Proj und Targ wirkende Potential hängt nur von Betrag Abstand ab"/>
        <s v="Trajektorie des Projektils für repulsives Potential"/>
        <s v="Zusammenhang zwischen Streuwinkel und Restwinkel phi_inf"/>
        <s v="Streuwinkel und differentieller WQS hängen für ein Zentralpotential nur von von Streuparameter und Energie ab"/>
        <s v="Darstellung des Streuparameters als Funktion von Streuwinkel und Energie"/>
        <s v="Darstellung des Drehimpulses durch Streuparameter und Energie (Erhaltungssätze)"/>
        <s v="Bilanzgleichung für Streuung"/>
        <s v="Darstellung von differentielle WQS durch Streuparameter und Energie"/>
        <s v="Rutherfordscher Wirkungsquerschnitt"/>
        <s v="Anmerkungen"/>
        <s v="2-Körper Problem mit konservativen Zentralkräften "/>
        <s v="Reduktion of effektives 1-Körper Problem"/>
        <s v="Gesamtenergie in reduzierte 1-Körper Problem"/>
        <s v="Explizite Formel für Bahnkurve on Polarkoordianten"/>
        <s v="Qualitative Beschreibung der Bewegung durch Graph des effektiven Potentials"/>
        <s v="Streuung als ungebundene Bewegung im 2KP"/>
        <s v="Atwood-Pendel"/>
        <s v="Totale Wirkungsquerschnitt für feste Kugel"/>
        <s v="Relation L=s /(2*mu*E) in 2-Körper Systemen"/>
        <s v="Allgemeine Herleitung des tot. WQS in reduzierten 1-Körper Systemen"/>
        <s v="n-dimensionale Untermannigfaltigkeit des euklidischen Raumes"/>
        <s v="n-Sphäre"/>
        <s v="Hyperboloid"/>
        <s v="n-Torus"/>
        <s v="SO(n)"/>
        <s v="Charakterisierungen von Untermannigfaltigkeiten im euklidischen Raum"/>
        <s v="Atlas auf topologischen Hausdorff-Räumen"/>
        <s v="Äquivalente Atlanten"/>
        <s v="Beispiel für nicht äquivalente Atlanten"/>
        <s v="Glatte Mannigfaltigkeit"/>
        <s v="Orientierte Mannigfaltigkeiten"/>
        <s v="Untermannigfaltigkeit einer Mannigfaltigkeit"/>
        <s v="n-Torus als Mfk"/>
        <s v="n-Sphäre als Mfk"/>
        <s v="Hyperboloid als Mfk"/>
        <s v="Reelle projektiver Raum als Mfk"/>
        <s v="Komplexe projektive Raum als Mfk"/>
        <s v="Möbiusband als Mfk"/>
        <s v="Quotienten-Räume als Mfk als Motivation für verallg. Mfk-Begriff"/>
        <s v="Glatte Abbildung zwischen Mfk"/>
        <s v="Immersion / Submersion von Mfk"/>
        <s v="Einbettung von Mfk"/>
        <s v="Diffeomorphismus von Mfk"/>
        <s v="Tangentialvektor: Äquivalenzklassen von Kurven"/>
        <s v="Tangentenvektoren: Keime"/>
        <s v="Tangentenvektoren: Paare von Koordinatensysteme um p und Vektor"/>
        <s v="Konstruktion des Tangentialraums"/>
        <s v="Tangentialbündel"/>
        <s v="Tangentialbündel ist 2n-dimensional Mfk"/>
        <s v="Vektorfeld als glatter Schnitt in Tangentialbündel"/>
        <s v="Darstellung von Vektorfeldern durch partielle Abbleitungen (Tangentenvektoren)"/>
        <s v="Vektorfeld als Abbildung von glatten Funktionen auf Mfk"/>
        <s v="Lieklammer von Vektorfeldern (ergibt Vektorfelder)"/>
        <s v="Lieklammer:_x000a_Jacobi-Identität_x000a_Schiefsymmetrisch_x000a_Nicht linear über R"/>
        <s v="Differential von glatten Abbildungen"/>
        <s v="Finsler-Metrik auf Mfk"/>
        <s v="Länge von Kurven auf Mfk"/>
        <s v="Riemannische Metrik auf Mfk"/>
        <s v="Pseudo-Riemannische Metrik auf Mfk"/>
        <s v="Lokale Beschreibung von Riemannischer Metrik"/>
        <s v="Abzählbare Mfk im Unendlichen"/>
        <s v="Relevanz der Abzählbarkeit im Unendlichen_x000a_1) Existenz von Verfeinerungen (lokal endlich) für offene Überdeckungen_x000a_2) Zerlegung der Eins"/>
        <s v="Jede Mfk besitzt eine Riemannische Metrik"/>
        <s v="R2 in Polarkoordinaten"/>
        <s v="(Lokale) Isometrie von RMfk"/>
        <s v="Isometrische Einbettung von RMfk"/>
        <s v="Untermannigfaltigkeit mit induzierter Metrik"/>
        <s v="Kompakte Mfk lassen sich in Euklidischen Raum einbetten"/>
        <s v="Unterscheidung zw. Innerer und äußerer Geometrie: Eigenschaften der Mfk vs der Einbettung"/>
        <s v="Rotationsfläche"/>
        <s v="Hyperbolischer Raum"/>
        <s v="Poincaremodell des hyperbolischen Raumes"/>
        <s v="Riemannisches Produkt"/>
        <s v="RxSn"/>
        <s v="Flacher Torus"/>
        <s v="Charakterisierung der Isometrien von flachen Tori"/>
        <s v="Kleinsche Flasche"/>
        <s v="Ableitung von Vektorfeldern längs Vektorfeldern"/>
        <s v="Zusammenhang auf Mfk"/>
        <s v="Fundamentaltheorem der Riemannischen Geometrie"/>
        <s v="Koszulgleichung für Zusammenhänge"/>
        <s v="Chirstoffelsymbole als Korrekturterme in lokalen Koordinaten"/>
        <s v="Levi-Civita Zusammenhang D_XY_p hängt nur von X_p ab"/>
        <s v="Formel für Christoffelsymbole aus Koszulgleichung"/>
        <s v="Christoffelsymbole für Rn für euklidische Metrik"/>
        <s v="Christoffelsymbole für R2\0 und lokale Darstellung der Metrik zur Polarkoordianten "/>
        <s v="Induzierter LC-Zusammenhang auf Untermannigfaltigkeiten von RMfk"/>
        <s v="Vektorfelder längs Kurven"/>
        <s v="Kovariante Ableitungs-Operator längs Kurven induziert durch LC-Zusammenhang der RMfk (EE)"/>
        <s v="Kovariante Ableitung der Riemannischen Metrik längs Kurven"/>
        <s v="Parallele Vektorfelder längs Kurven"/>
        <s v="Eind. Existenz von parallelen Vektorfelder für Anfangswert (Punkt,Tangentialvektor)"/>
        <s v="Parallelverschiebung von Tangentialvektoren bzgl parallelen Vektorfeldern längs Kurven"/>
        <s v="Abhängigkeit der Parallelverschiebung von Kurve"/>
        <s v="Parallelverschiebung ist Isometrie zwischen Tangentialräumen"/>
        <s v="Parallelverschiebung im euklidischen Raum"/>
        <s v="Parallelverschiebung auf Sn"/>
        <s v="Parabolisches Hopf-Lemma für Rand-Punkte"/>
        <s v="Elliptisches Hopf-Lemma für Rand-Punkte"/>
        <s v="Interior Ball Kondition an offene Mengen"/>
        <s v="Eindeutigkeit für Neumann Probleme für elliptische Operatoren auf Mengen mit Interior Ball Kondition"/>
        <s v="n-Torus ist glatte Mfk"/>
        <s v="R mit zwei '0' ist nicht Hausdorff"/>
        <s v="Lie-Klammer berechnen von Vektorfeldern"/>
        <s v="Lokale triviale Faserung mit typischen Fasern auf Mfk"/>
        <s v="Vektorraumbündel"/>
        <s v="Projektion von Kreuzprodukt ist eine lokal triviale Faserung"/>
        <s v="Tangentialbündel mit differenzierbarer Struktur ist Vektorraumbündel"/>
        <s v="Vektorraumbündel zu S1"/>
        <s v="Lokale triviale Faserung über S1"/>
        <s v="Lokale triviale Faserung als Tripel von Totalraum, Basisraum, Bündelprojektion mit typischen Fasern"/>
        <s v="Reale Fasern in lokal trivialen Faserungen"/>
        <s v="Bündelkarten für offene Teilmengen der Basis"/>
        <s v="Bündelatlas für lokale triviale Faserungen"/>
        <s v="Faserkarte am Punkt x im Basisraum"/>
        <s v="Bündelkartenwechsel zwischen Bündelkarten"/>
        <s v="G-Faserbündel mit Liegruppen als Strukturgruppen"/>
        <s v="Prinzipalbüdel / Hauptfaserbündel"/>
        <s v="Beziehung zwischen Vektorraumbündeln und GL-Faserbündeln"/>
        <s v="(Differenzierbare) (Lokale) Schnitte in lokal trivialen Faserungen"/>
        <s v="Raum der differenzierbaren lokalen Schnitte"/>
        <s v="Raum der diff. lokalen Schnitte in Kreuzprodukten"/>
        <s v="Raum der diff. Lokalen Schnitte im Tangentialbündel"/>
        <s v="Jedes Vektorraumbündel hat einen lokalen Schnitt x auf O_x in E_x"/>
        <s v="Im Tangentialbündel existiert kein diff. Schnitt, der nirgends verschwindet"/>
        <s v="S1 auf S1, z auf z^2 gibt es keinen Schnitt"/>
        <s v="Raum der diff Schnitte in Vektorraumbündeln ist der Vektorraum von glatten Abbildungen auf M"/>
        <s v="Für Bündelkarten in Vektorraumbündeln existieren k lokale Schnitte, die an jeder Stelle eine Basis der realen Faser bilden"/>
        <s v="k lokale Schnitte, die bei Punkt eine Basis der Faser bilden, induzieren eine Bündelkarte"/>
        <s v="Bündelkarten in G-Prinzipalbündeln induzieren lokale Schnitte"/>
        <s v="Präbündel mit Strukturgruppe G zu Liegruppe G, Mfk, (disj) Vereinigung von punktweise Mfk und Projektion"/>
        <s v="Für Präbündel (E,pi,M) existiert auf E genau einem Topologie und differenzierbare Struktur, sodass (E,pi,M) ein Faserbündel mit Strukturgruppe G wird und Präbündelkarten Bündelkarten werden"/>
        <s v="Bündelstruktur von Tangentialbündel als Ergebnis der Konstruktion von Präbündeln"/>
        <s v="Präbündel zum GL-Prinzipalbündel"/>
        <s v="Präbündel zum O(n)-Prinzipalbündel für Riemannische Mfk"/>
        <s v="Direkte Summe von Vektorraumbündeln ergeben Prävektorraumbündel"/>
        <s v="Hom-Raum für Homomorphismen zwischen Vektorraumbündeln sind Vektorraumbündel"/>
        <s v="Mult"/>
        <s v="Sym"/>
        <s v="Alt"/>
        <s v="Bündelmetrik auf Totalraum ist ein Schnitt in Sym^2(E), sodass g pw. positiv definit "/>
        <s v="Riemannische Metrik als Bündelmetrik im Tangentialbündel"/>
        <s v="Gamma (Alt^k(TM))"/>
        <s v="Vektorraumbündel vom endlichen Typ"/>
        <s v="Tangentialbündel von S^n ist von endlichem Typ"/>
        <s v="Bündelabbildung zwischen Faserbündel mit Strukturgruppe"/>
        <s v="Bündelisomorphismus"/>
        <s v="Trivialisierung von Totalraum"/>
        <s v="Vektorraumbündelabbildung über diff. Abbildungen zwischen Vektorraumbündeln"/>
        <s v="Vektorraumbündelisomorphismus"/>
        <s v="Differential von glatten Abbildungen zw. Tangentialbündel von Mfk ist eine Vektorraumbündelabbildung über glatte Abbildung f"/>
        <s v="Induzierte Bündel durch Abbildungen"/>
        <s v="Schnitte in induzierten Bündeln längs f"/>
        <s v="Menge der Vektorfelder längs Kurven"/>
        <s v="Vektorraumbündel bzgl Grassmann-Mfk"/>
        <s v="Bündelabbildungen bzgl induzierte Bündel"/>
        <s v="Homotope Abbildungen in Faserbündel induzieren isomorphe Bündel"/>
        <s v="Induzierte Bündel bei Einbettungen von UnterMfk"/>
        <s v="Untervektorraumbündel"/>
        <s v="Untervektorraumbündel sind Vektorraumbündel"/>
        <s v="Quotienten-Räume bzgl Untervektorraumbündel sind Vektorraumbündel"/>
        <s v="Untervektorraumbündel bzgl Bündelmetrik"/>
        <s v="Tangentialbündel von UnterMfk sind Untervektorraumbündel"/>
        <s v="Normalenbündel von UnterMfk"/>
        <s v="Rang-Satz für Vektorraumhomomorphismen: Konstanter Rang impliziert ker und im sind Untervektorraumbündel"/>
        <s v="Charakterisierung von Vektorraumbündeln von endlichem Typ"/>
        <s v="Reduktionen von Faserbündeln mit Strukturgruppe bzgl abgeschlossener Untergruppe"/>
        <s v="Charakterisierung von orientierten Mfk"/>
        <s v="Ehresmannscher Faserungssatz: Totalräume mit eigentlich regulären Abbildungen in zusammenhängenden Basisraum implizieren eine lokale triviale Faserung"/>
        <s v="Erwartungswert eine Größe"/>
        <s v="Erwartungswert der Ortskoordinate"/>
        <s v="Erwartungswert des Impulsoperators im Impulsraum"/>
        <s v="Erwartungswert des Impulsoperators im Ortsraum"/>
        <s v="Basisdarstellungen im Funktionenraum"/>
        <s v="Mittlere Schwankungsquadrat / Varianz einer Größe"/>
        <s v="Heisenberg'sche Unschärfe-Relation"/>
        <s v="Doppelspaltexperiment"/>
        <s v="Wellen-Bild und Abstände der Inferenz-Maxima"/>
        <s v="Ein-Teilchen Inferenz"/>
        <s v="Hermitisch konjugierter Operator"/>
        <s v="(A*psi)^*=psi^*A^HK"/>
        <s v="Anwendung von Hermitische Konjugation auf Schrödinger Gleichung"/>
        <s v="Selbst-adjungierte Operatoren"/>
        <s v="Hermitische Konjugierte Schrödinger Gleichung"/>
        <s v="Zeitliche Entwicklung des Erwartungswertes"/>
        <s v="Ehrenfest-Theorem, falls Operator A zusätzlich von Zeit abhängt"/>
        <s v="Anwendung von Ehrenfest-Theorem auf Impuls- und Orts-Operator für Teilchen in Zeit-unabhängigem Potential"/>
        <s v="Erwartungswert von Operatoren gehorcht den klassischen Bewegungsgleichungen (Verträglich mit Korrespondenzprinzip)"/>
        <s v="Energie eines klassischen Teilchen in Potential"/>
        <s v="Verallgemeinerte Schrödinger-Gleichung mit Potential"/>
        <s v="Plausibilitätsbetrachtung für allg. Version der Schrödingergleichung"/>
        <s v="Deltadistributionen"/>
        <s v="Gaus-Approximation der Deltadistribution"/>
        <s v="Lorentz-Approximation der Deltadistribution"/>
        <s v="Fouriertransformation der Lorentz-Funktion"/>
        <s v="Quantenmechanischer Drehimpuls_x000a_- Komponenten durch Korrespondenz_x000a_- Kommutator Relationen zwischen Komponenten_x000a_- Relationen für Kommutator_x000a_- L^2,L_i kommutieren_x000a_Maximale Menge von kommutierenden (Drehimpuls) Operatoren"/>
        <s v="Hamiltonian mit komplexem Potential_x000a_- Kontinuitätsgleichung für komplexe Potential_x000a_- Evolution-Gleichung für totale Wahrscheinlichkeit_x000a_- Darstellung von totaler W-keit für W=w reell_x000a_- Totale W-keit für W=0_x000a_- Totale W-keit für W=w ungleich 0; Interpretation"/>
        <s v="Zusammenhang zwischen Streuwinkel in effektivem 1KP und Streuwinkel des Projektils im 2KP"/>
        <s v="Messung des Wirkungsquerschnitts vom Laborsystem aus: Experimentelle Größe ist Streuwinkel des Projektils"/>
        <s v="Streuprozess im CM-System"/>
        <s v="Herleitung des Zusammenhangs zwischen Streuwinkel des Projektils im Laborsystem und Streuwinkel im effektiven 1KP"/>
        <s v="Formel für Beziehung zwischen Streuwinkel des Projektils in Laborsystem und Streuwinkel in eff. 1KP"/>
        <s v="Grenzfälle der Beziehung zwischen Streuwinkel"/>
        <s v="Umrechnung von differentiellem Wirkungsquerschnitt im CMS in Laborsystem"/>
        <s v="Formel für Beziehung zwsichen diff. WQS im CMS und Laborsystem"/>
        <s v="Grenzfälle der Beziehung zwischen diff. WQS"/>
        <s v="Partieller Differentialoperator 2. Ordung"/>
        <s v="Elliptischer partieller Differentialoperator 2. Ordnung"/>
        <s v="Strikt elliptischer Differentialoperator 2. Ordnung"/>
        <s v="Uniform elliptischer Differentialoperator 2. Ordnung"/>
        <s v="Lineare elliptische Differentialoperatoren"/>
        <s v="Korrsp. Operator der Monge-Ampère Gleichung ist elliptisch für strikt konvexe Funktionen"/>
        <s v="Korrespondierender Operator zur Mittlere Krümmungs Gleichung ist uniform elliptisch"/>
        <s v="Parabolischer partieller Differentialoperator 2. Ordnung"/>
        <s v="Strikt parabolischer Differentialoperator 2. Ordnung"/>
        <s v="Uniform parabolischer Differentialoperator 2. Ordnung"/>
        <s v="Korresp. Operator zur Mittleren Krümmungsfluss Gleichung ist uniform parabolisch "/>
        <s v="Linearisierung von Differentialoperatoren"/>
        <s v="Elliptisches Vergleichsprinzip"/>
        <s v="Parabolisches Vergleichsprinzip"/>
        <s v="Tangentialbündel ist glatte Mfk"/>
        <s v="Differential und Untermannigfaltigkeit von regulären Werten"/>
        <s v="Lorentz-Skalarprodukt ist eine Metrik"/>
        <s v="Pullback-Metrik von Hyperbolischem Raum mit Lorentz-Metrik"/>
        <s v="Ring mit Eins"/>
        <s v="Ring ohne Eins"/>
        <s v="Kommutativer Ring"/>
        <s v="Körper sind Ringe"/>
        <s v="(Z,+,*) kommutaiver Ring"/>
        <s v="Ring der Funktionen"/>
        <s v="Matrizenringe über Körper"/>
        <s v="(End_k(V),+,komp) Ring"/>
        <s v="Matrizenring über Ring"/>
        <s v="Nullring"/>
        <s v="Produktring"/>
        <s v="Gruppenring mit Koeffizienten aus Körper"/>
        <s v="Eins eines Ringes mit Eins ist eindeutig"/>
        <s v="Rechenregeln für Ringe mit Eins"/>
        <s v="Wenn Ring mit 0=1, dann Nullring"/>
        <s v="Ringhomomorphismus"/>
        <s v="Ringhomomorphismen induzieren Gruppenhomomorphismen zwischen abelschen Gruppen"/>
        <s v="Pullback-Ringhomomorphismus"/>
        <s v="Einschränkung als Pullback der Inklusion"/>
        <s v="Auswertungshomomorphismus für Punkt-Inklusion"/>
        <s v="R-Linearkombination in Ringen"/>
        <s v="Unterring eines Ringes"/>
        <s v="Bild von Ringhomomorphismen ist ein Unterring"/>
        <s v="Einheiten in Ringen"/>
        <s v="Einheitsgruppe: Menge der Einheiten in Ringen sind Gruppe bzgl. Multiplikation in R"/>
        <s v="Einheitengruppe von ganzen Zahlen"/>
        <s v="Einheitengruppe von Gruppenringe"/>
        <s v="Einheiten von Matrizenringe mit Koeffizienten in Körper"/>
        <s v="Ringhomomorphismen bilden Einheiten auf Einheiten ab und induzieren G-Hom auf Einheitsgruppen"/>
        <s v="Schiefkörper als Ring mit Einheitsgruppe = R ohne 0"/>
        <s v="Körper als abelscher Schiefkörper"/>
        <s v="Quaternionen als nichtkommutativer Schiefkörper"/>
        <s v="Potenzreihenring mit Koeffizienten in Ring"/>
        <s v="Polynomring mit Koeffizienten in Ring als Unterring von Potenzreihenring"/>
        <s v="Eindeutige Darstellung in Polynomringen"/>
        <s v="Polynomring als Unterring der R-Linearkombinationen"/>
        <s v="Eigenschaften der Gradfunktion von Leitkoeffizienten"/>
        <s v="Identifikation von R als Unterring von Polynomring mit Koeff in R"/>
        <s v="Universelle Eigenschaft des Polynomringes: Auswertungs-Ringhomomorphismus"/>
        <s v="Auswertungshomomorphismus für Abbildung von Körper in Matrzenring "/>
        <s v="Auswertungshomomorphismus für Abbildung von Körper in Abbildungsring der End_V "/>
        <s v="Polynomring in n-Variablen mit Koeffizienten aus Ring"/>
        <s v="Eindeutige Darstellung in Polynomringen in n-Variablen"/>
        <s v="Multiindex-Schreibweise"/>
        <s v="Induzierter Ringautomorphismus auf Polynomring durch Permutation"/>
        <s v="Gruppenhomomorphismus zwischen Symmetrische Gruppe und Gruppe der Ring-Automorphismen des Polynomringes in n-Variablen"/>
        <s v="Symmetrisches Polynom"/>
        <s v="Elementarsymmetrische Polynom in n-Variablen"/>
        <s v="Vieta-Formel"/>
        <s v="Jedes symmetrische Polynom ist ein Polynom in den elementarsymmetrischen Polynomen"/>
        <s v="Kern von Ringhomomorphismen nicht i.A. Unterring"/>
        <s v="Ideal eines Ringes"/>
        <s v="Charakterisierung von Idealen"/>
        <s v="Rx sind Ideale von R"/>
        <s v="Kern eines R-Homs ist ein Ideal"/>
        <s v="R-Hom ist injektiv gdw Kern = 0"/>
        <s v="Von Teilmengen erzeugte Ideale"/>
        <s v="Warum ist die Menge der erzeugten R-Linearkombinationen eine Ideal?"/>
        <s v="Schnitte von Idealen sind Ideale"/>
        <s v="Erzeugendensysteme von Ideale"/>
        <s v="nZ"/>
        <s v="{0} und {1} in jedem Ring sind Ideale"/>
        <s v="(2,X) im Polynomring Z(X)"/>
        <s v="Vereinigung von aufsteigend inkludierten Idealen sind Ideale"/>
        <s v="Faktorring als Quotientenring bzgl, Ideale"/>
        <s v="Jedes Ideal ist Kern eines geeigneten R-Homs"/>
        <s v="Quotienten für Ideale in Ringen mit Quotientenabbildung"/>
        <s v="Faktorringe für Ideale mit kanonischer Projektion sind Quotienten"/>
        <s v="Quotientenabbildung ist surjektiv"/>
        <s v="Urbild von Idealen längs R-Homs ist Ideal"/>
        <s v="Bilder von Idealen längs surjektiven R-Homs sind Ideale"/>
        <s v="Homomorphisatz"/>
        <s v="Struktur von Faktorring bestimmen durch raten eines Isomorphismus zw S und R/I und I=ker(f)"/>
        <s v="Komplexen Zahlen isomorph zu Faktorring des Polynomringes in reellen Zahlen Mod (X^2+1)"/>
        <s v="Erster Isomorphiesatz"/>
        <s v="Zweiter Isomorphiesatz"/>
        <s v="Seperation der Variablen für Schrödinger Gleichung mit zeitunabhängigem Potential"/>
        <s v="Stationäre Schrödinger Gleichung als Eigenwertgleichung"/>
        <s v="Eigenwerte und Eigenfunktionen"/>
        <s v="Lineare Superposition von Lösungen der Schrödinger Gleichung mit zeitunabh. Potential"/>
        <s v="Eigenwert-Spektrum"/>
        <s v="Überlagerungen von orthonormierten Eigenfunktionen sind Lösungen"/>
        <s v="Eigenfunktionen des Impulsoperators"/>
        <s v="Eindimensionale, zeitunabhängige Potential (Heaviside) und zugehörige zeitunabhäängige Schrödinger Gleichung"/>
        <s v="Einfluss von Diskontinuitäten auf Wellenfunktion"/>
        <s v="Randbedingungen"/>
        <s v="Für konstante Potentiale wird die stationäre Schrödingergleichung durch ebene Wellen gelöst "/>
        <s v="Case: E&gt;V: Eigenenergie des Zustandes &gt; Potential"/>
        <s v="Superposition von einlaufende und reflektierte Welle für x&lt;=0"/>
        <s v="Teilchenfluss (W-keits-Stromdichte) der Superposition"/>
        <s v="Transmitierte Welle für x&gt;=0"/>
        <s v="Stetigkeitsbedingungen an Lösung"/>
        <s v="Teilchenstromerhaltung: W-keits-Teilchenstromdichte ist stetig bei x=0"/>
        <s v="Unterschied zur CM: Bei E&gt;V wird an der Potentialstufe ein Bruchteil des Elektrons reflektiert"/>
        <s v="Case: E&lt;V: Eigenenergie des Zustandes &lt; Potential"/>
        <s v="Allg. Lösung für x&lt;=0"/>
        <s v="Allg. Lösung für x&gt;=0"/>
        <s v="Normierbarkeit von u:: u bei 0 beschränkt:: B2=0"/>
        <s v="Stetigkeitsbedingungen an Lösung für E&lt;V bei x=0"/>
        <s v="W-keits-Stromdichte konstant 0:: Stehende Wellen transportieren keine Teilchen"/>
        <s v="Unterschied zur CM: Bei E&lt;V dringt ein Bruchteil des Teilchens auch in das verbotene Gebiet x&gt;0, klassisch exponentieller Abfall mit Eindingstiefe"/>
        <s v="Definition des allg. Partiellen Differentialoperators 2. Ordnung"/>
        <s v="Modul zu einem Ring"/>
        <s v="R-Modulhomomorphismus"/>
        <s v="Untermodul eines Moduls"/>
        <s v="Durch Teilmengen eines R-Moduls erzeugte Untermoduln"/>
        <s v="Kern und Bild eines R-Modulhomomorphismus"/>
        <s v="Innere Direkte Summe von Untermoduln"/>
        <s v="Direkte Summe von Moduln"/>
        <s v="Direkte Produkt von Moduln"/>
        <s v="Annulatorideal von R-Moduln"/>
        <s v="Zyklischer R-Modul"/>
        <s v="K-Vektorräume sind K-Moduln"/>
        <s v="Abelsche Gruppen sind Z-Moduln"/>
        <s v="Moduln bzgl Polynomringe in Körpern sind ein K-Vektorraum mit einem K-linearen Endo"/>
        <s v="Menge der Spaltentupel mit Elementen aus einem Ring ist mit komp. Add und diagonale R-Multip ein R-Moduln"/>
        <s v="Für Körper sind K-Modulnhomomorphismen K-lineare Abbildungen"/>
        <s v="Für Z sind Z-Modulnhomomorphismen Gruppenhomomorphismen"/>
        <s v="Für Polynomringe in Körpern sind Modulnhomomorphismen K-lineare Abbildungen, die mit X* Polynom kommutieren"/>
        <s v="Freie Moduln vom Rang n als isomorphe R-Moduln zu R^n"/>
        <s v="Für Körper sind Untermoduln Untervektorräume"/>
        <s v="Für Z sind Untermoduln Untergruppen"/>
        <s v="Für Polynomringe in Körpern sind Untermoduln Endo-Stabile Untervektorräume"/>
        <s v="Untermoduln eines Ringes sind Ideale"/>
        <s v="R-Modulhomomorphismus von Koeffizienten aus R^n in M für fixiertes Elemente-Tupel in R-Moduln: Surjektiv gdw Endlich erzeugt"/>
        <s v="TEST"/>
        <s v="TEST 2"/>
        <s v="TEST 3"/>
        <s v="TEST 4"/>
        <s v="TEST 5"/>
        <s v="…" u="1"/>
      </sharedItems>
    </cacheField>
    <cacheField name="CTyp" numFmtId="0">
      <sharedItems containsBlank="1" count="13">
        <s v="DEF"/>
        <s v="LEM"/>
        <s v="EXA"/>
        <m/>
        <s v="THEO"/>
        <s v="PROP"/>
        <s v="REM"/>
        <s v="PROOF"/>
        <s v="STUD"/>
        <s v="KORO"/>
        <s v="CONC"/>
        <s v="EXE"/>
        <s v="MOT"/>
      </sharedItems>
    </cacheField>
    <cacheField name="AQ-State" numFmtId="0">
      <sharedItems containsString="0" containsBlank="1" containsNumber="1" containsInteger="1" minValue="0" maxValue="1"/>
    </cacheField>
    <cacheField name="Layer" numFmtId="0">
      <sharedItems containsString="0" containsBlank="1" containsNumber="1" containsInteger="1" minValue="0" maxValue="3" count="5">
        <n v="1"/>
        <n v="2"/>
        <n v="3"/>
        <m/>
        <n v="0" u="1"/>
      </sharedItems>
    </cacheField>
    <cacheField name="Comp" numFmtId="0">
      <sharedItems containsString="0" containsBlank="1" containsNumber="1" containsInteger="1" minValue="1" maxValue="4"/>
    </cacheField>
    <cacheField name="RelInt" numFmtId="0">
      <sharedItems containsString="0" containsBlank="1" containsNumber="1" containsInteger="1" minValue="0" maxValue="5" count="7">
        <n v="5"/>
        <n v="3"/>
        <n v="4"/>
        <n v="2"/>
        <m/>
        <n v="1" u="1"/>
        <n v="0" u="1"/>
      </sharedItems>
    </cacheField>
    <cacheField name="RelId" numFmtId="0">
      <sharedItems containsString="0" containsBlank="1" containsNumber="1" containsInteger="1" minValue="2" maxValue="5"/>
    </cacheField>
    <cacheField name="Cont" numFmtId="0">
      <sharedItems containsNonDate="0" containsString="0" containsBlank="1"/>
    </cacheField>
    <cacheField name="Cint" numFmtId="2">
      <sharedItems containsSemiMixedTypes="0" containsString="0" containsNumber="1" minValue="0" maxValue="10.206105578132444" count="26">
        <n v="7.2832698403599609"/>
        <n v="7.4707698403599609"/>
        <n v="3.8325269612168924"/>
        <n v="5.5333665110238019"/>
        <n v="2.5230196807457705"/>
        <n v="8.3439300121397828"/>
        <n v="4.8094761878996088"/>
        <n v="3.4675646088337704"/>
        <n v="1.9508265581762823"/>
        <n v="5.7352849367469618"/>
        <n v="3.0350160387235787"/>
        <n v="6.0683906433495247"/>
        <n v="3.3121184032319735"/>
        <n v="4.1914549319579635"/>
        <n v="1.9318174811031832"/>
        <n v="10.206105578132444"/>
        <n v="2.5843847959067898"/>
        <n v="5.1952304715697029"/>
        <n v="0"/>
        <n v="3.3775444166311392"/>
        <n v="2.4220509860226236"/>
        <n v="2.2860024425665837"/>
        <n v="3.9355649207746723"/>
        <n v="3.0556092237531312"/>
        <n v="7.9305662093421851"/>
        <n v="2.1566539680719918" u="1"/>
      </sharedItems>
    </cacheField>
    <cacheField name="CID" numFmtId="2">
      <sharedItems containsSemiMixedTypes="0" containsString="0" containsNumber="1" minValue="0" maxValue="10.206105578132444"/>
    </cacheField>
    <cacheField name="SYS-State" numFmtId="0">
      <sharedItems containsNonDate="0" containsString="0" containsBlank="1"/>
    </cacheField>
    <cacheField name="Comments" numFmtId="0">
      <sharedItems containsBlank="1"/>
    </cacheField>
  </cacheFields>
  <extLst>
    <ext xmlns:x14="http://schemas.microsoft.com/office/spreadsheetml/2009/9/main" uri="{725AE2AE-9491-48be-B2B4-4EB974FC3084}">
      <x14:pivotCacheDefinition pivotCacheId="430805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m/>
    <s v="HA-1-00"/>
    <s v="Tensorprodukt von abelschen Gruppen (HmK)"/>
    <s v="Homologie mit Koeffizienten"/>
    <x v="0"/>
  </r>
  <r>
    <x v="0"/>
    <x v="0"/>
    <m/>
    <s v="HA-1-00"/>
    <s v="Torsionsprodukt von abelschen Gruppen (HmK)"/>
    <s v="Homologie mit Koeffizienten"/>
    <x v="1"/>
  </r>
  <r>
    <x v="0"/>
    <x v="0"/>
    <m/>
    <s v="HA-1-00"/>
    <s v="Homologisches Kreuzprodukt (HA)"/>
    <m/>
    <x v="2"/>
  </r>
  <r>
    <x v="0"/>
    <x v="0"/>
    <m/>
    <s v="HA-1-00"/>
    <s v="Homologische Algebra"/>
    <m/>
    <x v="3"/>
  </r>
  <r>
    <x v="0"/>
    <x v="0"/>
    <n v="1"/>
    <s v="HA-1-01"/>
    <s v="Kategorien und Funktoren in HA"/>
    <m/>
    <x v="4"/>
  </r>
  <r>
    <x v="0"/>
    <x v="0"/>
    <n v="2"/>
    <s v="HA-1-02"/>
    <s v="Moduln in HA"/>
    <m/>
    <x v="5"/>
  </r>
  <r>
    <x v="0"/>
    <x v="0"/>
    <n v="3"/>
    <s v="HA-1-03"/>
    <s v="Tensorprodukt in HA"/>
    <m/>
    <x v="6"/>
  </r>
  <r>
    <x v="0"/>
    <x v="0"/>
    <n v="4"/>
    <s v="HA-1-04"/>
    <s v="Abelsche Kategorien"/>
    <m/>
    <x v="7"/>
  </r>
  <r>
    <x v="0"/>
    <x v="0"/>
    <n v="5"/>
    <s v="HA-1-05"/>
    <s v="Homologie Funktor in HA"/>
    <m/>
    <x v="8"/>
  </r>
  <r>
    <x v="0"/>
    <x v="0"/>
    <n v="6"/>
    <s v="HA-1-06"/>
    <s v="Komplexe in HA"/>
    <m/>
    <x v="9"/>
  </r>
  <r>
    <x v="0"/>
    <x v="0"/>
    <n v="7"/>
    <s v="HA-1-07"/>
    <s v="Hilftslemma für Diagramme der HA"/>
    <m/>
    <x v="10"/>
  </r>
  <r>
    <x v="0"/>
    <x v="0"/>
    <n v="8"/>
    <s v="HA-1-08"/>
    <s v="Exaktheit von Sequenzen"/>
    <m/>
    <x v="11"/>
  </r>
  <r>
    <x v="0"/>
    <x v="0"/>
    <n v="10"/>
    <s v="HA-1-10"/>
    <s v="Splitting"/>
    <m/>
    <x v="12"/>
  </r>
  <r>
    <x v="0"/>
    <x v="0"/>
    <n v="12"/>
    <s v="HA-1-12"/>
    <s v="Kategorische Formulierung der Homologietheorie"/>
    <m/>
    <x v="13"/>
  </r>
  <r>
    <x v="0"/>
    <x v="0"/>
    <n v="14"/>
    <s v="HA-1-14"/>
    <s v="Homologie mit Koeffizienten"/>
    <m/>
    <x v="14"/>
  </r>
  <r>
    <x v="1"/>
    <x v="0"/>
    <n v="1"/>
    <s v="TOP1-1-01"/>
    <s v="Singuläre Homologie (SHT)"/>
    <m/>
    <x v="15"/>
  </r>
  <r>
    <x v="1"/>
    <x v="0"/>
    <n v="2"/>
    <s v="TOP1-1-02"/>
    <s v="Basics der SHT"/>
    <s v="Singuläre Homologie (SHT)"/>
    <x v="16"/>
  </r>
  <r>
    <x v="1"/>
    <x v="0"/>
    <n v="3"/>
    <s v="TOP1-1-03"/>
    <s v="Kategorische Formulierung der SHT"/>
    <s v="Singuläre Homologie (SHT)"/>
    <x v="17"/>
  </r>
  <r>
    <x v="1"/>
    <x v="0"/>
    <n v="4"/>
    <s v="TOP1-1-04"/>
    <s v="Unterteilung  und Ausschneidung in SHT"/>
    <s v="Singuläre Homologie (SHT)"/>
    <x v="18"/>
  </r>
  <r>
    <x v="1"/>
    <x v="0"/>
    <n v="5"/>
    <s v="TOP1-1-05"/>
    <s v="Mayer-Vietoris Sequenz in SHT"/>
    <s v="Singuläre Homologie (SHT)"/>
    <x v="19"/>
  </r>
  <r>
    <x v="1"/>
    <x v="0"/>
    <n v="6"/>
    <s v="TOP1-1-06"/>
    <s v="Kreuzprodukt in SHT"/>
    <s v="Singuläre Homologie (SHT)"/>
    <x v="20"/>
  </r>
  <r>
    <x v="1"/>
    <x v="0"/>
    <n v="7"/>
    <s v="TOP1-1-07"/>
    <s v="Kreuzprodukt auf Kettengruppenkomplexe in SHT"/>
    <s v="Kreuzprodukt in SHT"/>
    <x v="21"/>
  </r>
  <r>
    <x v="1"/>
    <x v="0"/>
    <n v="8"/>
    <s v="TOP1-1-08"/>
    <s v="Homologie Kreuzprodukt in SHT"/>
    <s v="Kreuzprodukt in SHT"/>
    <x v="22"/>
  </r>
  <r>
    <x v="1"/>
    <x v="0"/>
    <n v="9"/>
    <s v="TOP1-1-09"/>
    <s v="Absolute und Relative Homologie"/>
    <m/>
    <x v="23"/>
  </r>
  <r>
    <x v="1"/>
    <x v="0"/>
    <n v="9"/>
    <s v="TOP1-1-09"/>
    <s v="Reduzierte Homologie"/>
    <m/>
    <x v="24"/>
  </r>
  <r>
    <x v="2"/>
    <x v="0"/>
    <n v="1"/>
    <s v="GPDE-1-01"/>
    <s v="GPDE Basics"/>
    <m/>
    <x v="25"/>
  </r>
  <r>
    <x v="2"/>
    <x v="0"/>
    <n v="3"/>
    <s v="GPDE-1-03"/>
    <s v="Regularitätsklassen"/>
    <s v="GPDE Basics"/>
    <x v="26"/>
  </r>
  <r>
    <x v="2"/>
    <x v="0"/>
    <n v="2"/>
    <s v="GPDE-1-02"/>
    <s v="Differentialoperatoren"/>
    <s v="GPDE Basics"/>
    <x v="27"/>
  </r>
  <r>
    <x v="2"/>
    <x v="0"/>
    <n v="4"/>
    <s v="GPDE-1-04"/>
    <s v="Ungleichungen und Abschätzungen"/>
    <s v="GPDE Basics"/>
    <x v="28"/>
  </r>
  <r>
    <x v="2"/>
    <x v="0"/>
    <n v="5"/>
    <s v="GPDE-1-05"/>
    <s v="Maximum Prinzipien"/>
    <m/>
    <x v="29"/>
  </r>
  <r>
    <x v="2"/>
    <x v="0"/>
    <n v="6"/>
    <s v="GPDE-1-06"/>
    <s v="Schwache Maximum Prinzipien"/>
    <s v="Maximum Prinzipien"/>
    <x v="30"/>
  </r>
  <r>
    <x v="2"/>
    <x v="0"/>
    <n v="7"/>
    <s v="GPDE-1-07"/>
    <s v="Starke Maximum Prinzipien"/>
    <s v="Maximum Prinzipien"/>
    <x v="31"/>
  </r>
  <r>
    <x v="3"/>
    <x v="0"/>
    <n v="1"/>
    <s v="QM-1-01"/>
    <s v="Quantenmechanik"/>
    <m/>
    <x v="32"/>
  </r>
  <r>
    <x v="3"/>
    <x v="0"/>
    <n v="2"/>
    <s v="QM-1-02"/>
    <s v="Schrödinger Gleichung"/>
    <m/>
    <x v="33"/>
  </r>
  <r>
    <x v="3"/>
    <x v="0"/>
    <n v="3"/>
    <s v="QM-1-03"/>
    <s v="Wellenpakete in QM"/>
    <s v="Schrödinger Gleichung"/>
    <x v="34"/>
  </r>
  <r>
    <x v="3"/>
    <x v="0"/>
    <n v="4"/>
    <s v="QM-1-04"/>
    <s v="Einführung der Schrödinger Gleichung"/>
    <s v="Schrödinger Gleichung"/>
    <x v="35"/>
  </r>
  <r>
    <x v="3"/>
    <x v="0"/>
    <n v="5"/>
    <s v="QM-1-05"/>
    <s v="Herleitung für freie Teilchen"/>
    <s v="Einführung der Schrödinger Gleichung"/>
    <x v="36"/>
  </r>
  <r>
    <x v="3"/>
    <x v="0"/>
    <n v="6"/>
    <s v="QM-1-06"/>
    <s v="Teilchen in äußeren Potentialen"/>
    <s v="Einführung der Schrödinger Gleichung"/>
    <x v="37"/>
  </r>
  <r>
    <x v="3"/>
    <x v="0"/>
    <n v="7"/>
    <s v="QM-1-07"/>
    <s v="Operatoren"/>
    <s v="Einführung der Schrödinger Gleichung"/>
    <x v="38"/>
  </r>
  <r>
    <x v="3"/>
    <x v="0"/>
    <n v="8"/>
    <s v="QM-1-08"/>
    <s v="Korrespondenz Prinzip"/>
    <s v="Einführung der Schrödinger Gleichung"/>
    <x v="39"/>
  </r>
  <r>
    <x v="3"/>
    <x v="0"/>
    <n v="9"/>
    <s v="QM-1-09"/>
    <s v="Interpretation der Wellenfunktion"/>
    <s v="Schrödinger Gleichung"/>
    <x v="40"/>
  </r>
  <r>
    <x v="3"/>
    <x v="0"/>
    <n v="10"/>
    <s v="QM-1-10"/>
    <s v="Wahrscheinlichkeitsdichte"/>
    <s v="Interpretation der Wellenfunktion"/>
    <x v="41"/>
  </r>
  <r>
    <x v="3"/>
    <x v="0"/>
    <n v="11"/>
    <s v="QM-1-11"/>
    <s v="Kontinuitätsgleichung"/>
    <s v="Interpretation der Wellenfunktion"/>
    <x v="42"/>
  </r>
  <r>
    <x v="3"/>
    <x v="0"/>
    <n v="12"/>
    <s v="QM-1-12"/>
    <s v="Impulsraum"/>
    <s v="Interpretation der Wellenfunktion"/>
    <x v="43"/>
  </r>
  <r>
    <x v="3"/>
    <x v="0"/>
    <n v="13"/>
    <s v="QM-1-13"/>
    <s v="Erwartungswert"/>
    <s v="Interpretation der Wellenfunktion"/>
    <x v="44"/>
  </r>
  <r>
    <x v="3"/>
    <x v="0"/>
    <n v="14"/>
    <s v="QM-1-14"/>
    <s v="Beugung und Inferenz"/>
    <s v="Interpretation der Wellenfunktion"/>
    <x v="45"/>
  </r>
  <r>
    <x v="3"/>
    <x v="0"/>
    <n v="15"/>
    <s v="QM-1-15"/>
    <s v="Ehrenfest Theorem"/>
    <s v="Schrödinger Gleichung"/>
    <x v="46"/>
  </r>
  <r>
    <x v="3"/>
    <x v="0"/>
    <n v="16"/>
    <s v="QM-1-16"/>
    <s v="Hermitisch konjugierte Operatoren"/>
    <s v="Ehrenfest Theorem"/>
    <x v="47"/>
  </r>
  <r>
    <x v="3"/>
    <x v="0"/>
    <n v="17"/>
    <s v="QM-1-17"/>
    <s v="Bewegungsgleichung für Erwartungswert"/>
    <s v="Ehrenfest Theorem"/>
    <x v="48"/>
  </r>
  <r>
    <x v="3"/>
    <x v="0"/>
    <n v="18"/>
    <s v="QM-1-18"/>
    <s v="Quasiklassische Bewegung"/>
    <s v="Ehrenfest Theorem"/>
    <x v="49"/>
  </r>
  <r>
    <x v="4"/>
    <x v="0"/>
    <n v="1"/>
    <s v="QMS-1-01"/>
    <s v="Symmetrie in Quantenmechanik"/>
    <m/>
    <x v="50"/>
  </r>
  <r>
    <x v="4"/>
    <x v="0"/>
    <n v="2"/>
    <s v="QMS-1-02"/>
    <s v="Raum Translation"/>
    <s v="Symmetrie in Quantenmechanik"/>
    <x v="51"/>
  </r>
  <r>
    <x v="4"/>
    <x v="0"/>
    <n v="3"/>
    <s v="QMS-1-03"/>
    <s v="Zeit Translation"/>
    <s v="Symmetrie in Quantenmechanik"/>
    <x v="52"/>
  </r>
  <r>
    <x v="4"/>
    <x v="0"/>
    <n v="4"/>
    <s v="QMS-1-04"/>
    <s v="Rotation"/>
    <s v="Symmetrie in Quantenmechanik"/>
    <x v="53"/>
  </r>
  <r>
    <x v="4"/>
    <x v="0"/>
    <n v="5"/>
    <s v="QMS-1-05"/>
    <s v="Gruppentheorie für QMS"/>
    <m/>
    <x v="54"/>
  </r>
  <r>
    <x v="4"/>
    <x v="0"/>
    <n v="6"/>
    <s v="QMS-1-06"/>
    <s v="Basics Gruppentheorie für QMS"/>
    <s v="Gruppentheorie für QMS"/>
    <x v="55"/>
  </r>
  <r>
    <x v="4"/>
    <x v="0"/>
    <n v="7"/>
    <s v="QMS-1-07"/>
    <s v="Repräsentation von Gruppen"/>
    <s v="Gruppentheorie für QMS"/>
    <x v="56"/>
  </r>
  <r>
    <x v="4"/>
    <x v="0"/>
    <n v="8"/>
    <s v="QMS-1-08"/>
    <s v="Lie Gruppen"/>
    <s v="Gruppentheorie für QMS"/>
    <x v="57"/>
  </r>
  <r>
    <x v="4"/>
    <x v="0"/>
    <n v="9"/>
    <s v="QMS-1-09"/>
    <s v="Einfache und Semi-Einfache Lie Gruppen"/>
    <s v="Gruppentheorie für QMS"/>
    <x v="58"/>
  </r>
  <r>
    <x v="4"/>
    <x v="0"/>
    <n v="10"/>
    <s v="QMS-1-10"/>
    <s v="Qasimir Operator, Multiplet, Schur Lemma"/>
    <s v="Gruppentheorie für QMS"/>
    <x v="59"/>
  </r>
  <r>
    <x v="4"/>
    <x v="0"/>
    <n v="11"/>
    <s v="QMS-1-11"/>
    <s v="Gruppe SU(3)"/>
    <m/>
    <x v="60"/>
  </r>
  <r>
    <x v="4"/>
    <x v="0"/>
    <n v="12"/>
    <s v="QMS-1-12"/>
    <s v="Generatoren"/>
    <s v="Gruppe SU(3)"/>
    <x v="61"/>
  </r>
  <r>
    <x v="4"/>
    <x v="0"/>
    <n v="13"/>
    <s v="QMS-1-13"/>
    <s v="Struktur Konstanten"/>
    <s v="Gruppe SU(3)"/>
    <x v="62"/>
  </r>
  <r>
    <x v="4"/>
    <x v="0"/>
    <n v="14"/>
    <s v="QMS-1-14"/>
    <s v="Unteralgebren und Untergruppen"/>
    <s v="Gruppe SU(3)"/>
    <x v="63"/>
  </r>
  <r>
    <x v="4"/>
    <x v="0"/>
    <n v="15"/>
    <s v="QMS-1-15"/>
    <s v="Konstruktion von Multiplets von fundamentalen Repräsentationen"/>
    <s v="Gruppe SU(3)"/>
    <x v="64"/>
  </r>
  <r>
    <x v="4"/>
    <x v="0"/>
    <n v="16"/>
    <s v="QMS-1-16"/>
    <s v="Young Tableaux"/>
    <s v="Gruppe SU(3)"/>
    <x v="65"/>
  </r>
  <r>
    <x v="3"/>
    <x v="0"/>
    <n v="19"/>
    <s v="QM-1-19"/>
    <s v="QM-ÜB"/>
    <m/>
    <x v="66"/>
  </r>
  <r>
    <x v="3"/>
    <x v="0"/>
    <n v="20"/>
    <s v="QM-1-20"/>
    <s v="QM-ÜB-00: Hermitische Unitäre Matrizen"/>
    <s v="QM-ÜB"/>
    <x v="67"/>
  </r>
  <r>
    <x v="2"/>
    <x v="0"/>
    <n v="8"/>
    <s v="GPDE-1-08"/>
    <s v="Hopf Lemma"/>
    <s v="Maximum Prinzipien"/>
    <x v="68"/>
  </r>
  <r>
    <x v="2"/>
    <x v="0"/>
    <n v="9"/>
    <s v="GPDE-1-09"/>
    <s v="Vergleichsprinzipien für voll nicht-lineare Differentialoperatoren"/>
    <s v="Maximum Prinzipien"/>
    <x v="69"/>
  </r>
  <r>
    <x v="5"/>
    <x v="0"/>
    <n v="1"/>
    <s v="CM-1-01"/>
    <s v="Klassische Streutheorie"/>
    <m/>
    <x v="70"/>
  </r>
  <r>
    <x v="5"/>
    <x v="0"/>
    <n v="2"/>
    <s v="CM-1-02"/>
    <s v="Wirkungsquerschnitt"/>
    <s v="Klassische Streutheorie"/>
    <x v="71"/>
  </r>
  <r>
    <x v="5"/>
    <x v="0"/>
    <n v="3"/>
    <s v="CM-1-03"/>
    <s v="Berechnung des Wirkungsquerschnitts für elastische Streuung am Zentralpotential"/>
    <s v="Klassische Streutheorie"/>
    <x v="72"/>
  </r>
  <r>
    <x v="5"/>
    <x v="0"/>
    <n v="4"/>
    <s v="CM-1-04"/>
    <s v="Rücktransformation ins Laborsystem"/>
    <s v="Klassische Streutheorie"/>
    <x v="73"/>
  </r>
  <r>
    <x v="5"/>
    <x v="0"/>
    <n v="5"/>
    <s v="CM-1-05"/>
    <s v="2-Körper und effektives 1-Körper Problem"/>
    <m/>
    <x v="74"/>
  </r>
  <r>
    <x v="5"/>
    <x v="0"/>
    <n v="6"/>
    <s v="CM-1-06"/>
    <s v="CM-ÜB"/>
    <m/>
    <x v="75"/>
  </r>
  <r>
    <x v="5"/>
    <x v="0"/>
    <n v="7"/>
    <s v="CM-1-07"/>
    <s v="CM-ÜB-01: Streutheorie"/>
    <s v="CM-ÜB"/>
    <x v="76"/>
  </r>
  <r>
    <x v="6"/>
    <x v="0"/>
    <n v="1"/>
    <s v="RG-1-01"/>
    <s v="Differenzierbare Mannigfaltigkeiten"/>
    <m/>
    <x v="77"/>
  </r>
  <r>
    <x v="6"/>
    <x v="0"/>
    <n v="2"/>
    <s v="RG-1-02"/>
    <s v="Untermannigfaltigkeiten im euklidischen Raum"/>
    <s v="Differenzierbare Mannigfaltigkeiten"/>
    <x v="78"/>
  </r>
  <r>
    <x v="6"/>
    <x v="0"/>
    <n v="3"/>
    <s v="RG-1-03"/>
    <s v="Glatte Mannigfaltigkeiten"/>
    <s v="Differenzierbare Mannigfaltigkeiten"/>
    <x v="79"/>
  </r>
  <r>
    <x v="6"/>
    <x v="0"/>
    <n v="4"/>
    <s v="RG-1-04"/>
    <s v="Glatte Abbildungen und Vektorfelder"/>
    <s v="Differenzierbare Mannigfaltigkeiten"/>
    <x v="80"/>
  </r>
  <r>
    <x v="6"/>
    <x v="0"/>
    <n v="5"/>
    <s v="RG-1-05"/>
    <s v="Riemannische Mannigfaltigkeiten"/>
    <m/>
    <x v="81"/>
  </r>
  <r>
    <x v="6"/>
    <x v="0"/>
    <n v="6"/>
    <s v="RG-1-06"/>
    <s v="Definitionen und Beispiele"/>
    <s v="Riemannische Mannigfaltigkeiten"/>
    <x v="82"/>
  </r>
  <r>
    <x v="6"/>
    <x v="0"/>
    <n v="7"/>
    <s v="RG-1-07"/>
    <s v="Levi-Civita Zusammenhang"/>
    <s v="Riemannische Mannigfaltigkeiten"/>
    <x v="83"/>
  </r>
  <r>
    <x v="6"/>
    <x v="0"/>
    <n v="8"/>
    <s v="RG-1-08"/>
    <s v="Kovariante Ableitung längs einer Kurve"/>
    <s v="Riemannische Mannigfaltigkeiten"/>
    <x v="84"/>
  </r>
  <r>
    <x v="6"/>
    <x v="0"/>
    <n v="9"/>
    <s v="RG-1-09"/>
    <s v="Paralleltransport"/>
    <s v="Riemannische Mannigfaltigkeiten"/>
    <x v="85"/>
  </r>
  <r>
    <x v="6"/>
    <x v="0"/>
    <n v="10"/>
    <s v="RG-1-10"/>
    <s v="Geodätische und Exponentialabbildung"/>
    <m/>
    <x v="86"/>
  </r>
  <r>
    <x v="6"/>
    <x v="0"/>
    <n v="11"/>
    <s v="RG-1-11"/>
    <s v="Geodätische"/>
    <s v="Geodätische und Exponentialabbildung"/>
    <x v="87"/>
  </r>
  <r>
    <x v="6"/>
    <x v="0"/>
    <n v="12"/>
    <s v="RG-1-12"/>
    <s v="Exponentialabbildung"/>
    <s v="Geodätische und Exponentialabbildung"/>
    <x v="88"/>
  </r>
  <r>
    <x v="6"/>
    <x v="0"/>
    <n v="13"/>
    <s v="RG-1-13"/>
    <s v="Satz von Hopf-Rinow"/>
    <s v="Geodätische und Exponentialabbildung"/>
    <x v="89"/>
  </r>
  <r>
    <x v="6"/>
    <x v="0"/>
    <n v="14"/>
    <s v="RG-1-14"/>
    <s v="Riemannische Geometrie"/>
    <m/>
    <x v="90"/>
  </r>
  <r>
    <x v="7"/>
    <x v="0"/>
    <n v="1"/>
    <s v="TOP2-1-01"/>
    <s v="Topologie 2"/>
    <m/>
    <x v="91"/>
  </r>
  <r>
    <x v="6"/>
    <x v="0"/>
    <n v="15"/>
    <s v="RG-1-15"/>
    <s v="RG-ÜB"/>
    <m/>
    <x v="92"/>
  </r>
  <r>
    <x v="6"/>
    <x v="0"/>
    <n v="16"/>
    <s v="RG-1-16"/>
    <s v="RG-ÜB-01: Glatte Mannigfaltigkeiten"/>
    <s v="RG-ÜB"/>
    <x v="93"/>
  </r>
  <r>
    <x v="8"/>
    <x v="0"/>
    <n v="1"/>
    <s v="EFT1-1-01"/>
    <s v="Eichfeldtheorie"/>
    <m/>
    <x v="94"/>
  </r>
  <r>
    <x v="8"/>
    <x v="0"/>
    <n v="2"/>
    <s v="EFT1-1-02"/>
    <s v="Faserbündel"/>
    <m/>
    <x v="95"/>
  </r>
  <r>
    <x v="8"/>
    <x v="0"/>
    <n v="3"/>
    <s v="EFT1-1-03"/>
    <s v="Prinzipialbündel"/>
    <m/>
    <x v="96"/>
  </r>
  <r>
    <x v="8"/>
    <x v="0"/>
    <n v="4"/>
    <s v="EFT1-1-04"/>
    <s v="An- und Abmontieren von Fasern"/>
    <m/>
    <x v="97"/>
  </r>
  <r>
    <x v="8"/>
    <x v="0"/>
    <n v="5"/>
    <s v="EFT1-1-05"/>
    <s v="Lie Gruppen in EFT"/>
    <m/>
    <x v="98"/>
  </r>
  <r>
    <x v="8"/>
    <x v="0"/>
    <n v="6"/>
    <s v="EFT1-1-06"/>
    <s v="Invariante Vektorfelder und Differentialformen"/>
    <m/>
    <x v="99"/>
  </r>
  <r>
    <x v="8"/>
    <x v="0"/>
    <n v="7"/>
    <s v="EFT1-1-07"/>
    <s v="Lie Algebren in EFT"/>
    <m/>
    <x v="100"/>
  </r>
  <r>
    <x v="8"/>
    <x v="0"/>
    <n v="8"/>
    <s v="EFT1-1-08"/>
    <s v="Exponentialabbildung in EFT"/>
    <m/>
    <x v="101"/>
  </r>
  <r>
    <x v="8"/>
    <x v="0"/>
    <n v="8"/>
    <s v="EFT1-1-08"/>
    <s v="Homogene Räume"/>
    <m/>
    <x v="102"/>
  </r>
  <r>
    <x v="3"/>
    <x v="0"/>
    <n v="21"/>
    <s v="QM-1-21"/>
    <s v="Eindimensionale Systeme"/>
    <m/>
    <x v="103"/>
  </r>
  <r>
    <x v="3"/>
    <x v="0"/>
    <n v="22"/>
    <s v="QM-1-22"/>
    <s v="Stationäre Schrödinger Gleichung"/>
    <s v="Eindimensionale Systeme"/>
    <x v="104"/>
  </r>
  <r>
    <x v="3"/>
    <x v="0"/>
    <n v="23"/>
    <s v="QM-1-23"/>
    <s v="Eindimensionale Potentialstufe"/>
    <s v="Eindimensionale Systeme"/>
    <x v="105"/>
  </r>
  <r>
    <x v="3"/>
    <x v="0"/>
    <n v="24"/>
    <s v="QM-1-24"/>
    <s v="Streuzustände"/>
    <s v="Eindimensionale Potentialstufe"/>
    <x v="106"/>
  </r>
  <r>
    <x v="3"/>
    <x v="0"/>
    <n v="25"/>
    <s v="QM-1-25"/>
    <s v="Reflektierte Zustände"/>
    <s v="Eindimensionale Potentialstufe"/>
    <x v="107"/>
  </r>
  <r>
    <x v="3"/>
    <x v="0"/>
    <n v="26"/>
    <s v="QM-1-26"/>
    <s v="Potentialbarriere"/>
    <s v="Eindimensionale Systeme"/>
    <x v="108"/>
  </r>
  <r>
    <x v="3"/>
    <x v="0"/>
    <n v="27"/>
    <s v="QM-1-27"/>
    <s v="Unendlich tiefer Potentialtopf"/>
    <s v="Eindimensionale Systeme"/>
    <x v="109"/>
  </r>
  <r>
    <x v="3"/>
    <x v="0"/>
    <n v="28"/>
    <s v="QM-1-28"/>
    <s v="Potentialtopf mit endlicher Tiefe"/>
    <s v="Eindimensionale Systeme"/>
    <x v="110"/>
  </r>
  <r>
    <x v="3"/>
    <x v="0"/>
    <n v="29"/>
    <s v="QM-1-29"/>
    <s v="Paritätsoperator"/>
    <s v="Eindimensionale Systeme"/>
    <x v="111"/>
  </r>
  <r>
    <x v="3"/>
    <x v="0"/>
    <n v="30"/>
    <s v="QM-1-30"/>
    <s v="Zusammenfassung"/>
    <s v="Eindimensionale Systeme"/>
    <x v="112"/>
  </r>
  <r>
    <x v="3"/>
    <x v="0"/>
    <n v="31"/>
    <s v="QM-1-31"/>
    <s v="QM-ÜB-01: Delta-Distribution, Kommutator und W-keit"/>
    <s v="QM-ÜB"/>
    <x v="113"/>
  </r>
  <r>
    <x v="3"/>
    <x v="0"/>
    <n v="32"/>
    <s v="QM-1-32"/>
    <s v="QM-Ex"/>
    <m/>
    <x v="114"/>
  </r>
  <r>
    <x v="3"/>
    <x v="0"/>
    <n v="33"/>
    <s v="QM-1-33"/>
    <s v="QM-Ex-ÜB 00"/>
    <m/>
    <x v="115"/>
  </r>
  <r>
    <x v="5"/>
    <x v="0"/>
    <n v="8"/>
    <s v="CM-1-08"/>
    <s v="CM-ÜB-02: Runge-Lenz-Vektor, 1KP und Zwangsbedingungen"/>
    <s v="CM-ÜB"/>
    <x v="116"/>
  </r>
  <r>
    <x v="6"/>
    <x v="0"/>
    <n v="17"/>
    <s v="RG-1-17"/>
    <s v="RG-ÜB-02: Tangentialbündel und Hyperbolischer Raum"/>
    <s v="RG-ÜB"/>
    <x v="117"/>
  </r>
  <r>
    <x v="0"/>
    <x v="0"/>
    <n v="15"/>
    <s v="HA-1-15"/>
    <s v="HOM-Funktor"/>
    <m/>
    <x v="118"/>
  </r>
  <r>
    <x v="9"/>
    <x v="0"/>
    <n v="1"/>
    <s v="A-1-01"/>
    <s v="Algebra"/>
    <m/>
    <x v="119"/>
  </r>
  <r>
    <x v="9"/>
    <x v="0"/>
    <n v="2"/>
    <s v="A-1-02"/>
    <s v="Ringe"/>
    <m/>
    <x v="120"/>
  </r>
  <r>
    <x v="9"/>
    <x v="0"/>
    <n v="3"/>
    <s v="A-1-03"/>
    <s v="Ringe Basics"/>
    <s v="Ringe"/>
    <x v="121"/>
  </r>
  <r>
    <x v="9"/>
    <x v="0"/>
    <n v="4"/>
    <s v="A-1-04"/>
    <s v="Potenzreihenringe und Polynomringe"/>
    <s v="Ringe"/>
    <x v="122"/>
  </r>
  <r>
    <x v="9"/>
    <x v="0"/>
    <n v="5"/>
    <s v="A-1-05"/>
    <s v="Ideale und Quotienten"/>
    <s v="Ringe"/>
    <x v="123"/>
  </r>
  <r>
    <x v="4"/>
    <x v="0"/>
    <n v="17"/>
    <s v="QMS-1-17"/>
    <s v="QMS-Ex"/>
    <m/>
    <x v="124"/>
  </r>
  <r>
    <x v="4"/>
    <x v="0"/>
    <n v="18"/>
    <s v="QMS-1-18"/>
    <s v="QMS-ÜB"/>
    <m/>
    <x v="125"/>
  </r>
  <r>
    <x v="4"/>
    <x v="0"/>
    <n v="19"/>
    <s v="QMS-1-19"/>
    <s v="QMS-ÜB-01"/>
    <s v="QMS-ÜB"/>
    <x v="126"/>
  </r>
  <r>
    <x v="3"/>
    <x v="0"/>
    <n v="34"/>
    <s v="QM-1-34"/>
    <s v="QM-ÜB-02:"/>
    <s v="QM-ÜB"/>
    <x v="127"/>
  </r>
  <r>
    <x v="5"/>
    <x v="0"/>
    <n v="9"/>
    <s v="CM-1-09"/>
    <s v="CM-Ex"/>
    <m/>
    <x v="128"/>
  </r>
  <r>
    <x v="4"/>
    <x v="0"/>
    <n v="20"/>
    <s v="QMS-1-20"/>
    <s v="QMS-VL"/>
    <m/>
    <x v="129"/>
  </r>
  <r>
    <x v="9"/>
    <x v="0"/>
    <n v="6"/>
    <s v="A-1-06"/>
    <s v="Moduln"/>
    <m/>
    <x v="130"/>
  </r>
  <r>
    <x v="9"/>
    <x v="0"/>
    <n v="7"/>
    <s v="A-1-07"/>
    <s v="Moduln Grundlagen"/>
    <s v="Moduln"/>
    <x v="131"/>
  </r>
  <r>
    <x v="6"/>
    <x v="0"/>
    <n v="18"/>
    <s v="RG-1-18"/>
    <s v="RG_ÜB_03: Christoffelsymbole und Kovariante Ableitung entlang Kurven"/>
    <s v="RG-ÜB"/>
    <x v="132"/>
  </r>
  <r>
    <x v="5"/>
    <x v="0"/>
    <n v="10"/>
    <s v="CM-1-10"/>
    <s v="CM_ÜB_03: Kinetische Energie in Lagrange, Rollpendel, Trafo von Kart. Koord, Alembert"/>
    <s v="CM-ÜB"/>
    <x v="1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0"/>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3"/>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0"/>
    <d v="1904-01-01T06:55:00"/>
    <m/>
    <d v="1904-01-01T06:55:00"/>
    <d v="1904-01-01T00:00:00"/>
    <m/>
    <d v="1904-01-01T00:00:00"/>
    <d v="1904-01-01T00:00:00"/>
    <m/>
    <d v="1904-01-01T00:00:00"/>
    <d v="1904-01-01T00:00:00"/>
    <m/>
    <d v="1904-01-01T00:00:00"/>
    <d v="1904-01-01T01:10:00"/>
    <m/>
    <d v="1904-01-01T01:10:00"/>
    <d v="1904-01-01T00:00:00"/>
    <m/>
    <d v="1904-01-01T00:00:00"/>
    <d v="1904-01-01T00:00:00"/>
    <m/>
    <d v="1904-01-01T00:00:00"/>
    <d v="1904-01-01T00:00:00"/>
    <m/>
    <d v="1904-01-01T00:00:00"/>
    <d v="1904-01-01T08:05:00"/>
    <d v="1904-01-01T00:00:00"/>
    <d v="1904-01-01T08:05:00"/>
    <d v="1904-01-01T08:05:00"/>
  </r>
  <r>
    <x v="2"/>
    <x v="3"/>
    <d v="1904-01-01T07:55:00"/>
    <m/>
    <d v="1904-01-01T07:55:00"/>
    <d v="1904-01-01T00:00:00"/>
    <m/>
    <d v="1904-01-01T00:00:00"/>
    <d v="1904-01-01T00:00:00"/>
    <m/>
    <d v="1904-01-01T00:00:00"/>
    <d v="1904-01-01T00:00:00"/>
    <m/>
    <d v="1904-01-01T00:00:00"/>
    <d v="1904-01-01T06:10:00"/>
    <m/>
    <d v="1904-01-01T06:10:00"/>
    <d v="1904-01-01T00:00:00"/>
    <m/>
    <d v="1904-01-01T00:00:00"/>
    <d v="1904-01-01T00:00:00"/>
    <m/>
    <d v="1904-01-01T00:00:00"/>
    <d v="1904-01-01T00:00:00"/>
    <m/>
    <d v="1904-01-01T00:00:00"/>
    <d v="1904-01-01T14:05:00"/>
    <d v="1904-01-01T00:00:00"/>
    <d v="1904-01-01T14:05:00"/>
    <d v="1904-01-01T14:05:00"/>
  </r>
  <r>
    <x v="2"/>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2"/>
    <d v="1904-01-01T00:00:00"/>
    <m/>
    <d v="1904-01-01T00:00:00"/>
    <d v="1904-01-01T00:50:00"/>
    <m/>
    <d v="1904-01-01T00:50:00"/>
    <d v="1904-01-01T00:00:00"/>
    <m/>
    <d v="1904-01-01T00:00:00"/>
    <d v="1904-01-01T00:00:00"/>
    <m/>
    <d v="1904-01-01T00:00:00"/>
    <d v="1904-01-01T00:00:00"/>
    <m/>
    <d v="1904-01-01T00:00:00"/>
    <d v="1904-01-01T00:00:00"/>
    <m/>
    <d v="1904-01-01T00:00:00"/>
    <d v="1904-01-01T00:00:00"/>
    <m/>
    <d v="1904-01-01T00:00:00"/>
    <d v="1904-01-01T00:00:00"/>
    <m/>
    <d v="1904-01-01T00:00:00"/>
    <d v="1904-01-01T00:50:00"/>
    <d v="1904-01-01T00:00:00"/>
    <d v="1904-01-01T00:50:00"/>
    <d v="1904-01-01T00:50:00"/>
  </r>
  <r>
    <x v="3"/>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5"/>
    <d v="1904-01-01T00:00:00"/>
    <m/>
    <d v="1904-01-01T00:00:00"/>
    <d v="1904-01-01T00:00:00"/>
    <m/>
    <d v="1904-01-01T00:00:00"/>
    <d v="1904-01-01T00:00:00"/>
    <d v="1904-01-01T01:45:00"/>
    <n v="-7.2916666666666671E-2"/>
    <d v="1904-01-01T00:00:00"/>
    <m/>
    <d v="1904-01-01T00:00:00"/>
    <d v="1904-01-01T00:00:00"/>
    <m/>
    <d v="1904-01-01T00:00:00"/>
    <d v="1904-01-01T00:00:00"/>
    <m/>
    <d v="1904-01-01T00:00:00"/>
    <d v="1904-01-01T00:00:00"/>
    <m/>
    <d v="1904-01-01T00:00:00"/>
    <d v="1904-01-01T00:00:00"/>
    <m/>
    <d v="1904-01-01T00:00:00"/>
    <d v="1904-01-01T00:00:00"/>
    <d v="1904-01-01T01:45:00"/>
    <n v="-7.2916666666666671E-2"/>
    <d v="1904-01-01T00:00:00"/>
  </r>
  <r>
    <x v="3"/>
    <x v="1"/>
    <d v="1904-01-01T04:25:00"/>
    <d v="1904-01-01T01:30:00"/>
    <d v="1904-01-01T02:55:00"/>
    <d v="1904-01-01T00:00:00"/>
    <m/>
    <d v="1904-01-01T00:00:00"/>
    <d v="1904-01-01T01:45:00"/>
    <d v="1904-01-01T01:45:00"/>
    <d v="1904-01-01T00:00:00"/>
    <d v="1904-01-01T00:00:00"/>
    <m/>
    <d v="1904-01-01T00:00:00"/>
    <d v="1904-01-01T00:00:00"/>
    <m/>
    <d v="1904-01-01T00:00:00"/>
    <d v="1904-01-01T00:00:00"/>
    <m/>
    <d v="1904-01-01T00:00:00"/>
    <d v="1904-01-01T00:00:00"/>
    <m/>
    <d v="1904-01-01T00:00:00"/>
    <d v="1904-01-01T00:25:00"/>
    <m/>
    <d v="1904-01-01T00:25:00"/>
    <d v="1904-01-01T06:35:00"/>
    <d v="1904-01-01T03:15:00"/>
    <d v="1904-01-01T03:20:00"/>
    <d v="1904-01-01T03:20:00"/>
  </r>
  <r>
    <x v="3"/>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11"/>
    <d v="1904-01-01T01:50:00"/>
    <d v="1904-01-01T01:30:00"/>
    <d v="1904-01-01T00:20:00"/>
    <d v="1904-01-01T00:00:00"/>
    <m/>
    <d v="1904-01-01T00:00:00"/>
    <d v="1904-01-01T00:00:00"/>
    <m/>
    <d v="1904-01-01T00:00:00"/>
    <d v="1904-01-01T00:00:00"/>
    <m/>
    <d v="1904-01-01T00:00:00"/>
    <d v="1904-01-01T00:00:00"/>
    <m/>
    <d v="1904-01-01T00:00:00"/>
    <d v="1904-01-01T00:00:00"/>
    <m/>
    <d v="1904-01-01T00:00:00"/>
    <d v="1904-01-01T01:55:00"/>
    <d v="1904-01-01T01:30:00"/>
    <d v="1904-01-01T00:25:00"/>
    <d v="1904-01-01T00:00:00"/>
    <m/>
    <d v="1904-01-01T00:00:00"/>
    <d v="1904-01-01T03:45:00"/>
    <d v="1904-01-01T03:00:00"/>
    <d v="1904-01-01T00:45:00"/>
    <d v="1904-01-01T00:45:00"/>
  </r>
  <r>
    <x v="3"/>
    <x v="12"/>
    <d v="1904-01-01T01:00:00"/>
    <d v="1904-01-01T02:00:00"/>
    <n v="-4.1666666666666664E-2"/>
    <d v="1904-01-01T00:40:00"/>
    <m/>
    <d v="1904-01-01T00:40:00"/>
    <d v="1904-01-01T00:00:00"/>
    <d v="1904-01-01T01:45:00"/>
    <n v="-7.2916666666666671E-2"/>
    <d v="1904-01-01T00:00:00"/>
    <m/>
    <d v="1904-01-01T00:00:00"/>
    <d v="1904-01-01T00:00:00"/>
    <m/>
    <d v="1904-01-01T00:00:00"/>
    <d v="1904-01-01T00:00:00"/>
    <m/>
    <d v="1904-01-01T00:00:00"/>
    <d v="1904-01-01T02:05:00"/>
    <d v="1904-01-01T02:00:00"/>
    <d v="1904-01-01T00:05:00"/>
    <d v="1904-01-01T00:00:00"/>
    <m/>
    <d v="1904-01-01T00:00:00"/>
    <d v="1904-01-01T03:45:00"/>
    <d v="1904-01-01T05:45:00"/>
    <n v="-8.3333333333333315E-2"/>
    <n v="-1.0416666666666644E-2"/>
  </r>
  <r>
    <x v="3"/>
    <x v="10"/>
    <d v="1904-01-01T00:00:00"/>
    <d v="1904-01-01T00:30:00"/>
    <n v="-2.0833333333333332E-2"/>
    <d v="1904-01-01T00:00:00"/>
    <m/>
    <d v="1904-01-01T00:00:00"/>
    <d v="1904-01-01T01:45:00"/>
    <d v="1904-01-01T01:45:00"/>
    <d v="1904-01-01T00:00:00"/>
    <d v="1904-01-01T00:00:00"/>
    <m/>
    <d v="1904-01-01T00:00:00"/>
    <d v="1904-01-01T00:00:00"/>
    <m/>
    <d v="1904-01-01T00:00:00"/>
    <d v="1904-01-01T00:00:00"/>
    <m/>
    <d v="1904-01-01T00:00:00"/>
    <d v="1904-01-01T00:00:00"/>
    <d v="1904-01-01T01:30:00"/>
    <n v="-6.25E-2"/>
    <d v="1904-01-01T00:00:00"/>
    <m/>
    <d v="1904-01-01T00:00:00"/>
    <d v="1904-01-01T01:45:00"/>
    <d v="1904-01-01T03:45:00"/>
    <n v="-8.3333333333333329E-2"/>
    <n v="-8.3333333333333329E-2"/>
  </r>
  <r>
    <x v="4"/>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0:00"/>
    <d v="1904-01-01T01:30:00"/>
    <d v="1904-01-01T00:10:00"/>
    <d v="1904-01-01T00:00:00"/>
    <m/>
    <d v="1904-01-01T00:00:00"/>
    <d v="1904-01-01T01:40:00"/>
    <d v="1904-01-01T05:45:00"/>
    <n v="-0.1701388888888889"/>
    <n v="-6.5972222222222224E-2"/>
  </r>
  <r>
    <x v="4"/>
    <x v="4"/>
    <d v="1904-01-01T00:00:00"/>
    <d v="1904-01-01T02:00:00"/>
    <n v="-8.3333333333333329E-2"/>
    <d v="1904-01-01T01:10:00"/>
    <m/>
    <d v="1904-01-01T01:10:00"/>
    <d v="1904-01-01T00:00:00"/>
    <m/>
    <d v="1904-01-01T00:00:00"/>
    <d v="1904-01-01T00:00:00"/>
    <m/>
    <d v="1904-01-01T00:00:00"/>
    <d v="1904-01-01T00:00:00"/>
    <m/>
    <d v="1904-01-01T00:00:00"/>
    <d v="1904-01-01T00:00:00"/>
    <m/>
    <d v="1904-01-01T00:00:00"/>
    <d v="1904-01-01T00:00:00"/>
    <m/>
    <d v="1904-01-01T00:00:00"/>
    <d v="1904-01-01T00:00:00"/>
    <m/>
    <d v="1904-01-01T00:00:00"/>
    <d v="1904-01-01T01:10:00"/>
    <d v="1904-01-01T02:00:00"/>
    <n v="-3.4722222222222217E-2"/>
    <n v="-3.4722222222222217E-2"/>
  </r>
  <r>
    <x v="4"/>
    <x v="5"/>
    <d v="1904-01-01T00:00:00"/>
    <d v="1904-01-01T01:30:00"/>
    <n v="-6.25E-2"/>
    <d v="1904-01-01T01:00:00"/>
    <m/>
    <d v="1904-01-01T01:00:00"/>
    <d v="1904-01-01T00:00:00"/>
    <d v="1904-01-01T01:45:00"/>
    <n v="-7.2916666666666671E-2"/>
    <d v="1904-01-01T00:00:00"/>
    <m/>
    <d v="1904-01-01T00:00:00"/>
    <d v="1904-01-01T00:00:00"/>
    <m/>
    <d v="1904-01-01T00:00:00"/>
    <d v="1904-01-01T00:00:00"/>
    <m/>
    <d v="1904-01-01T00:00:00"/>
    <d v="1904-01-01T00:00:00"/>
    <m/>
    <d v="1904-01-01T00:00:00"/>
    <d v="1904-01-01T00:00:00"/>
    <m/>
    <d v="1904-01-01T00:00:00"/>
    <d v="1904-01-01T01:00:00"/>
    <d v="1904-01-01T03:15:00"/>
    <n v="-9.3750000000000028E-2"/>
    <n v="-2.0833333333333356E-2"/>
  </r>
  <r>
    <x v="4"/>
    <x v="1"/>
    <d v="1904-01-01T03:10:00"/>
    <d v="1904-01-01T03:05:00"/>
    <d v="1904-01-01T00:05:00"/>
    <d v="1904-01-01T00:00:00"/>
    <m/>
    <d v="1904-01-01T00:00:00"/>
    <d v="1904-01-01T01:30:00"/>
    <d v="1904-01-01T01:45:00"/>
    <n v="-1.0416666666666671E-2"/>
    <d v="1904-01-01T00:00:00"/>
    <m/>
    <d v="1904-01-01T00:00:00"/>
    <d v="1904-01-01T03:10:00"/>
    <m/>
    <d v="1904-01-01T03:10:00"/>
    <d v="1904-01-01T00:00:00"/>
    <m/>
    <d v="1904-01-01T00:00:00"/>
    <d v="1904-01-01T00:00:00"/>
    <m/>
    <d v="1904-01-01T00:00:00"/>
    <d v="1904-01-01T00:00:00"/>
    <d v="1904-01-01T00:25:00"/>
    <n v="-1.7361111111111112E-2"/>
    <d v="1904-01-01T07:50:00"/>
    <d v="1904-01-01T05:15:00"/>
    <d v="1904-01-01T02:35:00"/>
    <d v="1904-01-01T02:50:00"/>
  </r>
  <r>
    <x v="4"/>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4"/>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4"/>
    <x v="11"/>
    <d v="1904-01-01T00:25:00"/>
    <d v="1904-01-01T01:30:00"/>
    <n v="-4.5138888888888888E-2"/>
    <d v="1904-01-01T00:00:00"/>
    <m/>
    <d v="1904-01-01T00:00:00"/>
    <d v="1904-01-01T00:00:00"/>
    <m/>
    <d v="1904-01-01T00:00:00"/>
    <d v="1904-01-01T00:00:00"/>
    <d v="1904-01-01T01:45:00"/>
    <n v="-7.2916666666666671E-2"/>
    <d v="1904-01-01T00:00:00"/>
    <m/>
    <d v="1904-01-01T00:00:00"/>
    <d v="1904-01-01T00:00:00"/>
    <m/>
    <d v="1904-01-01T00:00:00"/>
    <d v="1904-01-01T02:45:00"/>
    <d v="1904-01-01T01:30:00"/>
    <d v="1904-01-01T01:15:00"/>
    <d v="1904-01-01T00:00:00"/>
    <m/>
    <d v="1904-01-01T00:00:00"/>
    <d v="1904-01-01T03:10:00"/>
    <d v="1904-01-01T04:45:00"/>
    <n v="-6.5972222222222238E-2"/>
    <d v="1904-01-01T00:10:00"/>
  </r>
  <r>
    <x v="4"/>
    <x v="12"/>
    <d v="1904-01-01T02:35:00"/>
    <d v="1904-01-01T02:00:00"/>
    <d v="1904-01-01T00:35:00"/>
    <d v="1904-01-01T01:00:00"/>
    <m/>
    <d v="1904-01-01T01:00:00"/>
    <d v="1904-01-01T00:00:00"/>
    <d v="1904-01-01T01:45:00"/>
    <n v="-7.2916666666666671E-2"/>
    <d v="1904-01-01T01:30:00"/>
    <d v="1904-01-01T01:45:00"/>
    <n v="-1.0416666666666671E-2"/>
    <d v="1904-01-01T00:00:00"/>
    <m/>
    <d v="1904-01-01T00:00:00"/>
    <d v="1904-01-01T00:00:00"/>
    <m/>
    <d v="1904-01-01T00:00:00"/>
    <d v="1904-01-01T02:40:00"/>
    <d v="1904-01-01T02:00:00"/>
    <d v="1904-01-01T00:40:00"/>
    <d v="1904-01-01T00:00:00"/>
    <m/>
    <d v="1904-01-01T00:00:00"/>
    <d v="1904-01-01T07:45:00"/>
    <d v="1904-01-01T07:30:00"/>
    <d v="1904-01-01T00:15:00"/>
    <d v="1904-01-01T02:15:00"/>
  </r>
  <r>
    <x v="4"/>
    <x v="10"/>
    <d v="1904-01-01T00:00:00"/>
    <d v="1904-01-01T00:45:00"/>
    <n v="-3.125E-2"/>
    <d v="1904-01-01T00:00:00"/>
    <m/>
    <d v="1904-01-01T00:00:00"/>
    <d v="1904-01-01T00:00:00"/>
    <d v="1904-01-01T01:45:00"/>
    <n v="-7.2916666666666671E-2"/>
    <d v="1904-01-01T00:00:00"/>
    <m/>
    <d v="1904-01-01T00:00:00"/>
    <d v="1904-01-01T00:00:00"/>
    <m/>
    <d v="1904-01-01T00:00:00"/>
    <d v="1904-01-01T00:00:00"/>
    <m/>
    <d v="1904-01-01T00:00:00"/>
    <d v="1904-01-01T00:00:00"/>
    <d v="1904-01-01T01:15:00"/>
    <n v="-5.2083333333333336E-2"/>
    <d v="1904-01-01T00:00:00"/>
    <m/>
    <d v="1904-01-01T00:00:00"/>
    <d v="1904-01-01T00:00:00"/>
    <d v="1904-01-01T03:45:00"/>
    <n v="-0.15625"/>
    <n v="-8.3333333333333329E-2"/>
  </r>
  <r>
    <x v="5"/>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5:00"/>
    <d v="1904-01-01T01:30:00"/>
    <d v="1904-01-01T00:15:00"/>
    <d v="1904-01-01T00:00:00"/>
    <m/>
    <d v="1904-01-01T00:00:00"/>
    <d v="1904-01-01T01:45:00"/>
    <d v="1904-01-01T05:45:00"/>
    <n v="-0.16666666666666669"/>
    <n v="-6.2500000000000014E-2"/>
  </r>
  <r>
    <x v="5"/>
    <x v="4"/>
    <d v="1904-01-01T00:00:00"/>
    <d v="1904-01-01T02:00:00"/>
    <n v="-8.3333333333333329E-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2:00:00"/>
    <n v="-8.3333333333333329E-2"/>
    <n v="-8.3333333333333329E-2"/>
  </r>
  <r>
    <x v="5"/>
    <x v="5"/>
    <d v="1904-01-01T00:00:00"/>
    <d v="1904-01-01T01:30:00"/>
    <n v="-6.25E-2"/>
    <d v="1904-01-01T00:00:00"/>
    <m/>
    <d v="1904-01-01T00:00:00"/>
    <d v="1904-01-01T01:30:00"/>
    <d v="1904-01-01T01:45:00"/>
    <n v="-1.0416666666666671E-2"/>
    <d v="1904-01-01T00:00:00"/>
    <m/>
    <d v="1904-01-01T00:00:00"/>
    <d v="1904-01-01T00:00:00"/>
    <m/>
    <d v="1904-01-01T00:00:00"/>
    <d v="1904-01-01T00:00:00"/>
    <m/>
    <d v="1904-01-01T00:00:00"/>
    <d v="1904-01-01T01:00:00"/>
    <m/>
    <d v="1904-01-01T01:00:00"/>
    <d v="1904-01-01T00:00:00"/>
    <m/>
    <d v="1904-01-01T00:00:00"/>
    <d v="1904-01-01T02:30:00"/>
    <d v="1904-01-01T03:15:00"/>
    <n v="-3.1250000000000028E-2"/>
    <n v="-2.0833333333333356E-2"/>
  </r>
  <r>
    <x v="5"/>
    <x v="1"/>
    <d v="1904-01-01T04:10:00"/>
    <d v="1904-01-01T03:05:00"/>
    <d v="1904-01-01T01:05:00"/>
    <d v="1904-01-01T00:00:00"/>
    <m/>
    <d v="1904-01-01T00:00:00"/>
    <d v="1904-01-01T01:30:00"/>
    <d v="1904-01-01T01:45:00"/>
    <n v="-1.0416666666666671E-2"/>
    <d v="1904-01-01T00:00:00"/>
    <m/>
    <d v="1904-01-01T00:00:00"/>
    <d v="1904-01-01T01:50:00"/>
    <m/>
    <d v="1904-01-01T01:50:00"/>
    <d v="1904-01-01T00:00:00"/>
    <m/>
    <d v="1904-01-01T00:00:00"/>
    <d v="1904-01-01T00:00:00"/>
    <m/>
    <d v="1904-01-01T00:00:00"/>
    <d v="1904-01-01T00:00:00"/>
    <d v="1904-01-01T00:25:00"/>
    <n v="-1.7361111111111112E-2"/>
    <d v="1904-01-01T07:30:00"/>
    <d v="1904-01-01T05:15:00"/>
    <d v="1904-01-01T02:15:00"/>
    <d v="1904-01-01T02:30:00"/>
  </r>
  <r>
    <x v="5"/>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5"/>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5"/>
    <x v="13"/>
    <d v="1904-01-01T02:45:00"/>
    <d v="1904-01-01T00:00:00"/>
    <d v="1904-01-01T02:45: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2:45:00"/>
    <d v="1904-01-01T00:00:00"/>
    <d v="1904-01-01T02:45:00"/>
    <d v="1904-01-01T02:45:00"/>
  </r>
  <r>
    <x v="5"/>
    <x v="11"/>
    <d v="1904-01-01T00:00:00"/>
    <d v="1904-01-01T01:30:00"/>
    <n v="-6.25E-2"/>
    <d v="1904-01-01T00:00:00"/>
    <m/>
    <d v="1904-01-01T00:00:00"/>
    <d v="1904-01-01T00:00:00"/>
    <m/>
    <d v="1904-01-01T00:00:00"/>
    <d v="1904-01-01T01:30:00"/>
    <d v="1904-01-01T01:45:00"/>
    <n v="-1.0416666666666671E-2"/>
    <d v="1904-01-01T00:00:00"/>
    <m/>
    <d v="1904-01-01T00:00:00"/>
    <d v="1904-01-01T00:00:00"/>
    <m/>
    <d v="1904-01-01T00:00:00"/>
    <d v="1904-01-01T00:00:00"/>
    <d v="1904-01-01T01:30:00"/>
    <n v="-6.25E-2"/>
    <d v="1904-01-01T00:00:00"/>
    <m/>
    <d v="1904-01-01T00:00:00"/>
    <d v="1904-01-01T01:30:00"/>
    <d v="1904-01-01T04:45:00"/>
    <n v="-0.13541666666666669"/>
    <n v="-0.125"/>
  </r>
  <r>
    <x v="5"/>
    <x v="12"/>
    <d v="1904-01-01T01:20:00"/>
    <d v="1904-01-01T02:00:00"/>
    <n v="-2.7777777777777769E-2"/>
    <d v="1904-01-01T00:00:00"/>
    <m/>
    <d v="1904-01-01T00:00:00"/>
    <d v="1904-01-01T00:00:00"/>
    <d v="1904-01-01T01:45:00"/>
    <n v="-7.2916666666666671E-2"/>
    <d v="1904-01-01T00:00:00"/>
    <d v="1904-01-01T01:45:00"/>
    <n v="-7.2916666666666671E-2"/>
    <d v="1904-01-01T00:00:00"/>
    <m/>
    <d v="1904-01-01T00:00:00"/>
    <d v="1904-01-01T00:00:00"/>
    <m/>
    <d v="1904-01-01T00:00:00"/>
    <d v="1904-01-01T02:30:00"/>
    <d v="1904-01-01T02:00:00"/>
    <d v="1904-01-01T00:30:00"/>
    <d v="1904-01-01T00:00:00"/>
    <m/>
    <d v="1904-01-01T00:00:00"/>
    <d v="1904-01-01T03:50:00"/>
    <d v="1904-01-01T07:30:00"/>
    <n v="-0.15277777777777776"/>
    <n v="-6.9444444444444198E-3"/>
  </r>
  <r>
    <x v="5"/>
    <x v="10"/>
    <d v="1904-01-01T00:00:00"/>
    <d v="1904-01-01T00:45:00"/>
    <n v="-3.125E-2"/>
    <d v="1904-01-01T00:00:00"/>
    <m/>
    <d v="1904-01-01T00:00:00"/>
    <d v="1904-01-01T01:30:00"/>
    <d v="1904-01-01T01:45:00"/>
    <n v="-1.0416666666666671E-2"/>
    <d v="1904-01-01T00:00:00"/>
    <m/>
    <d v="1904-01-01T00:00:00"/>
    <d v="1904-01-01T00:00:00"/>
    <m/>
    <d v="1904-01-01T00:00:00"/>
    <d v="1904-01-01T00:00:00"/>
    <m/>
    <d v="1904-01-01T00:00:00"/>
    <d v="1904-01-01T01:45:00"/>
    <d v="1904-01-01T01:15:00"/>
    <d v="1904-01-01T00:30:00"/>
    <d v="1904-01-01T00:00:00"/>
    <m/>
    <d v="1904-01-01T00:00:00"/>
    <d v="1904-01-01T03:15:00"/>
    <d v="1904-01-01T03:45:00"/>
    <n v="-2.0833333333333343E-2"/>
    <n v="-1.0416666666666671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d v="2025-04-14T00:00:00"/>
    <x v="0"/>
    <x v="0"/>
    <n v="1"/>
    <s v="TOP1-01"/>
    <x v="0"/>
    <s v="Phase1"/>
    <s v="TOP1-1-04"/>
    <x v="0"/>
    <x v="0"/>
    <d v="1904-01-01T02:20:00"/>
    <n v="5"/>
    <n v="4"/>
    <n v="5"/>
    <s v="Singuläre Homologie (SHT)/Unterteilung  und Ausschneidung in SHT"/>
    <x v="0"/>
  </r>
  <r>
    <d v="2025-04-15T00:00:00"/>
    <x v="0"/>
    <x v="0"/>
    <n v="2"/>
    <s v="TOP1-02"/>
    <x v="0"/>
    <s v="Phase1"/>
    <s v="TOP1-1-05"/>
    <x v="1"/>
    <x v="0"/>
    <d v="1904-01-01T02:00:00"/>
    <n v="3"/>
    <n v="4"/>
    <n v="5"/>
    <s v="Singuläre Homologie (SHT)/Mayer-Vietoris Sequenz in SHT"/>
    <x v="0"/>
  </r>
  <r>
    <d v="2025-04-15T00:00:00"/>
    <x v="0"/>
    <x v="0"/>
    <n v="3"/>
    <s v="TOP1-03"/>
    <x v="0"/>
    <s v="Phase1"/>
    <s v="TOP1-1-05"/>
    <x v="1"/>
    <x v="1"/>
    <d v="1904-01-01T00:30:00"/>
    <n v="2"/>
    <n v="2"/>
    <n v="4"/>
    <s v="Singuläre Homologie (SHT)/Mayer-Vietoris Sequenz in SHT"/>
    <x v="0"/>
  </r>
  <r>
    <d v="2025-04-15T00:00:00"/>
    <x v="0"/>
    <x v="0"/>
    <n v="4"/>
    <s v="TOP1-04"/>
    <x v="0"/>
    <s v="Phase1"/>
    <s v="TOP1-1-07"/>
    <x v="2"/>
    <x v="0"/>
    <d v="1904-01-01T01:50:00"/>
    <n v="4"/>
    <n v="4"/>
    <n v="5"/>
    <s v="Singuläre Homologie (SHT)/Kreuzprodukt in SHT/Kreuzprodukt auf Kettengruppenkomplexe in SHT"/>
    <x v="1"/>
  </r>
  <r>
    <d v="2025-04-15T00:00:00"/>
    <x v="0"/>
    <x v="0"/>
    <n v="5"/>
    <s v="TOP1-05"/>
    <x v="0"/>
    <s v="Phase1"/>
    <s v="TOP1-1-08"/>
    <x v="3"/>
    <x v="0"/>
    <d v="1904-01-01T00:45:00"/>
    <n v="5"/>
    <n v="5"/>
    <n v="5"/>
    <s v="Singuläre Homologie (SHT)/Kreuzprodukt in SHT/Homologie Kreuzprodukt in SHT"/>
    <x v="1"/>
  </r>
  <r>
    <d v="2025-04-16T00:00:00"/>
    <x v="0"/>
    <x v="0"/>
    <n v="6"/>
    <s v="TOP1-06"/>
    <x v="0"/>
    <s v="Phase1"/>
    <s v="TOP1-1-03"/>
    <x v="4"/>
    <x v="1"/>
    <d v="1904-01-01T00:40:00"/>
    <n v="2"/>
    <n v="2"/>
    <n v="2"/>
    <s v="Singuläre Homologie (SHT)/Kategorische Formulierung der SHT"/>
    <x v="0"/>
  </r>
  <r>
    <d v="2025-04-16T00:00:00"/>
    <x v="0"/>
    <x v="1"/>
    <n v="1"/>
    <s v="HA-01"/>
    <x v="0"/>
    <s v="Phase1"/>
    <s v="HA-1-01"/>
    <x v="5"/>
    <x v="0"/>
    <d v="1904-01-01T02:20:00"/>
    <n v="3"/>
    <n v="2"/>
    <n v="5"/>
    <s v="Kategorien und Funktoren in HA"/>
    <x v="2"/>
  </r>
  <r>
    <d v="2025-04-16T00:00:00"/>
    <x v="0"/>
    <x v="1"/>
    <n v="2"/>
    <s v="HA-02"/>
    <x v="0"/>
    <s v="Phase1"/>
    <s v="HA-1-00"/>
    <x v="6"/>
    <x v="1"/>
    <d v="1904-01-01T02:10:00"/>
    <n v="4"/>
    <n v="4"/>
    <n v="5"/>
    <s v="Homologische Algebra"/>
    <x v="2"/>
  </r>
  <r>
    <d v="2025-04-16T00:00:00"/>
    <x v="0"/>
    <x v="1"/>
    <n v="3"/>
    <s v="HA-03"/>
    <x v="0"/>
    <s v="Phase1"/>
    <s v="HA-1-02"/>
    <x v="7"/>
    <x v="0"/>
    <d v="1904-01-01T00:25:00"/>
    <n v="4"/>
    <n v="2"/>
    <n v="3"/>
    <s v="Moduln in HA"/>
    <x v="2"/>
  </r>
  <r>
    <d v="2025-04-16T00:00:00"/>
    <x v="0"/>
    <x v="1"/>
    <n v="4"/>
    <s v="HA-04"/>
    <x v="0"/>
    <s v="Phase1"/>
    <s v="HA-1-03"/>
    <x v="8"/>
    <x v="0"/>
    <d v="1904-01-01T00:25:00"/>
    <n v="4"/>
    <n v="2"/>
    <n v="3"/>
    <s v="Tensorprodukt in HA"/>
    <x v="2"/>
  </r>
  <r>
    <d v="2025-04-16T00:00:00"/>
    <x v="0"/>
    <x v="1"/>
    <n v="5"/>
    <s v="HA-05"/>
    <x v="0"/>
    <s v="Phase1"/>
    <s v="HA-1-04"/>
    <x v="9"/>
    <x v="0"/>
    <d v="1904-01-01T00:45:00"/>
    <n v="4"/>
    <n v="4"/>
    <n v="5"/>
    <s v="Abelsche Kategorien"/>
    <x v="2"/>
  </r>
  <r>
    <d v="2025-04-16T00:00:00"/>
    <x v="0"/>
    <x v="1"/>
    <n v="6"/>
    <s v="HA-06"/>
    <x v="0"/>
    <s v="Phase1"/>
    <s v="HA-1-06"/>
    <x v="10"/>
    <x v="0"/>
    <d v="1904-01-01T00:30:00"/>
    <n v="2"/>
    <n v="2"/>
    <n v="5"/>
    <s v="Komplexe in HA"/>
    <x v="2"/>
  </r>
  <r>
    <d v="2025-04-16T00:00:00"/>
    <x v="0"/>
    <x v="1"/>
    <n v="7"/>
    <s v="HA-07"/>
    <x v="0"/>
    <s v="Phase1"/>
    <s v="HA-1-05"/>
    <x v="11"/>
    <x v="0"/>
    <d v="1904-01-01T02:25:00"/>
    <n v="3"/>
    <n v="4"/>
    <n v="5"/>
    <s v="Homologie Funktor in HA"/>
    <x v="2"/>
  </r>
  <r>
    <d v="2025-04-19T00:00:00"/>
    <x v="0"/>
    <x v="1"/>
    <n v="8"/>
    <s v="HA-08"/>
    <x v="0"/>
    <s v="Phase1"/>
    <s v="HA-1-12"/>
    <x v="12"/>
    <x v="0"/>
    <d v="1904-01-01T00:10:00"/>
    <n v="2"/>
    <n v="1"/>
    <n v="5"/>
    <s v="Kategorische Formulierung der Homologietheorie"/>
    <x v="2"/>
  </r>
  <r>
    <d v="2025-04-19T00:00:00"/>
    <x v="0"/>
    <x v="1"/>
    <n v="9"/>
    <s v="HA-09"/>
    <x v="0"/>
    <s v="Phase1"/>
    <s v="HA-1-07"/>
    <x v="13"/>
    <x v="0"/>
    <d v="1904-01-01T00:35:00"/>
    <m/>
    <m/>
    <m/>
    <s v="Hilftslemma für Diagramme der HA"/>
    <x v="2"/>
  </r>
  <r>
    <d v="2025-04-19T00:00:00"/>
    <x v="0"/>
    <x v="1"/>
    <n v="10"/>
    <s v="HA-10"/>
    <x v="0"/>
    <s v="Phase1"/>
    <s v="HA-1-10"/>
    <x v="14"/>
    <x v="0"/>
    <d v="1904-01-01T00:20:00"/>
    <m/>
    <m/>
    <m/>
    <s v="Splitting"/>
    <x v="2"/>
  </r>
  <r>
    <d v="2025-04-20T00:00:00"/>
    <x v="0"/>
    <x v="1"/>
    <n v="11"/>
    <s v="HA-11"/>
    <x v="0"/>
    <s v="Phase1"/>
    <s v="HA-1-01"/>
    <x v="5"/>
    <x v="1"/>
    <d v="1904-01-01T01:15:00"/>
    <m/>
    <m/>
    <m/>
    <s v="Kategorien und Funktoren in HA"/>
    <x v="2"/>
  </r>
  <r>
    <d v="2025-04-20T00:00:00"/>
    <x v="0"/>
    <x v="1"/>
    <n v="12"/>
    <s v="HA-12"/>
    <x v="0"/>
    <s v="Phase1"/>
    <s v="HA-1-04"/>
    <x v="9"/>
    <x v="1"/>
    <d v="1904-01-01T00:40:00"/>
    <m/>
    <m/>
    <m/>
    <s v="Abelsche Kategorien"/>
    <x v="2"/>
  </r>
  <r>
    <d v="2025-04-20T00:00:00"/>
    <x v="0"/>
    <x v="1"/>
    <n v="13"/>
    <s v="HA-13"/>
    <x v="0"/>
    <s v="Phase1"/>
    <s v="HA-1-06"/>
    <x v="10"/>
    <x v="1"/>
    <d v="1904-01-01T00:35:00"/>
    <m/>
    <m/>
    <m/>
    <s v="Komplexe in HA"/>
    <x v="2"/>
  </r>
  <r>
    <d v="2025-04-20T00:00:00"/>
    <x v="0"/>
    <x v="1"/>
    <n v="14"/>
    <s v="HA-14"/>
    <x v="0"/>
    <s v="Phase1"/>
    <s v="HA-1-05"/>
    <x v="11"/>
    <x v="1"/>
    <d v="1904-01-01T01:30:00"/>
    <m/>
    <m/>
    <m/>
    <s v="Homologie Funktor in HA"/>
    <x v="2"/>
  </r>
  <r>
    <d v="2025-04-21T00:00:00"/>
    <x v="1"/>
    <x v="0"/>
    <n v="7"/>
    <s v="TOP1-07"/>
    <x v="0"/>
    <s v="Phase1"/>
    <s v="TOP1-1-09"/>
    <x v="15"/>
    <x v="0"/>
    <d v="1904-01-01T00:30:00"/>
    <m/>
    <m/>
    <m/>
    <s v="Absolute und Relative Homologie"/>
    <x v="2"/>
  </r>
  <r>
    <d v="2025-04-21T00:00:00"/>
    <x v="1"/>
    <x v="0"/>
    <n v="8"/>
    <s v="TOP1-08"/>
    <x v="0"/>
    <s v="Phase1"/>
    <s v="TOP1-1-02"/>
    <x v="16"/>
    <x v="0"/>
    <d v="1904-01-01T01:05:00"/>
    <m/>
    <m/>
    <m/>
    <s v="Singuläre Homologie (SHT)/Basics der SHT"/>
    <x v="0"/>
  </r>
  <r>
    <d v="2025-04-21T00:00:00"/>
    <x v="1"/>
    <x v="0"/>
    <n v="9"/>
    <s v="TOP1-09"/>
    <x v="0"/>
    <s v="Phase1"/>
    <s v="TOP1-1-09"/>
    <x v="17"/>
    <x v="0"/>
    <d v="1904-01-01T00:25:00"/>
    <m/>
    <m/>
    <m/>
    <s v="Reduzierte Homologie"/>
    <x v="2"/>
  </r>
  <r>
    <d v="2025-04-21T00:00:00"/>
    <x v="1"/>
    <x v="0"/>
    <n v="10"/>
    <s v="TOP1-10"/>
    <x v="0"/>
    <s v="Phase1"/>
    <s v="TOP1-1-04"/>
    <x v="0"/>
    <x v="1"/>
    <d v="1904-01-01T00:55:00"/>
    <m/>
    <m/>
    <m/>
    <s v="Singuläre Homologie (SHT)/Unterteilung  und Ausschneidung in SHT"/>
    <x v="0"/>
  </r>
  <r>
    <d v="2025-04-23T00:00:00"/>
    <x v="1"/>
    <x v="2"/>
    <n v="1"/>
    <s v="GPDE-01"/>
    <x v="0"/>
    <s v="Phase1"/>
    <s v="GPDE-1-01"/>
    <x v="18"/>
    <x v="0"/>
    <d v="1904-01-01T00:30:00"/>
    <m/>
    <m/>
    <m/>
    <s v="GPDE Basics"/>
    <x v="2"/>
  </r>
  <r>
    <d v="2025-04-23T00:00:00"/>
    <x v="1"/>
    <x v="2"/>
    <n v="2"/>
    <s v="GPDE-02"/>
    <x v="0"/>
    <s v="Phase1"/>
    <s v="GPDE-1-06"/>
    <x v="19"/>
    <x v="0"/>
    <d v="1904-01-01T01:50:00"/>
    <m/>
    <m/>
    <m/>
    <s v="Maximum Prinzipien/Schwache Maximum Prinzipien"/>
    <x v="3"/>
  </r>
  <r>
    <d v="2025-04-23T00:00:00"/>
    <x v="1"/>
    <x v="2"/>
    <n v="3"/>
    <s v="GPDE-03"/>
    <x v="0"/>
    <s v="Phase1"/>
    <s v="GPDE-1-07"/>
    <x v="20"/>
    <x v="0"/>
    <d v="1904-01-01T00:55:00"/>
    <m/>
    <m/>
    <m/>
    <s v="Maximum Prinzipien/Starke Maximum Prinzipien"/>
    <x v="3"/>
  </r>
  <r>
    <d v="2025-04-24T00:00:00"/>
    <x v="1"/>
    <x v="3"/>
    <n v="1"/>
    <s v="QM-01"/>
    <x v="0"/>
    <s v="Phase1"/>
    <s v="QM-1-01"/>
    <x v="21"/>
    <x v="2"/>
    <d v="1904-01-01T00:40:00"/>
    <m/>
    <m/>
    <m/>
    <s v="Quantenmechanik"/>
    <x v="2"/>
  </r>
  <r>
    <d v="2025-04-24T00:00:00"/>
    <x v="1"/>
    <x v="3"/>
    <n v="2"/>
    <s v="QM-02"/>
    <x v="0"/>
    <s v="Phase1"/>
    <s v="QM-1-02"/>
    <x v="22"/>
    <x v="0"/>
    <d v="1904-01-01T01:00:00"/>
    <m/>
    <m/>
    <m/>
    <s v="Schrödinger Gleichung"/>
    <x v="2"/>
  </r>
  <r>
    <d v="2025-04-24T00:00:00"/>
    <x v="1"/>
    <x v="4"/>
    <n v="1"/>
    <s v="QMS-01"/>
    <x v="0"/>
    <s v="Phase1"/>
    <s v="QMS-1-01"/>
    <x v="23"/>
    <x v="3"/>
    <d v="1904-01-01T01:45:00"/>
    <m/>
    <m/>
    <m/>
    <s v="Symmetrie in Quantenmechanik"/>
    <x v="2"/>
  </r>
  <r>
    <d v="2025-04-24T00:00:00"/>
    <x v="1"/>
    <x v="4"/>
    <n v="2"/>
    <s v="QMS-02"/>
    <x v="0"/>
    <s v="Phase1"/>
    <s v="QMS-1-02"/>
    <x v="24"/>
    <x v="0"/>
    <d v="1904-01-01T00:00:00"/>
    <m/>
    <m/>
    <m/>
    <s v="Symmetrie in Quantenmechanik/Raum Translation"/>
    <x v="4"/>
  </r>
  <r>
    <d v="2025-04-24T00:00:00"/>
    <x v="1"/>
    <x v="3"/>
    <n v="3"/>
    <s v="QM-03"/>
    <x v="0"/>
    <s v="Phase1"/>
    <s v="QM-1-20"/>
    <x v="25"/>
    <x v="4"/>
    <d v="1904-01-01T02:05:00"/>
    <m/>
    <m/>
    <m/>
    <s v="QM-ÜB/QM-ÜB-00: Hermitische Unitäre Matrizen"/>
    <x v="5"/>
  </r>
  <r>
    <d v="2025-04-25T00:00:00"/>
    <x v="1"/>
    <x v="2"/>
    <n v="4"/>
    <s v="GPDE-04"/>
    <x v="0"/>
    <s v="Phase1"/>
    <s v="GPDE-1-07"/>
    <x v="20"/>
    <x v="0"/>
    <d v="1904-01-01T01:10:00"/>
    <m/>
    <m/>
    <m/>
    <s v="Maximum Prinzipien/Starke Maximum Prinzipien"/>
    <x v="3"/>
  </r>
  <r>
    <d v="2025-04-25T00:00:00"/>
    <x v="1"/>
    <x v="2"/>
    <n v="5"/>
    <s v="GPDE-05"/>
    <x v="0"/>
    <s v="Phase1"/>
    <s v="GPDE-1-05"/>
    <x v="26"/>
    <x v="5"/>
    <d v="1904-01-01T00:25:00"/>
    <m/>
    <m/>
    <m/>
    <s v="Maximum Prinzipien"/>
    <x v="2"/>
  </r>
  <r>
    <d v="2025-04-25T00:00:00"/>
    <x v="1"/>
    <x v="2"/>
    <n v="6"/>
    <s v="GPDE-06"/>
    <x v="0"/>
    <s v="Phase1"/>
    <s v="GPDE-1-05"/>
    <x v="26"/>
    <x v="3"/>
    <d v="1904-01-01T01:45:00"/>
    <m/>
    <m/>
    <m/>
    <s v="Maximum Prinzipien"/>
    <x v="2"/>
  </r>
  <r>
    <d v="2025-04-27T00:00:00"/>
    <x v="1"/>
    <x v="5"/>
    <n v="1"/>
    <s v="CM-01"/>
    <x v="0"/>
    <s v="Phase1"/>
    <s v="CM-1-01"/>
    <x v="27"/>
    <x v="0"/>
    <d v="1904-01-01T01:50:00"/>
    <m/>
    <m/>
    <m/>
    <s v="Klassische Streutheorie"/>
    <x v="2"/>
  </r>
  <r>
    <d v="2025-04-27T00:00:00"/>
    <x v="1"/>
    <x v="5"/>
    <n v="2"/>
    <s v="CM-02"/>
    <x v="0"/>
    <s v="Phase1"/>
    <s v="CM-1-01"/>
    <x v="27"/>
    <x v="4"/>
    <d v="1904-01-01T01:55:00"/>
    <m/>
    <m/>
    <m/>
    <s v="Klassische Streutheorie"/>
    <x v="2"/>
  </r>
  <r>
    <d v="2025-04-27T00:00:00"/>
    <x v="1"/>
    <x v="6"/>
    <n v="1"/>
    <s v="RG-01"/>
    <x v="0"/>
    <s v="Phase1"/>
    <s v="RG-1-14"/>
    <x v="28"/>
    <x v="2"/>
    <d v="1904-01-01T00:50:00"/>
    <m/>
    <m/>
    <m/>
    <s v="Riemannische Geometrie"/>
    <x v="2"/>
  </r>
  <r>
    <d v="2025-04-28T00:00:00"/>
    <x v="2"/>
    <x v="7"/>
    <n v="1"/>
    <s v="TOP2-01"/>
    <x v="0"/>
    <s v="Phase1"/>
    <s v="TOP2-1-01"/>
    <x v="29"/>
    <x v="2"/>
    <d v="1904-01-01T01:00:00"/>
    <m/>
    <m/>
    <m/>
    <s v="Topologie 2"/>
    <x v="2"/>
  </r>
  <r>
    <d v="2025-04-28T00:00:00"/>
    <x v="2"/>
    <x v="2"/>
    <n v="7"/>
    <s v="GPDE-07"/>
    <x v="0"/>
    <s v="Phase1"/>
    <s v="GPDE-1-07"/>
    <x v="20"/>
    <x v="0"/>
    <d v="1904-01-01T00:20:00"/>
    <m/>
    <m/>
    <m/>
    <s v="Maximum Prinzipien/Starke Maximum Prinzipien"/>
    <x v="3"/>
  </r>
  <r>
    <d v="2025-04-28T00:00:00"/>
    <x v="2"/>
    <x v="2"/>
    <n v="8"/>
    <s v="GPDE-08"/>
    <x v="0"/>
    <s v="Phase1"/>
    <s v="GPDE-1-08"/>
    <x v="30"/>
    <x v="0"/>
    <d v="1904-01-01T02:50:00"/>
    <m/>
    <m/>
    <m/>
    <s v="Maximum Prinzipien/Hopf Lemma"/>
    <x v="3"/>
  </r>
  <r>
    <d v="2025-04-29T00:00:00"/>
    <x v="2"/>
    <x v="6"/>
    <n v="2"/>
    <s v="RG-02"/>
    <x v="0"/>
    <s v="Phase1"/>
    <s v="RG-1-16"/>
    <x v="31"/>
    <x v="4"/>
    <d v="1904-01-01T01:40:00"/>
    <m/>
    <m/>
    <m/>
    <s v="RG-ÜB/RG-ÜB-01: Glatte Mannigfaltigkeiten"/>
    <x v="6"/>
  </r>
  <r>
    <d v="2025-04-29T00:00:00"/>
    <x v="2"/>
    <x v="8"/>
    <n v="1"/>
    <s v="EFT1-01"/>
    <x v="0"/>
    <s v="Phase1"/>
    <s v="EFT1-1-01"/>
    <x v="32"/>
    <x v="2"/>
    <d v="1904-01-01T01:10:00"/>
    <m/>
    <m/>
    <m/>
    <s v="Eichfeldtheorie"/>
    <x v="2"/>
  </r>
  <r>
    <d v="2025-04-30T00:00:00"/>
    <x v="2"/>
    <x v="3"/>
    <n v="4"/>
    <s v="QM-04"/>
    <x v="0"/>
    <s v="Phase1"/>
    <s v="QM-1-21"/>
    <x v="33"/>
    <x v="2"/>
    <d v="1904-01-01T01:00:00"/>
    <m/>
    <m/>
    <m/>
    <s v="Eindimensionale Systeme"/>
    <x v="2"/>
  </r>
  <r>
    <d v="2025-04-30T00:00:00"/>
    <x v="2"/>
    <x v="3"/>
    <n v="5"/>
    <s v="QM-05"/>
    <x v="0"/>
    <s v="Phase1"/>
    <s v="QM-1-03"/>
    <x v="34"/>
    <x v="0"/>
    <d v="1904-01-01T00:55:00"/>
    <m/>
    <m/>
    <m/>
    <s v="Schrödinger Gleichung/Wellenpakete in QM"/>
    <x v="7"/>
  </r>
  <r>
    <d v="2025-04-30T00:00:00"/>
    <x v="2"/>
    <x v="3"/>
    <n v="6"/>
    <s v="QM-06"/>
    <x v="0"/>
    <s v="Phase1"/>
    <s v="QM-1-04"/>
    <x v="35"/>
    <x v="0"/>
    <d v="1904-01-01T00:55:00"/>
    <m/>
    <m/>
    <m/>
    <s v="Schrödinger Gleichung/Einführung der Schrödinger Gleichung"/>
    <x v="7"/>
  </r>
  <r>
    <d v="2025-04-30T00:00:00"/>
    <x v="2"/>
    <x v="3"/>
    <n v="7"/>
    <s v="QM-07"/>
    <x v="0"/>
    <s v="Phase1"/>
    <s v="QM-1-09"/>
    <x v="36"/>
    <x v="0"/>
    <d v="1904-01-01T00:45:00"/>
    <m/>
    <m/>
    <m/>
    <s v="Schrödinger Gleichung/Interpretation der Wellenfunktion"/>
    <x v="7"/>
  </r>
  <r>
    <d v="2025-04-30T00:00:00"/>
    <x v="2"/>
    <x v="3"/>
    <n v="8"/>
    <s v="QM-08"/>
    <x v="0"/>
    <s v="Phase1"/>
    <s v="QM-1-31"/>
    <x v="37"/>
    <x v="4"/>
    <d v="1904-01-01T02:40:00"/>
    <m/>
    <m/>
    <m/>
    <s v="QM-ÜB/QM-ÜB-01: Delta-Distribution, Kommutator und W-keit"/>
    <x v="5"/>
  </r>
  <r>
    <d v="2025-05-02T00:00:00"/>
    <x v="2"/>
    <x v="2"/>
    <n v="9"/>
    <s v="GPDE-09"/>
    <x v="0"/>
    <s v="Phase1"/>
    <s v="GPDE-1-07"/>
    <x v="20"/>
    <x v="1"/>
    <d v="1904-01-01T01:40:00"/>
    <m/>
    <m/>
    <m/>
    <s v="Maximum Prinzipien/Starke Maximum Prinzipien"/>
    <x v="3"/>
  </r>
  <r>
    <d v="2025-05-02T00:00:00"/>
    <x v="2"/>
    <x v="3"/>
    <n v="9"/>
    <s v="QM-09"/>
    <x v="0"/>
    <s v="Phase1"/>
    <s v="QM-1-33"/>
    <x v="38"/>
    <x v="6"/>
    <d v="1904-01-01T01:30:00"/>
    <m/>
    <m/>
    <m/>
    <s v="QM-Ex-ÜB 00"/>
    <x v="2"/>
  </r>
  <r>
    <d v="2025-05-02T00:00:00"/>
    <x v="2"/>
    <x v="2"/>
    <n v="10"/>
    <s v="GPDE-10"/>
    <x v="0"/>
    <s v="Phase1"/>
    <s v="GPDE-1-08"/>
    <x v="30"/>
    <x v="1"/>
    <d v="1904-01-01T01:30:00"/>
    <m/>
    <m/>
    <m/>
    <s v="Maximum Prinzipien/Hopf Lemma"/>
    <x v="3"/>
  </r>
  <r>
    <d v="2025-05-02T00:00:00"/>
    <x v="2"/>
    <x v="2"/>
    <n v="11"/>
    <s v="GPDE-11"/>
    <x v="0"/>
    <s v="Phase1"/>
    <s v="GPDE-1-08"/>
    <x v="30"/>
    <x v="3"/>
    <d v="1904-01-01T01:30:00"/>
    <m/>
    <m/>
    <m/>
    <s v="Maximum Prinzipien/Hopf Lemma"/>
    <x v="3"/>
  </r>
  <r>
    <d v="2025-05-04T00:00:00"/>
    <x v="2"/>
    <x v="5"/>
    <n v="3"/>
    <s v="CM-03"/>
    <x v="0"/>
    <s v="Phase1"/>
    <s v="CM-1-01"/>
    <x v="27"/>
    <x v="0"/>
    <d v="1904-01-01T00:25:00"/>
    <m/>
    <m/>
    <m/>
    <s v="Klassische Streutheorie"/>
    <x v="2"/>
  </r>
  <r>
    <d v="2025-05-04T00:00:00"/>
    <x v="2"/>
    <x v="5"/>
    <n v="4"/>
    <s v="CM-04"/>
    <x v="0"/>
    <s v="Phase1"/>
    <s v="CM-1-08"/>
    <x v="39"/>
    <x v="4"/>
    <d v="1904-01-01T02:45:00"/>
    <m/>
    <m/>
    <m/>
    <s v="CM-ÜB/CM-ÜB-02: Runge-Lenz-Vektor, 1KP und Zwangsbedingungen"/>
    <x v="8"/>
  </r>
  <r>
    <d v="2025-05-05T00:00:00"/>
    <x v="3"/>
    <x v="2"/>
    <n v="12"/>
    <s v="GPDE-12"/>
    <x v="0"/>
    <s v="Phase1"/>
    <s v="GPDE-1-02"/>
    <x v="40"/>
    <x v="0"/>
    <d v="1904-01-01T02:40:00"/>
    <m/>
    <m/>
    <m/>
    <s v="GPDE Basics/Differentialoperatoren"/>
    <x v="9"/>
  </r>
  <r>
    <d v="2025-05-05T00:00:00"/>
    <x v="3"/>
    <x v="7"/>
    <n v="2"/>
    <s v="TOP2-02"/>
    <x v="0"/>
    <s v="Phase1"/>
    <s v="TOP2-1-01"/>
    <x v="29"/>
    <x v="3"/>
    <d v="1904-01-01T01:30:00"/>
    <m/>
    <m/>
    <m/>
    <s v="Topologie 2"/>
    <x v="2"/>
  </r>
  <r>
    <d v="2025-05-06T00:00:00"/>
    <x v="3"/>
    <x v="2"/>
    <n v="13"/>
    <s v="GPDE-13"/>
    <x v="0"/>
    <s v="Phase1"/>
    <s v="GPDE-1-09"/>
    <x v="41"/>
    <x v="0"/>
    <d v="1904-01-01T01:30:00"/>
    <m/>
    <m/>
    <m/>
    <s v="Maximum Prinzipien/Vergleichsprinzipien für voll nicht-lineare Differentialoperatoren"/>
    <x v="3"/>
  </r>
  <r>
    <d v="2025-05-06T00:00:00"/>
    <x v="3"/>
    <x v="6"/>
    <n v="3"/>
    <s v="RG-03"/>
    <x v="0"/>
    <s v="Phase1"/>
    <s v="RG-1-17"/>
    <x v="42"/>
    <x v="4"/>
    <d v="1904-01-01T01:45:00"/>
    <m/>
    <m/>
    <m/>
    <s v="RG-ÜB/RG-ÜB-02: Tangentialbündel und Hyperbolischer Raum"/>
    <x v="6"/>
  </r>
  <r>
    <d v="2025-05-06T00:00:00"/>
    <x v="3"/>
    <x v="9"/>
    <n v="1"/>
    <s v="A-01"/>
    <x v="0"/>
    <s v="Phase1"/>
    <s v="A-1-03"/>
    <x v="43"/>
    <x v="0"/>
    <d v="1904-01-01T00:35:00"/>
    <m/>
    <m/>
    <m/>
    <s v="Ringe/Ringe Basics"/>
    <x v="10"/>
  </r>
  <r>
    <d v="2025-05-06T00:00:00"/>
    <x v="3"/>
    <x v="9"/>
    <n v="2"/>
    <s v="A-02"/>
    <x v="0"/>
    <s v="Phase1"/>
    <s v="A-1-04"/>
    <x v="44"/>
    <x v="0"/>
    <d v="1904-01-01T00:45:00"/>
    <m/>
    <m/>
    <m/>
    <s v="Ringe/Potenzreihenringe und Polynomringe"/>
    <x v="10"/>
  </r>
  <r>
    <d v="2025-05-06T00:00:00"/>
    <x v="3"/>
    <x v="9"/>
    <n v="3"/>
    <s v="A-03"/>
    <x v="0"/>
    <s v="Phase1"/>
    <s v="A-1-05"/>
    <x v="45"/>
    <x v="0"/>
    <d v="1904-01-01T00:50:00"/>
    <m/>
    <m/>
    <m/>
    <s v="Ringe/Ideale und Quotienten"/>
    <x v="10"/>
  </r>
  <r>
    <d v="2025-05-06T00:00:00"/>
    <x v="3"/>
    <x v="4"/>
    <n v="3"/>
    <s v="QMS-03"/>
    <x v="0"/>
    <s v="Phase1"/>
    <s v="QMS-1-19"/>
    <x v="46"/>
    <x v="4"/>
    <d v="1904-01-01T01:00:00"/>
    <m/>
    <m/>
    <m/>
    <s v="QMS-ÜB/QMS-ÜB-01"/>
    <x v="11"/>
  </r>
  <r>
    <d v="2025-05-07T00:00:00"/>
    <x v="3"/>
    <x v="3"/>
    <n v="10"/>
    <s v="QM-10"/>
    <x v="0"/>
    <s v="Phase1"/>
    <s v="QM-1-09"/>
    <x v="36"/>
    <x v="0"/>
    <d v="1904-01-01T00:35:00"/>
    <m/>
    <m/>
    <m/>
    <s v="Schrödinger Gleichung/Interpretation der Wellenfunktion"/>
    <x v="7"/>
  </r>
  <r>
    <d v="2025-05-07T00:00:00"/>
    <x v="3"/>
    <x v="3"/>
    <n v="11"/>
    <s v="QM-11"/>
    <x v="0"/>
    <s v="Phase1"/>
    <s v="QM-1-15"/>
    <x v="47"/>
    <x v="0"/>
    <d v="1904-01-01T00:20:00"/>
    <m/>
    <m/>
    <m/>
    <s v="Schrödinger Gleichung/Ehrenfest Theorem"/>
    <x v="7"/>
  </r>
  <r>
    <d v="2025-05-07T00:00:00"/>
    <x v="3"/>
    <x v="3"/>
    <n v="12"/>
    <s v="QM-12"/>
    <x v="0"/>
    <s v="Phase1"/>
    <s v="QM-1-21"/>
    <x v="33"/>
    <x v="0"/>
    <d v="1904-01-01T00:25:00"/>
    <m/>
    <m/>
    <m/>
    <s v="Eindimensionale Systeme"/>
    <x v="2"/>
  </r>
  <r>
    <d v="2025-05-07T00:00:00"/>
    <x v="3"/>
    <x v="3"/>
    <n v="13"/>
    <s v="QM-13"/>
    <x v="0"/>
    <s v="Phase1"/>
    <s v="QM-1-34"/>
    <x v="48"/>
    <x v="4"/>
    <d v="1904-01-01T02:30:00"/>
    <m/>
    <m/>
    <m/>
    <s v="QM-ÜB/QM-ÜB-02:"/>
    <x v="5"/>
  </r>
  <r>
    <d v="2025-05-08T00:00:00"/>
    <x v="3"/>
    <x v="4"/>
    <n v="4"/>
    <s v="QMS-04"/>
    <x v="0"/>
    <s v="Phase1"/>
    <s v="QMS-1-20"/>
    <x v="49"/>
    <x v="3"/>
    <d v="1904-01-01T01:30:00"/>
    <m/>
    <m/>
    <m/>
    <s v="QMS-VL"/>
    <x v="2"/>
  </r>
  <r>
    <d v="2025-05-08T00:00:00"/>
    <x v="3"/>
    <x v="5"/>
    <n v="5"/>
    <s v="CM-05"/>
    <x v="0"/>
    <s v="Phase1"/>
    <s v="CM-1-09"/>
    <x v="50"/>
    <x v="6"/>
    <d v="1904-01-01T01:30:00"/>
    <m/>
    <m/>
    <m/>
    <s v="CM-Ex"/>
    <x v="2"/>
  </r>
  <r>
    <d v="2025-05-09T00:00:00"/>
    <x v="3"/>
    <x v="2"/>
    <n v="14"/>
    <s v="GPDE-14"/>
    <x v="0"/>
    <s v="Phase1"/>
    <s v="GPDE-1-02"/>
    <x v="40"/>
    <x v="1"/>
    <d v="1904-01-01T01:50:00"/>
    <m/>
    <m/>
    <m/>
    <s v="GPDE Basics/Differentialoperatoren"/>
    <x v="9"/>
  </r>
  <r>
    <d v="2025-05-09T00:00:00"/>
    <x v="3"/>
    <x v="2"/>
    <n v="15"/>
    <s v="GPDE-15"/>
    <x v="0"/>
    <s v="Phase1"/>
    <s v=""/>
    <x v="51"/>
    <x v="3"/>
    <d v="1904-01-01T01:30:00"/>
    <m/>
    <m/>
    <m/>
    <s v=""/>
    <x v="12"/>
  </r>
  <r>
    <d v="2025-05-10T00:00:00"/>
    <x v="3"/>
    <x v="4"/>
    <n v="5"/>
    <s v="QMS-05"/>
    <x v="0"/>
    <s v="Phase1"/>
    <s v=""/>
    <x v="51"/>
    <x v="4"/>
    <d v="1904-01-01T00:45:00"/>
    <m/>
    <m/>
    <m/>
    <s v=""/>
    <x v="12"/>
  </r>
  <r>
    <d v="2025-05-10T00:00:00"/>
    <x v="3"/>
    <x v="9"/>
    <n v="4"/>
    <s v="A-04"/>
    <x v="0"/>
    <s v="Phase1"/>
    <s v="A-1-07"/>
    <x v="52"/>
    <x v="0"/>
    <d v="1904-01-01T00:35:00"/>
    <m/>
    <m/>
    <m/>
    <s v="Moduln/Moduln Grundlagen"/>
    <x v="13"/>
  </r>
  <r>
    <d v="2025-05-10T00:00:00"/>
    <x v="3"/>
    <x v="7"/>
    <n v="3"/>
    <s v="TOP2-03"/>
    <x v="0"/>
    <s v="Phase1"/>
    <s v=""/>
    <x v="51"/>
    <x v="4"/>
    <d v="1904-01-01T01:00:00"/>
    <m/>
    <m/>
    <m/>
    <s v=""/>
    <x v="12"/>
  </r>
  <r>
    <d v="2025-05-12T00:00:00"/>
    <x v="4"/>
    <x v="7"/>
    <n v="4"/>
    <s v="TOP2-04"/>
    <x v="0"/>
    <s v="Phase1"/>
    <s v=""/>
    <x v="51"/>
    <x v="3"/>
    <d v="1904-01-01T01:30:00"/>
    <m/>
    <m/>
    <m/>
    <s v=""/>
    <x v="12"/>
  </r>
  <r>
    <d v="2025-05-12T00:00:00"/>
    <x v="4"/>
    <x v="6"/>
    <n v="4"/>
    <s v="RG-04"/>
    <x v="0"/>
    <s v="Phase1"/>
    <s v="RG-1-18"/>
    <x v="53"/>
    <x v="4"/>
    <d v="1904-01-01T00:50:00"/>
    <m/>
    <m/>
    <m/>
    <s v="RG-ÜB/RG_ÜB_03: Christoffelsymbole und Kovariante Ableitung entlang Kurven"/>
    <x v="6"/>
  </r>
  <r>
    <d v="2025-05-12T00:00:00"/>
    <x v="4"/>
    <x v="5"/>
    <n v="6"/>
    <s v="CM-06"/>
    <x v="0"/>
    <s v="Phase1"/>
    <s v="CM-1-10"/>
    <x v="54"/>
    <x v="4"/>
    <d v="1904-01-01T01:00:00"/>
    <m/>
    <m/>
    <m/>
    <s v="CM-ÜB/CM_ÜB_03: Kinetische Energie in Lagrange, Rollpendel, Trafo von Kart. Koord, Alembert"/>
    <x v="8"/>
  </r>
  <r>
    <d v="2025-05-12T00:00:00"/>
    <x v="4"/>
    <x v="8"/>
    <n v="2"/>
    <s v="EFT1-02"/>
    <x v="0"/>
    <s v="Phase1"/>
    <s v="EFT1-1-01"/>
    <x v="32"/>
    <x v="0"/>
    <d v="1904-01-01T00:20:00"/>
    <m/>
    <m/>
    <m/>
    <s v="Eichfeldtheorie"/>
    <x v="2"/>
  </r>
  <r>
    <d v="2025-05-13T00:00:00"/>
    <x v="4"/>
    <x v="6"/>
    <n v="5"/>
    <s v="RG-05"/>
    <x v="0"/>
    <s v="Phase1"/>
    <s v=""/>
    <x v="51"/>
    <x v="6"/>
    <d v="1904-01-01T01:45:00"/>
    <m/>
    <m/>
    <m/>
    <s v=""/>
    <x v="1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4">
  <r>
    <x v="0"/>
    <s v="HA-1-12-01"/>
    <s v="R79-363"/>
    <x v="0"/>
    <n v="1"/>
    <x v="0"/>
    <x v="0"/>
    <x v="0"/>
    <n v="1"/>
    <x v="0"/>
    <n v="1"/>
    <x v="0"/>
    <n v="5"/>
    <m/>
    <x v="0"/>
    <n v="7.2832698403599609"/>
    <m/>
    <m/>
  </r>
  <r>
    <x v="0"/>
    <s v="HA-1-07-01"/>
    <m/>
    <x v="1"/>
    <n v="1"/>
    <x v="1"/>
    <x v="1"/>
    <x v="1"/>
    <n v="1"/>
    <x v="0"/>
    <n v="2"/>
    <x v="0"/>
    <n v="5"/>
    <m/>
    <x v="1"/>
    <n v="7.4707698403599609"/>
    <m/>
    <m/>
  </r>
  <r>
    <x v="0"/>
    <s v="HA-1-07-02"/>
    <m/>
    <x v="1"/>
    <n v="2"/>
    <x v="1"/>
    <x v="2"/>
    <x v="1"/>
    <n v="1"/>
    <x v="0"/>
    <n v="2"/>
    <x v="0"/>
    <n v="5"/>
    <m/>
    <x v="1"/>
    <n v="7.4707698403599609"/>
    <m/>
    <m/>
  </r>
  <r>
    <x v="0"/>
    <s v="HA-1-07-03"/>
    <m/>
    <x v="1"/>
    <n v="3"/>
    <x v="1"/>
    <x v="3"/>
    <x v="1"/>
    <n v="1"/>
    <x v="0"/>
    <n v="3"/>
    <x v="1"/>
    <n v="3"/>
    <m/>
    <x v="2"/>
    <n v="3.8325269612168924"/>
    <m/>
    <m/>
  </r>
  <r>
    <x v="0"/>
    <s v="HA-1-07-04"/>
    <m/>
    <x v="1"/>
    <n v="4"/>
    <x v="1"/>
    <x v="4"/>
    <x v="1"/>
    <n v="1"/>
    <x v="0"/>
    <n v="3"/>
    <x v="2"/>
    <n v="4"/>
    <m/>
    <x v="3"/>
    <n v="5.5333665110238019"/>
    <m/>
    <m/>
  </r>
  <r>
    <x v="0"/>
    <s v="HA-1-07-05"/>
    <m/>
    <x v="1"/>
    <n v="5"/>
    <x v="1"/>
    <x v="5"/>
    <x v="1"/>
    <n v="1"/>
    <x v="0"/>
    <n v="3"/>
    <x v="1"/>
    <n v="3"/>
    <m/>
    <x v="2"/>
    <n v="3.8325269612168924"/>
    <m/>
    <m/>
  </r>
  <r>
    <x v="0"/>
    <s v="HA-1-07-06"/>
    <m/>
    <x v="1"/>
    <n v="6"/>
    <x v="1"/>
    <x v="6"/>
    <x v="1"/>
    <n v="1"/>
    <x v="0"/>
    <n v="3"/>
    <x v="2"/>
    <n v="4"/>
    <m/>
    <x v="3"/>
    <n v="5.5333665110238019"/>
    <m/>
    <m/>
  </r>
  <r>
    <x v="0"/>
    <s v="HA-1-07-07"/>
    <m/>
    <x v="1"/>
    <n v="7"/>
    <x v="1"/>
    <x v="7"/>
    <x v="1"/>
    <n v="1"/>
    <x v="1"/>
    <n v="3"/>
    <x v="3"/>
    <n v="2"/>
    <m/>
    <x v="4"/>
    <n v="2.5230196807457705"/>
    <m/>
    <m/>
  </r>
  <r>
    <x v="0"/>
    <s v="HA-1-07-08"/>
    <m/>
    <x v="1"/>
    <n v="8"/>
    <x v="1"/>
    <x v="8"/>
    <x v="1"/>
    <n v="1"/>
    <x v="0"/>
    <n v="3"/>
    <x v="2"/>
    <n v="4"/>
    <m/>
    <x v="3"/>
    <n v="5.5333665110238019"/>
    <m/>
    <m/>
  </r>
  <r>
    <x v="0"/>
    <s v="HA-1-10-01"/>
    <m/>
    <x v="2"/>
    <n v="1"/>
    <x v="2"/>
    <x v="9"/>
    <x v="0"/>
    <n v="1"/>
    <x v="0"/>
    <n v="3"/>
    <x v="0"/>
    <n v="5"/>
    <m/>
    <x v="5"/>
    <n v="8.3439300121397828"/>
    <m/>
    <m/>
  </r>
  <r>
    <x v="0"/>
    <s v="HA-1-10-02"/>
    <m/>
    <x v="2"/>
    <n v="2"/>
    <x v="2"/>
    <x v="10"/>
    <x v="1"/>
    <n v="1"/>
    <x v="0"/>
    <n v="3"/>
    <x v="0"/>
    <n v="5"/>
    <m/>
    <x v="5"/>
    <n v="8.3439300121397828"/>
    <m/>
    <m/>
  </r>
  <r>
    <x v="0"/>
    <s v="HA-1-01-01"/>
    <m/>
    <x v="3"/>
    <n v="1"/>
    <x v="3"/>
    <x v="11"/>
    <x v="0"/>
    <n v="1"/>
    <x v="0"/>
    <n v="2"/>
    <x v="0"/>
    <n v="5"/>
    <m/>
    <x v="1"/>
    <n v="7.4707698403599609"/>
    <m/>
    <m/>
  </r>
  <r>
    <x v="0"/>
    <s v="HA-1-01-02"/>
    <m/>
    <x v="3"/>
    <n v="2"/>
    <x v="3"/>
    <x v="12"/>
    <x v="2"/>
    <n v="1"/>
    <x v="0"/>
    <n v="2"/>
    <x v="2"/>
    <n v="5"/>
    <m/>
    <x v="6"/>
    <n v="7.4707698403599609"/>
    <m/>
    <m/>
  </r>
  <r>
    <x v="0"/>
    <s v="HA-1-01-03"/>
    <m/>
    <x v="3"/>
    <n v="3"/>
    <x v="3"/>
    <x v="13"/>
    <x v="0"/>
    <n v="1"/>
    <x v="1"/>
    <n v="2"/>
    <x v="2"/>
    <n v="5"/>
    <m/>
    <x v="7"/>
    <n v="5.1952304715697029"/>
    <m/>
    <m/>
  </r>
  <r>
    <x v="0"/>
    <s v="HA-1-01-04"/>
    <m/>
    <x v="3"/>
    <n v="4"/>
    <x v="3"/>
    <x v="14"/>
    <x v="0"/>
    <n v="1"/>
    <x v="1"/>
    <n v="2"/>
    <x v="2"/>
    <n v="5"/>
    <m/>
    <x v="7"/>
    <n v="5.1952304715697029"/>
    <m/>
    <m/>
  </r>
  <r>
    <x v="0"/>
    <s v="HA-1-01-05"/>
    <m/>
    <x v="3"/>
    <n v="5"/>
    <x v="3"/>
    <x v="15"/>
    <x v="2"/>
    <n v="1"/>
    <x v="2"/>
    <n v="2"/>
    <x v="1"/>
    <n v="5"/>
    <m/>
    <x v="8"/>
    <n v="3.8150460770152788"/>
    <m/>
    <m/>
  </r>
  <r>
    <x v="0"/>
    <s v="HA-1-01-06"/>
    <m/>
    <x v="3"/>
    <n v="6"/>
    <x v="3"/>
    <x v="16"/>
    <x v="0"/>
    <n v="1"/>
    <x v="0"/>
    <n v="3"/>
    <x v="0"/>
    <n v="5"/>
    <m/>
    <x v="5"/>
    <n v="8.3439300121397828"/>
    <m/>
    <m/>
  </r>
  <r>
    <x v="0"/>
    <s v="HA-1-01-07"/>
    <m/>
    <x v="3"/>
    <n v="7"/>
    <x v="3"/>
    <x v="17"/>
    <x v="2"/>
    <n v="1"/>
    <x v="1"/>
    <n v="4"/>
    <x v="2"/>
    <n v="5"/>
    <m/>
    <x v="9"/>
    <n v="7.9305662093421851"/>
    <m/>
    <m/>
  </r>
  <r>
    <x v="0"/>
    <s v="HA-1-01-08"/>
    <m/>
    <x v="3"/>
    <n v="8"/>
    <x v="3"/>
    <x v="18"/>
    <x v="0"/>
    <n v="1"/>
    <x v="0"/>
    <n v="2"/>
    <x v="0"/>
    <n v="5"/>
    <m/>
    <x v="1"/>
    <n v="7.4707698403599609"/>
    <m/>
    <m/>
  </r>
  <r>
    <x v="0"/>
    <s v="HA-1-01-09"/>
    <m/>
    <x v="3"/>
    <n v="9"/>
    <x v="3"/>
    <x v="19"/>
    <x v="0"/>
    <n v="1"/>
    <x v="0"/>
    <n v="2"/>
    <x v="0"/>
    <n v="5"/>
    <m/>
    <x v="1"/>
    <n v="7.4707698403599609"/>
    <m/>
    <m/>
  </r>
  <r>
    <x v="0"/>
    <s v="HA-1-01-10"/>
    <m/>
    <x v="3"/>
    <n v="10"/>
    <x v="3"/>
    <x v="20"/>
    <x v="0"/>
    <n v="1"/>
    <x v="1"/>
    <n v="2"/>
    <x v="2"/>
    <n v="5"/>
    <m/>
    <x v="7"/>
    <n v="5.1952304715697029"/>
    <m/>
    <m/>
  </r>
  <r>
    <x v="0"/>
    <s v="HA-1-01-11"/>
    <m/>
    <x v="3"/>
    <n v="11"/>
    <x v="3"/>
    <x v="21"/>
    <x v="0"/>
    <n v="1"/>
    <x v="1"/>
    <n v="2"/>
    <x v="2"/>
    <n v="5"/>
    <m/>
    <x v="7"/>
    <n v="5.1952304715697029"/>
    <m/>
    <m/>
  </r>
  <r>
    <x v="0"/>
    <s v="HA-1-01-12"/>
    <m/>
    <x v="3"/>
    <n v="12"/>
    <x v="3"/>
    <x v="22"/>
    <x v="0"/>
    <n v="1"/>
    <x v="1"/>
    <n v="2"/>
    <x v="2"/>
    <n v="5"/>
    <m/>
    <x v="7"/>
    <n v="5.1952304715697029"/>
    <m/>
    <m/>
  </r>
  <r>
    <x v="0"/>
    <s v="HA-1-01-13"/>
    <m/>
    <x v="3"/>
    <n v="13"/>
    <x v="3"/>
    <x v="23"/>
    <x v="0"/>
    <n v="1"/>
    <x v="0"/>
    <n v="2"/>
    <x v="0"/>
    <n v="5"/>
    <m/>
    <x v="1"/>
    <n v="7.4707698403599609"/>
    <m/>
    <m/>
  </r>
  <r>
    <x v="0"/>
    <s v="HA-1-01-14"/>
    <m/>
    <x v="3"/>
    <n v="14"/>
    <x v="3"/>
    <x v="24"/>
    <x v="0"/>
    <n v="1"/>
    <x v="0"/>
    <n v="3"/>
    <x v="3"/>
    <n v="5"/>
    <m/>
    <x v="10"/>
    <n v="8.3439300121397828"/>
    <m/>
    <m/>
  </r>
  <r>
    <x v="0"/>
    <s v="HA-1-01-15"/>
    <m/>
    <x v="3"/>
    <n v="15"/>
    <x v="3"/>
    <x v="25"/>
    <x v="0"/>
    <n v="1"/>
    <x v="1"/>
    <n v="2"/>
    <x v="2"/>
    <n v="5"/>
    <m/>
    <x v="7"/>
    <n v="5.1952304715697029"/>
    <m/>
    <m/>
  </r>
  <r>
    <x v="0"/>
    <s v="HA-1-01-16"/>
    <m/>
    <x v="3"/>
    <n v="16"/>
    <x v="3"/>
    <x v="26"/>
    <x v="0"/>
    <n v="1"/>
    <x v="0"/>
    <n v="3"/>
    <x v="0"/>
    <n v="5"/>
    <m/>
    <x v="5"/>
    <n v="8.3439300121397828"/>
    <m/>
    <m/>
  </r>
  <r>
    <x v="0"/>
    <s v="HA-1-01-17"/>
    <m/>
    <x v="3"/>
    <n v="17"/>
    <x v="3"/>
    <x v="27"/>
    <x v="0"/>
    <n v="1"/>
    <x v="1"/>
    <n v="2"/>
    <x v="2"/>
    <n v="5"/>
    <m/>
    <x v="7"/>
    <n v="5.1952304715697029"/>
    <m/>
    <m/>
  </r>
  <r>
    <x v="0"/>
    <s v="HA-1-01-18"/>
    <m/>
    <x v="3"/>
    <n v="18"/>
    <x v="3"/>
    <x v="28"/>
    <x v="0"/>
    <n v="1"/>
    <x v="1"/>
    <n v="2"/>
    <x v="2"/>
    <n v="5"/>
    <m/>
    <x v="7"/>
    <n v="5.1952304715697029"/>
    <m/>
    <m/>
  </r>
  <r>
    <x v="0"/>
    <s v="HA-1-01-19"/>
    <m/>
    <x v="3"/>
    <n v="19"/>
    <x v="3"/>
    <x v="29"/>
    <x v="0"/>
    <n v="1"/>
    <x v="0"/>
    <n v="3"/>
    <x v="0"/>
    <n v="5"/>
    <m/>
    <x v="5"/>
    <n v="8.3439300121397828"/>
    <m/>
    <m/>
  </r>
  <r>
    <x v="0"/>
    <s v="HA-1-01-20"/>
    <m/>
    <x v="3"/>
    <n v="20"/>
    <x v="3"/>
    <x v="30"/>
    <x v="2"/>
    <n v="1"/>
    <x v="1"/>
    <n v="3"/>
    <x v="0"/>
    <n v="5"/>
    <m/>
    <x v="11"/>
    <n v="6.0683906433495247"/>
    <m/>
    <m/>
  </r>
  <r>
    <x v="0"/>
    <s v="HA-1-01-21"/>
    <m/>
    <x v="3"/>
    <n v="21"/>
    <x v="3"/>
    <x v="31"/>
    <x v="0"/>
    <n v="1"/>
    <x v="0"/>
    <n v="2"/>
    <x v="0"/>
    <n v="5"/>
    <m/>
    <x v="1"/>
    <n v="7.4707698403599609"/>
    <m/>
    <m/>
  </r>
  <r>
    <x v="0"/>
    <s v="HA-1-02-01"/>
    <m/>
    <x v="4"/>
    <n v="1"/>
    <x v="4"/>
    <x v="32"/>
    <x v="0"/>
    <n v="1"/>
    <x v="0"/>
    <n v="3"/>
    <x v="3"/>
    <n v="5"/>
    <m/>
    <x v="10"/>
    <n v="8.3439300121397828"/>
    <m/>
    <m/>
  </r>
  <r>
    <x v="0"/>
    <s v="HA-1-02-02"/>
    <m/>
    <x v="4"/>
    <n v="2"/>
    <x v="4"/>
    <x v="33"/>
    <x v="0"/>
    <n v="1"/>
    <x v="0"/>
    <n v="2"/>
    <x v="0"/>
    <n v="5"/>
    <m/>
    <x v="1"/>
    <n v="7.4707698403599609"/>
    <m/>
    <m/>
  </r>
  <r>
    <x v="0"/>
    <s v="HA-1-02-03"/>
    <m/>
    <x v="4"/>
    <n v="3"/>
    <x v="4"/>
    <x v="34"/>
    <x v="3"/>
    <n v="1"/>
    <x v="0"/>
    <n v="2"/>
    <x v="0"/>
    <n v="5"/>
    <m/>
    <x v="1"/>
    <n v="7.4707698403599609"/>
    <m/>
    <m/>
  </r>
  <r>
    <x v="0"/>
    <s v="HA-1-02-04"/>
    <m/>
    <x v="4"/>
    <n v="4"/>
    <x v="4"/>
    <x v="35"/>
    <x v="0"/>
    <n v="1"/>
    <x v="1"/>
    <n v="1"/>
    <x v="2"/>
    <n v="5"/>
    <m/>
    <x v="12"/>
    <n v="5.0077304715697029"/>
    <m/>
    <m/>
  </r>
  <r>
    <x v="0"/>
    <s v="HA-1-02-05"/>
    <m/>
    <x v="4"/>
    <n v="5"/>
    <x v="4"/>
    <x v="36"/>
    <x v="4"/>
    <n v="1"/>
    <x v="1"/>
    <n v="3"/>
    <x v="3"/>
    <n v="5"/>
    <m/>
    <x v="4"/>
    <n v="6.0683906433495247"/>
    <m/>
    <m/>
  </r>
  <r>
    <x v="0"/>
    <s v="HA-1-02-06"/>
    <m/>
    <x v="4"/>
    <n v="6"/>
    <x v="4"/>
    <x v="37"/>
    <x v="0"/>
    <n v="1"/>
    <x v="1"/>
    <n v="3"/>
    <x v="2"/>
    <n v="5"/>
    <m/>
    <x v="13"/>
    <n v="6.0683906433495247"/>
    <m/>
    <m/>
  </r>
  <r>
    <x v="0"/>
    <s v="HA-1-02-07"/>
    <m/>
    <x v="4"/>
    <n v="7"/>
    <x v="4"/>
    <x v="38"/>
    <x v="0"/>
    <n v="1"/>
    <x v="1"/>
    <n v="3"/>
    <x v="2"/>
    <n v="5"/>
    <m/>
    <x v="13"/>
    <n v="6.0683906433495247"/>
    <m/>
    <m/>
  </r>
  <r>
    <x v="0"/>
    <s v="HA-1-04-01"/>
    <m/>
    <x v="5"/>
    <n v="1"/>
    <x v="5"/>
    <x v="39"/>
    <x v="0"/>
    <n v="1"/>
    <x v="0"/>
    <n v="3"/>
    <x v="0"/>
    <n v="5"/>
    <m/>
    <x v="5"/>
    <n v="8.3439300121397828"/>
    <m/>
    <m/>
  </r>
  <r>
    <x v="0"/>
    <s v="HA-1-04-02"/>
    <m/>
    <x v="5"/>
    <n v="2"/>
    <x v="5"/>
    <x v="40"/>
    <x v="0"/>
    <n v="1"/>
    <x v="0"/>
    <n v="3"/>
    <x v="0"/>
    <n v="5"/>
    <m/>
    <x v="5"/>
    <n v="8.3439300121397828"/>
    <m/>
    <m/>
  </r>
  <r>
    <x v="0"/>
    <s v="HA-1-04-03"/>
    <m/>
    <x v="5"/>
    <n v="3"/>
    <x v="5"/>
    <x v="41"/>
    <x v="0"/>
    <n v="1"/>
    <x v="1"/>
    <n v="2"/>
    <x v="3"/>
    <n v="4"/>
    <m/>
    <x v="14"/>
    <n v="3.4675646088337704"/>
    <m/>
    <m/>
  </r>
  <r>
    <x v="0"/>
    <s v="HA-1-04-04"/>
    <m/>
    <x v="5"/>
    <n v="4"/>
    <x v="5"/>
    <x v="42"/>
    <x v="0"/>
    <n v="1"/>
    <x v="1"/>
    <n v="4"/>
    <x v="2"/>
    <n v="5"/>
    <m/>
    <x v="9"/>
    <n v="7.9305662093421851"/>
    <m/>
    <m/>
  </r>
  <r>
    <x v="0"/>
    <s v="HA-1-04-05"/>
    <m/>
    <x v="5"/>
    <n v="5"/>
    <x v="5"/>
    <x v="43"/>
    <x v="0"/>
    <n v="1"/>
    <x v="1"/>
    <n v="4"/>
    <x v="2"/>
    <n v="5"/>
    <m/>
    <x v="9"/>
    <n v="7.9305662093421851"/>
    <m/>
    <m/>
  </r>
  <r>
    <x v="0"/>
    <s v="HA-1-04-06"/>
    <m/>
    <x v="5"/>
    <n v="6"/>
    <x v="5"/>
    <x v="44"/>
    <x v="0"/>
    <n v="1"/>
    <x v="1"/>
    <n v="3"/>
    <x v="2"/>
    <n v="5"/>
    <m/>
    <x v="13"/>
    <n v="6.0683906433495247"/>
    <m/>
    <m/>
  </r>
  <r>
    <x v="0"/>
    <s v="HA-1-04-07"/>
    <m/>
    <x v="5"/>
    <n v="7"/>
    <x v="5"/>
    <x v="45"/>
    <x v="0"/>
    <n v="1"/>
    <x v="1"/>
    <n v="4"/>
    <x v="2"/>
    <n v="5"/>
    <m/>
    <x v="9"/>
    <n v="7.9305662093421851"/>
    <m/>
    <m/>
  </r>
  <r>
    <x v="0"/>
    <s v="HA-1-04-08"/>
    <m/>
    <x v="5"/>
    <n v="8"/>
    <x v="5"/>
    <x v="46"/>
    <x v="5"/>
    <n v="1"/>
    <x v="1"/>
    <n v="2"/>
    <x v="2"/>
    <n v="5"/>
    <m/>
    <x v="7"/>
    <n v="5.1952304715697029"/>
    <m/>
    <m/>
  </r>
  <r>
    <x v="0"/>
    <s v="HA-1-04-09"/>
    <m/>
    <x v="5"/>
    <n v="9"/>
    <x v="5"/>
    <x v="47"/>
    <x v="0"/>
    <n v="1"/>
    <x v="1"/>
    <n v="4"/>
    <x v="2"/>
    <n v="5"/>
    <m/>
    <x v="9"/>
    <n v="7.9305662093421851"/>
    <m/>
    <m/>
  </r>
  <r>
    <x v="0"/>
    <s v="HA-1-04-10"/>
    <m/>
    <x v="5"/>
    <n v="10"/>
    <x v="5"/>
    <x v="48"/>
    <x v="0"/>
    <n v="1"/>
    <x v="1"/>
    <n v="3"/>
    <x v="3"/>
    <n v="4"/>
    <m/>
    <x v="4"/>
    <n v="4.1914549319579635"/>
    <m/>
    <m/>
  </r>
  <r>
    <x v="0"/>
    <s v="HA-1-04-11"/>
    <m/>
    <x v="5"/>
    <n v="11"/>
    <x v="5"/>
    <x v="49"/>
    <x v="0"/>
    <n v="1"/>
    <x v="0"/>
    <n v="4"/>
    <x v="0"/>
    <n v="5"/>
    <m/>
    <x v="15"/>
    <n v="10.206105578132444"/>
    <m/>
    <m/>
  </r>
  <r>
    <x v="0"/>
    <s v="HA-1-04-12"/>
    <m/>
    <x v="5"/>
    <n v="12"/>
    <x v="5"/>
    <x v="50"/>
    <x v="2"/>
    <n v="1"/>
    <x v="1"/>
    <n v="3"/>
    <x v="2"/>
    <n v="5"/>
    <m/>
    <x v="13"/>
    <n v="6.0683906433495247"/>
    <m/>
    <m/>
  </r>
  <r>
    <x v="0"/>
    <s v="HA-1-04-13"/>
    <m/>
    <x v="5"/>
    <n v="13"/>
    <x v="5"/>
    <x v="51"/>
    <x v="0"/>
    <n v="1"/>
    <x v="2"/>
    <n v="3"/>
    <x v="1"/>
    <n v="5"/>
    <m/>
    <x v="16"/>
    <n v="4.6882062487951002"/>
    <m/>
    <m/>
  </r>
  <r>
    <x v="0"/>
    <s v="HA-1-04-14"/>
    <m/>
    <x v="5"/>
    <n v="14"/>
    <x v="5"/>
    <x v="52"/>
    <x v="2"/>
    <n v="1"/>
    <x v="2"/>
    <n v="3"/>
    <x v="1"/>
    <n v="4"/>
    <m/>
    <x v="16"/>
    <n v="3.3775444166311392"/>
    <m/>
    <m/>
  </r>
  <r>
    <x v="0"/>
    <s v="HA-1-04-15"/>
    <m/>
    <x v="5"/>
    <n v="15"/>
    <x v="5"/>
    <x v="53"/>
    <x v="6"/>
    <n v="1"/>
    <x v="1"/>
    <n v="3"/>
    <x v="2"/>
    <n v="5"/>
    <m/>
    <x v="13"/>
    <n v="6.0683906433495247"/>
    <m/>
    <m/>
  </r>
  <r>
    <x v="0"/>
    <s v="HA-1-04-16"/>
    <m/>
    <x v="5"/>
    <n v="16"/>
    <x v="5"/>
    <x v="54"/>
    <x v="0"/>
    <n v="1"/>
    <x v="1"/>
    <n v="3"/>
    <x v="2"/>
    <n v="5"/>
    <m/>
    <x v="13"/>
    <n v="6.0683906433495247"/>
    <m/>
    <m/>
  </r>
  <r>
    <x v="0"/>
    <s v="HA-1-04-17"/>
    <m/>
    <x v="5"/>
    <n v="17"/>
    <x v="5"/>
    <x v="55"/>
    <x v="5"/>
    <n v="1"/>
    <x v="1"/>
    <n v="2"/>
    <x v="0"/>
    <n v="5"/>
    <m/>
    <x v="17"/>
    <n v="5.1952304715697029"/>
    <m/>
    <m/>
  </r>
  <r>
    <x v="0"/>
    <s v="HA-1-04-18"/>
    <m/>
    <x v="5"/>
    <n v="18"/>
    <x v="5"/>
    <x v="56"/>
    <x v="0"/>
    <n v="0"/>
    <x v="3"/>
    <m/>
    <x v="4"/>
    <m/>
    <m/>
    <x v="18"/>
    <n v="0"/>
    <m/>
    <m/>
  </r>
  <r>
    <x v="0"/>
    <s v="HA-1-04-19"/>
    <m/>
    <x v="5"/>
    <n v="19"/>
    <x v="5"/>
    <x v="57"/>
    <x v="0"/>
    <n v="0"/>
    <x v="3"/>
    <m/>
    <x v="4"/>
    <m/>
    <m/>
    <x v="18"/>
    <n v="0"/>
    <m/>
    <m/>
  </r>
  <r>
    <x v="0"/>
    <s v="HA-1-06-01"/>
    <m/>
    <x v="6"/>
    <n v="1"/>
    <x v="6"/>
    <x v="58"/>
    <x v="0"/>
    <n v="1"/>
    <x v="0"/>
    <n v="3"/>
    <x v="0"/>
    <n v="5"/>
    <m/>
    <x v="5"/>
    <n v="8.3439300121397828"/>
    <m/>
    <m/>
  </r>
  <r>
    <x v="0"/>
    <s v="HA-1-06-02"/>
    <m/>
    <x v="6"/>
    <n v="2"/>
    <x v="6"/>
    <x v="59"/>
    <x v="0"/>
    <n v="1"/>
    <x v="0"/>
    <n v="3"/>
    <x v="0"/>
    <n v="5"/>
    <m/>
    <x v="5"/>
    <n v="8.3439300121397828"/>
    <m/>
    <m/>
  </r>
  <r>
    <x v="0"/>
    <s v="HA-1-06-03"/>
    <m/>
    <x v="6"/>
    <n v="3"/>
    <x v="6"/>
    <x v="60"/>
    <x v="0"/>
    <n v="1"/>
    <x v="0"/>
    <n v="3"/>
    <x v="0"/>
    <n v="5"/>
    <m/>
    <x v="5"/>
    <n v="8.3439300121397828"/>
    <m/>
    <m/>
  </r>
  <r>
    <x v="0"/>
    <s v="HA-1-06-04"/>
    <m/>
    <x v="6"/>
    <n v="4"/>
    <x v="6"/>
    <x v="61"/>
    <x v="0"/>
    <n v="1"/>
    <x v="1"/>
    <n v="3"/>
    <x v="2"/>
    <n v="5"/>
    <m/>
    <x v="13"/>
    <n v="6.0683906433495247"/>
    <m/>
    <m/>
  </r>
  <r>
    <x v="0"/>
    <s v="HA-1-06-05"/>
    <m/>
    <x v="6"/>
    <n v="5"/>
    <x v="6"/>
    <x v="62"/>
    <x v="5"/>
    <n v="1"/>
    <x v="1"/>
    <n v="2"/>
    <x v="0"/>
    <n v="5"/>
    <m/>
    <x v="17"/>
    <n v="5.1952304715697029"/>
    <m/>
    <m/>
  </r>
  <r>
    <x v="0"/>
    <s v="HA-1-06-06"/>
    <m/>
    <x v="6"/>
    <n v="6"/>
    <x v="6"/>
    <x v="63"/>
    <x v="7"/>
    <n v="1"/>
    <x v="2"/>
    <n v="3"/>
    <x v="2"/>
    <n v="5"/>
    <m/>
    <x v="19"/>
    <n v="4.6882062487951002"/>
    <m/>
    <m/>
  </r>
  <r>
    <x v="0"/>
    <s v="HA-1-06-07"/>
    <m/>
    <x v="6"/>
    <n v="7"/>
    <x v="6"/>
    <x v="64"/>
    <x v="0"/>
    <n v="1"/>
    <x v="1"/>
    <n v="2"/>
    <x v="2"/>
    <n v="5"/>
    <m/>
    <x v="7"/>
    <n v="5.1952304715697029"/>
    <m/>
    <m/>
  </r>
  <r>
    <x v="0"/>
    <s v="HA-1-06-08"/>
    <m/>
    <x v="6"/>
    <n v="8"/>
    <x v="6"/>
    <x v="65"/>
    <x v="0"/>
    <n v="1"/>
    <x v="2"/>
    <n v="2"/>
    <x v="1"/>
    <n v="4"/>
    <m/>
    <x v="8"/>
    <n v="2.6536540935069457"/>
    <m/>
    <m/>
  </r>
  <r>
    <x v="0"/>
    <s v="HA-1-06-09"/>
    <m/>
    <x v="6"/>
    <n v="9"/>
    <x v="6"/>
    <x v="66"/>
    <x v="0"/>
    <n v="1"/>
    <x v="1"/>
    <n v="3"/>
    <x v="0"/>
    <n v="5"/>
    <m/>
    <x v="11"/>
    <n v="6.0683906433495247"/>
    <m/>
    <m/>
  </r>
  <r>
    <x v="0"/>
    <s v="HA-1-06-10"/>
    <m/>
    <x v="6"/>
    <n v="10"/>
    <x v="6"/>
    <x v="67"/>
    <x v="0"/>
    <n v="1"/>
    <x v="1"/>
    <n v="3"/>
    <x v="0"/>
    <n v="5"/>
    <m/>
    <x v="11"/>
    <n v="6.0683906433495247"/>
    <m/>
    <m/>
  </r>
  <r>
    <x v="0"/>
    <s v="HA-1-06-11"/>
    <m/>
    <x v="6"/>
    <n v="11"/>
    <x v="6"/>
    <x v="68"/>
    <x v="0"/>
    <n v="1"/>
    <x v="1"/>
    <n v="2"/>
    <x v="0"/>
    <n v="5"/>
    <m/>
    <x v="17"/>
    <n v="5.1952304715697029"/>
    <m/>
    <m/>
  </r>
  <r>
    <x v="0"/>
    <s v="HA-1-06-12"/>
    <m/>
    <x v="6"/>
    <n v="12"/>
    <x v="6"/>
    <x v="69"/>
    <x v="5"/>
    <n v="1"/>
    <x v="1"/>
    <n v="3"/>
    <x v="2"/>
    <n v="5"/>
    <m/>
    <x v="13"/>
    <n v="6.0683906433495247"/>
    <m/>
    <m/>
  </r>
  <r>
    <x v="0"/>
    <s v="HA-1-05-01"/>
    <m/>
    <x v="7"/>
    <n v="1"/>
    <x v="7"/>
    <x v="70"/>
    <x v="6"/>
    <n v="1"/>
    <x v="0"/>
    <n v="2"/>
    <x v="0"/>
    <n v="5"/>
    <m/>
    <x v="1"/>
    <n v="7.4707698403599609"/>
    <m/>
    <m/>
  </r>
  <r>
    <x v="0"/>
    <s v="HA-1-05-02"/>
    <m/>
    <x v="7"/>
    <n v="2"/>
    <x v="7"/>
    <x v="71"/>
    <x v="6"/>
    <n v="1"/>
    <x v="0"/>
    <n v="2"/>
    <x v="0"/>
    <n v="5"/>
    <m/>
    <x v="1"/>
    <n v="7.4707698403599609"/>
    <m/>
    <m/>
  </r>
  <r>
    <x v="0"/>
    <s v="HA-1-05-03"/>
    <m/>
    <x v="7"/>
    <n v="3"/>
    <x v="7"/>
    <x v="72"/>
    <x v="0"/>
    <n v="1"/>
    <x v="1"/>
    <n v="2"/>
    <x v="1"/>
    <n v="4"/>
    <m/>
    <x v="20"/>
    <n v="3.4675646088337704"/>
    <m/>
    <m/>
  </r>
  <r>
    <x v="0"/>
    <s v="HA-1-05-04"/>
    <m/>
    <x v="7"/>
    <n v="4"/>
    <x v="7"/>
    <x v="73"/>
    <x v="0"/>
    <n v="1"/>
    <x v="1"/>
    <n v="1"/>
    <x v="1"/>
    <n v="3"/>
    <m/>
    <x v="21"/>
    <n v="2.2860024425665837"/>
    <m/>
    <m/>
  </r>
  <r>
    <x v="0"/>
    <s v="HA-1-05-05"/>
    <m/>
    <x v="7"/>
    <n v="5"/>
    <x v="7"/>
    <x v="74"/>
    <x v="0"/>
    <n v="1"/>
    <x v="0"/>
    <n v="2"/>
    <x v="0"/>
    <n v="5"/>
    <m/>
    <x v="1"/>
    <n v="7.4707698403599609"/>
    <m/>
    <m/>
  </r>
  <r>
    <x v="0"/>
    <s v="HA-1-05-06"/>
    <m/>
    <x v="7"/>
    <n v="6"/>
    <x v="7"/>
    <x v="75"/>
    <x v="0"/>
    <n v="1"/>
    <x v="0"/>
    <n v="3"/>
    <x v="0"/>
    <n v="5"/>
    <m/>
    <x v="5"/>
    <n v="8.3439300121397828"/>
    <m/>
    <m/>
  </r>
  <r>
    <x v="0"/>
    <s v="HA-1-05-07"/>
    <m/>
    <x v="7"/>
    <n v="7"/>
    <x v="7"/>
    <x v="76"/>
    <x v="6"/>
    <n v="1"/>
    <x v="0"/>
    <n v="3"/>
    <x v="0"/>
    <n v="5"/>
    <m/>
    <x v="5"/>
    <n v="8.3439300121397828"/>
    <m/>
    <m/>
  </r>
  <r>
    <x v="0"/>
    <s v="HA-1-05-08"/>
    <m/>
    <x v="7"/>
    <n v="8"/>
    <x v="7"/>
    <x v="77"/>
    <x v="2"/>
    <n v="1"/>
    <x v="1"/>
    <n v="3"/>
    <x v="2"/>
    <n v="5"/>
    <m/>
    <x v="13"/>
    <n v="6.0683906433495247"/>
    <m/>
    <m/>
  </r>
  <r>
    <x v="0"/>
    <s v="HA-1-05-09"/>
    <m/>
    <x v="7"/>
    <n v="9"/>
    <x v="7"/>
    <x v="78"/>
    <x v="5"/>
    <n v="1"/>
    <x v="1"/>
    <n v="3"/>
    <x v="2"/>
    <n v="5"/>
    <m/>
    <x v="13"/>
    <n v="6.0683906433495247"/>
    <m/>
    <m/>
  </r>
  <r>
    <x v="0"/>
    <s v="HA-1-05-10"/>
    <m/>
    <x v="7"/>
    <n v="10"/>
    <x v="7"/>
    <x v="79"/>
    <x v="7"/>
    <n v="1"/>
    <x v="2"/>
    <n v="4"/>
    <x v="1"/>
    <n v="4"/>
    <m/>
    <x v="22"/>
    <n v="4.921374421420138"/>
    <m/>
    <m/>
  </r>
  <r>
    <x v="0"/>
    <s v="HA-1-05-11"/>
    <m/>
    <x v="7"/>
    <n v="11"/>
    <x v="7"/>
    <x v="80"/>
    <x v="4"/>
    <n v="1"/>
    <x v="1"/>
    <n v="3"/>
    <x v="2"/>
    <n v="5"/>
    <m/>
    <x v="13"/>
    <n v="6.0683906433495247"/>
    <m/>
    <m/>
  </r>
  <r>
    <x v="0"/>
    <s v="HA-1-05-12"/>
    <m/>
    <x v="7"/>
    <n v="12"/>
    <x v="7"/>
    <x v="81"/>
    <x v="7"/>
    <n v="0"/>
    <x v="3"/>
    <m/>
    <x v="4"/>
    <m/>
    <m/>
    <x v="18"/>
    <n v="0"/>
    <m/>
    <m/>
  </r>
  <r>
    <x v="0"/>
    <s v="HA-1-05-13"/>
    <m/>
    <x v="7"/>
    <n v="13"/>
    <x v="7"/>
    <x v="82"/>
    <x v="4"/>
    <n v="1"/>
    <x v="1"/>
    <n v="3"/>
    <x v="0"/>
    <n v="5"/>
    <m/>
    <x v="11"/>
    <n v="6.0683906433495247"/>
    <m/>
    <m/>
  </r>
  <r>
    <x v="0"/>
    <s v="HA-1-05-14"/>
    <m/>
    <x v="7"/>
    <n v="14"/>
    <x v="7"/>
    <x v="83"/>
    <x v="7"/>
    <n v="0"/>
    <x v="3"/>
    <m/>
    <x v="4"/>
    <m/>
    <m/>
    <x v="18"/>
    <n v="0"/>
    <m/>
    <m/>
  </r>
  <r>
    <x v="0"/>
    <s v="HA-1-05-15"/>
    <m/>
    <x v="7"/>
    <n v="15"/>
    <x v="7"/>
    <x v="84"/>
    <x v="4"/>
    <n v="1"/>
    <x v="1"/>
    <n v="4"/>
    <x v="2"/>
    <n v="5"/>
    <m/>
    <x v="9"/>
    <n v="7.9305662093421851"/>
    <m/>
    <m/>
  </r>
  <r>
    <x v="0"/>
    <s v="HA-1-05-16"/>
    <m/>
    <x v="7"/>
    <n v="16"/>
    <x v="7"/>
    <x v="85"/>
    <x v="7"/>
    <n v="1"/>
    <x v="2"/>
    <n v="4"/>
    <x v="1"/>
    <n v="4"/>
    <m/>
    <x v="22"/>
    <n v="4.921374421420138"/>
    <m/>
    <m/>
  </r>
  <r>
    <x v="0"/>
    <s v="HA-1-05-17"/>
    <m/>
    <x v="7"/>
    <n v="17"/>
    <x v="7"/>
    <x v="86"/>
    <x v="0"/>
    <n v="1"/>
    <x v="1"/>
    <n v="3"/>
    <x v="1"/>
    <n v="4"/>
    <m/>
    <x v="23"/>
    <n v="4.1914549319579635"/>
    <m/>
    <m/>
  </r>
  <r>
    <x v="0"/>
    <s v="HA-1-05-18"/>
    <m/>
    <x v="7"/>
    <n v="18"/>
    <x v="7"/>
    <x v="87"/>
    <x v="6"/>
    <n v="1"/>
    <x v="1"/>
    <n v="3"/>
    <x v="2"/>
    <n v="5"/>
    <m/>
    <x v="13"/>
    <n v="6.0683906433495247"/>
    <m/>
    <m/>
  </r>
  <r>
    <x v="0"/>
    <s v="HA-1-05-19"/>
    <m/>
    <x v="7"/>
    <n v="19"/>
    <x v="7"/>
    <x v="88"/>
    <x v="0"/>
    <n v="1"/>
    <x v="1"/>
    <n v="3"/>
    <x v="2"/>
    <n v="5"/>
    <m/>
    <x v="13"/>
    <n v="6.0683906433495247"/>
    <m/>
    <m/>
  </r>
  <r>
    <x v="0"/>
    <s v="HA-1-05-20"/>
    <m/>
    <x v="7"/>
    <n v="20"/>
    <x v="7"/>
    <x v="89"/>
    <x v="2"/>
    <m/>
    <x v="1"/>
    <n v="3"/>
    <x v="1"/>
    <n v="4"/>
    <m/>
    <x v="23"/>
    <n v="4.1914549319579635"/>
    <m/>
    <m/>
  </r>
  <r>
    <x v="0"/>
    <s v="HA-1-05-21"/>
    <m/>
    <x v="7"/>
    <n v="21"/>
    <x v="7"/>
    <x v="90"/>
    <x v="0"/>
    <m/>
    <x v="1"/>
    <n v="3"/>
    <x v="0"/>
    <n v="5"/>
    <m/>
    <x v="11"/>
    <n v="6.0683906433495247"/>
    <m/>
    <m/>
  </r>
  <r>
    <x v="0"/>
    <s v="HA-1-05-22"/>
    <m/>
    <x v="7"/>
    <n v="22"/>
    <x v="7"/>
    <x v="91"/>
    <x v="5"/>
    <m/>
    <x v="1"/>
    <n v="2"/>
    <x v="2"/>
    <n v="5"/>
    <m/>
    <x v="7"/>
    <n v="5.1952304715697029"/>
    <m/>
    <m/>
  </r>
  <r>
    <x v="0"/>
    <s v="HA-1-05-23"/>
    <m/>
    <x v="7"/>
    <n v="23"/>
    <x v="7"/>
    <x v="92"/>
    <x v="7"/>
    <m/>
    <x v="1"/>
    <n v="2"/>
    <x v="2"/>
    <n v="5"/>
    <m/>
    <x v="7"/>
    <n v="5.1952304715697029"/>
    <m/>
    <m/>
  </r>
  <r>
    <x v="0"/>
    <s v="HA-1-05-24"/>
    <m/>
    <x v="7"/>
    <n v="24"/>
    <x v="7"/>
    <x v="93"/>
    <x v="0"/>
    <m/>
    <x v="1"/>
    <n v="3"/>
    <x v="2"/>
    <n v="5"/>
    <m/>
    <x v="13"/>
    <n v="6.0683906433495247"/>
    <m/>
    <m/>
  </r>
  <r>
    <x v="0"/>
    <s v="HA-1-05-25"/>
    <m/>
    <x v="7"/>
    <n v="25"/>
    <x v="7"/>
    <x v="94"/>
    <x v="5"/>
    <m/>
    <x v="1"/>
    <n v="3"/>
    <x v="2"/>
    <n v="5"/>
    <m/>
    <x v="13"/>
    <n v="6.0683906433495247"/>
    <m/>
    <m/>
  </r>
  <r>
    <x v="0"/>
    <s v="HA-1-01-22"/>
    <m/>
    <x v="3"/>
    <n v="22"/>
    <x v="3"/>
    <x v="95"/>
    <x v="8"/>
    <m/>
    <x v="3"/>
    <m/>
    <x v="4"/>
    <m/>
    <m/>
    <x v="18"/>
    <n v="0"/>
    <m/>
    <m/>
  </r>
  <r>
    <x v="0"/>
    <s v="HA-1-01-23"/>
    <m/>
    <x v="3"/>
    <n v="23"/>
    <x v="3"/>
    <x v="96"/>
    <x v="8"/>
    <m/>
    <x v="3"/>
    <m/>
    <x v="4"/>
    <m/>
    <m/>
    <x v="18"/>
    <n v="0"/>
    <m/>
    <m/>
  </r>
  <r>
    <x v="0"/>
    <s v="HA-1-04-20"/>
    <m/>
    <x v="5"/>
    <n v="20"/>
    <x v="5"/>
    <x v="97"/>
    <x v="8"/>
    <m/>
    <x v="3"/>
    <m/>
    <x v="4"/>
    <m/>
    <m/>
    <x v="18"/>
    <n v="0"/>
    <m/>
    <s v="Warum Monics und Epics"/>
  </r>
  <r>
    <x v="0"/>
    <s v="HA-1-06-13"/>
    <m/>
    <x v="6"/>
    <n v="13"/>
    <x v="6"/>
    <x v="98"/>
    <x v="8"/>
    <m/>
    <x v="3"/>
    <m/>
    <x v="4"/>
    <m/>
    <m/>
    <x v="18"/>
    <n v="0"/>
    <m/>
    <m/>
  </r>
  <r>
    <x v="0"/>
    <s v="HA-1-05-26"/>
    <m/>
    <x v="7"/>
    <n v="26"/>
    <x v="7"/>
    <x v="99"/>
    <x v="8"/>
    <m/>
    <x v="3"/>
    <m/>
    <x v="4"/>
    <m/>
    <m/>
    <x v="18"/>
    <n v="0"/>
    <m/>
    <s v="cokern Konstruktion von Homologie-Objekt"/>
  </r>
  <r>
    <x v="0"/>
    <s v="HA-1-05-27"/>
    <m/>
    <x v="7"/>
    <n v="27"/>
    <x v="7"/>
    <x v="100"/>
    <x v="8"/>
    <m/>
    <x v="3"/>
    <m/>
    <x v="4"/>
    <m/>
    <m/>
    <x v="18"/>
    <n v="0"/>
    <m/>
    <m/>
  </r>
  <r>
    <x v="0"/>
    <s v="HA-1-05-28"/>
    <m/>
    <x v="7"/>
    <n v="28"/>
    <x v="7"/>
    <x v="101"/>
    <x v="8"/>
    <m/>
    <x v="3"/>
    <m/>
    <x v="4"/>
    <m/>
    <m/>
    <x v="18"/>
    <n v="0"/>
    <m/>
    <m/>
  </r>
  <r>
    <x v="0"/>
    <s v="HA-1-05-29"/>
    <m/>
    <x v="7"/>
    <n v="29"/>
    <x v="7"/>
    <x v="102"/>
    <x v="8"/>
    <m/>
    <x v="3"/>
    <m/>
    <x v="4"/>
    <m/>
    <m/>
    <x v="18"/>
    <n v="0"/>
    <m/>
    <m/>
  </r>
  <r>
    <x v="1"/>
    <s v="TOP1-1-02-01"/>
    <m/>
    <x v="8"/>
    <n v="1"/>
    <x v="8"/>
    <x v="103"/>
    <x v="0"/>
    <n v="1"/>
    <x v="0"/>
    <n v="1"/>
    <x v="0"/>
    <n v="5"/>
    <m/>
    <x v="0"/>
    <n v="7.2832698403599609"/>
    <m/>
    <m/>
  </r>
  <r>
    <x v="1"/>
    <s v="TOP1-1-02-02"/>
    <m/>
    <x v="8"/>
    <n v="2"/>
    <x v="8"/>
    <x v="104"/>
    <x v="0"/>
    <n v="1"/>
    <x v="0"/>
    <n v="1"/>
    <x v="0"/>
    <n v="5"/>
    <m/>
    <x v="0"/>
    <n v="7.2832698403599609"/>
    <m/>
    <m/>
  </r>
  <r>
    <x v="1"/>
    <s v="TOP1-1-02-03"/>
    <m/>
    <x v="8"/>
    <n v="3"/>
    <x v="8"/>
    <x v="105"/>
    <x v="0"/>
    <n v="1"/>
    <x v="0"/>
    <n v="2"/>
    <x v="0"/>
    <n v="5"/>
    <m/>
    <x v="1"/>
    <n v="7.4707698403599609"/>
    <m/>
    <m/>
  </r>
  <r>
    <x v="1"/>
    <s v="TOP1-1-02-04"/>
    <m/>
    <x v="8"/>
    <n v="4"/>
    <x v="8"/>
    <x v="106"/>
    <x v="0"/>
    <n v="1"/>
    <x v="0"/>
    <n v="2"/>
    <x v="0"/>
    <n v="5"/>
    <m/>
    <x v="1"/>
    <n v="7.4707698403599609"/>
    <m/>
    <m/>
  </r>
  <r>
    <x v="1"/>
    <s v="TOP1-1-02-05"/>
    <m/>
    <x v="8"/>
    <n v="5"/>
    <x v="8"/>
    <x v="107"/>
    <x v="0"/>
    <n v="1"/>
    <x v="0"/>
    <n v="3"/>
    <x v="0"/>
    <n v="5"/>
    <m/>
    <x v="5"/>
    <n v="8.3439300121397828"/>
    <m/>
    <m/>
  </r>
  <r>
    <x v="1"/>
    <s v="TOP1-1-02-06"/>
    <m/>
    <x v="8"/>
    <n v="6"/>
    <x v="8"/>
    <x v="108"/>
    <x v="6"/>
    <n v="1"/>
    <x v="1"/>
    <n v="3"/>
    <x v="2"/>
    <n v="5"/>
    <m/>
    <x v="13"/>
    <n v="6.0683906433495247"/>
    <m/>
    <m/>
  </r>
  <r>
    <x v="1"/>
    <s v="TOP1-1-02-07"/>
    <m/>
    <x v="8"/>
    <n v="7"/>
    <x v="8"/>
    <x v="109"/>
    <x v="6"/>
    <n v="1"/>
    <x v="0"/>
    <n v="3"/>
    <x v="0"/>
    <n v="5"/>
    <m/>
    <x v="5"/>
    <n v="8.3439300121397828"/>
    <m/>
    <m/>
  </r>
  <r>
    <x v="1"/>
    <s v="TOP1-1-09-01"/>
    <m/>
    <x v="9"/>
    <n v="1"/>
    <x v="9"/>
    <x v="110"/>
    <x v="0"/>
    <n v="1"/>
    <x v="0"/>
    <n v="2"/>
    <x v="0"/>
    <n v="5"/>
    <m/>
    <x v="1"/>
    <n v="7.4707698403599609"/>
    <m/>
    <m/>
  </r>
  <r>
    <x v="1"/>
    <s v="TOP1-1-09-02"/>
    <m/>
    <x v="9"/>
    <n v="2"/>
    <x v="9"/>
    <x v="111"/>
    <x v="4"/>
    <n v="1"/>
    <x v="1"/>
    <n v="3"/>
    <x v="0"/>
    <n v="5"/>
    <m/>
    <x v="11"/>
    <n v="6.0683906433495247"/>
    <m/>
    <m/>
  </r>
  <r>
    <x v="1"/>
    <s v="TOP1-1-09-03"/>
    <m/>
    <x v="9"/>
    <n v="3"/>
    <x v="9"/>
    <x v="112"/>
    <x v="4"/>
    <n v="1"/>
    <x v="1"/>
    <n v="3"/>
    <x v="0"/>
    <n v="5"/>
    <m/>
    <x v="11"/>
    <n v="6.0683906433495247"/>
    <m/>
    <m/>
  </r>
  <r>
    <x v="1"/>
    <s v="TOP1-1-09-04"/>
    <m/>
    <x v="9"/>
    <n v="4"/>
    <x v="9"/>
    <x v="113"/>
    <x v="9"/>
    <n v="1"/>
    <x v="1"/>
    <n v="2"/>
    <x v="2"/>
    <n v="5"/>
    <m/>
    <x v="7"/>
    <n v="5.1952304715697029"/>
    <m/>
    <m/>
  </r>
  <r>
    <x v="1"/>
    <s v="TOP1-1-09-05"/>
    <m/>
    <x v="9"/>
    <n v="5"/>
    <x v="9"/>
    <x v="114"/>
    <x v="0"/>
    <n v="1"/>
    <x v="0"/>
    <n v="2"/>
    <x v="0"/>
    <n v="5"/>
    <m/>
    <x v="1"/>
    <n v="7.4707698403599609"/>
    <m/>
    <m/>
  </r>
  <r>
    <x v="1"/>
    <s v="TOP1-1-09-06"/>
    <m/>
    <x v="9"/>
    <n v="6"/>
    <x v="9"/>
    <x v="115"/>
    <x v="0"/>
    <n v="1"/>
    <x v="0"/>
    <n v="3"/>
    <x v="0"/>
    <n v="5"/>
    <m/>
    <x v="5"/>
    <n v="8.3439300121397828"/>
    <m/>
    <m/>
  </r>
  <r>
    <x v="1"/>
    <s v="TOP1-1-09-07"/>
    <m/>
    <x v="9"/>
    <n v="7"/>
    <x v="9"/>
    <x v="116"/>
    <x v="5"/>
    <n v="1"/>
    <x v="1"/>
    <n v="3"/>
    <x v="0"/>
    <n v="5"/>
    <m/>
    <x v="11"/>
    <n v="6.0683906433495247"/>
    <m/>
    <m/>
  </r>
  <r>
    <x v="1"/>
    <s v="TOP1-1-09-08"/>
    <m/>
    <x v="9"/>
    <n v="8"/>
    <x v="10"/>
    <x v="117"/>
    <x v="0"/>
    <n v="1"/>
    <x v="0"/>
    <n v="3"/>
    <x v="2"/>
    <n v="5"/>
    <m/>
    <x v="3"/>
    <n v="8.3439300121397828"/>
    <m/>
    <m/>
  </r>
  <r>
    <x v="1"/>
    <s v="TOP1-1-09-09"/>
    <m/>
    <x v="9"/>
    <n v="9"/>
    <x v="10"/>
    <x v="118"/>
    <x v="0"/>
    <n v="1"/>
    <x v="0"/>
    <n v="2"/>
    <x v="0"/>
    <n v="5"/>
    <m/>
    <x v="1"/>
    <n v="7.4707698403599609"/>
    <m/>
    <m/>
  </r>
  <r>
    <x v="1"/>
    <s v="TOP1-1-09-10"/>
    <m/>
    <x v="9"/>
    <n v="10"/>
    <x v="10"/>
    <x v="119"/>
    <x v="5"/>
    <n v="1"/>
    <x v="1"/>
    <n v="3"/>
    <x v="2"/>
    <n v="5"/>
    <m/>
    <x v="13"/>
    <n v="6.0683906433495247"/>
    <m/>
    <m/>
  </r>
  <r>
    <x v="1"/>
    <s v="TOP1-1-04-01"/>
    <m/>
    <x v="10"/>
    <n v="1"/>
    <x v="11"/>
    <x v="120"/>
    <x v="0"/>
    <n v="1"/>
    <x v="0"/>
    <n v="2"/>
    <x v="0"/>
    <n v="5"/>
    <m/>
    <x v="1"/>
    <n v="7.4707698403599609"/>
    <m/>
    <m/>
  </r>
  <r>
    <x v="1"/>
    <s v="TOP1-1-04-02"/>
    <m/>
    <x v="10"/>
    <n v="2"/>
    <x v="11"/>
    <x v="121"/>
    <x v="0"/>
    <n v="1"/>
    <x v="0"/>
    <n v="3"/>
    <x v="0"/>
    <n v="5"/>
    <m/>
    <x v="5"/>
    <n v="8.3439300121397828"/>
    <m/>
    <m/>
  </r>
  <r>
    <x v="1"/>
    <s v="TOP1-1-04-03"/>
    <m/>
    <x v="10"/>
    <n v="3"/>
    <x v="11"/>
    <x v="122"/>
    <x v="0"/>
    <n v="1"/>
    <x v="0"/>
    <n v="3"/>
    <x v="2"/>
    <n v="5"/>
    <m/>
    <x v="3"/>
    <n v="8.3439300121397828"/>
    <m/>
    <m/>
  </r>
  <r>
    <x v="1"/>
    <s v="TOP1-1-04-04"/>
    <m/>
    <x v="10"/>
    <n v="4"/>
    <x v="11"/>
    <x v="123"/>
    <x v="1"/>
    <n v="1"/>
    <x v="1"/>
    <n v="3"/>
    <x v="1"/>
    <n v="5"/>
    <m/>
    <x v="23"/>
    <n v="6.0683906433495247"/>
    <m/>
    <m/>
  </r>
  <r>
    <x v="1"/>
    <s v="TOP1-1-04-05"/>
    <m/>
    <x v="10"/>
    <n v="5"/>
    <x v="11"/>
    <x v="124"/>
    <x v="0"/>
    <n v="1"/>
    <x v="0"/>
    <n v="3"/>
    <x v="0"/>
    <n v="5"/>
    <m/>
    <x v="5"/>
    <n v="8.3439300121397828"/>
    <m/>
    <m/>
  </r>
  <r>
    <x v="1"/>
    <s v="TOP1-1-04-06"/>
    <m/>
    <x v="10"/>
    <n v="6"/>
    <x v="11"/>
    <x v="125"/>
    <x v="5"/>
    <n v="1"/>
    <x v="1"/>
    <n v="3"/>
    <x v="2"/>
    <n v="5"/>
    <m/>
    <x v="13"/>
    <n v="6.0683906433495247"/>
    <m/>
    <m/>
  </r>
  <r>
    <x v="1"/>
    <s v="TOP1-1-04-07"/>
    <m/>
    <x v="10"/>
    <n v="7"/>
    <x v="11"/>
    <x v="126"/>
    <x v="0"/>
    <n v="1"/>
    <x v="0"/>
    <n v="3"/>
    <x v="2"/>
    <n v="5"/>
    <m/>
    <x v="3"/>
    <n v="8.3439300121397828"/>
    <m/>
    <m/>
  </r>
  <r>
    <x v="1"/>
    <s v="TOP1-1-04-08"/>
    <m/>
    <x v="10"/>
    <n v="8"/>
    <x v="11"/>
    <x v="127"/>
    <x v="5"/>
    <n v="1"/>
    <x v="0"/>
    <n v="3"/>
    <x v="2"/>
    <n v="5"/>
    <m/>
    <x v="3"/>
    <n v="8.3439300121397828"/>
    <m/>
    <m/>
  </r>
  <r>
    <x v="1"/>
    <s v="TOP1-1-04-09"/>
    <m/>
    <x v="10"/>
    <n v="9"/>
    <x v="11"/>
    <x v="128"/>
    <x v="0"/>
    <n v="1"/>
    <x v="0"/>
    <n v="3"/>
    <x v="0"/>
    <n v="5"/>
    <m/>
    <x v="5"/>
    <n v="8.3439300121397828"/>
    <m/>
    <m/>
  </r>
  <r>
    <x v="1"/>
    <s v="TOP1-1-04-10"/>
    <m/>
    <x v="10"/>
    <n v="10"/>
    <x v="11"/>
    <x v="129"/>
    <x v="0"/>
    <n v="1"/>
    <x v="0"/>
    <n v="3"/>
    <x v="0"/>
    <n v="5"/>
    <m/>
    <x v="5"/>
    <n v="8.3439300121397828"/>
    <m/>
    <m/>
  </r>
  <r>
    <x v="1"/>
    <s v="TOP1-1-04-11"/>
    <m/>
    <x v="10"/>
    <n v="11"/>
    <x v="11"/>
    <x v="130"/>
    <x v="4"/>
    <n v="1"/>
    <x v="1"/>
    <n v="4"/>
    <x v="0"/>
    <n v="5"/>
    <m/>
    <x v="24"/>
    <n v="7.9305662093421851"/>
    <m/>
    <s v="Hier gemeint bzgl sing Simplex oder affin sing Simplex?"/>
  </r>
  <r>
    <x v="1"/>
    <s v="TOP1-1-04-12"/>
    <m/>
    <x v="10"/>
    <n v="12"/>
    <x v="11"/>
    <x v="131"/>
    <x v="5"/>
    <n v="1"/>
    <x v="1"/>
    <n v="3"/>
    <x v="2"/>
    <n v="5"/>
    <m/>
    <x v="13"/>
    <n v="6.0683906433495247"/>
    <m/>
    <m/>
  </r>
  <r>
    <x v="1"/>
    <s v="TOP1-1-04-13"/>
    <m/>
    <x v="10"/>
    <n v="13"/>
    <x v="11"/>
    <x v="132"/>
    <x v="1"/>
    <n v="1"/>
    <x v="1"/>
    <n v="3"/>
    <x v="1"/>
    <n v="4"/>
    <m/>
    <x v="23"/>
    <n v="4.1914549319579635"/>
    <m/>
    <m/>
  </r>
  <r>
    <x v="1"/>
    <s v="TOP1-1-04-14"/>
    <m/>
    <x v="10"/>
    <n v="14"/>
    <x v="11"/>
    <x v="133"/>
    <x v="9"/>
    <n v="1"/>
    <x v="1"/>
    <n v="3"/>
    <x v="1"/>
    <n v="4"/>
    <m/>
    <x v="23"/>
    <n v="4.1914549319579635"/>
    <m/>
    <m/>
  </r>
  <r>
    <x v="1"/>
    <s v="TOP1-1-04-15"/>
    <m/>
    <x v="10"/>
    <n v="15"/>
    <x v="11"/>
    <x v="134"/>
    <x v="5"/>
    <n v="1"/>
    <x v="1"/>
    <n v="3"/>
    <x v="2"/>
    <n v="5"/>
    <m/>
    <x v="13"/>
    <n v="6.0683906433495247"/>
    <m/>
    <m/>
  </r>
  <r>
    <x v="1"/>
    <s v="TOP1-1-04-16"/>
    <m/>
    <x v="10"/>
    <n v="16"/>
    <x v="11"/>
    <x v="135"/>
    <x v="0"/>
    <n v="1"/>
    <x v="0"/>
    <n v="3"/>
    <x v="2"/>
    <n v="5"/>
    <m/>
    <x v="3"/>
    <n v="8.3439300121397828"/>
    <m/>
    <m/>
  </r>
  <r>
    <x v="1"/>
    <s v="TOP1-1-04-17"/>
    <m/>
    <x v="10"/>
    <n v="17"/>
    <x v="11"/>
    <x v="136"/>
    <x v="5"/>
    <n v="1"/>
    <x v="0"/>
    <n v="3"/>
    <x v="2"/>
    <n v="5"/>
    <m/>
    <x v="3"/>
    <n v="8.3439300121397828"/>
    <m/>
    <s v="Quasi-Isomorph"/>
  </r>
  <r>
    <x v="1"/>
    <s v="TOP1-1-04-18"/>
    <m/>
    <x v="10"/>
    <n v="18"/>
    <x v="11"/>
    <x v="137"/>
    <x v="0"/>
    <n v="1"/>
    <x v="0"/>
    <n v="3"/>
    <x v="2"/>
    <n v="5"/>
    <m/>
    <x v="3"/>
    <n v="8.3439300121397828"/>
    <m/>
    <m/>
  </r>
  <r>
    <x v="1"/>
    <s v="TOP1-1-04-19"/>
    <m/>
    <x v="10"/>
    <n v="19"/>
    <x v="11"/>
    <x v="138"/>
    <x v="4"/>
    <n v="1"/>
    <x v="0"/>
    <n v="3"/>
    <x v="0"/>
    <n v="5"/>
    <m/>
    <x v="5"/>
    <n v="8.3439300121397828"/>
    <m/>
    <m/>
  </r>
  <r>
    <x v="1"/>
    <s v="TOP1-1-04-20"/>
    <m/>
    <x v="10"/>
    <n v="20"/>
    <x v="11"/>
    <x v="139"/>
    <x v="4"/>
    <n v="1"/>
    <x v="0"/>
    <n v="2"/>
    <x v="0"/>
    <n v="5"/>
    <m/>
    <x v="1"/>
    <n v="7.4707698403599609"/>
    <m/>
    <m/>
  </r>
  <r>
    <x v="1"/>
    <s v="TOP1-1-04-21"/>
    <m/>
    <x v="10"/>
    <n v="21"/>
    <x v="11"/>
    <x v="140"/>
    <x v="8"/>
    <m/>
    <x v="3"/>
    <m/>
    <x v="4"/>
    <m/>
    <m/>
    <x v="18"/>
    <n v="0"/>
    <m/>
    <m/>
  </r>
  <r>
    <x v="2"/>
    <s v="GPDE-1-02-01"/>
    <m/>
    <x v="11"/>
    <n v="1"/>
    <x v="12"/>
    <x v="141"/>
    <x v="0"/>
    <n v="1"/>
    <x v="3"/>
    <m/>
    <x v="4"/>
    <m/>
    <m/>
    <x v="18"/>
    <n v="0"/>
    <m/>
    <m/>
  </r>
  <r>
    <x v="2"/>
    <s v="GPDE-1-02-02"/>
    <m/>
    <x v="11"/>
    <n v="2"/>
    <x v="12"/>
    <x v="142"/>
    <x v="0"/>
    <m/>
    <x v="3"/>
    <m/>
    <x v="4"/>
    <m/>
    <m/>
    <x v="18"/>
    <n v="0"/>
    <m/>
    <m/>
  </r>
  <r>
    <x v="2"/>
    <s v="GPDE-1-02-03"/>
    <m/>
    <x v="11"/>
    <n v="3"/>
    <x v="12"/>
    <x v="143"/>
    <x v="0"/>
    <n v="1"/>
    <x v="3"/>
    <m/>
    <x v="4"/>
    <m/>
    <m/>
    <x v="18"/>
    <n v="0"/>
    <m/>
    <m/>
  </r>
  <r>
    <x v="2"/>
    <s v="GPDE-1-02-04"/>
    <m/>
    <x v="11"/>
    <n v="4"/>
    <x v="12"/>
    <x v="144"/>
    <x v="0"/>
    <m/>
    <x v="3"/>
    <m/>
    <x v="4"/>
    <m/>
    <m/>
    <x v="18"/>
    <n v="0"/>
    <m/>
    <m/>
  </r>
  <r>
    <x v="2"/>
    <s v="GPDE-1-02-05"/>
    <m/>
    <x v="11"/>
    <n v="5"/>
    <x v="12"/>
    <x v="145"/>
    <x v="0"/>
    <m/>
    <x v="3"/>
    <m/>
    <x v="4"/>
    <m/>
    <m/>
    <x v="18"/>
    <n v="0"/>
    <m/>
    <m/>
  </r>
  <r>
    <x v="2"/>
    <s v="GPDE-1-02-06"/>
    <m/>
    <x v="11"/>
    <n v="6"/>
    <x v="12"/>
    <x v="146"/>
    <x v="0"/>
    <m/>
    <x v="3"/>
    <m/>
    <x v="4"/>
    <m/>
    <m/>
    <x v="18"/>
    <n v="0"/>
    <m/>
    <m/>
  </r>
  <r>
    <x v="2"/>
    <s v="GPDE-1-02-07"/>
    <m/>
    <x v="11"/>
    <n v="7"/>
    <x v="12"/>
    <x v="147"/>
    <x v="0"/>
    <n v="1"/>
    <x v="3"/>
    <m/>
    <x v="4"/>
    <m/>
    <m/>
    <x v="18"/>
    <n v="0"/>
    <m/>
    <m/>
  </r>
  <r>
    <x v="2"/>
    <s v="GPDE-1-02-08"/>
    <m/>
    <x v="11"/>
    <n v="8"/>
    <x v="12"/>
    <x v="148"/>
    <x v="0"/>
    <n v="1"/>
    <x v="3"/>
    <m/>
    <x v="4"/>
    <m/>
    <m/>
    <x v="18"/>
    <n v="0"/>
    <m/>
    <m/>
  </r>
  <r>
    <x v="2"/>
    <s v="GPDE-1-02-09"/>
    <m/>
    <x v="11"/>
    <n v="9"/>
    <x v="12"/>
    <x v="149"/>
    <x v="0"/>
    <n v="1"/>
    <x v="3"/>
    <m/>
    <x v="4"/>
    <m/>
    <m/>
    <x v="18"/>
    <n v="0"/>
    <m/>
    <m/>
  </r>
  <r>
    <x v="2"/>
    <s v="GPDE-1-02-10"/>
    <m/>
    <x v="11"/>
    <n v="10"/>
    <x v="12"/>
    <x v="150"/>
    <x v="0"/>
    <n v="1"/>
    <x v="3"/>
    <m/>
    <x v="4"/>
    <m/>
    <m/>
    <x v="18"/>
    <n v="0"/>
    <m/>
    <m/>
  </r>
  <r>
    <x v="2"/>
    <s v="GPDE-1-02-11"/>
    <m/>
    <x v="11"/>
    <n v="11"/>
    <x v="12"/>
    <x v="151"/>
    <x v="0"/>
    <n v="1"/>
    <x v="3"/>
    <m/>
    <x v="4"/>
    <m/>
    <m/>
    <x v="18"/>
    <n v="0"/>
    <m/>
    <m/>
  </r>
  <r>
    <x v="2"/>
    <s v="GPDE-1-03-01"/>
    <m/>
    <x v="12"/>
    <n v="1"/>
    <x v="13"/>
    <x v="152"/>
    <x v="0"/>
    <m/>
    <x v="3"/>
    <m/>
    <x v="4"/>
    <m/>
    <m/>
    <x v="18"/>
    <n v="0"/>
    <m/>
    <m/>
  </r>
  <r>
    <x v="2"/>
    <s v="GPDE-1-03-02"/>
    <m/>
    <x v="12"/>
    <n v="2"/>
    <x v="13"/>
    <x v="153"/>
    <x v="0"/>
    <m/>
    <x v="3"/>
    <m/>
    <x v="4"/>
    <m/>
    <m/>
    <x v="18"/>
    <n v="0"/>
    <m/>
    <m/>
  </r>
  <r>
    <x v="2"/>
    <s v="GPDE-1-03-03"/>
    <m/>
    <x v="12"/>
    <n v="3"/>
    <x v="13"/>
    <x v="154"/>
    <x v="0"/>
    <m/>
    <x v="3"/>
    <m/>
    <x v="4"/>
    <m/>
    <m/>
    <x v="18"/>
    <n v="0"/>
    <m/>
    <m/>
  </r>
  <r>
    <x v="2"/>
    <s v="GPDE-1-03-04"/>
    <m/>
    <x v="12"/>
    <n v="4"/>
    <x v="13"/>
    <x v="155"/>
    <x v="0"/>
    <m/>
    <x v="3"/>
    <m/>
    <x v="4"/>
    <m/>
    <m/>
    <x v="18"/>
    <n v="0"/>
    <m/>
    <m/>
  </r>
  <r>
    <x v="2"/>
    <s v="GPDE-1-03-05"/>
    <m/>
    <x v="12"/>
    <n v="5"/>
    <x v="13"/>
    <x v="156"/>
    <x v="0"/>
    <m/>
    <x v="3"/>
    <m/>
    <x v="4"/>
    <m/>
    <m/>
    <x v="18"/>
    <n v="0"/>
    <m/>
    <m/>
  </r>
  <r>
    <x v="2"/>
    <s v="GPDE-1-06-01"/>
    <m/>
    <x v="13"/>
    <n v="1"/>
    <x v="14"/>
    <x v="157"/>
    <x v="6"/>
    <m/>
    <x v="3"/>
    <m/>
    <x v="4"/>
    <m/>
    <m/>
    <x v="18"/>
    <n v="0"/>
    <m/>
    <m/>
  </r>
  <r>
    <x v="2"/>
    <s v="GPDE-1-06-02"/>
    <m/>
    <x v="13"/>
    <n v="2"/>
    <x v="14"/>
    <x v="158"/>
    <x v="0"/>
    <n v="1"/>
    <x v="3"/>
    <m/>
    <x v="4"/>
    <m/>
    <m/>
    <x v="18"/>
    <n v="0"/>
    <m/>
    <m/>
  </r>
  <r>
    <x v="2"/>
    <s v="GPDE-1-06-03"/>
    <m/>
    <x v="13"/>
    <n v="3"/>
    <x v="14"/>
    <x v="159"/>
    <x v="4"/>
    <n v="1"/>
    <x v="3"/>
    <m/>
    <x v="4"/>
    <m/>
    <m/>
    <x v="18"/>
    <n v="0"/>
    <m/>
    <m/>
  </r>
  <r>
    <x v="2"/>
    <s v="GPDE-1-06-04"/>
    <m/>
    <x v="13"/>
    <n v="4"/>
    <x v="14"/>
    <x v="160"/>
    <x v="9"/>
    <n v="1"/>
    <x v="3"/>
    <m/>
    <x v="4"/>
    <m/>
    <m/>
    <x v="18"/>
    <n v="0"/>
    <m/>
    <m/>
  </r>
  <r>
    <x v="2"/>
    <s v="GPDE-1-06-05"/>
    <m/>
    <x v="13"/>
    <n v="5"/>
    <x v="14"/>
    <x v="161"/>
    <x v="4"/>
    <n v="1"/>
    <x v="3"/>
    <m/>
    <x v="4"/>
    <m/>
    <m/>
    <x v="18"/>
    <n v="0"/>
    <m/>
    <m/>
  </r>
  <r>
    <x v="2"/>
    <s v="GPDE-1-06-06"/>
    <m/>
    <x v="13"/>
    <n v="6"/>
    <x v="14"/>
    <x v="162"/>
    <x v="9"/>
    <n v="1"/>
    <x v="3"/>
    <m/>
    <x v="4"/>
    <m/>
    <m/>
    <x v="18"/>
    <n v="0"/>
    <m/>
    <m/>
  </r>
  <r>
    <x v="2"/>
    <s v="GPDE-1-07-01"/>
    <m/>
    <x v="14"/>
    <n v="1"/>
    <x v="15"/>
    <x v="163"/>
    <x v="6"/>
    <m/>
    <x v="3"/>
    <m/>
    <x v="4"/>
    <m/>
    <m/>
    <x v="18"/>
    <n v="0"/>
    <m/>
    <m/>
  </r>
  <r>
    <x v="2"/>
    <s v="GPDE-1-07-02"/>
    <m/>
    <x v="14"/>
    <n v="2"/>
    <x v="15"/>
    <x v="164"/>
    <x v="1"/>
    <n v="1"/>
    <x v="3"/>
    <m/>
    <x v="4"/>
    <m/>
    <m/>
    <x v="18"/>
    <n v="0"/>
    <m/>
    <m/>
  </r>
  <r>
    <x v="2"/>
    <s v="GPDE-1-07-03"/>
    <m/>
    <x v="14"/>
    <n v="3"/>
    <x v="15"/>
    <x v="165"/>
    <x v="4"/>
    <n v="1"/>
    <x v="3"/>
    <m/>
    <x v="4"/>
    <m/>
    <m/>
    <x v="18"/>
    <n v="0"/>
    <m/>
    <m/>
  </r>
  <r>
    <x v="2"/>
    <s v="GPDE-1-07-04"/>
    <m/>
    <x v="14"/>
    <n v="4"/>
    <x v="15"/>
    <x v="166"/>
    <x v="4"/>
    <n v="1"/>
    <x v="3"/>
    <m/>
    <x v="4"/>
    <m/>
    <m/>
    <x v="18"/>
    <n v="0"/>
    <m/>
    <m/>
  </r>
  <r>
    <x v="3"/>
    <s v="QM-1-02-01"/>
    <m/>
    <x v="15"/>
    <n v="1"/>
    <x v="16"/>
    <x v="167"/>
    <x v="10"/>
    <n v="1"/>
    <x v="0"/>
    <m/>
    <x v="4"/>
    <m/>
    <m/>
    <x v="18"/>
    <n v="0"/>
    <m/>
    <m/>
  </r>
  <r>
    <x v="3"/>
    <s v="QM-1-03-01"/>
    <m/>
    <x v="16"/>
    <n v="1"/>
    <x v="17"/>
    <x v="168"/>
    <x v="0"/>
    <n v="1"/>
    <x v="3"/>
    <m/>
    <x v="4"/>
    <m/>
    <m/>
    <x v="18"/>
    <n v="0"/>
    <m/>
    <m/>
  </r>
  <r>
    <x v="3"/>
    <s v="QM-1-03-02"/>
    <m/>
    <x v="16"/>
    <n v="2"/>
    <x v="17"/>
    <x v="169"/>
    <x v="0"/>
    <n v="1"/>
    <x v="3"/>
    <m/>
    <x v="4"/>
    <m/>
    <m/>
    <x v="18"/>
    <n v="0"/>
    <m/>
    <m/>
  </r>
  <r>
    <x v="3"/>
    <s v="QM-1-03-03"/>
    <m/>
    <x v="16"/>
    <n v="3"/>
    <x v="17"/>
    <x v="170"/>
    <x v="2"/>
    <m/>
    <x v="3"/>
    <m/>
    <x v="4"/>
    <m/>
    <m/>
    <x v="18"/>
    <n v="0"/>
    <m/>
    <m/>
  </r>
  <r>
    <x v="3"/>
    <s v="QM-1-03-04"/>
    <m/>
    <x v="16"/>
    <n v="4"/>
    <x v="17"/>
    <x v="171"/>
    <x v="0"/>
    <n v="1"/>
    <x v="3"/>
    <m/>
    <x v="4"/>
    <m/>
    <m/>
    <x v="18"/>
    <n v="0"/>
    <m/>
    <m/>
  </r>
  <r>
    <x v="3"/>
    <s v="QM-1-03-05"/>
    <m/>
    <x v="16"/>
    <n v="5"/>
    <x v="17"/>
    <x v="172"/>
    <x v="10"/>
    <n v="1"/>
    <x v="3"/>
    <m/>
    <x v="4"/>
    <m/>
    <m/>
    <x v="18"/>
    <n v="0"/>
    <m/>
    <m/>
  </r>
  <r>
    <x v="3"/>
    <s v="QM-1-03-06"/>
    <m/>
    <x v="16"/>
    <n v="6"/>
    <x v="17"/>
    <x v="173"/>
    <x v="0"/>
    <n v="1"/>
    <x v="3"/>
    <m/>
    <x v="4"/>
    <m/>
    <m/>
    <x v="18"/>
    <n v="0"/>
    <m/>
    <m/>
  </r>
  <r>
    <x v="3"/>
    <s v="QM-1-03-07"/>
    <m/>
    <x v="16"/>
    <n v="7"/>
    <x v="17"/>
    <x v="174"/>
    <x v="0"/>
    <n v="1"/>
    <x v="3"/>
    <m/>
    <x v="4"/>
    <m/>
    <m/>
    <x v="18"/>
    <n v="0"/>
    <m/>
    <m/>
  </r>
  <r>
    <x v="3"/>
    <s v="QM-1-03-08"/>
    <m/>
    <x v="16"/>
    <n v="8"/>
    <x v="17"/>
    <x v="175"/>
    <x v="2"/>
    <n v="1"/>
    <x v="3"/>
    <n v="4"/>
    <x v="4"/>
    <m/>
    <m/>
    <x v="18"/>
    <n v="0"/>
    <m/>
    <m/>
  </r>
  <r>
    <x v="3"/>
    <s v="QM-1-03-09"/>
    <m/>
    <x v="16"/>
    <n v="9"/>
    <x v="17"/>
    <x v="176"/>
    <x v="0"/>
    <n v="1"/>
    <x v="3"/>
    <m/>
    <x v="4"/>
    <m/>
    <m/>
    <x v="18"/>
    <n v="0"/>
    <m/>
    <m/>
  </r>
  <r>
    <x v="3"/>
    <s v="QM-1-03-10"/>
    <m/>
    <x v="16"/>
    <n v="10"/>
    <x v="17"/>
    <x v="177"/>
    <x v="0"/>
    <n v="1"/>
    <x v="3"/>
    <m/>
    <x v="4"/>
    <m/>
    <m/>
    <x v="18"/>
    <n v="0"/>
    <m/>
    <m/>
  </r>
  <r>
    <x v="3"/>
    <s v="QM-1-03-11"/>
    <m/>
    <x v="16"/>
    <n v="11"/>
    <x v="17"/>
    <x v="178"/>
    <x v="10"/>
    <n v="1"/>
    <x v="3"/>
    <m/>
    <x v="4"/>
    <m/>
    <m/>
    <x v="18"/>
    <n v="0"/>
    <m/>
    <m/>
  </r>
  <r>
    <x v="3"/>
    <s v="QM-1-03-12"/>
    <m/>
    <x v="16"/>
    <n v="12"/>
    <x v="17"/>
    <x v="179"/>
    <x v="10"/>
    <n v="1"/>
    <x v="3"/>
    <m/>
    <x v="4"/>
    <m/>
    <m/>
    <x v="18"/>
    <n v="0"/>
    <m/>
    <m/>
  </r>
  <r>
    <x v="3"/>
    <s v="QM-1-05-01"/>
    <m/>
    <x v="17"/>
    <n v="1"/>
    <x v="18"/>
    <x v="180"/>
    <x v="0"/>
    <n v="1"/>
    <x v="3"/>
    <m/>
    <x v="4"/>
    <m/>
    <m/>
    <x v="18"/>
    <n v="0"/>
    <m/>
    <m/>
  </r>
  <r>
    <x v="3"/>
    <s v="QM-1-05-02"/>
    <m/>
    <x v="17"/>
    <n v="2"/>
    <x v="18"/>
    <x v="181"/>
    <x v="0"/>
    <n v="1"/>
    <x v="3"/>
    <m/>
    <x v="4"/>
    <m/>
    <m/>
    <x v="18"/>
    <n v="0"/>
    <m/>
    <m/>
  </r>
  <r>
    <x v="3"/>
    <s v="QM-1-05-03"/>
    <m/>
    <x v="17"/>
    <n v="3"/>
    <x v="18"/>
    <x v="182"/>
    <x v="10"/>
    <n v="1"/>
    <x v="3"/>
    <m/>
    <x v="4"/>
    <m/>
    <m/>
    <x v="18"/>
    <n v="0"/>
    <m/>
    <m/>
  </r>
  <r>
    <x v="3"/>
    <s v="QM-1-05-04"/>
    <m/>
    <x v="17"/>
    <n v="4"/>
    <x v="18"/>
    <x v="183"/>
    <x v="0"/>
    <n v="1"/>
    <x v="3"/>
    <m/>
    <x v="4"/>
    <m/>
    <m/>
    <x v="18"/>
    <n v="0"/>
    <m/>
    <m/>
  </r>
  <r>
    <x v="3"/>
    <s v="QM-1-05-05"/>
    <m/>
    <x v="17"/>
    <n v="5"/>
    <x v="18"/>
    <x v="184"/>
    <x v="6"/>
    <n v="1"/>
    <x v="3"/>
    <m/>
    <x v="4"/>
    <m/>
    <m/>
    <x v="18"/>
    <n v="0"/>
    <m/>
    <m/>
  </r>
  <r>
    <x v="3"/>
    <s v="QM-1-05-06"/>
    <m/>
    <x v="17"/>
    <n v="6"/>
    <x v="18"/>
    <x v="185"/>
    <x v="10"/>
    <n v="1"/>
    <x v="3"/>
    <m/>
    <x v="4"/>
    <m/>
    <m/>
    <x v="18"/>
    <n v="0"/>
    <m/>
    <m/>
  </r>
  <r>
    <x v="4"/>
    <s v="QMS-1-02-01"/>
    <m/>
    <x v="18"/>
    <n v="1"/>
    <x v="19"/>
    <x v="186"/>
    <x v="10"/>
    <n v="1"/>
    <x v="3"/>
    <m/>
    <x v="4"/>
    <m/>
    <m/>
    <x v="18"/>
    <n v="0"/>
    <m/>
    <m/>
  </r>
  <r>
    <x v="5"/>
    <s v="-01"/>
    <m/>
    <x v="19"/>
    <n v="1"/>
    <x v="20"/>
    <x v="187"/>
    <x v="3"/>
    <m/>
    <x v="3"/>
    <m/>
    <x v="4"/>
    <m/>
    <m/>
    <x v="18"/>
    <n v="0"/>
    <m/>
    <m/>
  </r>
  <r>
    <x v="4"/>
    <s v="QMS-1-02-02"/>
    <m/>
    <x v="18"/>
    <n v="2"/>
    <x v="19"/>
    <x v="188"/>
    <x v="0"/>
    <n v="1"/>
    <x v="3"/>
    <m/>
    <x v="4"/>
    <m/>
    <m/>
    <x v="18"/>
    <n v="0"/>
    <m/>
    <m/>
  </r>
  <r>
    <x v="4"/>
    <s v="QMS-1-02-03"/>
    <m/>
    <x v="18"/>
    <n v="3"/>
    <x v="19"/>
    <x v="189"/>
    <x v="0"/>
    <n v="1"/>
    <x v="3"/>
    <m/>
    <x v="4"/>
    <m/>
    <m/>
    <x v="18"/>
    <n v="0"/>
    <m/>
    <m/>
  </r>
  <r>
    <x v="4"/>
    <s v="QMS-1-02-04"/>
    <m/>
    <x v="18"/>
    <n v="4"/>
    <x v="19"/>
    <x v="190"/>
    <x v="0"/>
    <n v="1"/>
    <x v="3"/>
    <m/>
    <x v="4"/>
    <m/>
    <m/>
    <x v="18"/>
    <n v="0"/>
    <m/>
    <m/>
  </r>
  <r>
    <x v="4"/>
    <s v="QMS-1-02-05"/>
    <m/>
    <x v="18"/>
    <n v="5"/>
    <x v="19"/>
    <x v="191"/>
    <x v="10"/>
    <m/>
    <x v="3"/>
    <m/>
    <x v="4"/>
    <m/>
    <m/>
    <x v="18"/>
    <n v="0"/>
    <m/>
    <m/>
  </r>
  <r>
    <x v="4"/>
    <s v="QMS-1-02-06"/>
    <m/>
    <x v="18"/>
    <n v="6"/>
    <x v="19"/>
    <x v="192"/>
    <x v="5"/>
    <n v="1"/>
    <x v="3"/>
    <m/>
    <x v="4"/>
    <m/>
    <m/>
    <x v="18"/>
    <n v="0"/>
    <m/>
    <m/>
  </r>
  <r>
    <x v="4"/>
    <s v="QMS-1-02-07"/>
    <m/>
    <x v="18"/>
    <n v="7"/>
    <x v="19"/>
    <x v="193"/>
    <x v="5"/>
    <n v="1"/>
    <x v="3"/>
    <m/>
    <x v="4"/>
    <m/>
    <m/>
    <x v="18"/>
    <n v="0"/>
    <m/>
    <m/>
  </r>
  <r>
    <x v="4"/>
    <s v="QMS-1-02-08"/>
    <m/>
    <x v="18"/>
    <n v="8"/>
    <x v="19"/>
    <x v="194"/>
    <x v="5"/>
    <m/>
    <x v="3"/>
    <m/>
    <x v="4"/>
    <m/>
    <m/>
    <x v="18"/>
    <n v="0"/>
    <m/>
    <m/>
  </r>
  <r>
    <x v="4"/>
    <s v="QMS-1-02-09"/>
    <m/>
    <x v="18"/>
    <n v="9"/>
    <x v="19"/>
    <x v="195"/>
    <x v="10"/>
    <n v="1"/>
    <x v="3"/>
    <m/>
    <x v="4"/>
    <m/>
    <m/>
    <x v="18"/>
    <n v="0"/>
    <m/>
    <m/>
  </r>
  <r>
    <x v="4"/>
    <s v="QMS-1-02-10"/>
    <m/>
    <x v="18"/>
    <n v="10"/>
    <x v="19"/>
    <x v="196"/>
    <x v="10"/>
    <n v="1"/>
    <x v="3"/>
    <m/>
    <x v="4"/>
    <m/>
    <m/>
    <x v="18"/>
    <n v="0"/>
    <m/>
    <m/>
  </r>
  <r>
    <x v="4"/>
    <s v="QMS-1-02-11"/>
    <m/>
    <x v="18"/>
    <n v="11"/>
    <x v="19"/>
    <x v="197"/>
    <x v="10"/>
    <n v="1"/>
    <x v="3"/>
    <m/>
    <x v="4"/>
    <m/>
    <m/>
    <x v="18"/>
    <n v="0"/>
    <m/>
    <s v="Wieso folgt aus Kommutiert die Symmetrie"/>
  </r>
  <r>
    <x v="3"/>
    <s v="QM-1-07-01"/>
    <m/>
    <x v="20"/>
    <n v="1"/>
    <x v="21"/>
    <x v="198"/>
    <x v="0"/>
    <m/>
    <x v="3"/>
    <m/>
    <x v="4"/>
    <m/>
    <m/>
    <x v="18"/>
    <n v="0"/>
    <m/>
    <m/>
  </r>
  <r>
    <x v="3"/>
    <s v="QM-1-07-02"/>
    <m/>
    <x v="20"/>
    <n v="2"/>
    <x v="21"/>
    <x v="199"/>
    <x v="2"/>
    <m/>
    <x v="3"/>
    <m/>
    <x v="4"/>
    <m/>
    <m/>
    <x v="18"/>
    <n v="0"/>
    <m/>
    <m/>
  </r>
  <r>
    <x v="3"/>
    <s v="QM-1-07-03"/>
    <m/>
    <x v="20"/>
    <n v="3"/>
    <x v="21"/>
    <x v="200"/>
    <x v="0"/>
    <m/>
    <x v="3"/>
    <m/>
    <x v="4"/>
    <m/>
    <m/>
    <x v="18"/>
    <n v="0"/>
    <m/>
    <m/>
  </r>
  <r>
    <x v="3"/>
    <s v="QM-1-07-04"/>
    <m/>
    <x v="20"/>
    <n v="4"/>
    <x v="21"/>
    <x v="201"/>
    <x v="6"/>
    <m/>
    <x v="3"/>
    <m/>
    <x v="4"/>
    <m/>
    <m/>
    <x v="18"/>
    <n v="0"/>
    <m/>
    <m/>
  </r>
  <r>
    <x v="3"/>
    <s v="QM-1-07-05"/>
    <m/>
    <x v="20"/>
    <n v="5"/>
    <x v="21"/>
    <x v="202"/>
    <x v="0"/>
    <m/>
    <x v="3"/>
    <m/>
    <x v="4"/>
    <m/>
    <m/>
    <x v="18"/>
    <n v="0"/>
    <m/>
    <m/>
  </r>
  <r>
    <x v="3"/>
    <s v="QM-1-07-06"/>
    <m/>
    <x v="20"/>
    <n v="6"/>
    <x v="21"/>
    <x v="203"/>
    <x v="0"/>
    <m/>
    <x v="3"/>
    <m/>
    <x v="4"/>
    <m/>
    <m/>
    <x v="18"/>
    <n v="0"/>
    <m/>
    <m/>
  </r>
  <r>
    <x v="3"/>
    <s v="QM-1-08-01"/>
    <m/>
    <x v="21"/>
    <n v="1"/>
    <x v="22"/>
    <x v="204"/>
    <x v="0"/>
    <n v="1"/>
    <x v="3"/>
    <m/>
    <x v="4"/>
    <m/>
    <m/>
    <x v="18"/>
    <n v="0"/>
    <m/>
    <m/>
  </r>
  <r>
    <x v="3"/>
    <s v="QM-1-08-02"/>
    <m/>
    <x v="21"/>
    <n v="2"/>
    <x v="22"/>
    <x v="205"/>
    <x v="0"/>
    <n v="1"/>
    <x v="3"/>
    <m/>
    <x v="4"/>
    <m/>
    <m/>
    <x v="18"/>
    <n v="0"/>
    <m/>
    <m/>
  </r>
  <r>
    <x v="3"/>
    <s v="QM-1-08-03"/>
    <m/>
    <x v="21"/>
    <n v="3"/>
    <x v="22"/>
    <x v="206"/>
    <x v="0"/>
    <n v="1"/>
    <x v="3"/>
    <m/>
    <x v="4"/>
    <m/>
    <m/>
    <x v="18"/>
    <n v="0"/>
    <m/>
    <m/>
  </r>
  <r>
    <x v="3"/>
    <s v="QM-1-08-04"/>
    <m/>
    <x v="21"/>
    <n v="4"/>
    <x v="22"/>
    <x v="207"/>
    <x v="6"/>
    <n v="1"/>
    <x v="3"/>
    <m/>
    <x v="4"/>
    <m/>
    <m/>
    <x v="18"/>
    <n v="0"/>
    <m/>
    <m/>
  </r>
  <r>
    <x v="3"/>
    <s v="QM-1-08-05"/>
    <m/>
    <x v="21"/>
    <n v="5"/>
    <x v="22"/>
    <x v="208"/>
    <x v="6"/>
    <n v="1"/>
    <x v="3"/>
    <m/>
    <x v="4"/>
    <m/>
    <m/>
    <x v="18"/>
    <n v="0"/>
    <m/>
    <m/>
  </r>
  <r>
    <x v="3"/>
    <s v="QM-1-08-06"/>
    <m/>
    <x v="21"/>
    <n v="6"/>
    <x v="22"/>
    <x v="209"/>
    <x v="6"/>
    <n v="1"/>
    <x v="3"/>
    <m/>
    <x v="4"/>
    <m/>
    <m/>
    <x v="18"/>
    <n v="0"/>
    <m/>
    <m/>
  </r>
  <r>
    <x v="3"/>
    <s v="QM-1-08-07"/>
    <m/>
    <x v="21"/>
    <n v="7"/>
    <x v="22"/>
    <x v="210"/>
    <x v="6"/>
    <n v="1"/>
    <x v="3"/>
    <m/>
    <x v="4"/>
    <m/>
    <m/>
    <x v="18"/>
    <n v="0"/>
    <m/>
    <m/>
  </r>
  <r>
    <x v="3"/>
    <s v="QM-1-08-08"/>
    <m/>
    <x v="21"/>
    <n v="8"/>
    <x v="22"/>
    <x v="211"/>
    <x v="10"/>
    <n v="1"/>
    <x v="3"/>
    <m/>
    <x v="4"/>
    <m/>
    <m/>
    <x v="18"/>
    <n v="0"/>
    <m/>
    <m/>
  </r>
  <r>
    <x v="3"/>
    <s v="QM-1-08-09"/>
    <m/>
    <x v="21"/>
    <n v="9"/>
    <x v="22"/>
    <x v="212"/>
    <x v="0"/>
    <n v="1"/>
    <x v="3"/>
    <m/>
    <x v="4"/>
    <m/>
    <m/>
    <x v="18"/>
    <n v="0"/>
    <m/>
    <m/>
  </r>
  <r>
    <x v="3"/>
    <s v="QM-1-10-01"/>
    <m/>
    <x v="22"/>
    <n v="1"/>
    <x v="23"/>
    <x v="213"/>
    <x v="0"/>
    <n v="1"/>
    <x v="3"/>
    <m/>
    <x v="4"/>
    <m/>
    <m/>
    <x v="18"/>
    <n v="0"/>
    <m/>
    <m/>
  </r>
  <r>
    <x v="3"/>
    <s v="QM-1-10-02"/>
    <m/>
    <x v="22"/>
    <n v="2"/>
    <x v="23"/>
    <x v="214"/>
    <x v="6"/>
    <n v="1"/>
    <x v="3"/>
    <m/>
    <x v="4"/>
    <m/>
    <m/>
    <x v="18"/>
    <n v="0"/>
    <m/>
    <m/>
  </r>
  <r>
    <x v="3"/>
    <s v="QM-1-10-03"/>
    <m/>
    <x v="22"/>
    <n v="3"/>
    <x v="23"/>
    <x v="215"/>
    <x v="2"/>
    <n v="1"/>
    <x v="3"/>
    <m/>
    <x v="4"/>
    <m/>
    <m/>
    <x v="18"/>
    <n v="0"/>
    <m/>
    <m/>
  </r>
  <r>
    <x v="3"/>
    <s v="QM-1-11-01"/>
    <m/>
    <x v="23"/>
    <n v="1"/>
    <x v="24"/>
    <x v="216"/>
    <x v="6"/>
    <n v="1"/>
    <x v="3"/>
    <m/>
    <x v="4"/>
    <m/>
    <m/>
    <x v="18"/>
    <n v="0"/>
    <m/>
    <m/>
  </r>
  <r>
    <x v="3"/>
    <s v="QM-1-11-02"/>
    <m/>
    <x v="23"/>
    <n v="2"/>
    <x v="24"/>
    <x v="217"/>
    <x v="0"/>
    <n v="1"/>
    <x v="3"/>
    <m/>
    <x v="4"/>
    <m/>
    <m/>
    <x v="18"/>
    <n v="0"/>
    <m/>
    <m/>
  </r>
  <r>
    <x v="3"/>
    <s v="QM-1-11-03"/>
    <m/>
    <x v="23"/>
    <n v="3"/>
    <x v="24"/>
    <x v="218"/>
    <x v="10"/>
    <n v="1"/>
    <x v="3"/>
    <m/>
    <x v="4"/>
    <m/>
    <m/>
    <x v="18"/>
    <n v="0"/>
    <m/>
    <m/>
  </r>
  <r>
    <x v="3"/>
    <s v="QM-1-11-04"/>
    <m/>
    <x v="23"/>
    <n v="4"/>
    <x v="24"/>
    <x v="219"/>
    <x v="6"/>
    <n v="1"/>
    <x v="3"/>
    <m/>
    <x v="4"/>
    <m/>
    <m/>
    <x v="18"/>
    <n v="0"/>
    <m/>
    <m/>
  </r>
  <r>
    <x v="3"/>
    <s v="QM-1-11-05"/>
    <m/>
    <x v="23"/>
    <n v="5"/>
    <x v="24"/>
    <x v="220"/>
    <x v="10"/>
    <m/>
    <x v="3"/>
    <n v="4"/>
    <x v="4"/>
    <m/>
    <m/>
    <x v="18"/>
    <n v="0"/>
    <m/>
    <m/>
  </r>
  <r>
    <x v="3"/>
    <s v="QM-1-11-06"/>
    <m/>
    <x v="23"/>
    <n v="6"/>
    <x v="24"/>
    <x v="221"/>
    <x v="2"/>
    <m/>
    <x v="3"/>
    <m/>
    <x v="4"/>
    <m/>
    <m/>
    <x v="18"/>
    <n v="0"/>
    <m/>
    <m/>
  </r>
  <r>
    <x v="3"/>
    <s v="QM-1-11-07"/>
    <m/>
    <x v="23"/>
    <n v="7"/>
    <x v="24"/>
    <x v="222"/>
    <x v="6"/>
    <m/>
    <x v="3"/>
    <m/>
    <x v="4"/>
    <m/>
    <m/>
    <x v="18"/>
    <n v="0"/>
    <m/>
    <m/>
  </r>
  <r>
    <x v="3"/>
    <s v="QM-1-12-01"/>
    <m/>
    <x v="24"/>
    <n v="1"/>
    <x v="25"/>
    <x v="223"/>
    <x v="2"/>
    <n v="1"/>
    <x v="3"/>
    <m/>
    <x v="4"/>
    <m/>
    <m/>
    <x v="18"/>
    <n v="0"/>
    <m/>
    <m/>
  </r>
  <r>
    <x v="3"/>
    <s v="QM-1-12-02"/>
    <m/>
    <x v="24"/>
    <n v="2"/>
    <x v="25"/>
    <x v="224"/>
    <x v="0"/>
    <n v="1"/>
    <x v="3"/>
    <m/>
    <x v="4"/>
    <m/>
    <m/>
    <x v="18"/>
    <n v="0"/>
    <m/>
    <m/>
  </r>
  <r>
    <x v="3"/>
    <s v="QM-1-12-03"/>
    <m/>
    <x v="24"/>
    <n v="3"/>
    <x v="25"/>
    <x v="225"/>
    <x v="6"/>
    <n v="1"/>
    <x v="3"/>
    <m/>
    <x v="4"/>
    <m/>
    <m/>
    <x v="18"/>
    <n v="0"/>
    <m/>
    <m/>
  </r>
  <r>
    <x v="3"/>
    <s v="QM-1-12-04"/>
    <m/>
    <x v="24"/>
    <n v="4"/>
    <x v="25"/>
    <x v="226"/>
    <x v="10"/>
    <n v="1"/>
    <x v="3"/>
    <m/>
    <x v="4"/>
    <m/>
    <m/>
    <x v="18"/>
    <n v="0"/>
    <m/>
    <s v="Was ist der Impulsraum"/>
  </r>
  <r>
    <x v="6"/>
    <s v="CM-1-01-01"/>
    <m/>
    <x v="25"/>
    <n v="1"/>
    <x v="26"/>
    <x v="227"/>
    <x v="10"/>
    <m/>
    <x v="3"/>
    <m/>
    <x v="4"/>
    <m/>
    <m/>
    <x v="18"/>
    <n v="0"/>
    <m/>
    <m/>
  </r>
  <r>
    <x v="6"/>
    <s v="CM-1-01-02"/>
    <m/>
    <x v="25"/>
    <n v="2"/>
    <x v="26"/>
    <x v="228"/>
    <x v="10"/>
    <m/>
    <x v="3"/>
    <m/>
    <x v="4"/>
    <m/>
    <m/>
    <x v="18"/>
    <n v="0"/>
    <m/>
    <m/>
  </r>
  <r>
    <x v="6"/>
    <s v="CM-1-02-01"/>
    <m/>
    <x v="26"/>
    <n v="1"/>
    <x v="27"/>
    <x v="229"/>
    <x v="10"/>
    <n v="1"/>
    <x v="3"/>
    <m/>
    <x v="4"/>
    <m/>
    <m/>
    <x v="18"/>
    <n v="0"/>
    <m/>
    <m/>
  </r>
  <r>
    <x v="6"/>
    <s v="CM-1-02-02"/>
    <m/>
    <x v="26"/>
    <n v="2"/>
    <x v="27"/>
    <x v="230"/>
    <x v="0"/>
    <n v="1"/>
    <x v="3"/>
    <m/>
    <x v="4"/>
    <m/>
    <m/>
    <x v="18"/>
    <n v="0"/>
    <m/>
    <m/>
  </r>
  <r>
    <x v="6"/>
    <s v="CM-1-02-03"/>
    <m/>
    <x v="26"/>
    <n v="3"/>
    <x v="27"/>
    <x v="231"/>
    <x v="0"/>
    <n v="1"/>
    <x v="3"/>
    <m/>
    <x v="4"/>
    <m/>
    <m/>
    <x v="18"/>
    <n v="0"/>
    <m/>
    <s v="Streuwinkel relativ zu asymptotischer Verlauf"/>
  </r>
  <r>
    <x v="6"/>
    <s v="CM-1-02-04"/>
    <m/>
    <x v="26"/>
    <n v="4"/>
    <x v="27"/>
    <x v="232"/>
    <x v="10"/>
    <m/>
    <x v="3"/>
    <m/>
    <x v="4"/>
    <m/>
    <m/>
    <x v="18"/>
    <n v="0"/>
    <m/>
    <m/>
  </r>
  <r>
    <x v="6"/>
    <s v="CM-1-02-05"/>
    <m/>
    <x v="26"/>
    <n v="5"/>
    <x v="27"/>
    <x v="233"/>
    <x v="10"/>
    <n v="1"/>
    <x v="3"/>
    <m/>
    <x v="4"/>
    <m/>
    <m/>
    <x v="18"/>
    <n v="0"/>
    <m/>
    <m/>
  </r>
  <r>
    <x v="6"/>
    <s v="CM-1-02-06"/>
    <m/>
    <x v="26"/>
    <n v="6"/>
    <x v="27"/>
    <x v="234"/>
    <x v="10"/>
    <m/>
    <x v="3"/>
    <m/>
    <x v="4"/>
    <m/>
    <m/>
    <x v="18"/>
    <n v="0"/>
    <m/>
    <m/>
  </r>
  <r>
    <x v="6"/>
    <s v="CM-1-02-07"/>
    <m/>
    <x v="26"/>
    <n v="7"/>
    <x v="27"/>
    <x v="235"/>
    <x v="2"/>
    <m/>
    <x v="3"/>
    <m/>
    <x v="4"/>
    <m/>
    <m/>
    <x v="18"/>
    <n v="0"/>
    <m/>
    <m/>
  </r>
  <r>
    <x v="6"/>
    <s v="CM-1-02-08"/>
    <m/>
    <x v="26"/>
    <n v="8"/>
    <x v="27"/>
    <x v="236"/>
    <x v="6"/>
    <m/>
    <x v="3"/>
    <m/>
    <x v="4"/>
    <m/>
    <m/>
    <x v="18"/>
    <n v="0"/>
    <m/>
    <m/>
  </r>
  <r>
    <x v="6"/>
    <s v="CM-1-03-01"/>
    <m/>
    <x v="27"/>
    <n v="1"/>
    <x v="28"/>
    <x v="237"/>
    <x v="6"/>
    <n v="1"/>
    <x v="3"/>
    <m/>
    <x v="4"/>
    <m/>
    <m/>
    <x v="18"/>
    <n v="0"/>
    <m/>
    <m/>
  </r>
  <r>
    <x v="6"/>
    <s v="CM-1-03-02"/>
    <m/>
    <x v="27"/>
    <n v="2"/>
    <x v="28"/>
    <x v="238"/>
    <x v="2"/>
    <n v="1"/>
    <x v="3"/>
    <m/>
    <x v="4"/>
    <m/>
    <m/>
    <x v="18"/>
    <n v="0"/>
    <m/>
    <m/>
  </r>
  <r>
    <x v="6"/>
    <s v="CM-1-03-03"/>
    <m/>
    <x v="27"/>
    <n v="3"/>
    <x v="28"/>
    <x v="239"/>
    <x v="10"/>
    <n v="1"/>
    <x v="3"/>
    <m/>
    <x v="4"/>
    <m/>
    <m/>
    <x v="18"/>
    <n v="0"/>
    <m/>
    <m/>
  </r>
  <r>
    <x v="6"/>
    <s v="CM-1-03-04"/>
    <m/>
    <x v="27"/>
    <n v="4"/>
    <x v="28"/>
    <x v="240"/>
    <x v="10"/>
    <n v="1"/>
    <x v="3"/>
    <m/>
    <x v="4"/>
    <m/>
    <m/>
    <x v="18"/>
    <n v="0"/>
    <m/>
    <m/>
  </r>
  <r>
    <x v="6"/>
    <s v="CM-1-03-05"/>
    <m/>
    <x v="27"/>
    <n v="5"/>
    <x v="28"/>
    <x v="241"/>
    <x v="5"/>
    <n v="1"/>
    <x v="3"/>
    <m/>
    <x v="4"/>
    <m/>
    <m/>
    <x v="18"/>
    <n v="0"/>
    <m/>
    <m/>
  </r>
  <r>
    <x v="6"/>
    <s v="CM-1-03-06"/>
    <m/>
    <x v="27"/>
    <n v="6"/>
    <x v="28"/>
    <x v="242"/>
    <x v="5"/>
    <m/>
    <x v="3"/>
    <m/>
    <x v="4"/>
    <m/>
    <m/>
    <x v="18"/>
    <n v="0"/>
    <m/>
    <m/>
  </r>
  <r>
    <x v="6"/>
    <s v="CM-1-03-07"/>
    <m/>
    <x v="27"/>
    <n v="7"/>
    <x v="28"/>
    <x v="243"/>
    <x v="10"/>
    <n v="1"/>
    <x v="3"/>
    <m/>
    <x v="4"/>
    <m/>
    <m/>
    <x v="18"/>
    <n v="0"/>
    <m/>
    <m/>
  </r>
  <r>
    <x v="6"/>
    <s v="CM-1-03-08"/>
    <m/>
    <x v="27"/>
    <n v="8"/>
    <x v="28"/>
    <x v="244"/>
    <x v="5"/>
    <n v="1"/>
    <x v="3"/>
    <m/>
    <x v="4"/>
    <m/>
    <m/>
    <x v="18"/>
    <n v="0"/>
    <m/>
    <m/>
  </r>
  <r>
    <x v="6"/>
    <s v="CM-1-03-09"/>
    <m/>
    <x v="27"/>
    <n v="9"/>
    <x v="28"/>
    <x v="245"/>
    <x v="2"/>
    <m/>
    <x v="3"/>
    <m/>
    <x v="4"/>
    <m/>
    <m/>
    <x v="18"/>
    <n v="0"/>
    <m/>
    <m/>
  </r>
  <r>
    <x v="6"/>
    <s v="CM-1-03-10"/>
    <m/>
    <x v="27"/>
    <n v="10"/>
    <x v="28"/>
    <x v="246"/>
    <x v="6"/>
    <m/>
    <x v="3"/>
    <m/>
    <x v="4"/>
    <m/>
    <m/>
    <x v="18"/>
    <n v="0"/>
    <m/>
    <m/>
  </r>
  <r>
    <x v="6"/>
    <s v="CM-1-04-01"/>
    <m/>
    <x v="28"/>
    <n v="1"/>
    <x v="29"/>
    <x v="187"/>
    <x v="3"/>
    <m/>
    <x v="3"/>
    <m/>
    <x v="4"/>
    <m/>
    <m/>
    <x v="18"/>
    <n v="0"/>
    <m/>
    <m/>
  </r>
  <r>
    <x v="6"/>
    <s v="CM-1-05-01"/>
    <m/>
    <x v="29"/>
    <n v="1"/>
    <x v="30"/>
    <x v="247"/>
    <x v="10"/>
    <n v="1"/>
    <x v="3"/>
    <m/>
    <x v="4"/>
    <m/>
    <m/>
    <x v="18"/>
    <n v="0"/>
    <m/>
    <m/>
  </r>
  <r>
    <x v="6"/>
    <s v="CM-1-05-02"/>
    <m/>
    <x v="29"/>
    <n v="2"/>
    <x v="30"/>
    <x v="248"/>
    <x v="10"/>
    <n v="1"/>
    <x v="3"/>
    <m/>
    <x v="4"/>
    <m/>
    <m/>
    <x v="18"/>
    <n v="0"/>
    <m/>
    <m/>
  </r>
  <r>
    <x v="6"/>
    <s v="CM-1-05-03"/>
    <m/>
    <x v="29"/>
    <n v="3"/>
    <x v="30"/>
    <x v="249"/>
    <x v="0"/>
    <n v="1"/>
    <x v="3"/>
    <m/>
    <x v="4"/>
    <m/>
    <m/>
    <x v="18"/>
    <n v="0"/>
    <m/>
    <m/>
  </r>
  <r>
    <x v="6"/>
    <s v="CM-1-05-04"/>
    <m/>
    <x v="29"/>
    <n v="4"/>
    <x v="30"/>
    <x v="250"/>
    <x v="0"/>
    <n v="1"/>
    <x v="3"/>
    <m/>
    <x v="4"/>
    <m/>
    <m/>
    <x v="18"/>
    <n v="0"/>
    <m/>
    <m/>
  </r>
  <r>
    <x v="6"/>
    <s v="CM-1-05-05"/>
    <m/>
    <x v="29"/>
    <n v="5"/>
    <x v="30"/>
    <x v="251"/>
    <x v="10"/>
    <n v="1"/>
    <x v="3"/>
    <m/>
    <x v="4"/>
    <m/>
    <m/>
    <x v="18"/>
    <n v="0"/>
    <m/>
    <m/>
  </r>
  <r>
    <x v="6"/>
    <s v="CM-1-05-06"/>
    <m/>
    <x v="29"/>
    <n v="6"/>
    <x v="30"/>
    <x v="252"/>
    <x v="10"/>
    <n v="1"/>
    <x v="3"/>
    <m/>
    <x v="4"/>
    <m/>
    <m/>
    <x v="18"/>
    <n v="0"/>
    <m/>
    <m/>
  </r>
  <r>
    <x v="6"/>
    <s v="CM-1-07-01"/>
    <m/>
    <x v="30"/>
    <n v="1"/>
    <x v="31"/>
    <x v="253"/>
    <x v="11"/>
    <m/>
    <x v="3"/>
    <m/>
    <x v="4"/>
    <m/>
    <m/>
    <x v="18"/>
    <n v="0"/>
    <m/>
    <m/>
  </r>
  <r>
    <x v="6"/>
    <s v="CM-1-07-02"/>
    <m/>
    <x v="30"/>
    <n v="2"/>
    <x v="31"/>
    <x v="254"/>
    <x v="11"/>
    <m/>
    <x v="3"/>
    <m/>
    <x v="4"/>
    <m/>
    <m/>
    <x v="18"/>
    <n v="0"/>
    <m/>
    <m/>
  </r>
  <r>
    <x v="6"/>
    <s v="CM-1-07-03"/>
    <m/>
    <x v="30"/>
    <n v="3"/>
    <x v="31"/>
    <x v="255"/>
    <x v="11"/>
    <m/>
    <x v="3"/>
    <m/>
    <x v="4"/>
    <m/>
    <m/>
    <x v="18"/>
    <n v="0"/>
    <m/>
    <m/>
  </r>
  <r>
    <x v="6"/>
    <s v="CM-1-07-04"/>
    <m/>
    <x v="30"/>
    <n v="4"/>
    <x v="31"/>
    <x v="256"/>
    <x v="11"/>
    <m/>
    <x v="3"/>
    <m/>
    <x v="4"/>
    <m/>
    <m/>
    <x v="18"/>
    <n v="0"/>
    <m/>
    <m/>
  </r>
  <r>
    <x v="7"/>
    <s v="RG-1-02-01"/>
    <m/>
    <x v="31"/>
    <n v="1"/>
    <x v="32"/>
    <x v="257"/>
    <x v="0"/>
    <m/>
    <x v="3"/>
    <m/>
    <x v="4"/>
    <m/>
    <m/>
    <x v="18"/>
    <n v="0"/>
    <m/>
    <m/>
  </r>
  <r>
    <x v="7"/>
    <s v="RG-1-02-02"/>
    <m/>
    <x v="31"/>
    <n v="2"/>
    <x v="32"/>
    <x v="258"/>
    <x v="2"/>
    <m/>
    <x v="3"/>
    <m/>
    <x v="4"/>
    <m/>
    <m/>
    <x v="18"/>
    <n v="0"/>
    <m/>
    <m/>
  </r>
  <r>
    <x v="7"/>
    <s v="RG-1-02-03"/>
    <m/>
    <x v="31"/>
    <n v="3"/>
    <x v="32"/>
    <x v="259"/>
    <x v="2"/>
    <m/>
    <x v="3"/>
    <m/>
    <x v="4"/>
    <m/>
    <m/>
    <x v="18"/>
    <n v="0"/>
    <m/>
    <m/>
  </r>
  <r>
    <x v="7"/>
    <s v="RG-1-02-04"/>
    <m/>
    <x v="31"/>
    <n v="4"/>
    <x v="32"/>
    <x v="260"/>
    <x v="2"/>
    <m/>
    <x v="3"/>
    <m/>
    <x v="4"/>
    <m/>
    <m/>
    <x v="18"/>
    <n v="0"/>
    <m/>
    <m/>
  </r>
  <r>
    <x v="7"/>
    <s v="RG-1-02-05"/>
    <m/>
    <x v="31"/>
    <n v="5"/>
    <x v="32"/>
    <x v="261"/>
    <x v="2"/>
    <m/>
    <x v="3"/>
    <m/>
    <x v="4"/>
    <m/>
    <m/>
    <x v="18"/>
    <n v="0"/>
    <m/>
    <m/>
  </r>
  <r>
    <x v="7"/>
    <s v="RG-1-02-06"/>
    <m/>
    <x v="31"/>
    <n v="6"/>
    <x v="32"/>
    <x v="262"/>
    <x v="5"/>
    <m/>
    <x v="3"/>
    <m/>
    <x v="4"/>
    <m/>
    <m/>
    <x v="18"/>
    <n v="0"/>
    <m/>
    <m/>
  </r>
  <r>
    <x v="7"/>
    <s v="RG-1-02-07"/>
    <m/>
    <x v="31"/>
    <n v="7"/>
    <x v="32"/>
    <x v="246"/>
    <x v="6"/>
    <m/>
    <x v="3"/>
    <m/>
    <x v="4"/>
    <m/>
    <m/>
    <x v="18"/>
    <n v="0"/>
    <m/>
    <m/>
  </r>
  <r>
    <x v="7"/>
    <s v="RG-1-03-01"/>
    <m/>
    <x v="32"/>
    <n v="1"/>
    <x v="33"/>
    <x v="263"/>
    <x v="0"/>
    <m/>
    <x v="3"/>
    <m/>
    <x v="4"/>
    <m/>
    <m/>
    <x v="18"/>
    <n v="0"/>
    <m/>
    <m/>
  </r>
  <r>
    <x v="7"/>
    <s v="RG-1-03-02"/>
    <m/>
    <x v="32"/>
    <n v="2"/>
    <x v="33"/>
    <x v="264"/>
    <x v="0"/>
    <m/>
    <x v="3"/>
    <m/>
    <x v="4"/>
    <m/>
    <m/>
    <x v="18"/>
    <n v="0"/>
    <m/>
    <m/>
  </r>
  <r>
    <x v="7"/>
    <s v="RG-1-03-03"/>
    <m/>
    <x v="32"/>
    <n v="3"/>
    <x v="33"/>
    <x v="265"/>
    <x v="6"/>
    <m/>
    <x v="3"/>
    <m/>
    <x v="4"/>
    <m/>
    <m/>
    <x v="18"/>
    <n v="0"/>
    <m/>
    <m/>
  </r>
  <r>
    <x v="7"/>
    <s v="RG-1-03-04"/>
    <m/>
    <x v="32"/>
    <n v="4"/>
    <x v="33"/>
    <x v="266"/>
    <x v="0"/>
    <m/>
    <x v="3"/>
    <m/>
    <x v="4"/>
    <m/>
    <m/>
    <x v="18"/>
    <n v="0"/>
    <m/>
    <m/>
  </r>
  <r>
    <x v="7"/>
    <s v="RG-1-03-05"/>
    <m/>
    <x v="32"/>
    <n v="5"/>
    <x v="33"/>
    <x v="267"/>
    <x v="0"/>
    <m/>
    <x v="3"/>
    <m/>
    <x v="4"/>
    <m/>
    <m/>
    <x v="18"/>
    <n v="0"/>
    <m/>
    <m/>
  </r>
  <r>
    <x v="7"/>
    <s v="RG-1-03-06"/>
    <m/>
    <x v="32"/>
    <n v="6"/>
    <x v="33"/>
    <x v="268"/>
    <x v="0"/>
    <m/>
    <x v="3"/>
    <m/>
    <x v="4"/>
    <m/>
    <m/>
    <x v="18"/>
    <n v="0"/>
    <m/>
    <m/>
  </r>
  <r>
    <x v="7"/>
    <s v="RG-1-03-07"/>
    <m/>
    <x v="32"/>
    <n v="7"/>
    <x v="33"/>
    <x v="269"/>
    <x v="2"/>
    <m/>
    <x v="3"/>
    <m/>
    <x v="4"/>
    <m/>
    <m/>
    <x v="18"/>
    <n v="0"/>
    <m/>
    <s v="Beziehung zu R^n/Z^n"/>
  </r>
  <r>
    <x v="7"/>
    <s v="RG-1-03-08"/>
    <m/>
    <x v="32"/>
    <n v="8"/>
    <x v="33"/>
    <x v="270"/>
    <x v="2"/>
    <m/>
    <x v="3"/>
    <m/>
    <x v="4"/>
    <m/>
    <m/>
    <x v="18"/>
    <n v="0"/>
    <m/>
    <m/>
  </r>
  <r>
    <x v="7"/>
    <s v="RG-1-03-09"/>
    <m/>
    <x v="32"/>
    <n v="9"/>
    <x v="33"/>
    <x v="271"/>
    <x v="2"/>
    <m/>
    <x v="3"/>
    <m/>
    <x v="4"/>
    <m/>
    <m/>
    <x v="18"/>
    <n v="0"/>
    <m/>
    <m/>
  </r>
  <r>
    <x v="7"/>
    <s v="RG-1-03-10"/>
    <m/>
    <x v="32"/>
    <n v="10"/>
    <x v="33"/>
    <x v="272"/>
    <x v="2"/>
    <m/>
    <x v="3"/>
    <m/>
    <x v="4"/>
    <m/>
    <m/>
    <x v="18"/>
    <n v="0"/>
    <m/>
    <m/>
  </r>
  <r>
    <x v="7"/>
    <s v="RG-1-03-11"/>
    <m/>
    <x v="32"/>
    <n v="11"/>
    <x v="33"/>
    <x v="273"/>
    <x v="2"/>
    <m/>
    <x v="3"/>
    <m/>
    <x v="4"/>
    <m/>
    <m/>
    <x v="18"/>
    <n v="0"/>
    <m/>
    <m/>
  </r>
  <r>
    <x v="7"/>
    <s v="RG-1-03-12"/>
    <m/>
    <x v="32"/>
    <n v="12"/>
    <x v="33"/>
    <x v="274"/>
    <x v="2"/>
    <m/>
    <x v="3"/>
    <m/>
    <x v="4"/>
    <m/>
    <m/>
    <x v="18"/>
    <n v="0"/>
    <m/>
    <m/>
  </r>
  <r>
    <x v="7"/>
    <s v="RG-1-03-13"/>
    <m/>
    <x v="32"/>
    <n v="13"/>
    <x v="33"/>
    <x v="275"/>
    <x v="6"/>
    <m/>
    <x v="3"/>
    <m/>
    <x v="4"/>
    <m/>
    <m/>
    <x v="18"/>
    <n v="0"/>
    <m/>
    <m/>
  </r>
  <r>
    <x v="7"/>
    <s v="RG-1-04-01"/>
    <m/>
    <x v="33"/>
    <n v="1"/>
    <x v="34"/>
    <x v="276"/>
    <x v="0"/>
    <m/>
    <x v="3"/>
    <m/>
    <x v="4"/>
    <m/>
    <m/>
    <x v="18"/>
    <n v="0"/>
    <m/>
    <m/>
  </r>
  <r>
    <x v="7"/>
    <s v="RG-1-04-02"/>
    <m/>
    <x v="33"/>
    <n v="2"/>
    <x v="34"/>
    <x v="277"/>
    <x v="0"/>
    <m/>
    <x v="3"/>
    <m/>
    <x v="4"/>
    <m/>
    <m/>
    <x v="18"/>
    <n v="0"/>
    <m/>
    <m/>
  </r>
  <r>
    <x v="7"/>
    <s v="RG-1-04-03"/>
    <m/>
    <x v="33"/>
    <n v="3"/>
    <x v="34"/>
    <x v="278"/>
    <x v="0"/>
    <m/>
    <x v="3"/>
    <m/>
    <x v="4"/>
    <m/>
    <m/>
    <x v="18"/>
    <n v="0"/>
    <m/>
    <m/>
  </r>
  <r>
    <x v="7"/>
    <s v="RG-1-04-04"/>
    <m/>
    <x v="33"/>
    <n v="4"/>
    <x v="34"/>
    <x v="279"/>
    <x v="0"/>
    <m/>
    <x v="3"/>
    <m/>
    <x v="4"/>
    <m/>
    <m/>
    <x v="18"/>
    <n v="0"/>
    <m/>
    <m/>
  </r>
  <r>
    <x v="7"/>
    <s v="RG-1-04-05"/>
    <m/>
    <x v="33"/>
    <n v="5"/>
    <x v="34"/>
    <x v="280"/>
    <x v="0"/>
    <m/>
    <x v="3"/>
    <m/>
    <x v="4"/>
    <m/>
    <m/>
    <x v="18"/>
    <n v="0"/>
    <m/>
    <m/>
  </r>
  <r>
    <x v="7"/>
    <s v="RG-1-04-06"/>
    <m/>
    <x v="33"/>
    <n v="6"/>
    <x v="34"/>
    <x v="281"/>
    <x v="0"/>
    <m/>
    <x v="3"/>
    <m/>
    <x v="4"/>
    <m/>
    <m/>
    <x v="18"/>
    <n v="0"/>
    <m/>
    <m/>
  </r>
  <r>
    <x v="7"/>
    <s v="RG-1-04-07"/>
    <m/>
    <x v="33"/>
    <n v="7"/>
    <x v="34"/>
    <x v="282"/>
    <x v="0"/>
    <m/>
    <x v="3"/>
    <m/>
    <x v="4"/>
    <m/>
    <m/>
    <x v="18"/>
    <n v="0"/>
    <m/>
    <m/>
  </r>
  <r>
    <x v="7"/>
    <s v="RG-1-04-08"/>
    <m/>
    <x v="33"/>
    <n v="8"/>
    <x v="34"/>
    <x v="283"/>
    <x v="6"/>
    <m/>
    <x v="3"/>
    <m/>
    <x v="4"/>
    <m/>
    <m/>
    <x v="18"/>
    <n v="0"/>
    <m/>
    <m/>
  </r>
  <r>
    <x v="7"/>
    <s v="RG-1-04-09"/>
    <m/>
    <x v="33"/>
    <n v="9"/>
    <x v="34"/>
    <x v="284"/>
    <x v="0"/>
    <m/>
    <x v="3"/>
    <m/>
    <x v="4"/>
    <m/>
    <m/>
    <x v="18"/>
    <n v="0"/>
    <m/>
    <m/>
  </r>
  <r>
    <x v="7"/>
    <s v="RG-1-04-10"/>
    <m/>
    <x v="33"/>
    <n v="10"/>
    <x v="34"/>
    <x v="285"/>
    <x v="5"/>
    <m/>
    <x v="3"/>
    <m/>
    <x v="4"/>
    <m/>
    <m/>
    <x v="18"/>
    <n v="0"/>
    <m/>
    <m/>
  </r>
  <r>
    <x v="7"/>
    <s v="RG-1-04-11"/>
    <m/>
    <x v="33"/>
    <n v="11"/>
    <x v="34"/>
    <x v="286"/>
    <x v="0"/>
    <m/>
    <x v="3"/>
    <m/>
    <x v="4"/>
    <m/>
    <m/>
    <x v="18"/>
    <n v="0"/>
    <m/>
    <m/>
  </r>
  <r>
    <x v="7"/>
    <s v="RG-1-04-12"/>
    <m/>
    <x v="33"/>
    <n v="12"/>
    <x v="34"/>
    <x v="287"/>
    <x v="6"/>
    <m/>
    <x v="3"/>
    <m/>
    <x v="4"/>
    <m/>
    <m/>
    <x v="18"/>
    <n v="0"/>
    <m/>
    <m/>
  </r>
  <r>
    <x v="7"/>
    <s v="RG-1-04-13"/>
    <m/>
    <x v="33"/>
    <n v="13"/>
    <x v="34"/>
    <x v="288"/>
    <x v="0"/>
    <m/>
    <x v="3"/>
    <m/>
    <x v="4"/>
    <m/>
    <m/>
    <x v="18"/>
    <n v="0"/>
    <m/>
    <s v="Partielle Abbleitungen auf glatte Funktionen"/>
  </r>
  <r>
    <x v="7"/>
    <s v="RG-1-04-14"/>
    <m/>
    <x v="33"/>
    <n v="14"/>
    <x v="34"/>
    <x v="289"/>
    <x v="0"/>
    <m/>
    <x v="3"/>
    <m/>
    <x v="4"/>
    <m/>
    <m/>
    <x v="18"/>
    <n v="0"/>
    <m/>
    <m/>
  </r>
  <r>
    <x v="7"/>
    <s v="RG-1-04-15"/>
    <m/>
    <x v="33"/>
    <n v="15"/>
    <x v="34"/>
    <x v="290"/>
    <x v="6"/>
    <m/>
    <x v="3"/>
    <m/>
    <x v="4"/>
    <m/>
    <m/>
    <x v="18"/>
    <n v="0"/>
    <m/>
    <m/>
  </r>
  <r>
    <x v="7"/>
    <s v="RG-1-04-16"/>
    <m/>
    <x v="33"/>
    <n v="16"/>
    <x v="34"/>
    <x v="291"/>
    <x v="0"/>
    <m/>
    <x v="3"/>
    <m/>
    <x v="4"/>
    <m/>
    <m/>
    <x v="18"/>
    <n v="0"/>
    <m/>
    <m/>
  </r>
  <r>
    <x v="7"/>
    <s v="RG-1-05-01"/>
    <m/>
    <x v="34"/>
    <n v="1"/>
    <x v="35"/>
    <x v="292"/>
    <x v="0"/>
    <m/>
    <x v="3"/>
    <m/>
    <x v="4"/>
    <m/>
    <m/>
    <x v="18"/>
    <n v="0"/>
    <m/>
    <m/>
  </r>
  <r>
    <x v="7"/>
    <s v="RG-1-05-02"/>
    <m/>
    <x v="34"/>
    <n v="2"/>
    <x v="35"/>
    <x v="293"/>
    <x v="0"/>
    <m/>
    <x v="3"/>
    <m/>
    <x v="4"/>
    <m/>
    <m/>
    <x v="18"/>
    <n v="0"/>
    <m/>
    <m/>
  </r>
  <r>
    <x v="7"/>
    <s v="RG-1-05-03"/>
    <m/>
    <x v="34"/>
    <n v="3"/>
    <x v="35"/>
    <x v="294"/>
    <x v="0"/>
    <m/>
    <x v="3"/>
    <m/>
    <x v="4"/>
    <m/>
    <m/>
    <x v="18"/>
    <n v="0"/>
    <m/>
    <m/>
  </r>
  <r>
    <x v="7"/>
    <s v="RG-1-05-04"/>
    <m/>
    <x v="34"/>
    <n v="4"/>
    <x v="35"/>
    <x v="295"/>
    <x v="6"/>
    <m/>
    <x v="3"/>
    <m/>
    <x v="4"/>
    <m/>
    <m/>
    <x v="18"/>
    <n v="0"/>
    <m/>
    <m/>
  </r>
  <r>
    <x v="7"/>
    <s v="RG-1-05-05"/>
    <m/>
    <x v="34"/>
    <n v="5"/>
    <x v="35"/>
    <x v="296"/>
    <x v="6"/>
    <m/>
    <x v="3"/>
    <m/>
    <x v="4"/>
    <m/>
    <m/>
    <x v="18"/>
    <n v="0"/>
    <m/>
    <m/>
  </r>
  <r>
    <x v="7"/>
    <s v="RG-1-05-06"/>
    <m/>
    <x v="34"/>
    <n v="6"/>
    <x v="35"/>
    <x v="297"/>
    <x v="0"/>
    <m/>
    <x v="3"/>
    <m/>
    <x v="4"/>
    <m/>
    <m/>
    <x v="18"/>
    <n v="0"/>
    <m/>
    <m/>
  </r>
  <r>
    <x v="7"/>
    <s v="RG-1-05-07"/>
    <m/>
    <x v="34"/>
    <n v="7"/>
    <x v="35"/>
    <x v="298"/>
    <x v="6"/>
    <m/>
    <x v="3"/>
    <m/>
    <x v="4"/>
    <m/>
    <m/>
    <x v="18"/>
    <n v="0"/>
    <m/>
    <m/>
  </r>
  <r>
    <x v="7"/>
    <s v="RG-1-05-08"/>
    <m/>
    <x v="34"/>
    <n v="8"/>
    <x v="35"/>
    <x v="299"/>
    <x v="5"/>
    <m/>
    <x v="3"/>
    <m/>
    <x v="4"/>
    <m/>
    <m/>
    <x v="18"/>
    <n v="0"/>
    <m/>
    <m/>
  </r>
  <r>
    <x v="7"/>
    <s v="RG-1-05-09"/>
    <m/>
    <x v="34"/>
    <n v="9"/>
    <x v="35"/>
    <x v="300"/>
    <x v="2"/>
    <m/>
    <x v="3"/>
    <m/>
    <x v="4"/>
    <m/>
    <m/>
    <x v="18"/>
    <n v="0"/>
    <m/>
    <m/>
  </r>
  <r>
    <x v="7"/>
    <s v="RG-1-05-10"/>
    <m/>
    <x v="34"/>
    <n v="10"/>
    <x v="35"/>
    <x v="301"/>
    <x v="0"/>
    <m/>
    <x v="3"/>
    <m/>
    <x v="4"/>
    <m/>
    <m/>
    <x v="18"/>
    <n v="0"/>
    <m/>
    <m/>
  </r>
  <r>
    <x v="7"/>
    <s v="RG-1-05-11"/>
    <m/>
    <x v="34"/>
    <n v="11"/>
    <x v="35"/>
    <x v="302"/>
    <x v="0"/>
    <m/>
    <x v="3"/>
    <m/>
    <x v="4"/>
    <m/>
    <m/>
    <x v="18"/>
    <n v="0"/>
    <m/>
    <m/>
  </r>
  <r>
    <x v="7"/>
    <s v="RG-1-05-12"/>
    <m/>
    <x v="34"/>
    <n v="12"/>
    <x v="35"/>
    <x v="303"/>
    <x v="2"/>
    <m/>
    <x v="3"/>
    <m/>
    <x v="4"/>
    <m/>
    <m/>
    <x v="18"/>
    <n v="0"/>
    <m/>
    <m/>
  </r>
  <r>
    <x v="7"/>
    <s v="RG-1-05-13"/>
    <m/>
    <x v="34"/>
    <n v="13"/>
    <x v="35"/>
    <x v="304"/>
    <x v="6"/>
    <m/>
    <x v="3"/>
    <m/>
    <x v="4"/>
    <m/>
    <m/>
    <x v="18"/>
    <n v="0"/>
    <m/>
    <m/>
  </r>
  <r>
    <x v="7"/>
    <s v="RG-1-05-14"/>
    <m/>
    <x v="34"/>
    <n v="14"/>
    <x v="35"/>
    <x v="305"/>
    <x v="6"/>
    <m/>
    <x v="3"/>
    <m/>
    <x v="4"/>
    <m/>
    <m/>
    <x v="18"/>
    <n v="0"/>
    <m/>
    <m/>
  </r>
  <r>
    <x v="7"/>
    <s v="RG-1-05-15"/>
    <m/>
    <x v="34"/>
    <n v="15"/>
    <x v="35"/>
    <x v="306"/>
    <x v="2"/>
    <m/>
    <x v="3"/>
    <m/>
    <x v="4"/>
    <m/>
    <m/>
    <x v="18"/>
    <n v="0"/>
    <m/>
    <m/>
  </r>
  <r>
    <x v="7"/>
    <s v="RG-1-05-16"/>
    <m/>
    <x v="34"/>
    <n v="16"/>
    <x v="35"/>
    <x v="307"/>
    <x v="2"/>
    <m/>
    <x v="3"/>
    <m/>
    <x v="4"/>
    <m/>
    <m/>
    <x v="18"/>
    <n v="0"/>
    <m/>
    <m/>
  </r>
  <r>
    <x v="7"/>
    <s v="RG-1-05-17"/>
    <m/>
    <x v="34"/>
    <n v="17"/>
    <x v="35"/>
    <x v="308"/>
    <x v="2"/>
    <m/>
    <x v="3"/>
    <m/>
    <x v="4"/>
    <m/>
    <m/>
    <x v="18"/>
    <n v="0"/>
    <m/>
    <m/>
  </r>
  <r>
    <x v="7"/>
    <s v="RG-1-05-18"/>
    <m/>
    <x v="34"/>
    <n v="18"/>
    <x v="35"/>
    <x v="309"/>
    <x v="0"/>
    <m/>
    <x v="3"/>
    <m/>
    <x v="4"/>
    <m/>
    <m/>
    <x v="18"/>
    <n v="0"/>
    <m/>
    <m/>
  </r>
  <r>
    <x v="7"/>
    <s v="RG-1-05-19"/>
    <m/>
    <x v="34"/>
    <n v="19"/>
    <x v="35"/>
    <x v="310"/>
    <x v="2"/>
    <m/>
    <x v="3"/>
    <m/>
    <x v="4"/>
    <m/>
    <m/>
    <x v="18"/>
    <n v="0"/>
    <m/>
    <m/>
  </r>
  <r>
    <x v="7"/>
    <s v="RG-1-05-20"/>
    <m/>
    <x v="34"/>
    <n v="20"/>
    <x v="35"/>
    <x v="311"/>
    <x v="2"/>
    <m/>
    <x v="3"/>
    <m/>
    <x v="4"/>
    <m/>
    <m/>
    <x v="18"/>
    <n v="0"/>
    <m/>
    <m/>
  </r>
  <r>
    <x v="7"/>
    <s v="RG-1-05-21"/>
    <m/>
    <x v="34"/>
    <n v="21"/>
    <x v="35"/>
    <x v="312"/>
    <x v="5"/>
    <m/>
    <x v="3"/>
    <m/>
    <x v="4"/>
    <m/>
    <m/>
    <x v="18"/>
    <n v="0"/>
    <m/>
    <m/>
  </r>
  <r>
    <x v="7"/>
    <s v="RG-1-05-22"/>
    <m/>
    <x v="34"/>
    <n v="22"/>
    <x v="35"/>
    <x v="313"/>
    <x v="2"/>
    <m/>
    <x v="3"/>
    <m/>
    <x v="4"/>
    <m/>
    <m/>
    <x v="18"/>
    <n v="0"/>
    <m/>
    <m/>
  </r>
  <r>
    <x v="7"/>
    <s v="RG-1-07-01"/>
    <m/>
    <x v="35"/>
    <n v="1"/>
    <x v="36"/>
    <x v="314"/>
    <x v="12"/>
    <m/>
    <x v="3"/>
    <m/>
    <x v="4"/>
    <m/>
    <m/>
    <x v="18"/>
    <n v="0"/>
    <m/>
    <m/>
  </r>
  <r>
    <x v="7"/>
    <s v="RG-1-07-02"/>
    <m/>
    <x v="35"/>
    <n v="2"/>
    <x v="36"/>
    <x v="315"/>
    <x v="0"/>
    <m/>
    <x v="3"/>
    <m/>
    <x v="4"/>
    <m/>
    <m/>
    <x v="18"/>
    <n v="0"/>
    <m/>
    <m/>
  </r>
  <r>
    <x v="7"/>
    <s v="RG-1-07-03"/>
    <m/>
    <x v="35"/>
    <n v="3"/>
    <x v="36"/>
    <x v="316"/>
    <x v="4"/>
    <m/>
    <x v="3"/>
    <m/>
    <x v="4"/>
    <m/>
    <m/>
    <x v="18"/>
    <n v="0"/>
    <m/>
    <m/>
  </r>
  <r>
    <x v="7"/>
    <s v="RG-1-07-04"/>
    <m/>
    <x v="35"/>
    <n v="4"/>
    <x v="36"/>
    <x v="317"/>
    <x v="0"/>
    <m/>
    <x v="3"/>
    <m/>
    <x v="4"/>
    <m/>
    <m/>
    <x v="18"/>
    <n v="0"/>
    <m/>
    <m/>
  </r>
  <r>
    <x v="7"/>
    <s v="RG-1-07-05"/>
    <m/>
    <x v="35"/>
    <n v="5"/>
    <x v="36"/>
    <x v="318"/>
    <x v="0"/>
    <m/>
    <x v="3"/>
    <m/>
    <x v="4"/>
    <m/>
    <m/>
    <x v="18"/>
    <n v="0"/>
    <m/>
    <m/>
  </r>
  <r>
    <x v="7"/>
    <s v="RG-1-07-06"/>
    <m/>
    <x v="35"/>
    <n v="6"/>
    <x v="36"/>
    <x v="319"/>
    <x v="6"/>
    <m/>
    <x v="3"/>
    <m/>
    <x v="4"/>
    <m/>
    <m/>
    <x v="18"/>
    <n v="0"/>
    <m/>
    <m/>
  </r>
  <r>
    <x v="7"/>
    <s v="RG-1-07-07"/>
    <m/>
    <x v="35"/>
    <n v="7"/>
    <x v="36"/>
    <x v="320"/>
    <x v="1"/>
    <m/>
    <x v="3"/>
    <m/>
    <x v="4"/>
    <m/>
    <m/>
    <x v="18"/>
    <n v="0"/>
    <m/>
    <m/>
  </r>
  <r>
    <x v="7"/>
    <s v="RG-1-07-08"/>
    <m/>
    <x v="35"/>
    <n v="8"/>
    <x v="36"/>
    <x v="321"/>
    <x v="2"/>
    <m/>
    <x v="3"/>
    <m/>
    <x v="4"/>
    <m/>
    <m/>
    <x v="18"/>
    <n v="0"/>
    <m/>
    <m/>
  </r>
  <r>
    <x v="7"/>
    <s v="RG-1-07-09"/>
    <m/>
    <x v="35"/>
    <n v="9"/>
    <x v="36"/>
    <x v="322"/>
    <x v="2"/>
    <m/>
    <x v="3"/>
    <m/>
    <x v="4"/>
    <m/>
    <m/>
    <x v="18"/>
    <n v="0"/>
    <m/>
    <m/>
  </r>
  <r>
    <x v="7"/>
    <s v="RG-1-07-10"/>
    <m/>
    <x v="35"/>
    <n v="10"/>
    <x v="36"/>
    <x v="323"/>
    <x v="5"/>
    <m/>
    <x v="3"/>
    <m/>
    <x v="4"/>
    <m/>
    <m/>
    <x v="18"/>
    <n v="0"/>
    <m/>
    <m/>
  </r>
  <r>
    <x v="7"/>
    <s v="RG-1-08-01"/>
    <m/>
    <x v="36"/>
    <n v="1"/>
    <x v="37"/>
    <x v="324"/>
    <x v="0"/>
    <m/>
    <x v="3"/>
    <m/>
    <x v="4"/>
    <m/>
    <m/>
    <x v="18"/>
    <n v="0"/>
    <m/>
    <m/>
  </r>
  <r>
    <x v="7"/>
    <s v="RG-1-08-02"/>
    <m/>
    <x v="36"/>
    <n v="2"/>
    <x v="37"/>
    <x v="325"/>
    <x v="5"/>
    <m/>
    <x v="3"/>
    <m/>
    <x v="4"/>
    <m/>
    <m/>
    <x v="18"/>
    <n v="0"/>
    <m/>
    <m/>
  </r>
  <r>
    <x v="7"/>
    <s v="RG-1-08-03"/>
    <m/>
    <x v="36"/>
    <n v="3"/>
    <x v="37"/>
    <x v="326"/>
    <x v="5"/>
    <m/>
    <x v="3"/>
    <m/>
    <x v="4"/>
    <m/>
    <m/>
    <x v="18"/>
    <n v="0"/>
    <m/>
    <m/>
  </r>
  <r>
    <x v="7"/>
    <s v="RG-1-09-01"/>
    <m/>
    <x v="37"/>
    <n v="1"/>
    <x v="38"/>
    <x v="327"/>
    <x v="0"/>
    <m/>
    <x v="3"/>
    <m/>
    <x v="4"/>
    <m/>
    <m/>
    <x v="18"/>
    <n v="0"/>
    <m/>
    <m/>
  </r>
  <r>
    <x v="7"/>
    <s v="RG-1-09-02"/>
    <m/>
    <x v="37"/>
    <n v="2"/>
    <x v="38"/>
    <x v="328"/>
    <x v="5"/>
    <m/>
    <x v="3"/>
    <m/>
    <x v="4"/>
    <m/>
    <m/>
    <x v="18"/>
    <n v="0"/>
    <m/>
    <m/>
  </r>
  <r>
    <x v="7"/>
    <s v="RG-1-09-03"/>
    <m/>
    <x v="37"/>
    <n v="3"/>
    <x v="38"/>
    <x v="329"/>
    <x v="0"/>
    <m/>
    <x v="3"/>
    <m/>
    <x v="4"/>
    <m/>
    <m/>
    <x v="18"/>
    <n v="0"/>
    <m/>
    <m/>
  </r>
  <r>
    <x v="7"/>
    <s v="RG-1-09-04"/>
    <m/>
    <x v="37"/>
    <n v="4"/>
    <x v="38"/>
    <x v="330"/>
    <x v="6"/>
    <m/>
    <x v="3"/>
    <m/>
    <x v="4"/>
    <m/>
    <m/>
    <x v="18"/>
    <n v="0"/>
    <m/>
    <m/>
  </r>
  <r>
    <x v="7"/>
    <s v="RG-1-09-05"/>
    <m/>
    <x v="37"/>
    <n v="5"/>
    <x v="38"/>
    <x v="331"/>
    <x v="5"/>
    <m/>
    <x v="3"/>
    <m/>
    <x v="4"/>
    <m/>
    <m/>
    <x v="18"/>
    <n v="0"/>
    <m/>
    <m/>
  </r>
  <r>
    <x v="7"/>
    <s v="RG-1-09-06"/>
    <m/>
    <x v="37"/>
    <n v="6"/>
    <x v="38"/>
    <x v="332"/>
    <x v="2"/>
    <m/>
    <x v="3"/>
    <m/>
    <x v="4"/>
    <m/>
    <m/>
    <x v="18"/>
    <n v="0"/>
    <m/>
    <m/>
  </r>
  <r>
    <x v="7"/>
    <s v="RG-1-09-07"/>
    <m/>
    <x v="37"/>
    <n v="7"/>
    <x v="38"/>
    <x v="333"/>
    <x v="2"/>
    <m/>
    <x v="3"/>
    <m/>
    <x v="4"/>
    <m/>
    <m/>
    <x v="18"/>
    <n v="0"/>
    <m/>
    <m/>
  </r>
  <r>
    <x v="2"/>
    <s v="GPDE-1-08-01"/>
    <m/>
    <x v="38"/>
    <n v="1"/>
    <x v="39"/>
    <x v="334"/>
    <x v="1"/>
    <n v="1"/>
    <x v="3"/>
    <m/>
    <x v="4"/>
    <m/>
    <m/>
    <x v="18"/>
    <n v="0"/>
    <m/>
    <m/>
  </r>
  <r>
    <x v="2"/>
    <s v="GPDE-1-08-02"/>
    <m/>
    <x v="38"/>
    <n v="2"/>
    <x v="39"/>
    <x v="335"/>
    <x v="1"/>
    <n v="1"/>
    <x v="3"/>
    <m/>
    <x v="4"/>
    <m/>
    <m/>
    <x v="18"/>
    <n v="0"/>
    <m/>
    <m/>
  </r>
  <r>
    <x v="2"/>
    <s v="GPDE-1-08-03"/>
    <m/>
    <x v="38"/>
    <n v="3"/>
    <x v="39"/>
    <x v="336"/>
    <x v="0"/>
    <n v="1"/>
    <x v="3"/>
    <m/>
    <x v="4"/>
    <m/>
    <m/>
    <x v="18"/>
    <n v="0"/>
    <m/>
    <m/>
  </r>
  <r>
    <x v="2"/>
    <s v="GPDE-1-08-04"/>
    <m/>
    <x v="38"/>
    <n v="4"/>
    <x v="39"/>
    <x v="337"/>
    <x v="9"/>
    <n v="1"/>
    <x v="3"/>
    <m/>
    <x v="4"/>
    <m/>
    <m/>
    <x v="18"/>
    <n v="0"/>
    <m/>
    <m/>
  </r>
  <r>
    <x v="7"/>
    <s v="RG-1-16-01"/>
    <m/>
    <x v="39"/>
    <n v="1"/>
    <x v="40"/>
    <x v="338"/>
    <x v="11"/>
    <m/>
    <x v="3"/>
    <m/>
    <x v="4"/>
    <m/>
    <m/>
    <x v="18"/>
    <n v="0"/>
    <m/>
    <m/>
  </r>
  <r>
    <x v="7"/>
    <s v="RG-1-16-02"/>
    <m/>
    <x v="39"/>
    <n v="2"/>
    <x v="40"/>
    <x v="339"/>
    <x v="2"/>
    <m/>
    <x v="3"/>
    <m/>
    <x v="4"/>
    <m/>
    <m/>
    <x v="18"/>
    <n v="0"/>
    <m/>
    <m/>
  </r>
  <r>
    <x v="7"/>
    <s v="RG-1-16-03"/>
    <m/>
    <x v="39"/>
    <n v="3"/>
    <x v="40"/>
    <x v="340"/>
    <x v="2"/>
    <m/>
    <x v="3"/>
    <m/>
    <x v="4"/>
    <m/>
    <m/>
    <x v="18"/>
    <n v="0"/>
    <m/>
    <m/>
  </r>
  <r>
    <x v="8"/>
    <s v="EFT1-1-02-01"/>
    <m/>
    <x v="40"/>
    <n v="1"/>
    <x v="41"/>
    <x v="341"/>
    <x v="0"/>
    <m/>
    <x v="3"/>
    <m/>
    <x v="4"/>
    <m/>
    <m/>
    <x v="18"/>
    <n v="0"/>
    <m/>
    <m/>
  </r>
  <r>
    <x v="8"/>
    <s v="EFT1-1-02-02"/>
    <m/>
    <x v="40"/>
    <n v="2"/>
    <x v="41"/>
    <x v="342"/>
    <x v="0"/>
    <m/>
    <x v="3"/>
    <m/>
    <x v="4"/>
    <m/>
    <m/>
    <x v="18"/>
    <n v="0"/>
    <m/>
    <m/>
  </r>
  <r>
    <x v="8"/>
    <s v="EFT1-1-02-03"/>
    <m/>
    <x v="40"/>
    <n v="3"/>
    <x v="41"/>
    <x v="343"/>
    <x v="2"/>
    <m/>
    <x v="3"/>
    <m/>
    <x v="4"/>
    <m/>
    <m/>
    <x v="18"/>
    <n v="0"/>
    <m/>
    <m/>
  </r>
  <r>
    <x v="8"/>
    <s v="EFT1-1-02-04"/>
    <m/>
    <x v="40"/>
    <n v="4"/>
    <x v="41"/>
    <x v="344"/>
    <x v="2"/>
    <m/>
    <x v="3"/>
    <m/>
    <x v="4"/>
    <m/>
    <m/>
    <x v="18"/>
    <n v="0"/>
    <m/>
    <m/>
  </r>
  <r>
    <x v="8"/>
    <s v="EFT1-1-02-05"/>
    <m/>
    <x v="40"/>
    <n v="5"/>
    <x v="41"/>
    <x v="345"/>
    <x v="2"/>
    <m/>
    <x v="3"/>
    <m/>
    <x v="4"/>
    <m/>
    <m/>
    <x v="18"/>
    <n v="0"/>
    <m/>
    <m/>
  </r>
  <r>
    <x v="8"/>
    <s v="EFT1-1-02-06"/>
    <m/>
    <x v="40"/>
    <n v="6"/>
    <x v="41"/>
    <x v="346"/>
    <x v="2"/>
    <m/>
    <x v="3"/>
    <m/>
    <x v="4"/>
    <m/>
    <m/>
    <x v="18"/>
    <n v="0"/>
    <m/>
    <m/>
  </r>
  <r>
    <x v="8"/>
    <s v="EFT1-1-02-07"/>
    <m/>
    <x v="40"/>
    <n v="7"/>
    <x v="41"/>
    <x v="347"/>
    <x v="0"/>
    <m/>
    <x v="3"/>
    <m/>
    <x v="4"/>
    <m/>
    <m/>
    <x v="18"/>
    <n v="0"/>
    <m/>
    <m/>
  </r>
  <r>
    <x v="8"/>
    <s v="EFT1-1-02-08"/>
    <m/>
    <x v="40"/>
    <n v="8"/>
    <x v="41"/>
    <x v="348"/>
    <x v="0"/>
    <m/>
    <x v="3"/>
    <m/>
    <x v="4"/>
    <m/>
    <m/>
    <x v="18"/>
    <n v="0"/>
    <m/>
    <m/>
  </r>
  <r>
    <x v="8"/>
    <s v="EFT1-1-02-09"/>
    <m/>
    <x v="40"/>
    <n v="9"/>
    <x v="41"/>
    <x v="349"/>
    <x v="0"/>
    <m/>
    <x v="3"/>
    <m/>
    <x v="4"/>
    <m/>
    <m/>
    <x v="18"/>
    <n v="0"/>
    <m/>
    <m/>
  </r>
  <r>
    <x v="8"/>
    <s v="EFT1-1-02-10"/>
    <m/>
    <x v="40"/>
    <n v="10"/>
    <x v="41"/>
    <x v="350"/>
    <x v="0"/>
    <m/>
    <x v="3"/>
    <m/>
    <x v="4"/>
    <m/>
    <m/>
    <x v="18"/>
    <n v="0"/>
    <m/>
    <m/>
  </r>
  <r>
    <x v="8"/>
    <s v="EFT1-1-02-11"/>
    <m/>
    <x v="40"/>
    <n v="11"/>
    <x v="41"/>
    <x v="351"/>
    <x v="0"/>
    <m/>
    <x v="3"/>
    <m/>
    <x v="4"/>
    <m/>
    <m/>
    <x v="18"/>
    <n v="0"/>
    <m/>
    <m/>
  </r>
  <r>
    <x v="8"/>
    <s v="EFT1-1-02-12"/>
    <m/>
    <x v="40"/>
    <n v="12"/>
    <x v="41"/>
    <x v="352"/>
    <x v="0"/>
    <m/>
    <x v="3"/>
    <m/>
    <x v="4"/>
    <m/>
    <m/>
    <x v="18"/>
    <n v="0"/>
    <m/>
    <m/>
  </r>
  <r>
    <x v="8"/>
    <s v="EFT1-1-02-13"/>
    <m/>
    <x v="40"/>
    <n v="13"/>
    <x v="41"/>
    <x v="353"/>
    <x v="0"/>
    <m/>
    <x v="3"/>
    <m/>
    <x v="4"/>
    <m/>
    <m/>
    <x v="18"/>
    <n v="0"/>
    <m/>
    <m/>
  </r>
  <r>
    <x v="8"/>
    <s v="EFT1-1-02-14"/>
    <m/>
    <x v="40"/>
    <n v="14"/>
    <x v="41"/>
    <x v="354"/>
    <x v="0"/>
    <m/>
    <x v="3"/>
    <m/>
    <x v="4"/>
    <m/>
    <m/>
    <x v="18"/>
    <n v="0"/>
    <m/>
    <m/>
  </r>
  <r>
    <x v="8"/>
    <s v="EFT1-1-02-15"/>
    <m/>
    <x v="40"/>
    <n v="15"/>
    <x v="41"/>
    <x v="355"/>
    <x v="6"/>
    <m/>
    <x v="3"/>
    <m/>
    <x v="4"/>
    <m/>
    <m/>
    <x v="18"/>
    <n v="0"/>
    <m/>
    <m/>
  </r>
  <r>
    <x v="8"/>
    <s v="EFT1-1-02-16"/>
    <m/>
    <x v="40"/>
    <n v="16"/>
    <x v="41"/>
    <x v="356"/>
    <x v="0"/>
    <m/>
    <x v="3"/>
    <m/>
    <x v="4"/>
    <m/>
    <m/>
    <x v="18"/>
    <n v="0"/>
    <m/>
    <m/>
  </r>
  <r>
    <x v="8"/>
    <s v="EFT1-1-02-17"/>
    <m/>
    <x v="40"/>
    <n v="17"/>
    <x v="41"/>
    <x v="357"/>
    <x v="0"/>
    <m/>
    <x v="3"/>
    <m/>
    <x v="4"/>
    <m/>
    <m/>
    <x v="18"/>
    <n v="0"/>
    <m/>
    <m/>
  </r>
  <r>
    <x v="8"/>
    <s v="EFT1-1-02-18"/>
    <m/>
    <x v="40"/>
    <n v="18"/>
    <x v="41"/>
    <x v="358"/>
    <x v="2"/>
    <m/>
    <x v="3"/>
    <m/>
    <x v="4"/>
    <m/>
    <m/>
    <x v="18"/>
    <n v="0"/>
    <m/>
    <m/>
  </r>
  <r>
    <x v="8"/>
    <s v="EFT1-1-02-19"/>
    <m/>
    <x v="40"/>
    <n v="19"/>
    <x v="41"/>
    <x v="359"/>
    <x v="2"/>
    <m/>
    <x v="3"/>
    <m/>
    <x v="4"/>
    <m/>
    <m/>
    <x v="18"/>
    <n v="0"/>
    <m/>
    <m/>
  </r>
  <r>
    <x v="8"/>
    <s v="EFT1-1-02-20"/>
    <m/>
    <x v="40"/>
    <n v="20"/>
    <x v="41"/>
    <x v="360"/>
    <x v="2"/>
    <m/>
    <x v="3"/>
    <m/>
    <x v="4"/>
    <m/>
    <m/>
    <x v="18"/>
    <n v="0"/>
    <m/>
    <m/>
  </r>
  <r>
    <x v="8"/>
    <s v="EFT1-1-02-21"/>
    <m/>
    <x v="40"/>
    <n v="21"/>
    <x v="41"/>
    <x v="361"/>
    <x v="2"/>
    <m/>
    <x v="3"/>
    <m/>
    <x v="4"/>
    <m/>
    <m/>
    <x v="18"/>
    <n v="0"/>
    <m/>
    <m/>
  </r>
  <r>
    <x v="8"/>
    <s v="EFT1-1-02-22"/>
    <m/>
    <x v="40"/>
    <n v="22"/>
    <x v="41"/>
    <x v="362"/>
    <x v="2"/>
    <m/>
    <x v="3"/>
    <m/>
    <x v="4"/>
    <m/>
    <m/>
    <x v="18"/>
    <n v="0"/>
    <m/>
    <m/>
  </r>
  <r>
    <x v="8"/>
    <s v="EFT1-1-02-23"/>
    <m/>
    <x v="40"/>
    <n v="23"/>
    <x v="41"/>
    <x v="363"/>
    <x v="6"/>
    <m/>
    <x v="3"/>
    <m/>
    <x v="4"/>
    <m/>
    <m/>
    <x v="18"/>
    <n v="0"/>
    <m/>
    <m/>
  </r>
  <r>
    <x v="8"/>
    <s v="EFT1-1-02-24"/>
    <m/>
    <x v="40"/>
    <n v="24"/>
    <x v="41"/>
    <x v="364"/>
    <x v="6"/>
    <m/>
    <x v="3"/>
    <m/>
    <x v="4"/>
    <m/>
    <m/>
    <x v="18"/>
    <n v="0"/>
    <m/>
    <m/>
  </r>
  <r>
    <x v="8"/>
    <s v="EFT1-1-02-25"/>
    <m/>
    <x v="40"/>
    <n v="25"/>
    <x v="41"/>
    <x v="365"/>
    <x v="6"/>
    <m/>
    <x v="3"/>
    <m/>
    <x v="4"/>
    <m/>
    <m/>
    <x v="18"/>
    <n v="0"/>
    <m/>
    <m/>
  </r>
  <r>
    <x v="8"/>
    <s v="EFT1-1-02-26"/>
    <m/>
    <x v="40"/>
    <n v="26"/>
    <x v="41"/>
    <x v="366"/>
    <x v="6"/>
    <m/>
    <x v="3"/>
    <m/>
    <x v="4"/>
    <m/>
    <m/>
    <x v="18"/>
    <n v="0"/>
    <m/>
    <m/>
  </r>
  <r>
    <x v="8"/>
    <s v="EFT1-1-02-27"/>
    <m/>
    <x v="40"/>
    <n v="27"/>
    <x v="41"/>
    <x v="367"/>
    <x v="6"/>
    <m/>
    <x v="3"/>
    <m/>
    <x v="4"/>
    <m/>
    <m/>
    <x v="18"/>
    <n v="0"/>
    <m/>
    <m/>
  </r>
  <r>
    <x v="8"/>
    <s v="EFT1-1-02-28"/>
    <m/>
    <x v="40"/>
    <n v="28"/>
    <x v="41"/>
    <x v="368"/>
    <x v="5"/>
    <m/>
    <x v="3"/>
    <m/>
    <x v="4"/>
    <m/>
    <m/>
    <x v="18"/>
    <n v="0"/>
    <m/>
    <m/>
  </r>
  <r>
    <x v="8"/>
    <s v="EFT1-1-02-29"/>
    <m/>
    <x v="40"/>
    <n v="29"/>
    <x v="41"/>
    <x v="369"/>
    <x v="2"/>
    <m/>
    <x v="3"/>
    <m/>
    <x v="4"/>
    <m/>
    <m/>
    <x v="18"/>
    <n v="0"/>
    <m/>
    <m/>
  </r>
  <r>
    <x v="8"/>
    <s v="EFT1-1-02-30"/>
    <m/>
    <x v="40"/>
    <n v="30"/>
    <x v="41"/>
    <x v="370"/>
    <x v="2"/>
    <m/>
    <x v="3"/>
    <m/>
    <x v="4"/>
    <m/>
    <m/>
    <x v="18"/>
    <n v="0"/>
    <m/>
    <m/>
  </r>
  <r>
    <x v="8"/>
    <s v="EFT1-1-02-31"/>
    <m/>
    <x v="40"/>
    <n v="31"/>
    <x v="41"/>
    <x v="371"/>
    <x v="2"/>
    <m/>
    <x v="3"/>
    <m/>
    <x v="4"/>
    <m/>
    <m/>
    <x v="18"/>
    <n v="0"/>
    <m/>
    <m/>
  </r>
  <r>
    <x v="8"/>
    <s v="EFT1-1-02-32"/>
    <m/>
    <x v="40"/>
    <n v="32"/>
    <x v="41"/>
    <x v="372"/>
    <x v="9"/>
    <m/>
    <x v="3"/>
    <m/>
    <x v="4"/>
    <m/>
    <m/>
    <x v="18"/>
    <n v="0"/>
    <m/>
    <m/>
  </r>
  <r>
    <x v="8"/>
    <s v="EFT1-1-02-33"/>
    <m/>
    <x v="40"/>
    <n v="33"/>
    <x v="41"/>
    <x v="373"/>
    <x v="2"/>
    <m/>
    <x v="3"/>
    <m/>
    <x v="4"/>
    <m/>
    <m/>
    <x v="18"/>
    <n v="0"/>
    <m/>
    <m/>
  </r>
  <r>
    <x v="8"/>
    <s v="EFT1-1-02-34"/>
    <m/>
    <x v="40"/>
    <n v="34"/>
    <x v="41"/>
    <x v="374"/>
    <x v="2"/>
    <m/>
    <x v="3"/>
    <m/>
    <x v="4"/>
    <m/>
    <m/>
    <x v="18"/>
    <n v="0"/>
    <m/>
    <m/>
  </r>
  <r>
    <x v="8"/>
    <s v="EFT1-1-02-35"/>
    <m/>
    <x v="40"/>
    <n v="35"/>
    <x v="41"/>
    <x v="375"/>
    <x v="2"/>
    <m/>
    <x v="3"/>
    <m/>
    <x v="4"/>
    <m/>
    <m/>
    <x v="18"/>
    <n v="0"/>
    <m/>
    <m/>
  </r>
  <r>
    <x v="8"/>
    <s v="EFT1-1-02-36"/>
    <m/>
    <x v="40"/>
    <n v="36"/>
    <x v="41"/>
    <x v="376"/>
    <x v="2"/>
    <m/>
    <x v="3"/>
    <m/>
    <x v="4"/>
    <m/>
    <m/>
    <x v="18"/>
    <n v="0"/>
    <m/>
    <m/>
  </r>
  <r>
    <x v="8"/>
    <s v="EFT1-1-02-37"/>
    <m/>
    <x v="40"/>
    <n v="37"/>
    <x v="41"/>
    <x v="377"/>
    <x v="0"/>
    <m/>
    <x v="3"/>
    <m/>
    <x v="4"/>
    <m/>
    <m/>
    <x v="18"/>
    <n v="0"/>
    <m/>
    <m/>
  </r>
  <r>
    <x v="8"/>
    <s v="EFT1-1-02-38"/>
    <m/>
    <x v="40"/>
    <n v="38"/>
    <x v="41"/>
    <x v="378"/>
    <x v="2"/>
    <m/>
    <x v="3"/>
    <m/>
    <x v="4"/>
    <m/>
    <m/>
    <x v="18"/>
    <n v="0"/>
    <m/>
    <m/>
  </r>
  <r>
    <x v="8"/>
    <s v="EFT1-1-02-39"/>
    <m/>
    <x v="40"/>
    <n v="39"/>
    <x v="41"/>
    <x v="379"/>
    <x v="2"/>
    <m/>
    <x v="3"/>
    <m/>
    <x v="4"/>
    <m/>
    <m/>
    <x v="18"/>
    <n v="0"/>
    <m/>
    <m/>
  </r>
  <r>
    <x v="8"/>
    <s v="EFT1-1-02-40"/>
    <m/>
    <x v="40"/>
    <n v="40"/>
    <x v="41"/>
    <x v="380"/>
    <x v="0"/>
    <m/>
    <x v="3"/>
    <m/>
    <x v="4"/>
    <m/>
    <m/>
    <x v="18"/>
    <n v="0"/>
    <m/>
    <m/>
  </r>
  <r>
    <x v="8"/>
    <s v="EFT1-1-02-41"/>
    <m/>
    <x v="40"/>
    <n v="41"/>
    <x v="41"/>
    <x v="381"/>
    <x v="2"/>
    <m/>
    <x v="3"/>
    <m/>
    <x v="4"/>
    <m/>
    <m/>
    <x v="18"/>
    <n v="0"/>
    <m/>
    <m/>
  </r>
  <r>
    <x v="8"/>
    <s v="EFT1-1-02-42"/>
    <m/>
    <x v="40"/>
    <n v="42"/>
    <x v="41"/>
    <x v="382"/>
    <x v="3"/>
    <m/>
    <x v="3"/>
    <m/>
    <x v="4"/>
    <m/>
    <m/>
    <x v="18"/>
    <n v="0"/>
    <m/>
    <m/>
  </r>
  <r>
    <x v="8"/>
    <s v="EFT1-1-02-43"/>
    <m/>
    <x v="40"/>
    <n v="43"/>
    <x v="41"/>
    <x v="383"/>
    <x v="0"/>
    <m/>
    <x v="3"/>
    <m/>
    <x v="4"/>
    <m/>
    <m/>
    <x v="18"/>
    <n v="0"/>
    <m/>
    <m/>
  </r>
  <r>
    <x v="8"/>
    <s v="EFT1-1-02-44"/>
    <m/>
    <x v="40"/>
    <n v="44"/>
    <x v="41"/>
    <x v="384"/>
    <x v="0"/>
    <m/>
    <x v="3"/>
    <m/>
    <x v="4"/>
    <m/>
    <m/>
    <x v="18"/>
    <n v="0"/>
    <m/>
    <m/>
  </r>
  <r>
    <x v="8"/>
    <s v="EFT1-1-02-45"/>
    <m/>
    <x v="40"/>
    <n v="45"/>
    <x v="41"/>
    <x v="385"/>
    <x v="0"/>
    <m/>
    <x v="3"/>
    <m/>
    <x v="4"/>
    <m/>
    <m/>
    <x v="18"/>
    <n v="0"/>
    <m/>
    <m/>
  </r>
  <r>
    <x v="8"/>
    <s v="EFT1-1-02-46"/>
    <m/>
    <x v="40"/>
    <n v="46"/>
    <x v="41"/>
    <x v="386"/>
    <x v="0"/>
    <m/>
    <x v="3"/>
    <m/>
    <x v="4"/>
    <m/>
    <m/>
    <x v="18"/>
    <n v="0"/>
    <m/>
    <m/>
  </r>
  <r>
    <x v="8"/>
    <s v="EFT1-1-02-47"/>
    <m/>
    <x v="40"/>
    <n v="47"/>
    <x v="41"/>
    <x v="387"/>
    <x v="2"/>
    <m/>
    <x v="3"/>
    <m/>
    <x v="4"/>
    <m/>
    <m/>
    <x v="18"/>
    <n v="0"/>
    <m/>
    <m/>
  </r>
  <r>
    <x v="8"/>
    <s v="EFT1-1-02-48"/>
    <m/>
    <x v="40"/>
    <n v="48"/>
    <x v="41"/>
    <x v="388"/>
    <x v="0"/>
    <m/>
    <x v="3"/>
    <m/>
    <x v="4"/>
    <m/>
    <m/>
    <x v="18"/>
    <n v="0"/>
    <m/>
    <m/>
  </r>
  <r>
    <x v="8"/>
    <s v="EFT1-1-02-49"/>
    <m/>
    <x v="40"/>
    <n v="49"/>
    <x v="41"/>
    <x v="389"/>
    <x v="5"/>
    <m/>
    <x v="3"/>
    <m/>
    <x v="4"/>
    <m/>
    <m/>
    <x v="18"/>
    <n v="0"/>
    <m/>
    <m/>
  </r>
  <r>
    <x v="8"/>
    <s v="EFT1-1-02-50"/>
    <m/>
    <x v="40"/>
    <n v="50"/>
    <x v="41"/>
    <x v="390"/>
    <x v="2"/>
    <m/>
    <x v="3"/>
    <m/>
    <x v="4"/>
    <m/>
    <m/>
    <x v="18"/>
    <n v="0"/>
    <m/>
    <m/>
  </r>
  <r>
    <x v="8"/>
    <s v="EFT1-1-02-51"/>
    <m/>
    <x v="40"/>
    <n v="51"/>
    <x v="41"/>
    <x v="391"/>
    <x v="2"/>
    <m/>
    <x v="3"/>
    <m/>
    <x v="4"/>
    <m/>
    <m/>
    <x v="18"/>
    <n v="0"/>
    <m/>
    <m/>
  </r>
  <r>
    <x v="8"/>
    <s v="EFT1-1-02-52"/>
    <m/>
    <x v="40"/>
    <n v="52"/>
    <x v="41"/>
    <x v="392"/>
    <x v="6"/>
    <m/>
    <x v="3"/>
    <m/>
    <x v="4"/>
    <m/>
    <m/>
    <x v="18"/>
    <n v="0"/>
    <m/>
    <m/>
  </r>
  <r>
    <x v="8"/>
    <s v="EFT1-1-02-53"/>
    <m/>
    <x v="40"/>
    <n v="53"/>
    <x v="41"/>
    <x v="393"/>
    <x v="9"/>
    <m/>
    <x v="3"/>
    <m/>
    <x v="4"/>
    <m/>
    <m/>
    <x v="18"/>
    <n v="0"/>
    <m/>
    <m/>
  </r>
  <r>
    <x v="8"/>
    <s v="EFT1-1-02-54"/>
    <m/>
    <x v="40"/>
    <n v="54"/>
    <x v="41"/>
    <x v="394"/>
    <x v="0"/>
    <m/>
    <x v="3"/>
    <m/>
    <x v="4"/>
    <m/>
    <m/>
    <x v="18"/>
    <n v="0"/>
    <m/>
    <m/>
  </r>
  <r>
    <x v="8"/>
    <s v="EFT1-1-02-55"/>
    <m/>
    <x v="40"/>
    <n v="55"/>
    <x v="41"/>
    <x v="395"/>
    <x v="0"/>
    <m/>
    <x v="3"/>
    <m/>
    <x v="4"/>
    <m/>
    <m/>
    <x v="18"/>
    <n v="0"/>
    <m/>
    <m/>
  </r>
  <r>
    <x v="8"/>
    <s v="EFT1-1-02-56"/>
    <m/>
    <x v="40"/>
    <n v="56"/>
    <x v="41"/>
    <x v="396"/>
    <x v="6"/>
    <m/>
    <x v="3"/>
    <m/>
    <x v="4"/>
    <m/>
    <m/>
    <x v="18"/>
    <n v="0"/>
    <m/>
    <m/>
  </r>
  <r>
    <x v="8"/>
    <s v="EFT1-1-02-57"/>
    <m/>
    <x v="40"/>
    <n v="57"/>
    <x v="41"/>
    <x v="397"/>
    <x v="6"/>
    <m/>
    <x v="3"/>
    <m/>
    <x v="4"/>
    <m/>
    <m/>
    <x v="18"/>
    <n v="0"/>
    <m/>
    <m/>
  </r>
  <r>
    <x v="8"/>
    <s v="EFT1-1-02-58"/>
    <m/>
    <x v="40"/>
    <n v="58"/>
    <x v="41"/>
    <x v="398"/>
    <x v="6"/>
    <m/>
    <x v="3"/>
    <m/>
    <x v="4"/>
    <m/>
    <m/>
    <x v="18"/>
    <n v="0"/>
    <m/>
    <m/>
  </r>
  <r>
    <x v="8"/>
    <s v="EFT1-1-02-59"/>
    <m/>
    <x v="40"/>
    <n v="59"/>
    <x v="41"/>
    <x v="399"/>
    <x v="6"/>
    <m/>
    <x v="3"/>
    <m/>
    <x v="4"/>
    <m/>
    <m/>
    <x v="18"/>
    <n v="0"/>
    <m/>
    <m/>
  </r>
  <r>
    <x v="8"/>
    <s v="EFT1-1-02-60"/>
    <m/>
    <x v="40"/>
    <n v="60"/>
    <x v="41"/>
    <x v="400"/>
    <x v="6"/>
    <m/>
    <x v="3"/>
    <m/>
    <x v="4"/>
    <m/>
    <m/>
    <x v="18"/>
    <n v="0"/>
    <m/>
    <m/>
  </r>
  <r>
    <x v="8"/>
    <s v="EFT1-1-02-61"/>
    <m/>
    <x v="40"/>
    <n v="61"/>
    <x v="41"/>
    <x v="401"/>
    <x v="5"/>
    <m/>
    <x v="3"/>
    <m/>
    <x v="4"/>
    <m/>
    <m/>
    <x v="18"/>
    <n v="0"/>
    <m/>
    <m/>
  </r>
  <r>
    <x v="8"/>
    <s v="EFT1-1-02-62"/>
    <m/>
    <x v="40"/>
    <n v="62"/>
    <x v="41"/>
    <x v="402"/>
    <x v="9"/>
    <m/>
    <x v="3"/>
    <m/>
    <x v="4"/>
    <m/>
    <m/>
    <x v="18"/>
    <n v="0"/>
    <m/>
    <m/>
  </r>
  <r>
    <x v="8"/>
    <s v="EFT1-1-02-63"/>
    <m/>
    <x v="40"/>
    <n v="63"/>
    <x v="41"/>
    <x v="403"/>
    <x v="0"/>
    <m/>
    <x v="3"/>
    <m/>
    <x v="4"/>
    <m/>
    <m/>
    <x v="18"/>
    <n v="0"/>
    <m/>
    <m/>
  </r>
  <r>
    <x v="8"/>
    <s v="EFT1-1-02-64"/>
    <m/>
    <x v="40"/>
    <n v="64"/>
    <x v="41"/>
    <x v="404"/>
    <x v="2"/>
    <m/>
    <x v="3"/>
    <m/>
    <x v="4"/>
    <m/>
    <m/>
    <x v="18"/>
    <n v="0"/>
    <m/>
    <m/>
  </r>
  <r>
    <x v="8"/>
    <s v="EFT1-1-02-65"/>
    <m/>
    <x v="40"/>
    <n v="65"/>
    <x v="41"/>
    <x v="405"/>
    <x v="5"/>
    <m/>
    <x v="3"/>
    <m/>
    <x v="4"/>
    <m/>
    <m/>
    <x v="18"/>
    <n v="0"/>
    <m/>
    <m/>
  </r>
  <r>
    <x v="3"/>
    <s v="QM-1-13-01"/>
    <m/>
    <x v="41"/>
    <n v="1"/>
    <x v="42"/>
    <x v="406"/>
    <x v="0"/>
    <m/>
    <x v="3"/>
    <m/>
    <x v="4"/>
    <m/>
    <m/>
    <x v="18"/>
    <n v="0"/>
    <m/>
    <m/>
  </r>
  <r>
    <x v="3"/>
    <s v="QM-1-13-02"/>
    <m/>
    <x v="41"/>
    <n v="2"/>
    <x v="42"/>
    <x v="407"/>
    <x v="10"/>
    <n v="1"/>
    <x v="3"/>
    <m/>
    <x v="4"/>
    <m/>
    <m/>
    <x v="18"/>
    <n v="0"/>
    <m/>
    <m/>
  </r>
  <r>
    <x v="3"/>
    <s v="QM-1-13-03"/>
    <m/>
    <x v="41"/>
    <n v="3"/>
    <x v="42"/>
    <x v="408"/>
    <x v="10"/>
    <n v="1"/>
    <x v="3"/>
    <m/>
    <x v="4"/>
    <m/>
    <m/>
    <x v="18"/>
    <n v="0"/>
    <m/>
    <m/>
  </r>
  <r>
    <x v="3"/>
    <s v="QM-1-13-04"/>
    <m/>
    <x v="41"/>
    <n v="4"/>
    <x v="42"/>
    <x v="409"/>
    <x v="10"/>
    <n v="1"/>
    <x v="3"/>
    <m/>
    <x v="4"/>
    <m/>
    <m/>
    <x v="18"/>
    <n v="0"/>
    <m/>
    <m/>
  </r>
  <r>
    <x v="3"/>
    <s v="QM-1-13-05"/>
    <m/>
    <x v="41"/>
    <n v="5"/>
    <x v="42"/>
    <x v="410"/>
    <x v="6"/>
    <n v="1"/>
    <x v="3"/>
    <m/>
    <x v="4"/>
    <m/>
    <m/>
    <x v="18"/>
    <n v="0"/>
    <m/>
    <m/>
  </r>
  <r>
    <x v="3"/>
    <s v="QM-1-13-06"/>
    <m/>
    <x v="41"/>
    <n v="6"/>
    <x v="42"/>
    <x v="411"/>
    <x v="0"/>
    <n v="1"/>
    <x v="3"/>
    <m/>
    <x v="4"/>
    <m/>
    <m/>
    <x v="18"/>
    <n v="0"/>
    <m/>
    <m/>
  </r>
  <r>
    <x v="3"/>
    <s v="QM-1-13-07"/>
    <m/>
    <x v="41"/>
    <n v="7"/>
    <x v="42"/>
    <x v="412"/>
    <x v="10"/>
    <n v="1"/>
    <x v="3"/>
    <m/>
    <x v="4"/>
    <m/>
    <m/>
    <x v="18"/>
    <n v="0"/>
    <m/>
    <m/>
  </r>
  <r>
    <x v="3"/>
    <s v="QM-1-14-01"/>
    <m/>
    <x v="42"/>
    <n v="1"/>
    <x v="43"/>
    <x v="413"/>
    <x v="10"/>
    <n v="1"/>
    <x v="3"/>
    <m/>
    <x v="4"/>
    <m/>
    <m/>
    <x v="18"/>
    <n v="0"/>
    <m/>
    <s v="Gangdifferenz, Kugelwellen"/>
  </r>
  <r>
    <x v="3"/>
    <s v="QM-1-14-02"/>
    <m/>
    <x v="42"/>
    <n v="2"/>
    <x v="43"/>
    <x v="414"/>
    <x v="10"/>
    <n v="1"/>
    <x v="3"/>
    <m/>
    <x v="4"/>
    <m/>
    <m/>
    <x v="18"/>
    <n v="0"/>
    <m/>
    <m/>
  </r>
  <r>
    <x v="3"/>
    <s v="QM-1-14-03"/>
    <m/>
    <x v="42"/>
    <n v="3"/>
    <x v="43"/>
    <x v="415"/>
    <x v="10"/>
    <n v="1"/>
    <x v="3"/>
    <m/>
    <x v="4"/>
    <m/>
    <m/>
    <x v="18"/>
    <n v="0"/>
    <m/>
    <m/>
  </r>
  <r>
    <x v="3"/>
    <s v="QM-1-16-01"/>
    <m/>
    <x v="43"/>
    <n v="1"/>
    <x v="44"/>
    <x v="416"/>
    <x v="0"/>
    <n v="1"/>
    <x v="3"/>
    <m/>
    <x v="4"/>
    <m/>
    <m/>
    <x v="18"/>
    <n v="0"/>
    <m/>
    <m/>
  </r>
  <r>
    <x v="3"/>
    <s v="QM-1-16-02"/>
    <m/>
    <x v="43"/>
    <n v="2"/>
    <x v="44"/>
    <x v="417"/>
    <x v="5"/>
    <n v="1"/>
    <x v="3"/>
    <m/>
    <x v="4"/>
    <m/>
    <m/>
    <x v="18"/>
    <n v="0"/>
    <m/>
    <m/>
  </r>
  <r>
    <x v="5"/>
    <s v="-02"/>
    <m/>
    <x v="19"/>
    <n v="2"/>
    <x v="20"/>
    <x v="418"/>
    <x v="10"/>
    <m/>
    <x v="3"/>
    <m/>
    <x v="4"/>
    <m/>
    <m/>
    <x v="18"/>
    <n v="0"/>
    <m/>
    <m/>
  </r>
  <r>
    <x v="5"/>
    <s v="-03"/>
    <m/>
    <x v="19"/>
    <n v="3"/>
    <x v="20"/>
    <x v="419"/>
    <x v="0"/>
    <m/>
    <x v="3"/>
    <m/>
    <x v="4"/>
    <m/>
    <m/>
    <x v="18"/>
    <n v="0"/>
    <m/>
    <m/>
  </r>
  <r>
    <x v="3"/>
    <s v="QM-1-16-03"/>
    <m/>
    <x v="43"/>
    <n v="3"/>
    <x v="44"/>
    <x v="420"/>
    <x v="10"/>
    <n v="1"/>
    <x v="3"/>
    <m/>
    <x v="4"/>
    <m/>
    <m/>
    <x v="18"/>
    <n v="0"/>
    <m/>
    <m/>
  </r>
  <r>
    <x v="3"/>
    <s v="QM-1-17-01"/>
    <m/>
    <x v="44"/>
    <n v="1"/>
    <x v="45"/>
    <x v="421"/>
    <x v="10"/>
    <n v="1"/>
    <x v="3"/>
    <m/>
    <x v="4"/>
    <m/>
    <m/>
    <x v="18"/>
    <n v="0"/>
    <m/>
    <m/>
  </r>
  <r>
    <x v="3"/>
    <s v="QM-1-17-02"/>
    <m/>
    <x v="44"/>
    <n v="2"/>
    <x v="45"/>
    <x v="422"/>
    <x v="10"/>
    <n v="1"/>
    <x v="3"/>
    <m/>
    <x v="4"/>
    <m/>
    <m/>
    <x v="18"/>
    <n v="0"/>
    <m/>
    <m/>
  </r>
  <r>
    <x v="3"/>
    <s v="QM-1-18-01"/>
    <m/>
    <x v="45"/>
    <n v="1"/>
    <x v="46"/>
    <x v="423"/>
    <x v="10"/>
    <n v="1"/>
    <x v="3"/>
    <m/>
    <x v="4"/>
    <m/>
    <m/>
    <x v="18"/>
    <n v="0"/>
    <m/>
    <m/>
  </r>
  <r>
    <x v="3"/>
    <s v="QM-1-18-02"/>
    <m/>
    <x v="45"/>
    <n v="2"/>
    <x v="46"/>
    <x v="424"/>
    <x v="10"/>
    <n v="1"/>
    <x v="3"/>
    <m/>
    <x v="4"/>
    <m/>
    <m/>
    <x v="18"/>
    <n v="0"/>
    <m/>
    <m/>
  </r>
  <r>
    <x v="3"/>
    <s v="QM-1-06-01"/>
    <m/>
    <x v="46"/>
    <n v="1"/>
    <x v="47"/>
    <x v="425"/>
    <x v="10"/>
    <n v="1"/>
    <x v="3"/>
    <m/>
    <x v="4"/>
    <m/>
    <m/>
    <x v="18"/>
    <n v="0"/>
    <m/>
    <m/>
  </r>
  <r>
    <x v="3"/>
    <s v="QM-1-06-02"/>
    <m/>
    <x v="46"/>
    <n v="2"/>
    <x v="47"/>
    <x v="426"/>
    <x v="10"/>
    <n v="1"/>
    <x v="3"/>
    <m/>
    <x v="4"/>
    <m/>
    <m/>
    <x v="18"/>
    <n v="0"/>
    <m/>
    <m/>
  </r>
  <r>
    <x v="3"/>
    <s v="QM-1-06-03"/>
    <m/>
    <x v="46"/>
    <n v="3"/>
    <x v="47"/>
    <x v="427"/>
    <x v="6"/>
    <n v="1"/>
    <x v="3"/>
    <m/>
    <x v="4"/>
    <m/>
    <m/>
    <x v="18"/>
    <n v="0"/>
    <m/>
    <m/>
  </r>
  <r>
    <x v="3"/>
    <s v="QM-1-31-01"/>
    <m/>
    <x v="47"/>
    <n v="1"/>
    <x v="48"/>
    <x v="428"/>
    <x v="11"/>
    <n v="1"/>
    <x v="3"/>
    <m/>
    <x v="4"/>
    <m/>
    <m/>
    <x v="18"/>
    <n v="0"/>
    <m/>
    <m/>
  </r>
  <r>
    <x v="3"/>
    <s v="QM-1-31-02"/>
    <m/>
    <x v="47"/>
    <n v="2"/>
    <x v="48"/>
    <x v="429"/>
    <x v="11"/>
    <n v="1"/>
    <x v="3"/>
    <m/>
    <x v="4"/>
    <m/>
    <m/>
    <x v="18"/>
    <n v="0"/>
    <m/>
    <m/>
  </r>
  <r>
    <x v="3"/>
    <s v="QM-1-31-03"/>
    <m/>
    <x v="47"/>
    <n v="3"/>
    <x v="48"/>
    <x v="430"/>
    <x v="11"/>
    <n v="1"/>
    <x v="3"/>
    <m/>
    <x v="4"/>
    <m/>
    <m/>
    <x v="18"/>
    <n v="0"/>
    <m/>
    <m/>
  </r>
  <r>
    <x v="3"/>
    <s v="QM-1-31-04"/>
    <m/>
    <x v="47"/>
    <n v="4"/>
    <x v="48"/>
    <x v="431"/>
    <x v="11"/>
    <n v="1"/>
    <x v="3"/>
    <m/>
    <x v="4"/>
    <m/>
    <m/>
    <x v="18"/>
    <n v="0"/>
    <m/>
    <m/>
  </r>
  <r>
    <x v="3"/>
    <s v="QM-1-31-05"/>
    <m/>
    <x v="47"/>
    <n v="5"/>
    <x v="48"/>
    <x v="432"/>
    <x v="11"/>
    <n v="1"/>
    <x v="3"/>
    <m/>
    <x v="4"/>
    <m/>
    <m/>
    <x v="18"/>
    <n v="0"/>
    <m/>
    <m/>
  </r>
  <r>
    <x v="3"/>
    <s v="QM-1-31-06"/>
    <m/>
    <x v="47"/>
    <n v="6"/>
    <x v="48"/>
    <x v="433"/>
    <x v="11"/>
    <n v="1"/>
    <x v="3"/>
    <m/>
    <x v="4"/>
    <m/>
    <m/>
    <x v="18"/>
    <n v="0"/>
    <m/>
    <m/>
  </r>
  <r>
    <x v="3"/>
    <s v="QM-1-20-01"/>
    <m/>
    <x v="48"/>
    <n v="1"/>
    <x v="49"/>
    <x v="187"/>
    <x v="11"/>
    <n v="1"/>
    <x v="3"/>
    <m/>
    <x v="4"/>
    <m/>
    <m/>
    <x v="18"/>
    <n v="0"/>
    <m/>
    <m/>
  </r>
  <r>
    <x v="6"/>
    <s v="CM-1-04-02"/>
    <m/>
    <x v="28"/>
    <n v="2"/>
    <x v="29"/>
    <x v="434"/>
    <x v="10"/>
    <m/>
    <x v="3"/>
    <m/>
    <x v="4"/>
    <m/>
    <m/>
    <x v="18"/>
    <n v="0"/>
    <m/>
    <m/>
  </r>
  <r>
    <x v="6"/>
    <s v="CM-1-04-03"/>
    <m/>
    <x v="28"/>
    <n v="3"/>
    <x v="29"/>
    <x v="435"/>
    <x v="10"/>
    <m/>
    <x v="3"/>
    <m/>
    <x v="4"/>
    <m/>
    <m/>
    <x v="18"/>
    <n v="0"/>
    <m/>
    <m/>
  </r>
  <r>
    <x v="6"/>
    <s v="CM-1-04-04"/>
    <m/>
    <x v="28"/>
    <n v="4"/>
    <x v="29"/>
    <x v="436"/>
    <x v="10"/>
    <m/>
    <x v="3"/>
    <m/>
    <x v="4"/>
    <m/>
    <m/>
    <x v="18"/>
    <n v="0"/>
    <m/>
    <s v="Beziehung zwischen Laborsystem und CM-System"/>
  </r>
  <r>
    <x v="6"/>
    <s v="CM-1-04-05"/>
    <m/>
    <x v="28"/>
    <n v="5"/>
    <x v="29"/>
    <x v="437"/>
    <x v="5"/>
    <m/>
    <x v="3"/>
    <m/>
    <x v="4"/>
    <m/>
    <m/>
    <x v="18"/>
    <n v="0"/>
    <m/>
    <m/>
  </r>
  <r>
    <x v="6"/>
    <s v="CM-1-04-06"/>
    <m/>
    <x v="28"/>
    <n v="6"/>
    <x v="29"/>
    <x v="438"/>
    <x v="10"/>
    <m/>
    <x v="3"/>
    <m/>
    <x v="4"/>
    <m/>
    <m/>
    <x v="18"/>
    <n v="0"/>
    <m/>
    <m/>
  </r>
  <r>
    <x v="6"/>
    <s v="CM-1-04-07"/>
    <m/>
    <x v="28"/>
    <n v="7"/>
    <x v="29"/>
    <x v="439"/>
    <x v="10"/>
    <m/>
    <x v="3"/>
    <m/>
    <x v="4"/>
    <m/>
    <m/>
    <x v="18"/>
    <n v="0"/>
    <m/>
    <m/>
  </r>
  <r>
    <x v="6"/>
    <s v="CM-1-04-08"/>
    <m/>
    <x v="28"/>
    <n v="8"/>
    <x v="29"/>
    <x v="440"/>
    <x v="5"/>
    <m/>
    <x v="3"/>
    <m/>
    <x v="4"/>
    <m/>
    <m/>
    <x v="18"/>
    <n v="0"/>
    <m/>
    <m/>
  </r>
  <r>
    <x v="6"/>
    <s v="CM-1-04-09"/>
    <m/>
    <x v="28"/>
    <n v="9"/>
    <x v="29"/>
    <x v="441"/>
    <x v="10"/>
    <m/>
    <x v="3"/>
    <m/>
    <x v="4"/>
    <m/>
    <m/>
    <x v="18"/>
    <n v="0"/>
    <m/>
    <m/>
  </r>
  <r>
    <x v="6"/>
    <s v="CM-1-04-10"/>
    <m/>
    <x v="28"/>
    <n v="10"/>
    <x v="29"/>
    <x v="442"/>
    <x v="10"/>
    <m/>
    <x v="3"/>
    <m/>
    <x v="4"/>
    <m/>
    <m/>
    <x v="18"/>
    <n v="0"/>
    <m/>
    <m/>
  </r>
  <r>
    <x v="2"/>
    <s v="GPDE-1-02-12"/>
    <m/>
    <x v="11"/>
    <n v="12"/>
    <x v="12"/>
    <x v="443"/>
    <x v="0"/>
    <n v="1"/>
    <x v="3"/>
    <m/>
    <x v="4"/>
    <m/>
    <m/>
    <x v="18"/>
    <n v="0"/>
    <m/>
    <m/>
  </r>
  <r>
    <x v="2"/>
    <s v="GPDE-1-02-13"/>
    <m/>
    <x v="11"/>
    <n v="13"/>
    <x v="12"/>
    <x v="444"/>
    <x v="0"/>
    <n v="1"/>
    <x v="3"/>
    <m/>
    <x v="4"/>
    <m/>
    <m/>
    <x v="18"/>
    <n v="0"/>
    <m/>
    <m/>
  </r>
  <r>
    <x v="2"/>
    <s v="GPDE-1-02-14"/>
    <m/>
    <x v="11"/>
    <n v="14"/>
    <x v="12"/>
    <x v="445"/>
    <x v="0"/>
    <n v="1"/>
    <x v="3"/>
    <m/>
    <x v="4"/>
    <m/>
    <m/>
    <x v="18"/>
    <n v="0"/>
    <m/>
    <m/>
  </r>
  <r>
    <x v="2"/>
    <s v="GPDE-1-02-15"/>
    <m/>
    <x v="11"/>
    <n v="15"/>
    <x v="12"/>
    <x v="446"/>
    <x v="0"/>
    <n v="1"/>
    <x v="3"/>
    <m/>
    <x v="4"/>
    <m/>
    <m/>
    <x v="18"/>
    <n v="0"/>
    <m/>
    <m/>
  </r>
  <r>
    <x v="2"/>
    <s v="GPDE-1-02-16"/>
    <m/>
    <x v="11"/>
    <n v="16"/>
    <x v="12"/>
    <x v="447"/>
    <x v="2"/>
    <n v="1"/>
    <x v="3"/>
    <m/>
    <x v="4"/>
    <m/>
    <m/>
    <x v="18"/>
    <n v="0"/>
    <m/>
    <m/>
  </r>
  <r>
    <x v="2"/>
    <s v="GPDE-1-02-17"/>
    <m/>
    <x v="11"/>
    <n v="17"/>
    <x v="12"/>
    <x v="448"/>
    <x v="2"/>
    <n v="1"/>
    <x v="3"/>
    <m/>
    <x v="4"/>
    <m/>
    <m/>
    <x v="18"/>
    <n v="0"/>
    <m/>
    <m/>
  </r>
  <r>
    <x v="2"/>
    <s v="GPDE-1-02-18"/>
    <m/>
    <x v="11"/>
    <n v="18"/>
    <x v="12"/>
    <x v="449"/>
    <x v="2"/>
    <n v="1"/>
    <x v="3"/>
    <m/>
    <x v="4"/>
    <m/>
    <m/>
    <x v="18"/>
    <n v="0"/>
    <m/>
    <m/>
  </r>
  <r>
    <x v="2"/>
    <s v="GPDE-1-02-19"/>
    <m/>
    <x v="11"/>
    <n v="19"/>
    <x v="12"/>
    <x v="450"/>
    <x v="0"/>
    <n v="1"/>
    <x v="3"/>
    <m/>
    <x v="4"/>
    <m/>
    <m/>
    <x v="18"/>
    <n v="0"/>
    <m/>
    <m/>
  </r>
  <r>
    <x v="2"/>
    <s v="GPDE-1-02-20"/>
    <m/>
    <x v="11"/>
    <n v="20"/>
    <x v="12"/>
    <x v="451"/>
    <x v="0"/>
    <n v="1"/>
    <x v="3"/>
    <m/>
    <x v="4"/>
    <m/>
    <m/>
    <x v="18"/>
    <n v="0"/>
    <m/>
    <m/>
  </r>
  <r>
    <x v="2"/>
    <s v="GPDE-1-02-21"/>
    <m/>
    <x v="11"/>
    <n v="21"/>
    <x v="12"/>
    <x v="452"/>
    <x v="0"/>
    <n v="1"/>
    <x v="3"/>
    <m/>
    <x v="4"/>
    <m/>
    <m/>
    <x v="18"/>
    <n v="0"/>
    <m/>
    <m/>
  </r>
  <r>
    <x v="2"/>
    <s v="GPDE-1-02-22"/>
    <m/>
    <x v="11"/>
    <n v="22"/>
    <x v="12"/>
    <x v="453"/>
    <x v="2"/>
    <n v="1"/>
    <x v="3"/>
    <m/>
    <x v="4"/>
    <m/>
    <m/>
    <x v="18"/>
    <n v="0"/>
    <m/>
    <m/>
  </r>
  <r>
    <x v="2"/>
    <s v="GPDE-1-02-23"/>
    <m/>
    <x v="11"/>
    <n v="23"/>
    <x v="12"/>
    <x v="454"/>
    <x v="10"/>
    <n v="1"/>
    <x v="3"/>
    <m/>
    <x v="4"/>
    <m/>
    <m/>
    <x v="18"/>
    <n v="0"/>
    <m/>
    <m/>
  </r>
  <r>
    <x v="2"/>
    <s v="GPDE-1-09-01"/>
    <m/>
    <x v="49"/>
    <n v="1"/>
    <x v="50"/>
    <x v="455"/>
    <x v="4"/>
    <n v="1"/>
    <x v="3"/>
    <m/>
    <x v="4"/>
    <m/>
    <m/>
    <x v="18"/>
    <n v="0"/>
    <m/>
    <m/>
  </r>
  <r>
    <x v="2"/>
    <s v="GPDE-1-09-02"/>
    <m/>
    <x v="49"/>
    <n v="2"/>
    <x v="50"/>
    <x v="456"/>
    <x v="4"/>
    <n v="1"/>
    <x v="3"/>
    <m/>
    <x v="4"/>
    <m/>
    <m/>
    <x v="18"/>
    <n v="0"/>
    <m/>
    <m/>
  </r>
  <r>
    <x v="7"/>
    <s v="RG-1-17-01"/>
    <m/>
    <x v="50"/>
    <n v="1"/>
    <x v="51"/>
    <x v="457"/>
    <x v="11"/>
    <m/>
    <x v="3"/>
    <m/>
    <x v="4"/>
    <m/>
    <m/>
    <x v="18"/>
    <n v="0"/>
    <m/>
    <m/>
  </r>
  <r>
    <x v="7"/>
    <s v="RG-1-17-02"/>
    <m/>
    <x v="50"/>
    <n v="2"/>
    <x v="51"/>
    <x v="458"/>
    <x v="11"/>
    <m/>
    <x v="3"/>
    <m/>
    <x v="4"/>
    <m/>
    <m/>
    <x v="18"/>
    <n v="0"/>
    <m/>
    <m/>
  </r>
  <r>
    <x v="7"/>
    <s v="RG-1-17-03"/>
    <m/>
    <x v="50"/>
    <n v="3"/>
    <x v="51"/>
    <x v="459"/>
    <x v="11"/>
    <m/>
    <x v="3"/>
    <m/>
    <x v="4"/>
    <m/>
    <m/>
    <x v="18"/>
    <n v="0"/>
    <m/>
    <m/>
  </r>
  <r>
    <x v="7"/>
    <s v="RG-1-17-04"/>
    <m/>
    <x v="50"/>
    <n v="4"/>
    <x v="51"/>
    <x v="460"/>
    <x v="11"/>
    <m/>
    <x v="3"/>
    <m/>
    <x v="4"/>
    <m/>
    <m/>
    <x v="18"/>
    <n v="0"/>
    <m/>
    <m/>
  </r>
  <r>
    <x v="9"/>
    <s v="A-1-03-01"/>
    <m/>
    <x v="51"/>
    <n v="1"/>
    <x v="52"/>
    <x v="461"/>
    <x v="0"/>
    <n v="1"/>
    <x v="3"/>
    <m/>
    <x v="4"/>
    <m/>
    <m/>
    <x v="18"/>
    <n v="0"/>
    <m/>
    <m/>
  </r>
  <r>
    <x v="9"/>
    <s v="A-1-03-02"/>
    <m/>
    <x v="51"/>
    <n v="2"/>
    <x v="52"/>
    <x v="462"/>
    <x v="0"/>
    <m/>
    <x v="3"/>
    <m/>
    <x v="4"/>
    <m/>
    <m/>
    <x v="18"/>
    <n v="0"/>
    <m/>
    <m/>
  </r>
  <r>
    <x v="9"/>
    <s v="A-1-03-03"/>
    <m/>
    <x v="51"/>
    <n v="3"/>
    <x v="52"/>
    <x v="463"/>
    <x v="0"/>
    <n v="1"/>
    <x v="3"/>
    <m/>
    <x v="4"/>
    <m/>
    <m/>
    <x v="18"/>
    <n v="0"/>
    <m/>
    <m/>
  </r>
  <r>
    <x v="9"/>
    <s v="A-1-03-04"/>
    <m/>
    <x v="51"/>
    <n v="4"/>
    <x v="52"/>
    <x v="464"/>
    <x v="2"/>
    <m/>
    <x v="3"/>
    <m/>
    <x v="4"/>
    <m/>
    <m/>
    <x v="18"/>
    <n v="0"/>
    <m/>
    <m/>
  </r>
  <r>
    <x v="9"/>
    <s v="A-1-03-05"/>
    <m/>
    <x v="51"/>
    <n v="5"/>
    <x v="52"/>
    <x v="465"/>
    <x v="2"/>
    <m/>
    <x v="3"/>
    <m/>
    <x v="4"/>
    <m/>
    <m/>
    <x v="18"/>
    <n v="0"/>
    <m/>
    <m/>
  </r>
  <r>
    <x v="9"/>
    <s v="A-1-03-06"/>
    <m/>
    <x v="51"/>
    <n v="6"/>
    <x v="52"/>
    <x v="466"/>
    <x v="2"/>
    <m/>
    <x v="3"/>
    <m/>
    <x v="4"/>
    <m/>
    <m/>
    <x v="18"/>
    <n v="0"/>
    <m/>
    <m/>
  </r>
  <r>
    <x v="9"/>
    <s v="A-1-03-07"/>
    <m/>
    <x v="51"/>
    <n v="7"/>
    <x v="52"/>
    <x v="467"/>
    <x v="2"/>
    <m/>
    <x v="3"/>
    <m/>
    <x v="4"/>
    <m/>
    <m/>
    <x v="18"/>
    <n v="0"/>
    <m/>
    <m/>
  </r>
  <r>
    <x v="9"/>
    <s v="A-1-03-08"/>
    <m/>
    <x v="51"/>
    <n v="8"/>
    <x v="52"/>
    <x v="468"/>
    <x v="2"/>
    <m/>
    <x v="3"/>
    <m/>
    <x v="4"/>
    <m/>
    <m/>
    <x v="18"/>
    <n v="0"/>
    <m/>
    <m/>
  </r>
  <r>
    <x v="9"/>
    <s v="A-1-03-09"/>
    <m/>
    <x v="51"/>
    <n v="9"/>
    <x v="52"/>
    <x v="469"/>
    <x v="2"/>
    <m/>
    <x v="3"/>
    <m/>
    <x v="4"/>
    <m/>
    <m/>
    <x v="18"/>
    <n v="0"/>
    <m/>
    <m/>
  </r>
  <r>
    <x v="9"/>
    <s v="A-1-03-10"/>
    <m/>
    <x v="51"/>
    <n v="10"/>
    <x v="52"/>
    <x v="470"/>
    <x v="2"/>
    <m/>
    <x v="3"/>
    <m/>
    <x v="4"/>
    <m/>
    <m/>
    <x v="18"/>
    <n v="0"/>
    <m/>
    <m/>
  </r>
  <r>
    <x v="9"/>
    <s v="A-1-03-11"/>
    <m/>
    <x v="51"/>
    <n v="11"/>
    <x v="52"/>
    <x v="471"/>
    <x v="2"/>
    <m/>
    <x v="3"/>
    <m/>
    <x v="4"/>
    <m/>
    <m/>
    <x v="18"/>
    <n v="0"/>
    <m/>
    <m/>
  </r>
  <r>
    <x v="9"/>
    <s v="A-1-03-12"/>
    <m/>
    <x v="51"/>
    <n v="12"/>
    <x v="52"/>
    <x v="472"/>
    <x v="2"/>
    <m/>
    <x v="3"/>
    <m/>
    <x v="4"/>
    <m/>
    <m/>
    <x v="18"/>
    <n v="0"/>
    <m/>
    <m/>
  </r>
  <r>
    <x v="9"/>
    <s v="A-1-03-13"/>
    <m/>
    <x v="51"/>
    <n v="13"/>
    <x v="52"/>
    <x v="473"/>
    <x v="6"/>
    <m/>
    <x v="3"/>
    <m/>
    <x v="4"/>
    <m/>
    <m/>
    <x v="18"/>
    <n v="0"/>
    <m/>
    <m/>
  </r>
  <r>
    <x v="9"/>
    <s v="A-1-03-14"/>
    <m/>
    <x v="51"/>
    <n v="14"/>
    <x v="52"/>
    <x v="474"/>
    <x v="1"/>
    <m/>
    <x v="3"/>
    <m/>
    <x v="4"/>
    <m/>
    <m/>
    <x v="18"/>
    <n v="0"/>
    <m/>
    <m/>
  </r>
  <r>
    <x v="9"/>
    <s v="A-1-03-15"/>
    <m/>
    <x v="51"/>
    <n v="15"/>
    <x v="52"/>
    <x v="475"/>
    <x v="1"/>
    <m/>
    <x v="3"/>
    <m/>
    <x v="4"/>
    <m/>
    <m/>
    <x v="18"/>
    <n v="0"/>
    <m/>
    <m/>
  </r>
  <r>
    <x v="9"/>
    <s v="A-1-03-16"/>
    <m/>
    <x v="51"/>
    <n v="16"/>
    <x v="52"/>
    <x v="476"/>
    <x v="0"/>
    <n v="1"/>
    <x v="3"/>
    <m/>
    <x v="4"/>
    <m/>
    <m/>
    <x v="18"/>
    <n v="0"/>
    <m/>
    <m/>
  </r>
  <r>
    <x v="9"/>
    <s v="A-1-03-17"/>
    <m/>
    <x v="51"/>
    <n v="17"/>
    <x v="52"/>
    <x v="477"/>
    <x v="6"/>
    <m/>
    <x v="3"/>
    <m/>
    <x v="4"/>
    <m/>
    <m/>
    <x v="18"/>
    <n v="0"/>
    <m/>
    <m/>
  </r>
  <r>
    <x v="9"/>
    <s v="A-1-03-18"/>
    <m/>
    <x v="51"/>
    <n v="18"/>
    <x v="52"/>
    <x v="478"/>
    <x v="2"/>
    <m/>
    <x v="3"/>
    <m/>
    <x v="4"/>
    <m/>
    <m/>
    <x v="18"/>
    <n v="0"/>
    <m/>
    <m/>
  </r>
  <r>
    <x v="9"/>
    <s v="A-1-03-19"/>
    <m/>
    <x v="51"/>
    <n v="19"/>
    <x v="52"/>
    <x v="479"/>
    <x v="2"/>
    <m/>
    <x v="3"/>
    <m/>
    <x v="4"/>
    <m/>
    <m/>
    <x v="18"/>
    <n v="0"/>
    <m/>
    <m/>
  </r>
  <r>
    <x v="9"/>
    <s v="A-1-03-20"/>
    <m/>
    <x v="51"/>
    <n v="20"/>
    <x v="52"/>
    <x v="480"/>
    <x v="2"/>
    <m/>
    <x v="3"/>
    <m/>
    <x v="4"/>
    <m/>
    <m/>
    <x v="18"/>
    <n v="0"/>
    <m/>
    <m/>
  </r>
  <r>
    <x v="9"/>
    <s v="A-1-03-21"/>
    <m/>
    <x v="51"/>
    <n v="21"/>
    <x v="52"/>
    <x v="481"/>
    <x v="0"/>
    <n v="1"/>
    <x v="3"/>
    <m/>
    <x v="4"/>
    <m/>
    <m/>
    <x v="18"/>
    <n v="0"/>
    <m/>
    <m/>
  </r>
  <r>
    <x v="9"/>
    <s v="A-1-03-22"/>
    <m/>
    <x v="51"/>
    <n v="22"/>
    <x v="52"/>
    <x v="482"/>
    <x v="0"/>
    <n v="1"/>
    <x v="3"/>
    <m/>
    <x v="4"/>
    <m/>
    <m/>
    <x v="18"/>
    <n v="0"/>
    <m/>
    <m/>
  </r>
  <r>
    <x v="9"/>
    <s v="A-1-03-23"/>
    <m/>
    <x v="51"/>
    <n v="23"/>
    <x v="52"/>
    <x v="483"/>
    <x v="2"/>
    <m/>
    <x v="3"/>
    <m/>
    <x v="4"/>
    <m/>
    <m/>
    <x v="18"/>
    <n v="0"/>
    <m/>
    <m/>
  </r>
  <r>
    <x v="9"/>
    <s v="A-1-03-24"/>
    <m/>
    <x v="51"/>
    <n v="24"/>
    <x v="52"/>
    <x v="484"/>
    <x v="0"/>
    <m/>
    <x v="3"/>
    <m/>
    <x v="4"/>
    <m/>
    <m/>
    <x v="18"/>
    <n v="0"/>
    <m/>
    <m/>
  </r>
  <r>
    <x v="9"/>
    <s v="A-1-03-25"/>
    <m/>
    <x v="51"/>
    <n v="25"/>
    <x v="52"/>
    <x v="485"/>
    <x v="5"/>
    <m/>
    <x v="3"/>
    <m/>
    <x v="4"/>
    <m/>
    <m/>
    <x v="18"/>
    <n v="0"/>
    <m/>
    <m/>
  </r>
  <r>
    <x v="9"/>
    <s v="A-1-03-26"/>
    <m/>
    <x v="51"/>
    <n v="26"/>
    <x v="52"/>
    <x v="486"/>
    <x v="2"/>
    <m/>
    <x v="3"/>
    <m/>
    <x v="4"/>
    <m/>
    <m/>
    <x v="18"/>
    <n v="0"/>
    <m/>
    <m/>
  </r>
  <r>
    <x v="9"/>
    <s v="A-1-03-27"/>
    <m/>
    <x v="51"/>
    <n v="27"/>
    <x v="52"/>
    <x v="487"/>
    <x v="2"/>
    <m/>
    <x v="3"/>
    <m/>
    <x v="4"/>
    <m/>
    <m/>
    <x v="18"/>
    <n v="0"/>
    <m/>
    <m/>
  </r>
  <r>
    <x v="9"/>
    <s v="A-1-03-28"/>
    <m/>
    <x v="51"/>
    <n v="28"/>
    <x v="52"/>
    <x v="488"/>
    <x v="2"/>
    <m/>
    <x v="3"/>
    <m/>
    <x v="4"/>
    <m/>
    <m/>
    <x v="18"/>
    <n v="0"/>
    <m/>
    <m/>
  </r>
  <r>
    <x v="9"/>
    <s v="A-1-03-29"/>
    <m/>
    <x v="51"/>
    <n v="29"/>
    <x v="52"/>
    <x v="489"/>
    <x v="5"/>
    <m/>
    <x v="3"/>
    <m/>
    <x v="4"/>
    <m/>
    <m/>
    <x v="18"/>
    <n v="0"/>
    <m/>
    <m/>
  </r>
  <r>
    <x v="9"/>
    <s v="A-1-03-30"/>
    <m/>
    <x v="51"/>
    <n v="30"/>
    <x v="52"/>
    <x v="490"/>
    <x v="0"/>
    <m/>
    <x v="3"/>
    <m/>
    <x v="4"/>
    <m/>
    <m/>
    <x v="18"/>
    <n v="0"/>
    <m/>
    <m/>
  </r>
  <r>
    <x v="9"/>
    <s v="A-1-03-31"/>
    <m/>
    <x v="51"/>
    <n v="31"/>
    <x v="52"/>
    <x v="491"/>
    <x v="0"/>
    <m/>
    <x v="3"/>
    <m/>
    <x v="4"/>
    <m/>
    <m/>
    <x v="18"/>
    <n v="0"/>
    <m/>
    <m/>
  </r>
  <r>
    <x v="9"/>
    <s v="A-1-03-32"/>
    <m/>
    <x v="51"/>
    <n v="32"/>
    <x v="52"/>
    <x v="492"/>
    <x v="2"/>
    <m/>
    <x v="3"/>
    <m/>
    <x v="4"/>
    <m/>
    <m/>
    <x v="18"/>
    <n v="0"/>
    <m/>
    <m/>
  </r>
  <r>
    <x v="9"/>
    <s v="A-1-04-01"/>
    <m/>
    <x v="52"/>
    <n v="1"/>
    <x v="53"/>
    <x v="493"/>
    <x v="0"/>
    <n v="1"/>
    <x v="3"/>
    <m/>
    <x v="4"/>
    <m/>
    <m/>
    <x v="18"/>
    <n v="0"/>
    <m/>
    <m/>
  </r>
  <r>
    <x v="9"/>
    <s v="A-1-04-02"/>
    <m/>
    <x v="52"/>
    <n v="2"/>
    <x v="53"/>
    <x v="494"/>
    <x v="0"/>
    <n v="1"/>
    <x v="3"/>
    <m/>
    <x v="4"/>
    <m/>
    <m/>
    <x v="18"/>
    <n v="0"/>
    <m/>
    <m/>
  </r>
  <r>
    <x v="9"/>
    <s v="A-1-04-03"/>
    <m/>
    <x v="52"/>
    <n v="3"/>
    <x v="53"/>
    <x v="495"/>
    <x v="6"/>
    <n v="1"/>
    <x v="3"/>
    <m/>
    <x v="4"/>
    <m/>
    <m/>
    <x v="18"/>
    <n v="0"/>
    <m/>
    <m/>
  </r>
  <r>
    <x v="9"/>
    <s v="A-1-04-04"/>
    <m/>
    <x v="52"/>
    <n v="4"/>
    <x v="53"/>
    <x v="496"/>
    <x v="6"/>
    <n v="1"/>
    <x v="3"/>
    <m/>
    <x v="4"/>
    <m/>
    <m/>
    <x v="18"/>
    <n v="0"/>
    <m/>
    <m/>
  </r>
  <r>
    <x v="9"/>
    <s v="A-1-04-05"/>
    <m/>
    <x v="52"/>
    <n v="5"/>
    <x v="53"/>
    <x v="497"/>
    <x v="6"/>
    <n v="1"/>
    <x v="3"/>
    <m/>
    <x v="4"/>
    <m/>
    <m/>
    <x v="18"/>
    <n v="0"/>
    <m/>
    <m/>
  </r>
  <r>
    <x v="9"/>
    <s v="A-1-04-06"/>
    <m/>
    <x v="52"/>
    <n v="6"/>
    <x v="53"/>
    <x v="498"/>
    <x v="6"/>
    <n v="1"/>
    <x v="3"/>
    <m/>
    <x v="4"/>
    <m/>
    <m/>
    <x v="18"/>
    <n v="0"/>
    <m/>
    <m/>
  </r>
  <r>
    <x v="9"/>
    <s v="A-1-04-07"/>
    <m/>
    <x v="52"/>
    <n v="7"/>
    <x v="53"/>
    <x v="499"/>
    <x v="5"/>
    <n v="1"/>
    <x v="3"/>
    <m/>
    <x v="4"/>
    <m/>
    <m/>
    <x v="18"/>
    <n v="0"/>
    <m/>
    <m/>
  </r>
  <r>
    <x v="9"/>
    <s v="A-1-04-08"/>
    <m/>
    <x v="52"/>
    <n v="8"/>
    <x v="53"/>
    <x v="500"/>
    <x v="2"/>
    <m/>
    <x v="3"/>
    <m/>
    <x v="4"/>
    <m/>
    <m/>
    <x v="18"/>
    <n v="0"/>
    <m/>
    <m/>
  </r>
  <r>
    <x v="9"/>
    <s v="A-1-04-09"/>
    <m/>
    <x v="52"/>
    <n v="9"/>
    <x v="53"/>
    <x v="501"/>
    <x v="2"/>
    <m/>
    <x v="3"/>
    <m/>
    <x v="4"/>
    <m/>
    <m/>
    <x v="18"/>
    <n v="0"/>
    <m/>
    <m/>
  </r>
  <r>
    <x v="9"/>
    <s v="A-1-04-10"/>
    <m/>
    <x v="52"/>
    <n v="10"/>
    <x v="53"/>
    <x v="502"/>
    <x v="0"/>
    <n v="1"/>
    <x v="3"/>
    <m/>
    <x v="4"/>
    <m/>
    <m/>
    <x v="18"/>
    <n v="0"/>
    <m/>
    <m/>
  </r>
  <r>
    <x v="9"/>
    <s v="A-1-04-11"/>
    <m/>
    <x v="52"/>
    <n v="11"/>
    <x v="53"/>
    <x v="503"/>
    <x v="1"/>
    <n v="1"/>
    <x v="3"/>
    <m/>
    <x v="4"/>
    <m/>
    <m/>
    <x v="18"/>
    <n v="0"/>
    <m/>
    <m/>
  </r>
  <r>
    <x v="9"/>
    <s v="A-1-04-12"/>
    <m/>
    <x v="52"/>
    <n v="12"/>
    <x v="53"/>
    <x v="504"/>
    <x v="6"/>
    <n v="1"/>
    <x v="3"/>
    <m/>
    <x v="4"/>
    <m/>
    <m/>
    <x v="18"/>
    <n v="0"/>
    <m/>
    <m/>
  </r>
  <r>
    <x v="9"/>
    <s v="A-1-04-13"/>
    <m/>
    <x v="52"/>
    <n v="13"/>
    <x v="53"/>
    <x v="505"/>
    <x v="6"/>
    <n v="1"/>
    <x v="3"/>
    <m/>
    <x v="4"/>
    <m/>
    <m/>
    <x v="18"/>
    <n v="0"/>
    <m/>
    <m/>
  </r>
  <r>
    <x v="9"/>
    <s v="A-1-04-14"/>
    <m/>
    <x v="52"/>
    <n v="14"/>
    <x v="53"/>
    <x v="506"/>
    <x v="1"/>
    <m/>
    <x v="3"/>
    <m/>
    <x v="4"/>
    <m/>
    <m/>
    <x v="18"/>
    <n v="0"/>
    <m/>
    <m/>
  </r>
  <r>
    <x v="9"/>
    <s v="A-1-04-15"/>
    <m/>
    <x v="52"/>
    <n v="15"/>
    <x v="53"/>
    <x v="507"/>
    <x v="0"/>
    <m/>
    <x v="3"/>
    <m/>
    <x v="4"/>
    <m/>
    <m/>
    <x v="18"/>
    <n v="0"/>
    <m/>
    <m/>
  </r>
  <r>
    <x v="9"/>
    <s v="A-1-04-16"/>
    <m/>
    <x v="52"/>
    <n v="16"/>
    <x v="53"/>
    <x v="508"/>
    <x v="2"/>
    <m/>
    <x v="3"/>
    <m/>
    <x v="4"/>
    <m/>
    <m/>
    <x v="18"/>
    <n v="0"/>
    <m/>
    <m/>
  </r>
  <r>
    <x v="9"/>
    <s v="A-1-04-17"/>
    <m/>
    <x v="52"/>
    <n v="17"/>
    <x v="53"/>
    <x v="509"/>
    <x v="5"/>
    <m/>
    <x v="3"/>
    <m/>
    <x v="4"/>
    <m/>
    <m/>
    <x v="18"/>
    <n v="0"/>
    <m/>
    <m/>
  </r>
  <r>
    <x v="9"/>
    <s v="A-1-04-18"/>
    <m/>
    <x v="52"/>
    <n v="18"/>
    <x v="53"/>
    <x v="510"/>
    <x v="5"/>
    <m/>
    <x v="3"/>
    <m/>
    <x v="4"/>
    <m/>
    <m/>
    <x v="18"/>
    <n v="0"/>
    <m/>
    <m/>
  </r>
  <r>
    <x v="9"/>
    <s v="A-1-05-01"/>
    <m/>
    <x v="53"/>
    <n v="1"/>
    <x v="54"/>
    <x v="511"/>
    <x v="6"/>
    <m/>
    <x v="3"/>
    <m/>
    <x v="4"/>
    <m/>
    <m/>
    <x v="18"/>
    <n v="0"/>
    <m/>
    <m/>
  </r>
  <r>
    <x v="9"/>
    <s v="A-1-05-02"/>
    <m/>
    <x v="53"/>
    <n v="2"/>
    <x v="54"/>
    <x v="512"/>
    <x v="0"/>
    <n v="1"/>
    <x v="3"/>
    <m/>
    <x v="4"/>
    <m/>
    <m/>
    <x v="18"/>
    <n v="0"/>
    <m/>
    <m/>
  </r>
  <r>
    <x v="9"/>
    <s v="A-1-05-03"/>
    <m/>
    <x v="53"/>
    <n v="3"/>
    <x v="54"/>
    <x v="513"/>
    <x v="1"/>
    <n v="1"/>
    <x v="3"/>
    <m/>
    <x v="4"/>
    <m/>
    <m/>
    <x v="18"/>
    <n v="0"/>
    <m/>
    <m/>
  </r>
  <r>
    <x v="9"/>
    <s v="A-1-05-04"/>
    <m/>
    <x v="53"/>
    <n v="4"/>
    <x v="54"/>
    <x v="514"/>
    <x v="2"/>
    <m/>
    <x v="3"/>
    <m/>
    <x v="4"/>
    <m/>
    <m/>
    <x v="18"/>
    <n v="0"/>
    <m/>
    <m/>
  </r>
  <r>
    <x v="9"/>
    <s v="A-1-05-05"/>
    <m/>
    <x v="53"/>
    <n v="5"/>
    <x v="54"/>
    <x v="515"/>
    <x v="5"/>
    <m/>
    <x v="3"/>
    <m/>
    <x v="4"/>
    <m/>
    <m/>
    <x v="18"/>
    <n v="0"/>
    <m/>
    <m/>
  </r>
  <r>
    <x v="9"/>
    <s v="A-1-05-06"/>
    <m/>
    <x v="53"/>
    <n v="6"/>
    <x v="54"/>
    <x v="516"/>
    <x v="5"/>
    <m/>
    <x v="3"/>
    <m/>
    <x v="4"/>
    <m/>
    <m/>
    <x v="18"/>
    <n v="0"/>
    <m/>
    <m/>
  </r>
  <r>
    <x v="9"/>
    <s v="A-1-05-07"/>
    <m/>
    <x v="53"/>
    <n v="7"/>
    <x v="54"/>
    <x v="517"/>
    <x v="0"/>
    <n v="1"/>
    <x v="3"/>
    <m/>
    <x v="4"/>
    <m/>
    <m/>
    <x v="18"/>
    <n v="0"/>
    <m/>
    <m/>
  </r>
  <r>
    <x v="9"/>
    <s v="A-1-05-08"/>
    <m/>
    <x v="53"/>
    <n v="8"/>
    <x v="54"/>
    <x v="518"/>
    <x v="6"/>
    <m/>
    <x v="3"/>
    <m/>
    <x v="4"/>
    <m/>
    <m/>
    <x v="18"/>
    <n v="0"/>
    <m/>
    <m/>
  </r>
  <r>
    <x v="9"/>
    <s v="A-1-05-09"/>
    <m/>
    <x v="53"/>
    <n v="9"/>
    <x v="54"/>
    <x v="519"/>
    <x v="1"/>
    <m/>
    <x v="3"/>
    <m/>
    <x v="4"/>
    <m/>
    <m/>
    <x v="18"/>
    <n v="0"/>
    <m/>
    <m/>
  </r>
  <r>
    <x v="9"/>
    <s v="A-1-05-10"/>
    <m/>
    <x v="53"/>
    <n v="10"/>
    <x v="54"/>
    <x v="520"/>
    <x v="0"/>
    <m/>
    <x v="3"/>
    <m/>
    <x v="4"/>
    <m/>
    <m/>
    <x v="18"/>
    <n v="0"/>
    <m/>
    <m/>
  </r>
  <r>
    <x v="9"/>
    <s v="A-1-05-11"/>
    <m/>
    <x v="53"/>
    <n v="11"/>
    <x v="54"/>
    <x v="521"/>
    <x v="2"/>
    <m/>
    <x v="3"/>
    <m/>
    <x v="4"/>
    <m/>
    <m/>
    <x v="18"/>
    <n v="0"/>
    <m/>
    <m/>
  </r>
  <r>
    <x v="9"/>
    <s v="A-1-05-12"/>
    <m/>
    <x v="53"/>
    <n v="12"/>
    <x v="54"/>
    <x v="522"/>
    <x v="2"/>
    <m/>
    <x v="3"/>
    <m/>
    <x v="4"/>
    <m/>
    <m/>
    <x v="18"/>
    <n v="0"/>
    <m/>
    <m/>
  </r>
  <r>
    <x v="9"/>
    <s v="A-1-05-13"/>
    <m/>
    <x v="53"/>
    <n v="13"/>
    <x v="54"/>
    <x v="523"/>
    <x v="2"/>
    <m/>
    <x v="3"/>
    <m/>
    <x v="4"/>
    <m/>
    <m/>
    <x v="18"/>
    <n v="0"/>
    <m/>
    <m/>
  </r>
  <r>
    <x v="9"/>
    <s v="A-1-05-14"/>
    <m/>
    <x v="53"/>
    <n v="14"/>
    <x v="54"/>
    <x v="524"/>
    <x v="1"/>
    <m/>
    <x v="3"/>
    <m/>
    <x v="4"/>
    <m/>
    <m/>
    <x v="18"/>
    <n v="0"/>
    <m/>
    <m/>
  </r>
  <r>
    <x v="9"/>
    <s v="A-1-05-15"/>
    <m/>
    <x v="53"/>
    <n v="15"/>
    <x v="54"/>
    <x v="525"/>
    <x v="5"/>
    <n v="1"/>
    <x v="3"/>
    <m/>
    <x v="4"/>
    <m/>
    <m/>
    <x v="18"/>
    <n v="0"/>
    <m/>
    <m/>
  </r>
  <r>
    <x v="9"/>
    <s v="A-1-05-16"/>
    <m/>
    <x v="53"/>
    <n v="16"/>
    <x v="54"/>
    <x v="526"/>
    <x v="9"/>
    <m/>
    <x v="3"/>
    <m/>
    <x v="4"/>
    <m/>
    <m/>
    <x v="18"/>
    <n v="0"/>
    <m/>
    <m/>
  </r>
  <r>
    <x v="9"/>
    <s v="A-1-05-17"/>
    <m/>
    <x v="53"/>
    <n v="17"/>
    <x v="54"/>
    <x v="527"/>
    <x v="0"/>
    <n v="1"/>
    <x v="3"/>
    <m/>
    <x v="4"/>
    <m/>
    <m/>
    <x v="18"/>
    <n v="0"/>
    <m/>
    <m/>
  </r>
  <r>
    <x v="9"/>
    <s v="A-1-05-18"/>
    <m/>
    <x v="53"/>
    <n v="18"/>
    <x v="54"/>
    <x v="528"/>
    <x v="5"/>
    <m/>
    <x v="3"/>
    <m/>
    <x v="4"/>
    <m/>
    <m/>
    <x v="18"/>
    <n v="0"/>
    <m/>
    <m/>
  </r>
  <r>
    <x v="9"/>
    <s v="A-1-05-19"/>
    <m/>
    <x v="53"/>
    <n v="19"/>
    <x v="54"/>
    <x v="529"/>
    <x v="6"/>
    <m/>
    <x v="3"/>
    <m/>
    <x v="4"/>
    <m/>
    <m/>
    <x v="18"/>
    <n v="0"/>
    <m/>
    <m/>
  </r>
  <r>
    <x v="9"/>
    <s v="A-1-05-20"/>
    <m/>
    <x v="53"/>
    <n v="20"/>
    <x v="54"/>
    <x v="530"/>
    <x v="5"/>
    <m/>
    <x v="3"/>
    <m/>
    <x v="4"/>
    <m/>
    <m/>
    <x v="18"/>
    <n v="0"/>
    <m/>
    <m/>
  </r>
  <r>
    <x v="9"/>
    <s v="A-1-05-21"/>
    <m/>
    <x v="53"/>
    <n v="21"/>
    <x v="54"/>
    <x v="531"/>
    <x v="5"/>
    <m/>
    <x v="3"/>
    <m/>
    <x v="4"/>
    <m/>
    <m/>
    <x v="18"/>
    <n v="0"/>
    <m/>
    <m/>
  </r>
  <r>
    <x v="9"/>
    <s v="A-1-05-22"/>
    <m/>
    <x v="53"/>
    <n v="22"/>
    <x v="54"/>
    <x v="532"/>
    <x v="5"/>
    <n v="1"/>
    <x v="3"/>
    <m/>
    <x v="4"/>
    <m/>
    <m/>
    <x v="18"/>
    <n v="0"/>
    <m/>
    <m/>
  </r>
  <r>
    <x v="9"/>
    <s v="A-1-05-23"/>
    <m/>
    <x v="53"/>
    <n v="23"/>
    <x v="54"/>
    <x v="533"/>
    <x v="6"/>
    <m/>
    <x v="3"/>
    <m/>
    <x v="4"/>
    <m/>
    <m/>
    <x v="18"/>
    <n v="0"/>
    <m/>
    <m/>
  </r>
  <r>
    <x v="9"/>
    <s v="A-1-05-24"/>
    <m/>
    <x v="53"/>
    <n v="24"/>
    <x v="54"/>
    <x v="534"/>
    <x v="2"/>
    <m/>
    <x v="3"/>
    <m/>
    <x v="4"/>
    <m/>
    <m/>
    <x v="18"/>
    <n v="0"/>
    <m/>
    <m/>
  </r>
  <r>
    <x v="9"/>
    <s v="A-1-05-25"/>
    <m/>
    <x v="53"/>
    <n v="25"/>
    <x v="54"/>
    <x v="535"/>
    <x v="5"/>
    <m/>
    <x v="3"/>
    <m/>
    <x v="4"/>
    <m/>
    <m/>
    <x v="18"/>
    <n v="0"/>
    <m/>
    <m/>
  </r>
  <r>
    <x v="9"/>
    <s v="A-1-05-26"/>
    <m/>
    <x v="53"/>
    <n v="26"/>
    <x v="54"/>
    <x v="536"/>
    <x v="5"/>
    <m/>
    <x v="3"/>
    <m/>
    <x v="4"/>
    <m/>
    <m/>
    <x v="18"/>
    <n v="0"/>
    <m/>
    <m/>
  </r>
  <r>
    <x v="3"/>
    <s v="QM-1-22-01"/>
    <m/>
    <x v="54"/>
    <n v="1"/>
    <x v="55"/>
    <x v="537"/>
    <x v="10"/>
    <m/>
    <x v="3"/>
    <m/>
    <x v="4"/>
    <m/>
    <m/>
    <x v="18"/>
    <n v="0"/>
    <m/>
    <m/>
  </r>
  <r>
    <x v="3"/>
    <s v="QM-1-22-02"/>
    <m/>
    <x v="54"/>
    <n v="2"/>
    <x v="55"/>
    <x v="538"/>
    <x v="10"/>
    <m/>
    <x v="3"/>
    <m/>
    <x v="4"/>
    <m/>
    <m/>
    <x v="18"/>
    <n v="0"/>
    <m/>
    <m/>
  </r>
  <r>
    <x v="3"/>
    <s v="QM-1-22-03"/>
    <m/>
    <x v="54"/>
    <n v="3"/>
    <x v="55"/>
    <x v="539"/>
    <x v="0"/>
    <m/>
    <x v="3"/>
    <m/>
    <x v="4"/>
    <m/>
    <m/>
    <x v="18"/>
    <n v="0"/>
    <m/>
    <m/>
  </r>
  <r>
    <x v="3"/>
    <s v="QM-1-22-04"/>
    <m/>
    <x v="54"/>
    <n v="4"/>
    <x v="55"/>
    <x v="540"/>
    <x v="10"/>
    <m/>
    <x v="3"/>
    <m/>
    <x v="4"/>
    <m/>
    <m/>
    <x v="18"/>
    <n v="0"/>
    <m/>
    <m/>
  </r>
  <r>
    <x v="3"/>
    <s v="QM-1-22-05"/>
    <m/>
    <x v="54"/>
    <n v="5"/>
    <x v="55"/>
    <x v="541"/>
    <x v="0"/>
    <m/>
    <x v="3"/>
    <m/>
    <x v="4"/>
    <m/>
    <m/>
    <x v="18"/>
    <n v="0"/>
    <m/>
    <m/>
  </r>
  <r>
    <x v="3"/>
    <s v="QM-1-22-06"/>
    <m/>
    <x v="54"/>
    <n v="6"/>
    <x v="55"/>
    <x v="542"/>
    <x v="10"/>
    <m/>
    <x v="3"/>
    <m/>
    <x v="4"/>
    <m/>
    <m/>
    <x v="18"/>
    <n v="0"/>
    <m/>
    <m/>
  </r>
  <r>
    <x v="3"/>
    <s v="QM-1-22-07"/>
    <m/>
    <x v="54"/>
    <n v="7"/>
    <x v="55"/>
    <x v="543"/>
    <x v="2"/>
    <m/>
    <x v="3"/>
    <m/>
    <x v="4"/>
    <m/>
    <m/>
    <x v="18"/>
    <n v="0"/>
    <m/>
    <m/>
  </r>
  <r>
    <x v="3"/>
    <s v="QM-1-23-01"/>
    <m/>
    <x v="55"/>
    <n v="1"/>
    <x v="56"/>
    <x v="544"/>
    <x v="10"/>
    <m/>
    <x v="3"/>
    <m/>
    <x v="4"/>
    <m/>
    <m/>
    <x v="18"/>
    <n v="0"/>
    <m/>
    <m/>
  </r>
  <r>
    <x v="3"/>
    <s v="QM-1-23-02"/>
    <m/>
    <x v="55"/>
    <n v="2"/>
    <x v="56"/>
    <x v="545"/>
    <x v="6"/>
    <m/>
    <x v="3"/>
    <m/>
    <x v="4"/>
    <m/>
    <m/>
    <x v="18"/>
    <n v="0"/>
    <m/>
    <m/>
  </r>
  <r>
    <x v="3"/>
    <s v="QM-1-23-03"/>
    <m/>
    <x v="55"/>
    <n v="3"/>
    <x v="56"/>
    <x v="546"/>
    <x v="6"/>
    <m/>
    <x v="3"/>
    <m/>
    <x v="4"/>
    <m/>
    <m/>
    <x v="18"/>
    <n v="0"/>
    <m/>
    <m/>
  </r>
  <r>
    <x v="3"/>
    <s v="QM-1-24-01"/>
    <m/>
    <x v="56"/>
    <n v="1"/>
    <x v="57"/>
    <x v="547"/>
    <x v="6"/>
    <m/>
    <x v="3"/>
    <m/>
    <x v="4"/>
    <m/>
    <m/>
    <x v="18"/>
    <n v="0"/>
    <m/>
    <m/>
  </r>
  <r>
    <x v="3"/>
    <s v="QM-1-24-02"/>
    <m/>
    <x v="56"/>
    <n v="2"/>
    <x v="57"/>
    <x v="548"/>
    <x v="10"/>
    <m/>
    <x v="3"/>
    <m/>
    <x v="4"/>
    <m/>
    <m/>
    <x v="18"/>
    <n v="0"/>
    <m/>
    <m/>
  </r>
  <r>
    <x v="3"/>
    <s v="QM-1-24-03"/>
    <m/>
    <x v="56"/>
    <n v="3"/>
    <x v="57"/>
    <x v="549"/>
    <x v="10"/>
    <m/>
    <x v="3"/>
    <m/>
    <x v="4"/>
    <m/>
    <m/>
    <x v="18"/>
    <n v="0"/>
    <m/>
    <m/>
  </r>
  <r>
    <x v="3"/>
    <s v="QM-1-24-04"/>
    <m/>
    <x v="56"/>
    <n v="4"/>
    <x v="57"/>
    <x v="550"/>
    <x v="10"/>
    <m/>
    <x v="3"/>
    <m/>
    <x v="4"/>
    <m/>
    <m/>
    <x v="18"/>
    <n v="0"/>
    <m/>
    <m/>
  </r>
  <r>
    <x v="3"/>
    <s v="QM-1-24-05"/>
    <m/>
    <x v="56"/>
    <n v="5"/>
    <x v="57"/>
    <x v="551"/>
    <x v="10"/>
    <m/>
    <x v="3"/>
    <m/>
    <x v="4"/>
    <m/>
    <m/>
    <x v="18"/>
    <n v="0"/>
    <m/>
    <m/>
  </r>
  <r>
    <x v="3"/>
    <s v="QM-1-24-06"/>
    <m/>
    <x v="56"/>
    <n v="6"/>
    <x v="57"/>
    <x v="552"/>
    <x v="10"/>
    <m/>
    <x v="3"/>
    <m/>
    <x v="4"/>
    <m/>
    <m/>
    <x v="18"/>
    <n v="0"/>
    <m/>
    <m/>
  </r>
  <r>
    <x v="3"/>
    <s v="QM-1-24-07"/>
    <m/>
    <x v="56"/>
    <n v="7"/>
    <x v="57"/>
    <x v="553"/>
    <x v="10"/>
    <m/>
    <x v="3"/>
    <m/>
    <x v="4"/>
    <m/>
    <m/>
    <x v="18"/>
    <n v="0"/>
    <m/>
    <m/>
  </r>
  <r>
    <x v="3"/>
    <s v="QM-1-24-08"/>
    <m/>
    <x v="56"/>
    <n v="8"/>
    <x v="57"/>
    <x v="554"/>
    <x v="10"/>
    <m/>
    <x v="3"/>
    <m/>
    <x v="4"/>
    <m/>
    <m/>
    <x v="18"/>
    <n v="0"/>
    <m/>
    <m/>
  </r>
  <r>
    <x v="3"/>
    <s v="QM-1-25-01"/>
    <m/>
    <x v="57"/>
    <n v="1"/>
    <x v="58"/>
    <x v="555"/>
    <x v="6"/>
    <m/>
    <x v="3"/>
    <m/>
    <x v="4"/>
    <m/>
    <m/>
    <x v="18"/>
    <n v="0"/>
    <m/>
    <m/>
  </r>
  <r>
    <x v="3"/>
    <s v="QM-1-25-02"/>
    <m/>
    <x v="57"/>
    <n v="2"/>
    <x v="58"/>
    <x v="556"/>
    <x v="10"/>
    <m/>
    <x v="3"/>
    <m/>
    <x v="4"/>
    <m/>
    <m/>
    <x v="18"/>
    <n v="0"/>
    <m/>
    <m/>
  </r>
  <r>
    <x v="3"/>
    <s v="QM-1-25-03"/>
    <m/>
    <x v="57"/>
    <n v="3"/>
    <x v="58"/>
    <x v="557"/>
    <x v="10"/>
    <m/>
    <x v="3"/>
    <m/>
    <x v="4"/>
    <m/>
    <m/>
    <x v="18"/>
    <n v="0"/>
    <m/>
    <m/>
  </r>
  <r>
    <x v="3"/>
    <s v="QM-1-25-04"/>
    <m/>
    <x v="57"/>
    <n v="4"/>
    <x v="58"/>
    <x v="558"/>
    <x v="10"/>
    <m/>
    <x v="3"/>
    <m/>
    <x v="4"/>
    <m/>
    <m/>
    <x v="18"/>
    <n v="0"/>
    <m/>
    <m/>
  </r>
  <r>
    <x v="3"/>
    <s v="QM-1-25-05"/>
    <m/>
    <x v="57"/>
    <n v="5"/>
    <x v="58"/>
    <x v="559"/>
    <x v="10"/>
    <m/>
    <x v="3"/>
    <m/>
    <x v="4"/>
    <m/>
    <m/>
    <x v="18"/>
    <n v="0"/>
    <m/>
    <m/>
  </r>
  <r>
    <x v="3"/>
    <s v="QM-1-25-06"/>
    <m/>
    <x v="57"/>
    <n v="6"/>
    <x v="58"/>
    <x v="560"/>
    <x v="10"/>
    <m/>
    <x v="3"/>
    <m/>
    <x v="4"/>
    <m/>
    <m/>
    <x v="18"/>
    <n v="0"/>
    <m/>
    <m/>
  </r>
  <r>
    <x v="3"/>
    <s v="QM-1-25-07"/>
    <m/>
    <x v="57"/>
    <n v="7"/>
    <x v="58"/>
    <x v="561"/>
    <x v="10"/>
    <m/>
    <x v="3"/>
    <m/>
    <x v="4"/>
    <m/>
    <m/>
    <x v="18"/>
    <n v="0"/>
    <m/>
    <m/>
  </r>
  <r>
    <x v="2"/>
    <s v="GPDE-1-02-24"/>
    <m/>
    <x v="11"/>
    <n v="24"/>
    <x v="12"/>
    <x v="562"/>
    <x v="10"/>
    <n v="1"/>
    <x v="3"/>
    <m/>
    <x v="4"/>
    <m/>
    <m/>
    <x v="18"/>
    <n v="0"/>
    <m/>
    <m/>
  </r>
  <r>
    <x v="9"/>
    <s v="A-1-07-01"/>
    <m/>
    <x v="58"/>
    <n v="1"/>
    <x v="59"/>
    <x v="563"/>
    <x v="0"/>
    <m/>
    <x v="3"/>
    <m/>
    <x v="4"/>
    <m/>
    <m/>
    <x v="18"/>
    <n v="0"/>
    <m/>
    <m/>
  </r>
  <r>
    <x v="9"/>
    <s v="A-1-07-02"/>
    <m/>
    <x v="58"/>
    <n v="2"/>
    <x v="59"/>
    <x v="564"/>
    <x v="0"/>
    <m/>
    <x v="3"/>
    <m/>
    <x v="4"/>
    <m/>
    <m/>
    <x v="18"/>
    <n v="0"/>
    <m/>
    <m/>
  </r>
  <r>
    <x v="9"/>
    <s v="A-1-07-03"/>
    <m/>
    <x v="58"/>
    <n v="3"/>
    <x v="59"/>
    <x v="565"/>
    <x v="0"/>
    <m/>
    <x v="3"/>
    <m/>
    <x v="4"/>
    <m/>
    <m/>
    <x v="18"/>
    <n v="0"/>
    <m/>
    <m/>
  </r>
  <r>
    <x v="9"/>
    <s v="A-1-07-04"/>
    <m/>
    <x v="58"/>
    <n v="4"/>
    <x v="59"/>
    <x v="566"/>
    <x v="0"/>
    <m/>
    <x v="3"/>
    <m/>
    <x v="4"/>
    <m/>
    <m/>
    <x v="18"/>
    <n v="0"/>
    <m/>
    <m/>
  </r>
  <r>
    <x v="9"/>
    <s v="A-1-07-05"/>
    <m/>
    <x v="58"/>
    <n v="5"/>
    <x v="59"/>
    <x v="567"/>
    <x v="0"/>
    <m/>
    <x v="3"/>
    <m/>
    <x v="4"/>
    <m/>
    <m/>
    <x v="18"/>
    <n v="0"/>
    <m/>
    <m/>
  </r>
  <r>
    <x v="9"/>
    <s v="A-1-07-06"/>
    <m/>
    <x v="58"/>
    <n v="6"/>
    <x v="59"/>
    <x v="568"/>
    <x v="0"/>
    <m/>
    <x v="3"/>
    <m/>
    <x v="4"/>
    <m/>
    <m/>
    <x v="18"/>
    <n v="0"/>
    <m/>
    <m/>
  </r>
  <r>
    <x v="9"/>
    <s v="A-1-07-07"/>
    <m/>
    <x v="58"/>
    <n v="7"/>
    <x v="59"/>
    <x v="569"/>
    <x v="0"/>
    <m/>
    <x v="3"/>
    <m/>
    <x v="4"/>
    <m/>
    <m/>
    <x v="18"/>
    <n v="0"/>
    <m/>
    <m/>
  </r>
  <r>
    <x v="9"/>
    <s v="A-1-07-08"/>
    <m/>
    <x v="58"/>
    <n v="8"/>
    <x v="59"/>
    <x v="570"/>
    <x v="0"/>
    <m/>
    <x v="3"/>
    <m/>
    <x v="4"/>
    <m/>
    <m/>
    <x v="18"/>
    <n v="0"/>
    <m/>
    <m/>
  </r>
  <r>
    <x v="9"/>
    <s v="A-1-07-09"/>
    <m/>
    <x v="58"/>
    <n v="9"/>
    <x v="59"/>
    <x v="571"/>
    <x v="0"/>
    <m/>
    <x v="3"/>
    <m/>
    <x v="4"/>
    <m/>
    <m/>
    <x v="18"/>
    <n v="0"/>
    <m/>
    <m/>
  </r>
  <r>
    <x v="9"/>
    <s v="A-1-07-10"/>
    <m/>
    <x v="58"/>
    <n v="10"/>
    <x v="59"/>
    <x v="572"/>
    <x v="0"/>
    <m/>
    <x v="3"/>
    <m/>
    <x v="4"/>
    <m/>
    <m/>
    <x v="18"/>
    <n v="0"/>
    <m/>
    <m/>
  </r>
  <r>
    <x v="9"/>
    <s v="A-1-07-11"/>
    <m/>
    <x v="58"/>
    <n v="11"/>
    <x v="59"/>
    <x v="573"/>
    <x v="2"/>
    <m/>
    <x v="3"/>
    <m/>
    <x v="4"/>
    <m/>
    <m/>
    <x v="18"/>
    <n v="0"/>
    <m/>
    <m/>
  </r>
  <r>
    <x v="9"/>
    <s v="A-1-07-12"/>
    <m/>
    <x v="58"/>
    <n v="12"/>
    <x v="59"/>
    <x v="574"/>
    <x v="2"/>
    <m/>
    <x v="3"/>
    <m/>
    <x v="4"/>
    <m/>
    <m/>
    <x v="18"/>
    <n v="0"/>
    <m/>
    <m/>
  </r>
  <r>
    <x v="9"/>
    <s v="A-1-07-13"/>
    <m/>
    <x v="58"/>
    <n v="13"/>
    <x v="59"/>
    <x v="575"/>
    <x v="2"/>
    <m/>
    <x v="3"/>
    <m/>
    <x v="4"/>
    <m/>
    <m/>
    <x v="18"/>
    <n v="0"/>
    <m/>
    <m/>
  </r>
  <r>
    <x v="9"/>
    <s v="A-1-07-14"/>
    <m/>
    <x v="58"/>
    <n v="14"/>
    <x v="59"/>
    <x v="576"/>
    <x v="2"/>
    <m/>
    <x v="3"/>
    <m/>
    <x v="4"/>
    <m/>
    <m/>
    <x v="18"/>
    <n v="0"/>
    <m/>
    <m/>
  </r>
  <r>
    <x v="9"/>
    <s v="A-1-07-15"/>
    <m/>
    <x v="58"/>
    <n v="15"/>
    <x v="59"/>
    <x v="577"/>
    <x v="2"/>
    <m/>
    <x v="3"/>
    <m/>
    <x v="4"/>
    <m/>
    <m/>
    <x v="18"/>
    <n v="0"/>
    <m/>
    <m/>
  </r>
  <r>
    <x v="9"/>
    <s v="A-1-07-16"/>
    <m/>
    <x v="58"/>
    <n v="16"/>
    <x v="59"/>
    <x v="578"/>
    <x v="2"/>
    <m/>
    <x v="3"/>
    <m/>
    <x v="4"/>
    <m/>
    <m/>
    <x v="18"/>
    <n v="0"/>
    <m/>
    <m/>
  </r>
  <r>
    <x v="9"/>
    <s v="A-1-07-17"/>
    <m/>
    <x v="58"/>
    <n v="17"/>
    <x v="59"/>
    <x v="579"/>
    <x v="2"/>
    <m/>
    <x v="3"/>
    <m/>
    <x v="4"/>
    <m/>
    <m/>
    <x v="18"/>
    <n v="0"/>
    <m/>
    <m/>
  </r>
  <r>
    <x v="9"/>
    <s v="A-1-07-18"/>
    <m/>
    <x v="58"/>
    <n v="18"/>
    <x v="59"/>
    <x v="580"/>
    <x v="2"/>
    <m/>
    <x v="3"/>
    <m/>
    <x v="4"/>
    <m/>
    <m/>
    <x v="18"/>
    <n v="0"/>
    <m/>
    <m/>
  </r>
  <r>
    <x v="9"/>
    <s v="A-1-07-19"/>
    <m/>
    <x v="58"/>
    <n v="19"/>
    <x v="59"/>
    <x v="581"/>
    <x v="2"/>
    <m/>
    <x v="3"/>
    <m/>
    <x v="4"/>
    <m/>
    <m/>
    <x v="18"/>
    <n v="0"/>
    <m/>
    <m/>
  </r>
  <r>
    <x v="9"/>
    <s v="A-1-07-20"/>
    <m/>
    <x v="58"/>
    <n v="20"/>
    <x v="59"/>
    <x v="582"/>
    <x v="2"/>
    <m/>
    <x v="3"/>
    <m/>
    <x v="4"/>
    <m/>
    <m/>
    <x v="18"/>
    <n v="0"/>
    <m/>
    <m/>
  </r>
  <r>
    <x v="9"/>
    <s v="A-1-07-21"/>
    <m/>
    <x v="58"/>
    <n v="21"/>
    <x v="59"/>
    <x v="583"/>
    <x v="2"/>
    <m/>
    <x v="3"/>
    <m/>
    <x v="4"/>
    <m/>
    <m/>
    <x v="18"/>
    <n v="0"/>
    <m/>
    <m/>
  </r>
  <r>
    <x v="9"/>
    <s v="A-1-07-22"/>
    <m/>
    <x v="58"/>
    <n v="22"/>
    <x v="59"/>
    <x v="584"/>
    <x v="2"/>
    <m/>
    <x v="3"/>
    <m/>
    <x v="4"/>
    <m/>
    <m/>
    <x v="18"/>
    <n v="0"/>
    <m/>
    <m/>
  </r>
  <r>
    <x v="9"/>
    <s v="A-1-07-23"/>
    <m/>
    <x v="58"/>
    <n v="23"/>
    <x v="59"/>
    <x v="585"/>
    <x v="2"/>
    <m/>
    <x v="3"/>
    <m/>
    <x v="4"/>
    <m/>
    <m/>
    <x v="18"/>
    <n v="0"/>
    <m/>
    <m/>
  </r>
  <r>
    <x v="7"/>
    <s v="RG-1-03-14"/>
    <m/>
    <x v="32"/>
    <n v="14"/>
    <x v="33"/>
    <x v="586"/>
    <x v="0"/>
    <m/>
    <x v="3"/>
    <m/>
    <x v="4"/>
    <m/>
    <m/>
    <x v="18"/>
    <n v="0"/>
    <m/>
    <m/>
  </r>
  <r>
    <x v="7"/>
    <s v="RG-1-03-15"/>
    <m/>
    <x v="32"/>
    <n v="15"/>
    <x v="33"/>
    <x v="587"/>
    <x v="0"/>
    <m/>
    <x v="3"/>
    <m/>
    <x v="4"/>
    <m/>
    <m/>
    <x v="18"/>
    <n v="0"/>
    <m/>
    <m/>
  </r>
  <r>
    <x v="7"/>
    <s v="RG-1-03-16"/>
    <m/>
    <x v="32"/>
    <n v="16"/>
    <x v="33"/>
    <x v="588"/>
    <x v="0"/>
    <m/>
    <x v="3"/>
    <m/>
    <x v="4"/>
    <m/>
    <m/>
    <x v="18"/>
    <n v="0"/>
    <m/>
    <m/>
  </r>
  <r>
    <x v="8"/>
    <s v="EFT1-1-02-66"/>
    <m/>
    <x v="40"/>
    <n v="66"/>
    <x v="41"/>
    <x v="589"/>
    <x v="0"/>
    <m/>
    <x v="3"/>
    <m/>
    <x v="4"/>
    <m/>
    <m/>
    <x v="18"/>
    <n v="0"/>
    <m/>
    <m/>
  </r>
  <r>
    <x v="8"/>
    <s v="EFT1-1-02-67"/>
    <m/>
    <x v="40"/>
    <n v="67"/>
    <x v="41"/>
    <x v="590"/>
    <x v="0"/>
    <m/>
    <x v="3"/>
    <m/>
    <x v="4"/>
    <m/>
    <m/>
    <x v="18"/>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C84B5-6B13-8A47-8C7B-1923BB8DE648}" name="PivotTable1"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E10:L140" firstHeaderRow="0" firstDataRow="1" firstDataCol="1" rowPageCount="1" colPageCount="1"/>
  <pivotFields count="18">
    <pivotField axis="axisPage" multipleItemSelectionAllowed="1" showAll="0">
      <items count="12">
        <item h="1" m="1" x="10"/>
        <item h="1" x="6"/>
        <item h="1" x="8"/>
        <item h="1" x="2"/>
        <item h="1" x="0"/>
        <item x="3"/>
        <item h="1" x="4"/>
        <item h="1" x="7"/>
        <item h="1" x="1"/>
        <item h="1" x="5"/>
        <item h="1" x="9"/>
        <item t="default"/>
      </items>
    </pivotField>
    <pivotField showAll="0"/>
    <pivotField showAll="0"/>
    <pivotField axis="axisRow" showAll="0">
      <items count="68">
        <item m="1" x="59"/>
        <item x="25"/>
        <item x="26"/>
        <item x="27"/>
        <item x="28"/>
        <item x="29"/>
        <item x="30"/>
        <item x="40"/>
        <item x="11"/>
        <item x="12"/>
        <item x="13"/>
        <item x="14"/>
        <item x="38"/>
        <item x="3"/>
        <item x="4"/>
        <item x="5"/>
        <item x="7"/>
        <item x="6"/>
        <item x="1"/>
        <item m="1" x="62"/>
        <item x="2"/>
        <item x="0"/>
        <item m="1" x="63"/>
        <item m="1" x="64"/>
        <item m="1" x="66"/>
        <item m="1" x="65"/>
        <item m="1" x="61"/>
        <item x="15"/>
        <item x="16"/>
        <item x="17"/>
        <item x="46"/>
        <item x="20"/>
        <item x="21"/>
        <item x="22"/>
        <item x="23"/>
        <item x="24"/>
        <item x="41"/>
        <item x="42"/>
        <item x="43"/>
        <item x="44"/>
        <item x="45"/>
        <item x="48"/>
        <item x="47"/>
        <item x="18"/>
        <item x="31"/>
        <item x="32"/>
        <item x="33"/>
        <item x="34"/>
        <item x="35"/>
        <item x="36"/>
        <item x="37"/>
        <item m="1" x="60"/>
        <item x="8"/>
        <item x="10"/>
        <item x="9"/>
        <item x="19"/>
        <item x="39"/>
        <item x="49"/>
        <item x="50"/>
        <item x="51"/>
        <item x="52"/>
        <item x="53"/>
        <item x="54"/>
        <item x="55"/>
        <item x="56"/>
        <item x="57"/>
        <item x="58"/>
        <item t="default"/>
      </items>
    </pivotField>
    <pivotField showAll="0"/>
    <pivotField axis="axisRow" showAll="0">
      <items count="61">
        <item x="30"/>
        <item x="5"/>
        <item x="9"/>
        <item x="8"/>
        <item x="28"/>
        <item x="43"/>
        <item x="45"/>
        <item x="31"/>
        <item x="12"/>
        <item x="42"/>
        <item x="41"/>
        <item x="34"/>
        <item x="33"/>
        <item x="18"/>
        <item x="44"/>
        <item x="1"/>
        <item x="7"/>
        <item x="39"/>
        <item x="25"/>
        <item x="3"/>
        <item x="0"/>
        <item x="26"/>
        <item x="6"/>
        <item x="24"/>
        <item x="22"/>
        <item x="37"/>
        <item x="36"/>
        <item x="4"/>
        <item x="21"/>
        <item x="38"/>
        <item x="49"/>
        <item x="48"/>
        <item x="46"/>
        <item x="19"/>
        <item x="10"/>
        <item x="13"/>
        <item x="40"/>
        <item x="35"/>
        <item x="29"/>
        <item x="16"/>
        <item x="14"/>
        <item x="2"/>
        <item x="15"/>
        <item x="47"/>
        <item x="32"/>
        <item x="11"/>
        <item x="23"/>
        <item x="17"/>
        <item x="27"/>
        <item x="20"/>
        <item x="50"/>
        <item x="51"/>
        <item x="52"/>
        <item x="53"/>
        <item x="54"/>
        <item x="55"/>
        <item x="56"/>
        <item x="57"/>
        <item x="58"/>
        <item x="59"/>
        <item t="default"/>
      </items>
    </pivotField>
    <pivotField axis="axisRow" showAll="0">
      <items count="593">
        <item m="1" x="591"/>
        <item x="417"/>
        <item x="356"/>
        <item x="29"/>
        <item x="301"/>
        <item x="100"/>
        <item x="5"/>
        <item x="227"/>
        <item x="247"/>
        <item x="95"/>
        <item x="6"/>
        <item x="4"/>
        <item x="130"/>
        <item x="33"/>
        <item x="49"/>
        <item x="54"/>
        <item x="330"/>
        <item x="314"/>
        <item x="297"/>
        <item x="39"/>
        <item x="40"/>
        <item x="34"/>
        <item x="142"/>
        <item x="120"/>
        <item x="141"/>
        <item x="256"/>
        <item x="174"/>
        <item x="376"/>
        <item x="246"/>
        <item x="423"/>
        <item x="418"/>
        <item x="264"/>
        <item x="86"/>
        <item x="263"/>
        <item x="253"/>
        <item x="229"/>
        <item x="117"/>
        <item x="139"/>
        <item x="138"/>
        <item x="124"/>
        <item x="128"/>
        <item x="127"/>
        <item x="125"/>
        <item x="98"/>
        <item x="1"/>
        <item x="410"/>
        <item x="265"/>
        <item x="237"/>
        <item x="231"/>
        <item x="230"/>
        <item x="186"/>
        <item x="46"/>
        <item x="355"/>
        <item x="243"/>
        <item x="179"/>
        <item x="177"/>
        <item x="176"/>
        <item x="382"/>
        <item x="392"/>
        <item x="350"/>
        <item x="383"/>
        <item x="349"/>
        <item x="366"/>
        <item x="352"/>
        <item x="377"/>
        <item x="369"/>
        <item x="312"/>
        <item x="404"/>
        <item x="402"/>
        <item x="262"/>
        <item x="318"/>
        <item x="322"/>
        <item x="321"/>
        <item x="156"/>
        <item x="190"/>
        <item x="242"/>
        <item x="208"/>
        <item x="241"/>
        <item x="244"/>
        <item x="287"/>
        <item x="116"/>
        <item x="107"/>
        <item x="236"/>
        <item x="428"/>
        <item x="19"/>
        <item x="279"/>
        <item x="291"/>
        <item x="387"/>
        <item x="232"/>
        <item x="41"/>
        <item x="65"/>
        <item x="372"/>
        <item x="413"/>
        <item x="133"/>
        <item x="132"/>
        <item x="168"/>
        <item x="180"/>
        <item x="181"/>
        <item x="228"/>
        <item x="422"/>
        <item x="405"/>
        <item x="140"/>
        <item x="0"/>
        <item x="415"/>
        <item x="278"/>
        <item x="328"/>
        <item x="337"/>
        <item x="162"/>
        <item x="160"/>
        <item x="22"/>
        <item x="99"/>
        <item x="148"/>
        <item x="335"/>
        <item x="161"/>
        <item x="166"/>
        <item x="425"/>
        <item x="43"/>
        <item x="408"/>
        <item x="409"/>
        <item x="406"/>
        <item x="424"/>
        <item x="50"/>
        <item x="52"/>
        <item x="89"/>
        <item x="12"/>
        <item x="30"/>
        <item x="199"/>
        <item x="15"/>
        <item x="51"/>
        <item x="70"/>
        <item x="53"/>
        <item x="66"/>
        <item x="111"/>
        <item x="250"/>
        <item x="193"/>
        <item x="351"/>
        <item x="292"/>
        <item x="311"/>
        <item x="320"/>
        <item x="224"/>
        <item x="225"/>
        <item x="431"/>
        <item x="38"/>
        <item x="37"/>
        <item x="77"/>
        <item x="316"/>
        <item x="16"/>
        <item x="55"/>
        <item x="364"/>
        <item x="368"/>
        <item x="353"/>
        <item x="379"/>
        <item x="429"/>
        <item x="175"/>
        <item x="221"/>
        <item x="21"/>
        <item x="249"/>
        <item x="233"/>
        <item x="276"/>
        <item x="266"/>
        <item x="192"/>
        <item x="88"/>
        <item x="171"/>
        <item x="172"/>
        <item x="195"/>
        <item x="433"/>
        <item x="412"/>
        <item x="97"/>
        <item x="185"/>
        <item x="416"/>
        <item x="154"/>
        <item x="17"/>
        <item x="373"/>
        <item x="76"/>
        <item x="136"/>
        <item x="393"/>
        <item x="90"/>
        <item x="91"/>
        <item x="129"/>
        <item x="126"/>
        <item x="307"/>
        <item x="259"/>
        <item x="271"/>
        <item x="361"/>
        <item x="277"/>
        <item x="205"/>
        <item x="394"/>
        <item x="388"/>
        <item x="323"/>
        <item x="57"/>
        <item x="108"/>
        <item x="336"/>
        <item x="226"/>
        <item x="87"/>
        <item x="101"/>
        <item x="36"/>
        <item x="302"/>
        <item x="64"/>
        <item x="25"/>
        <item x="131"/>
        <item x="299"/>
        <item x="360"/>
        <item x="365"/>
        <item x="134"/>
        <item x="11"/>
        <item x="62"/>
        <item x="60"/>
        <item x="122"/>
        <item x="45"/>
        <item x="35"/>
        <item x="74"/>
        <item x="59"/>
        <item x="69"/>
        <item x="313"/>
        <item x="23"/>
        <item x="202"/>
        <item x="304"/>
        <item x="58"/>
        <item x="31"/>
        <item x="201"/>
        <item x="273"/>
        <item x="28"/>
        <item x="283"/>
        <item x="218"/>
        <item x="220"/>
        <item x="93"/>
        <item x="94"/>
        <item x="24"/>
        <item x="211"/>
        <item x="317"/>
        <item x="326"/>
        <item x="325"/>
        <item x="82"/>
        <item x="112"/>
        <item x="2"/>
        <item x="67"/>
        <item x="71"/>
        <item x="293"/>
        <item x="319"/>
        <item x="340"/>
        <item x="289"/>
        <item x="290"/>
        <item x="147"/>
        <item x="143"/>
        <item x="200"/>
        <item x="207"/>
        <item x="184"/>
        <item x="32"/>
        <item x="3"/>
        <item x="155"/>
        <item x="153"/>
        <item x="296"/>
        <item x="347"/>
        <item x="341"/>
        <item x="346"/>
        <item x="430"/>
        <item x="196"/>
        <item x="152"/>
        <item x="198"/>
        <item x="390"/>
        <item x="411"/>
        <item x="274"/>
        <item x="44"/>
        <item x="42"/>
        <item x="163"/>
        <item x="374"/>
        <item x="257"/>
        <item x="258"/>
        <item x="270"/>
        <item x="75"/>
        <item x="78"/>
        <item x="260"/>
        <item x="269"/>
        <item x="338"/>
        <item x="26"/>
        <item x="27"/>
        <item x="400"/>
        <item x="214"/>
        <item x="216"/>
        <item x="215"/>
        <item x="267"/>
        <item x="204"/>
        <item x="149"/>
        <item x="158"/>
        <item x="334"/>
        <item x="159"/>
        <item x="165"/>
        <item x="327"/>
        <item x="333"/>
        <item x="332"/>
        <item x="331"/>
        <item x="329"/>
        <item x="173"/>
        <item x="167"/>
        <item x="427"/>
        <item x="308"/>
        <item x="212"/>
        <item x="73"/>
        <item x="367"/>
        <item x="370"/>
        <item x="371"/>
        <item x="354"/>
        <item x="109"/>
        <item x="343"/>
        <item x="56"/>
        <item x="92"/>
        <item x="63"/>
        <item x="83"/>
        <item x="79"/>
        <item x="81"/>
        <item x="85"/>
        <item x="164"/>
        <item x="295"/>
        <item x="251"/>
        <item x="432"/>
        <item x="145"/>
        <item x="68"/>
        <item x="48"/>
        <item x="275"/>
        <item x="397"/>
        <item x="339"/>
        <item x="300"/>
        <item x="123"/>
        <item x="106"/>
        <item x="401"/>
        <item x="363"/>
        <item x="359"/>
        <item x="358"/>
        <item x="357"/>
        <item x="188"/>
        <item x="191"/>
        <item x="348"/>
        <item x="248"/>
        <item x="403"/>
        <item x="118"/>
        <item x="119"/>
        <item x="222"/>
        <item x="272"/>
        <item x="219"/>
        <item x="255"/>
        <item x="110"/>
        <item x="114"/>
        <item x="115"/>
        <item x="298"/>
        <item x="378"/>
        <item x="294"/>
        <item x="309"/>
        <item x="306"/>
        <item x="194"/>
        <item x="197"/>
        <item x="245"/>
        <item x="310"/>
        <item x="362"/>
        <item x="7"/>
        <item x="8"/>
        <item x="389"/>
        <item x="183"/>
        <item x="182"/>
        <item x="206"/>
        <item x="210"/>
        <item x="419"/>
        <item x="144"/>
        <item x="18"/>
        <item x="72"/>
        <item x="105"/>
        <item x="137"/>
        <item x="135"/>
        <item x="104"/>
        <item x="203"/>
        <item x="261"/>
        <item x="9"/>
        <item x="10"/>
        <item x="113"/>
        <item x="103"/>
        <item x="235"/>
        <item x="252"/>
        <item x="240"/>
        <item x="150"/>
        <item x="47"/>
        <item x="375"/>
        <item x="189"/>
        <item x="281"/>
        <item x="282"/>
        <item x="284"/>
        <item x="285"/>
        <item x="344"/>
        <item x="381"/>
        <item x="399"/>
        <item x="280"/>
        <item x="586"/>
        <item x="254"/>
        <item x="234"/>
        <item x="238"/>
        <item x="384"/>
        <item x="170"/>
        <item x="151"/>
        <item x="178"/>
        <item x="13"/>
        <item x="121"/>
        <item x="61"/>
        <item x="268"/>
        <item x="303"/>
        <item x="305"/>
        <item x="395"/>
        <item x="398"/>
        <item x="396"/>
        <item x="288"/>
        <item x="286"/>
        <item x="324"/>
        <item x="342"/>
        <item x="391"/>
        <item x="380"/>
        <item x="345"/>
        <item x="385"/>
        <item x="386"/>
        <item x="426"/>
        <item x="209"/>
        <item x="146"/>
        <item x="14"/>
        <item x="96"/>
        <item x="217"/>
        <item x="223"/>
        <item x="213"/>
        <item x="102"/>
        <item x="157"/>
        <item x="20"/>
        <item x="414"/>
        <item x="169"/>
        <item x="421"/>
        <item x="80"/>
        <item x="315"/>
        <item x="239"/>
        <item x="84"/>
        <item x="187"/>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pivotField>
    <pivotField showAll="0">
      <items count="14">
        <item x="10"/>
        <item x="0"/>
        <item x="2"/>
        <item h="1" x="11"/>
        <item x="9"/>
        <item x="1"/>
        <item x="12"/>
        <item x="7"/>
        <item x="5"/>
        <item x="6"/>
        <item x="8"/>
        <item x="4"/>
        <item x="3"/>
        <item t="default"/>
      </items>
    </pivotField>
    <pivotField showAll="0"/>
    <pivotField dataField="1" showAll="0">
      <items count="6">
        <item m="1" x="4"/>
        <item x="0"/>
        <item x="1"/>
        <item x="2"/>
        <item x="3"/>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3">
    <field x="3"/>
    <field x="5"/>
    <field x="6"/>
  </rowFields>
  <rowItems count="130">
    <i>
      <x v="27"/>
    </i>
    <i r="1">
      <x v="39"/>
    </i>
    <i r="2">
      <x v="293"/>
    </i>
    <i>
      <x v="28"/>
    </i>
    <i r="1">
      <x v="47"/>
    </i>
    <i r="2">
      <x v="26"/>
    </i>
    <i r="2">
      <x v="54"/>
    </i>
    <i r="2">
      <x v="55"/>
    </i>
    <i r="2">
      <x v="56"/>
    </i>
    <i r="2">
      <x v="95"/>
    </i>
    <i r="2">
      <x v="153"/>
    </i>
    <i r="2">
      <x v="162"/>
    </i>
    <i r="2">
      <x v="163"/>
    </i>
    <i r="2">
      <x v="292"/>
    </i>
    <i r="2">
      <x v="394"/>
    </i>
    <i r="2">
      <x v="396"/>
    </i>
    <i r="2">
      <x v="427"/>
    </i>
    <i>
      <x v="29"/>
    </i>
    <i r="1">
      <x v="13"/>
    </i>
    <i r="2">
      <x v="96"/>
    </i>
    <i r="2">
      <x v="97"/>
    </i>
    <i r="2">
      <x v="168"/>
    </i>
    <i r="2">
      <x v="246"/>
    </i>
    <i r="2">
      <x v="356"/>
    </i>
    <i r="2">
      <x v="357"/>
    </i>
    <i>
      <x v="30"/>
    </i>
    <i r="1">
      <x v="43"/>
    </i>
    <i r="2">
      <x v="115"/>
    </i>
    <i r="2">
      <x v="294"/>
    </i>
    <i r="2">
      <x v="415"/>
    </i>
    <i>
      <x v="31"/>
    </i>
    <i r="1">
      <x v="28"/>
    </i>
    <i r="2">
      <x v="126"/>
    </i>
    <i r="2">
      <x v="215"/>
    </i>
    <i r="2">
      <x v="219"/>
    </i>
    <i r="2">
      <x v="244"/>
    </i>
    <i r="2">
      <x v="258"/>
    </i>
    <i r="2">
      <x v="368"/>
    </i>
    <i>
      <x v="32"/>
    </i>
    <i r="1">
      <x v="24"/>
    </i>
    <i r="2">
      <x v="76"/>
    </i>
    <i r="2">
      <x v="185"/>
    </i>
    <i r="2">
      <x v="228"/>
    </i>
    <i r="2">
      <x v="245"/>
    </i>
    <i r="2">
      <x v="281"/>
    </i>
    <i r="2">
      <x v="296"/>
    </i>
    <i r="2">
      <x v="358"/>
    </i>
    <i r="2">
      <x v="359"/>
    </i>
    <i r="2">
      <x v="416"/>
    </i>
    <i>
      <x v="33"/>
    </i>
    <i r="1">
      <x v="46"/>
    </i>
    <i r="2">
      <x v="277"/>
    </i>
    <i r="2">
      <x v="279"/>
    </i>
    <i r="2">
      <x v="422"/>
    </i>
    <i>
      <x v="34"/>
    </i>
    <i r="1">
      <x v="23"/>
    </i>
    <i r="2">
      <x v="154"/>
    </i>
    <i r="2">
      <x v="223"/>
    </i>
    <i r="2">
      <x v="224"/>
    </i>
    <i r="2">
      <x v="278"/>
    </i>
    <i r="2">
      <x v="336"/>
    </i>
    <i r="2">
      <x v="338"/>
    </i>
    <i r="2">
      <x v="420"/>
    </i>
    <i>
      <x v="35"/>
    </i>
    <i r="1">
      <x v="18"/>
    </i>
    <i r="2">
      <x v="139"/>
    </i>
    <i r="2">
      <x v="140"/>
    </i>
    <i r="2">
      <x v="192"/>
    </i>
    <i r="2">
      <x v="421"/>
    </i>
    <i>
      <x v="36"/>
    </i>
    <i r="1">
      <x v="9"/>
    </i>
    <i r="2">
      <x v="45"/>
    </i>
    <i r="2">
      <x v="117"/>
    </i>
    <i r="2">
      <x v="118"/>
    </i>
    <i r="2">
      <x v="119"/>
    </i>
    <i r="2">
      <x v="166"/>
    </i>
    <i r="2">
      <x v="260"/>
    </i>
    <i r="2">
      <x v="434"/>
    </i>
    <i>
      <x v="37"/>
    </i>
    <i r="1">
      <x v="5"/>
    </i>
    <i r="2">
      <x v="92"/>
    </i>
    <i r="2">
      <x v="103"/>
    </i>
    <i r="2">
      <x v="426"/>
    </i>
    <i>
      <x v="38"/>
    </i>
    <i r="1">
      <x v="14"/>
    </i>
    <i r="2">
      <x v="1"/>
    </i>
    <i r="2">
      <x v="169"/>
    </i>
    <i r="2">
      <x v="435"/>
    </i>
    <i>
      <x v="39"/>
    </i>
    <i r="1">
      <x v="6"/>
    </i>
    <i r="2">
      <x v="99"/>
    </i>
    <i r="2">
      <x v="428"/>
    </i>
    <i>
      <x v="40"/>
    </i>
    <i r="1">
      <x v="32"/>
    </i>
    <i r="2">
      <x v="29"/>
    </i>
    <i r="2">
      <x v="120"/>
    </i>
    <i>
      <x v="62"/>
    </i>
    <i r="1">
      <x v="55"/>
    </i>
    <i r="2">
      <x v="539"/>
    </i>
    <i r="2">
      <x v="540"/>
    </i>
    <i r="2">
      <x v="541"/>
    </i>
    <i r="2">
      <x v="542"/>
    </i>
    <i r="2">
      <x v="543"/>
    </i>
    <i r="2">
      <x v="544"/>
    </i>
    <i r="2">
      <x v="545"/>
    </i>
    <i>
      <x v="63"/>
    </i>
    <i r="1">
      <x v="56"/>
    </i>
    <i r="2">
      <x v="546"/>
    </i>
    <i r="2">
      <x v="547"/>
    </i>
    <i r="2">
      <x v="548"/>
    </i>
    <i>
      <x v="64"/>
    </i>
    <i r="1">
      <x v="57"/>
    </i>
    <i r="2">
      <x v="549"/>
    </i>
    <i r="2">
      <x v="550"/>
    </i>
    <i r="2">
      <x v="551"/>
    </i>
    <i r="2">
      <x v="552"/>
    </i>
    <i r="2">
      <x v="553"/>
    </i>
    <i r="2">
      <x v="554"/>
    </i>
    <i r="2">
      <x v="555"/>
    </i>
    <i r="2">
      <x v="556"/>
    </i>
    <i>
      <x v="65"/>
    </i>
    <i r="1">
      <x v="58"/>
    </i>
    <i r="2">
      <x v="557"/>
    </i>
    <i r="2">
      <x v="558"/>
    </i>
    <i r="2">
      <x v="559"/>
    </i>
    <i r="2">
      <x v="560"/>
    </i>
    <i r="2">
      <x v="561"/>
    </i>
    <i r="2">
      <x v="562"/>
    </i>
    <i r="2">
      <x v="563"/>
    </i>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1">
    <format dxfId="61">
      <pivotArea field="0" type="button" dataOnly="0" labelOnly="1" outline="0" axis="axisPage" fieldPosition="0"/>
    </format>
    <format dxfId="60">
      <pivotArea field="5" type="button" dataOnly="0" labelOnly="1" outline="0" axis="axisRow" fieldPosition="1"/>
    </format>
    <format dxfId="59">
      <pivotArea dataOnly="0" labelOnly="1" fieldPosition="0">
        <references count="1">
          <reference field="5" count="17">
            <x v="5"/>
            <x v="6"/>
            <x v="9"/>
            <x v="13"/>
            <x v="14"/>
            <x v="18"/>
            <x v="23"/>
            <x v="24"/>
            <x v="28"/>
            <x v="30"/>
            <x v="31"/>
            <x v="32"/>
            <x v="39"/>
            <x v="43"/>
            <x v="46"/>
            <x v="47"/>
            <x v="49"/>
          </reference>
        </references>
      </pivotArea>
    </format>
    <format dxfId="58">
      <pivotArea dataOnly="0" labelOnly="1" grandRow="1" outline="0" fieldPosition="0"/>
    </format>
    <format dxfId="57">
      <pivotArea dataOnly="0" labelOnly="1" fieldPosition="0">
        <references count="2">
          <reference field="5" count="1" selected="0">
            <x v="5"/>
          </reference>
          <reference field="6" count="3">
            <x v="92"/>
            <x v="103"/>
            <x v="426"/>
          </reference>
        </references>
      </pivotArea>
    </format>
    <format dxfId="56">
      <pivotArea dataOnly="0" labelOnly="1" fieldPosition="0">
        <references count="2">
          <reference field="5" count="1" selected="0">
            <x v="6"/>
          </reference>
          <reference field="6" count="2">
            <x v="99"/>
            <x v="428"/>
          </reference>
        </references>
      </pivotArea>
    </format>
    <format dxfId="55">
      <pivotArea dataOnly="0" labelOnly="1" fieldPosition="0">
        <references count="2">
          <reference field="5" count="1" selected="0">
            <x v="9"/>
          </reference>
          <reference field="6" count="7">
            <x v="0"/>
            <x v="45"/>
            <x v="117"/>
            <x v="118"/>
            <x v="119"/>
            <x v="166"/>
            <x v="260"/>
          </reference>
        </references>
      </pivotArea>
    </format>
    <format dxfId="54">
      <pivotArea dataOnly="0" labelOnly="1" fieldPosition="0">
        <references count="2">
          <reference field="5" count="1" selected="0">
            <x v="13"/>
          </reference>
          <reference field="6" count="6">
            <x v="96"/>
            <x v="97"/>
            <x v="168"/>
            <x v="246"/>
            <x v="356"/>
            <x v="357"/>
          </reference>
        </references>
      </pivotArea>
    </format>
    <format dxfId="53">
      <pivotArea dataOnly="0" labelOnly="1" fieldPosition="0">
        <references count="2">
          <reference field="5" count="1" selected="0">
            <x v="14"/>
          </reference>
          <reference field="6" count="2">
            <x v="1"/>
            <x v="169"/>
          </reference>
        </references>
      </pivotArea>
    </format>
    <format dxfId="52">
      <pivotArea dataOnly="0" labelOnly="1" fieldPosition="0">
        <references count="2">
          <reference field="5" count="1" selected="0">
            <x v="18"/>
          </reference>
          <reference field="6" count="4">
            <x v="139"/>
            <x v="140"/>
            <x v="192"/>
            <x v="421"/>
          </reference>
        </references>
      </pivotArea>
    </format>
    <format dxfId="51">
      <pivotArea dataOnly="0" labelOnly="1" fieldPosition="0">
        <references count="2">
          <reference field="5" count="1" selected="0">
            <x v="23"/>
          </reference>
          <reference field="6" count="7">
            <x v="154"/>
            <x v="223"/>
            <x v="224"/>
            <x v="278"/>
            <x v="336"/>
            <x v="338"/>
            <x v="420"/>
          </reference>
        </references>
      </pivotArea>
    </format>
    <format dxfId="50">
      <pivotArea dataOnly="0" labelOnly="1" fieldPosition="0">
        <references count="2">
          <reference field="5" count="1" selected="0">
            <x v="24"/>
          </reference>
          <reference field="6" count="9">
            <x v="76"/>
            <x v="185"/>
            <x v="228"/>
            <x v="245"/>
            <x v="281"/>
            <x v="296"/>
            <x v="358"/>
            <x v="359"/>
            <x v="416"/>
          </reference>
        </references>
      </pivotArea>
    </format>
    <format dxfId="49">
      <pivotArea dataOnly="0" labelOnly="1" fieldPosition="0">
        <references count="2">
          <reference field="5" count="1" selected="0">
            <x v="28"/>
          </reference>
          <reference field="6" count="6">
            <x v="126"/>
            <x v="215"/>
            <x v="219"/>
            <x v="244"/>
            <x v="258"/>
            <x v="368"/>
          </reference>
        </references>
      </pivotArea>
    </format>
    <format dxfId="48">
      <pivotArea dataOnly="0" labelOnly="1" fieldPosition="0">
        <references count="2">
          <reference field="5" count="1" selected="0">
            <x v="30"/>
          </reference>
          <reference field="6" count="1">
            <x v="389"/>
          </reference>
        </references>
      </pivotArea>
    </format>
    <format dxfId="47">
      <pivotArea dataOnly="0" labelOnly="1" fieldPosition="0">
        <references count="2">
          <reference field="5" count="1" selected="0">
            <x v="31"/>
          </reference>
          <reference field="6" count="6">
            <x v="83"/>
            <x v="141"/>
            <x v="152"/>
            <x v="165"/>
            <x v="255"/>
            <x v="314"/>
          </reference>
        </references>
      </pivotArea>
    </format>
    <format dxfId="46">
      <pivotArea dataOnly="0" labelOnly="1" fieldPosition="0">
        <references count="2">
          <reference field="5" count="1" selected="0">
            <x v="32"/>
          </reference>
          <reference field="6" count="2">
            <x v="29"/>
            <x v="120"/>
          </reference>
        </references>
      </pivotArea>
    </format>
    <format dxfId="45">
      <pivotArea dataOnly="0" labelOnly="1" fieldPosition="0">
        <references count="2">
          <reference field="5" count="1" selected="0">
            <x v="39"/>
          </reference>
          <reference field="6" count="1">
            <x v="293"/>
          </reference>
        </references>
      </pivotArea>
    </format>
    <format dxfId="44">
      <pivotArea dataOnly="0" labelOnly="1" fieldPosition="0">
        <references count="2">
          <reference field="5" count="1" selected="0">
            <x v="43"/>
          </reference>
          <reference field="6" count="3">
            <x v="115"/>
            <x v="294"/>
            <x v="415"/>
          </reference>
        </references>
      </pivotArea>
    </format>
    <format dxfId="43">
      <pivotArea dataOnly="0" labelOnly="1" fieldPosition="0">
        <references count="2">
          <reference field="5" count="1" selected="0">
            <x v="46"/>
          </reference>
          <reference field="6" count="3">
            <x v="277"/>
            <x v="279"/>
            <x v="422"/>
          </reference>
        </references>
      </pivotArea>
    </format>
    <format dxfId="42">
      <pivotArea dataOnly="0" labelOnly="1" fieldPosition="0">
        <references count="2">
          <reference field="5" count="1" selected="0">
            <x v="47"/>
          </reference>
          <reference field="6" count="12">
            <x v="26"/>
            <x v="54"/>
            <x v="55"/>
            <x v="56"/>
            <x v="95"/>
            <x v="153"/>
            <x v="162"/>
            <x v="163"/>
            <x v="292"/>
            <x v="394"/>
            <x v="396"/>
            <x v="427"/>
          </reference>
        </references>
      </pivotArea>
    </format>
    <format dxfId="41">
      <pivotArea dataOnly="0" labelOnly="1" fieldPosition="0">
        <references count="2">
          <reference field="5" count="1" selected="0">
            <x v="49"/>
          </reference>
          <reference field="6" count="2">
            <x v="30"/>
            <x v="36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B0B72-E779-B34C-9846-11B4DE254E30}" name="PivotTable17"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6:J7" firstHeaderRow="0" firstDataRow="1" firstDataCol="1" rowPageCount="1" colPageCount="1"/>
  <pivotFields count="18">
    <pivotField axis="axisPage" showAll="0">
      <items count="12">
        <item m="1" x="10"/>
        <item x="6"/>
        <item x="8"/>
        <item x="2"/>
        <item x="0"/>
        <item x="3"/>
        <item x="4"/>
        <item x="7"/>
        <item x="1"/>
        <item x="5"/>
        <item x="9"/>
        <item t="default"/>
      </items>
    </pivotField>
    <pivotField showAll="0"/>
    <pivotField showAll="0"/>
    <pivotField axis="axisRow" showAll="0" sortType="descending">
      <items count="68">
        <item m="1" x="62"/>
        <item x="2"/>
        <item x="0"/>
        <item m="1" x="63"/>
        <item m="1" x="64"/>
        <item m="1" x="66"/>
        <item m="1" x="65"/>
        <item m="1" x="61"/>
        <item x="1"/>
        <item x="3"/>
        <item x="4"/>
        <item x="5"/>
        <item x="6"/>
        <item x="7"/>
        <item x="8"/>
        <item x="9"/>
        <item x="10"/>
        <item x="11"/>
        <item x="12"/>
        <item x="13"/>
        <item x="14"/>
        <item x="15"/>
        <item x="16"/>
        <item x="17"/>
        <item x="18"/>
        <item m="1" x="59"/>
        <item x="20"/>
        <item x="21"/>
        <item x="22"/>
        <item x="23"/>
        <item x="24"/>
        <item x="25"/>
        <item x="26"/>
        <item x="27"/>
        <item x="28"/>
        <item x="29"/>
        <item x="30"/>
        <item x="31"/>
        <item x="32"/>
        <item x="33"/>
        <item x="34"/>
        <item x="35"/>
        <item x="36"/>
        <item x="37"/>
        <item x="38"/>
        <item m="1" x="60"/>
        <item x="40"/>
        <item x="41"/>
        <item x="42"/>
        <item x="43"/>
        <item x="44"/>
        <item x="45"/>
        <item x="46"/>
        <item x="47"/>
        <item x="48"/>
        <item x="19"/>
        <item x="39"/>
        <item x="49"/>
        <item x="50"/>
        <item x="51"/>
        <item x="52"/>
        <item x="53"/>
        <item x="54"/>
        <item x="55"/>
        <item x="56"/>
        <item x="57"/>
        <item x="58"/>
        <item t="default"/>
      </items>
      <autoSortScope>
        <pivotArea dataOnly="0" outline="0" fieldPosition="0">
          <references count="1">
            <reference field="4294967294" count="1" selected="0">
              <x v="5"/>
            </reference>
          </references>
        </pivotArea>
      </autoSortScope>
    </pivotField>
    <pivotField showAll="0"/>
    <pivotField axis="axisRow" showAll="0" sortType="descending">
      <items count="61">
        <item h="1" x="5"/>
        <item h="1" x="1"/>
        <item h="1" x="7"/>
        <item h="1" x="3"/>
        <item h="1" x="0"/>
        <item h="1" x="6"/>
        <item h="1" x="4"/>
        <item h="1" x="2"/>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x="48"/>
        <item h="1" x="49"/>
        <item h="1" x="50"/>
        <item h="1" x="51"/>
        <item h="1" x="52"/>
        <item h="1" x="53"/>
        <item h="1" x="54"/>
        <item h="1" x="55"/>
        <item h="1" x="56"/>
        <item h="1" x="57"/>
        <item h="1" x="58"/>
        <item h="1" x="59"/>
        <item t="default"/>
      </items>
      <autoSortScope>
        <pivotArea dataOnly="0" outline="0" fieldPosition="0">
          <references count="1">
            <reference field="4294967294" count="1" selected="0">
              <x v="5"/>
            </reference>
          </references>
        </pivotArea>
      </autoSortScope>
    </pivotField>
    <pivotField axis="axisRow" showAll="0" sortType="descending">
      <items count="593">
        <item x="29"/>
        <item x="5"/>
        <item x="6"/>
        <item x="4"/>
        <item x="33"/>
        <item x="49"/>
        <item x="54"/>
        <item x="39"/>
        <item x="40"/>
        <item x="34"/>
        <item x="86"/>
        <item x="1"/>
        <item x="46"/>
        <item x="19"/>
        <item x="41"/>
        <item x="65"/>
        <item x="0"/>
        <item x="22"/>
        <item x="43"/>
        <item x="50"/>
        <item x="52"/>
        <item x="89"/>
        <item x="12"/>
        <item x="30"/>
        <item x="15"/>
        <item x="51"/>
        <item x="70"/>
        <item x="53"/>
        <item x="66"/>
        <item x="38"/>
        <item x="37"/>
        <item x="77"/>
        <item x="16"/>
        <item x="55"/>
        <item x="21"/>
        <item x="88"/>
        <item x="17"/>
        <item x="76"/>
        <item x="90"/>
        <item x="91"/>
        <item x="57"/>
        <item x="87"/>
        <item x="36"/>
        <item x="64"/>
        <item x="25"/>
        <item x="11"/>
        <item x="62"/>
        <item x="60"/>
        <item x="45"/>
        <item x="35"/>
        <item x="74"/>
        <item x="59"/>
        <item x="23"/>
        <item x="58"/>
        <item x="31"/>
        <item x="28"/>
        <item x="93"/>
        <item x="94"/>
        <item x="24"/>
        <item x="82"/>
        <item x="2"/>
        <item x="67"/>
        <item x="71"/>
        <item x="32"/>
        <item x="3"/>
        <item x="44"/>
        <item x="42"/>
        <item x="75"/>
        <item x="78"/>
        <item x="26"/>
        <item x="27"/>
        <item x="73"/>
        <item x="56"/>
        <item x="92"/>
        <item x="63"/>
        <item x="83"/>
        <item x="79"/>
        <item x="81"/>
        <item x="85"/>
        <item x="48"/>
        <item x="7"/>
        <item x="8"/>
        <item x="18"/>
        <item x="72"/>
        <item x="9"/>
        <item x="10"/>
        <item x="47"/>
        <item x="13"/>
        <item x="61"/>
        <item x="14"/>
        <item x="20"/>
        <item x="80"/>
        <item x="84"/>
        <item x="95"/>
        <item x="96"/>
        <item x="97"/>
        <item x="68"/>
        <item x="69"/>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591"/>
        <item x="408"/>
        <item x="409"/>
        <item x="410"/>
        <item x="411"/>
        <item x="412"/>
        <item x="413"/>
        <item x="414"/>
        <item x="415"/>
        <item x="416"/>
        <item x="417"/>
        <item x="418"/>
        <item x="419"/>
        <item x="421"/>
        <item x="422"/>
        <item x="423"/>
        <item x="424"/>
        <item x="425"/>
        <item x="426"/>
        <item x="427"/>
        <item x="428"/>
        <item x="429"/>
        <item x="430"/>
        <item x="431"/>
        <item x="432"/>
        <item x="433"/>
        <item x="586"/>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autoSortScope>
        <pivotArea dataOnly="0" outline="0" fieldPosition="0">
          <references count="1">
            <reference field="4294967294" count="1" selected="0">
              <x v="5"/>
            </reference>
          </references>
        </pivotArea>
      </autoSortScope>
    </pivotField>
    <pivotField showAll="0"/>
    <pivotField showAll="0"/>
    <pivotField dataField="1" showAll="0">
      <items count="6">
        <item m="1" x="4"/>
        <item x="0"/>
        <item x="1"/>
        <item x="2"/>
        <item x="3"/>
        <item t="default"/>
      </items>
    </pivotField>
    <pivotField dataField="1" showAll="0"/>
    <pivotField dataField="1" showAll="0">
      <items count="8">
        <item m="1" x="6"/>
        <item m="1" x="5"/>
        <item x="3"/>
        <item x="1"/>
        <item x="2"/>
        <item x="0"/>
        <item x="4"/>
        <item t="default"/>
      </items>
    </pivotField>
    <pivotField dataField="1" showAll="0"/>
    <pivotField dataField="1" showAll="0"/>
    <pivotField dataField="1" showAll="0">
      <items count="27">
        <item h="1" x="18"/>
        <item x="14"/>
        <item x="8"/>
        <item h="1" m="1" x="25"/>
        <item x="21"/>
        <item x="20"/>
        <item x="4"/>
        <item x="16"/>
        <item x="10"/>
        <item x="23"/>
        <item x="12"/>
        <item x="19"/>
        <item x="7"/>
        <item x="2"/>
        <item x="22"/>
        <item x="13"/>
        <item x="6"/>
        <item x="17"/>
        <item x="3"/>
        <item x="9"/>
        <item x="11"/>
        <item x="0"/>
        <item x="1"/>
        <item h="1" x="24"/>
        <item x="5"/>
        <item x="15"/>
        <item t="default"/>
      </items>
    </pivotField>
    <pivotField dataField="1" showAll="0"/>
    <pivotField showAll="0"/>
    <pivotField showAll="0"/>
  </pivotFields>
  <rowFields count="3">
    <field x="3"/>
    <field x="5"/>
    <field x="6"/>
  </rowFields>
  <rowItems count="1">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2">
    <format dxfId="182">
      <pivotArea type="all" dataOnly="0" outline="0" fieldPosition="0"/>
    </format>
    <format dxfId="181">
      <pivotArea outline="0" collapsedLevelsAreSubtotals="1" fieldPosition="0"/>
    </format>
    <format dxfId="180">
      <pivotArea field="3" type="button" dataOnly="0" labelOnly="1" outline="0" axis="axisRow" fieldPosition="0"/>
    </format>
    <format dxfId="179">
      <pivotArea dataOnly="0" labelOnly="1" fieldPosition="0">
        <references count="1">
          <reference field="3" count="0"/>
        </references>
      </pivotArea>
    </format>
    <format dxfId="178">
      <pivotArea dataOnly="0" labelOnly="1" grandRow="1" outline="0" fieldPosition="0"/>
    </format>
    <format dxfId="177">
      <pivotArea dataOnly="0" labelOnly="1" fieldPosition="0">
        <references count="2">
          <reference field="3" count="1" selected="0">
            <x v="5"/>
          </reference>
          <reference field="5" count="1">
            <x v="2"/>
          </reference>
        </references>
      </pivotArea>
    </format>
    <format dxfId="176">
      <pivotArea dataOnly="0" labelOnly="1" fieldPosition="0">
        <references count="2">
          <reference field="3" count="1" selected="0">
            <x v="0"/>
          </reference>
          <reference field="5" count="1">
            <x v="3"/>
          </reference>
        </references>
      </pivotArea>
    </format>
    <format dxfId="175">
      <pivotArea dataOnly="0" labelOnly="1" fieldPosition="0">
        <references count="2">
          <reference field="3" count="1" selected="0">
            <x v="4"/>
          </reference>
          <reference field="5" count="1">
            <x v="0"/>
          </reference>
        </references>
      </pivotArea>
    </format>
    <format dxfId="174">
      <pivotArea dataOnly="0" labelOnly="1" fieldPosition="0">
        <references count="2">
          <reference field="3" count="1" selected="0">
            <x v="6"/>
          </reference>
          <reference field="5" count="1">
            <x v="5"/>
          </reference>
        </references>
      </pivotArea>
    </format>
    <format dxfId="173">
      <pivotArea dataOnly="0" labelOnly="1" fieldPosition="0">
        <references count="2">
          <reference field="3" count="1" selected="0">
            <x v="7"/>
          </reference>
          <reference field="5" count="1">
            <x v="1"/>
          </reference>
        </references>
      </pivotArea>
    </format>
    <format dxfId="172">
      <pivotArea dataOnly="0" labelOnly="1" fieldPosition="0">
        <references count="2">
          <reference field="3" count="1" selected="0">
            <x v="3"/>
          </reference>
          <reference field="5" count="1">
            <x v="6"/>
          </reference>
        </references>
      </pivotArea>
    </format>
    <format dxfId="171">
      <pivotArea dataOnly="0" labelOnly="1" fieldPosition="0">
        <references count="2">
          <reference field="3" count="1" selected="0">
            <x v="1"/>
          </reference>
          <reference field="5" count="1">
            <x v="7"/>
          </reference>
        </references>
      </pivotArea>
    </format>
    <format dxfId="170">
      <pivotArea dataOnly="0" labelOnly="1" fieldPosition="0">
        <references count="2">
          <reference field="3" count="1" selected="0">
            <x v="2"/>
          </reference>
          <reference field="5" count="1">
            <x v="4"/>
          </reference>
        </references>
      </pivotArea>
    </format>
    <format dxfId="169">
      <pivotArea dataOnly="0" labelOnly="1" fieldPosition="0">
        <references count="3">
          <reference field="3" count="1" selected="0">
            <x v="5"/>
          </reference>
          <reference field="5" count="1" selected="0">
            <x v="2"/>
          </reference>
          <reference field="6" count="23">
            <x v="10"/>
            <x v="21"/>
            <x v="26"/>
            <x v="31"/>
            <x v="35"/>
            <x v="37"/>
            <x v="38"/>
            <x v="39"/>
            <x v="41"/>
            <x v="50"/>
            <x v="56"/>
            <x v="57"/>
            <x v="59"/>
            <x v="62"/>
            <x v="67"/>
            <x v="68"/>
            <x v="71"/>
            <x v="73"/>
            <x v="76"/>
            <x v="78"/>
            <x v="83"/>
            <x v="91"/>
            <x v="92"/>
          </reference>
        </references>
      </pivotArea>
    </format>
    <format dxfId="168">
      <pivotArea dataOnly="0" labelOnly="1" fieldPosition="0">
        <references count="3">
          <reference field="3" count="1" selected="0">
            <x v="0"/>
          </reference>
          <reference field="5" count="1" selected="0">
            <x v="3"/>
          </reference>
          <reference field="6" count="21">
            <x v="0"/>
            <x v="13"/>
            <x v="17"/>
            <x v="22"/>
            <x v="23"/>
            <x v="24"/>
            <x v="32"/>
            <x v="34"/>
            <x v="36"/>
            <x v="44"/>
            <x v="45"/>
            <x v="52"/>
            <x v="54"/>
            <x v="55"/>
            <x v="58"/>
            <x v="69"/>
            <x v="70"/>
            <x v="82"/>
            <x v="87"/>
            <x v="89"/>
            <x v="90"/>
          </reference>
        </references>
      </pivotArea>
    </format>
    <format dxfId="167">
      <pivotArea dataOnly="0" labelOnly="1" fieldPosition="0">
        <references count="3">
          <reference field="3" count="1" selected="0">
            <x v="4"/>
          </reference>
          <reference field="5" count="1" selected="0">
            <x v="0"/>
          </reference>
          <reference field="6" count="17">
            <x v="5"/>
            <x v="6"/>
            <x v="7"/>
            <x v="8"/>
            <x v="12"/>
            <x v="14"/>
            <x v="18"/>
            <x v="19"/>
            <x v="20"/>
            <x v="25"/>
            <x v="27"/>
            <x v="33"/>
            <x v="48"/>
            <x v="65"/>
            <x v="66"/>
            <x v="79"/>
            <x v="86"/>
          </reference>
        </references>
      </pivotArea>
    </format>
    <format dxfId="166">
      <pivotArea dataOnly="0" labelOnly="1" fieldPosition="0">
        <references count="3">
          <reference field="3" count="1" selected="0">
            <x v="6"/>
          </reference>
          <reference field="5" count="1" selected="0">
            <x v="5"/>
          </reference>
          <reference field="6" count="10">
            <x v="15"/>
            <x v="28"/>
            <x v="43"/>
            <x v="46"/>
            <x v="47"/>
            <x v="51"/>
            <x v="53"/>
            <x v="61"/>
            <x v="74"/>
            <x v="88"/>
          </reference>
        </references>
      </pivotArea>
    </format>
    <format dxfId="165">
      <pivotArea dataOnly="0" labelOnly="1" fieldPosition="0">
        <references count="3">
          <reference field="3" count="1" selected="0">
            <x v="7"/>
          </reference>
          <reference field="5" count="1" selected="0">
            <x v="1"/>
          </reference>
          <reference field="6" count="8">
            <x v="1"/>
            <x v="2"/>
            <x v="3"/>
            <x v="11"/>
            <x v="60"/>
            <x v="64"/>
            <x v="80"/>
            <x v="81"/>
          </reference>
        </references>
      </pivotArea>
    </format>
    <format dxfId="164">
      <pivotArea dataOnly="0" labelOnly="1" fieldPosition="0">
        <references count="3">
          <reference field="3" count="1" selected="0">
            <x v="3"/>
          </reference>
          <reference field="5" count="1" selected="0">
            <x v="6"/>
          </reference>
          <reference field="6" count="7">
            <x v="4"/>
            <x v="9"/>
            <x v="29"/>
            <x v="30"/>
            <x v="42"/>
            <x v="49"/>
            <x v="63"/>
          </reference>
        </references>
      </pivotArea>
    </format>
    <format dxfId="163">
      <pivotArea dataOnly="0" labelOnly="1" fieldPosition="0">
        <references count="3">
          <reference field="3" count="1" selected="0">
            <x v="1"/>
          </reference>
          <reference field="5" count="1" selected="0">
            <x v="7"/>
          </reference>
          <reference field="6" count="2">
            <x v="84"/>
            <x v="85"/>
          </reference>
        </references>
      </pivotArea>
    </format>
    <format dxfId="162">
      <pivotArea dataOnly="0" labelOnly="1" fieldPosition="0">
        <references count="3">
          <reference field="3" count="1" selected="0">
            <x v="2"/>
          </reference>
          <reference field="5" count="1" selected="0">
            <x v="4"/>
          </reference>
          <reference field="6" count="1">
            <x v="16"/>
          </reference>
        </references>
      </pivotArea>
    </format>
    <format dxfId="161">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86C5B-8262-2145-8341-C94A024F318A}" name="PivotTable15" cacheId="29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D7:AG113" firstHeaderRow="1" firstDataRow="3" firstDataCol="1"/>
  <pivotFields count="16">
    <pivotField numFmtId="164" showAll="0"/>
    <pivotField axis="axisCol" showAll="0">
      <items count="10">
        <item m="1" x="8"/>
        <item m="1" x="6"/>
        <item m="1" x="7"/>
        <item m="1" x="5"/>
        <item x="0"/>
        <item x="1"/>
        <item x="2"/>
        <item x="3"/>
        <item x="4"/>
        <item t="default"/>
      </items>
    </pivotField>
    <pivotField axis="axisRow" multipleItemSelectionAllowed="1" showAll="0">
      <items count="14">
        <item m="1" x="11"/>
        <item m="1" x="12"/>
        <item m="1" x="10"/>
        <item x="0"/>
        <item x="1"/>
        <item x="2"/>
        <item x="3"/>
        <item x="4"/>
        <item x="5"/>
        <item x="6"/>
        <item x="7"/>
        <item x="8"/>
        <item x="9"/>
        <item t="default"/>
      </items>
    </pivotField>
    <pivotField showAll="0"/>
    <pivotField showAll="0"/>
    <pivotField axis="axisRow" showAll="0">
      <items count="2">
        <item x="0"/>
        <item t="default"/>
      </items>
    </pivotField>
    <pivotField showAll="0"/>
    <pivotField showAll="0"/>
    <pivotField axis="axisRow" showAll="0">
      <items count="62">
        <item m="1" x="60"/>
        <item m="1" x="56"/>
        <item m="1" x="58"/>
        <item x="51"/>
        <item m="1" x="59"/>
        <item m="1" x="57"/>
        <item x="0"/>
        <item x="1"/>
        <item x="2"/>
        <item x="3"/>
        <item x="4"/>
        <item n="Kategorien und Funktoren in HA" m="1" x="55"/>
        <item x="6"/>
        <item x="7"/>
        <item x="8"/>
        <item x="9"/>
        <item x="10"/>
        <item x="11"/>
        <item n="Kategorien und Funktoren in HA2" x="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3"/>
        <item x="54"/>
        <item t="default"/>
      </items>
    </pivotField>
    <pivotField axis="axisCol" showAll="0">
      <items count="9">
        <item x="4"/>
        <item x="0"/>
        <item x="1"/>
        <item m="1" x="7"/>
        <item x="2"/>
        <item x="3"/>
        <item x="5"/>
        <item x="6"/>
        <item t="default"/>
      </items>
    </pivotField>
    <pivotField dataField="1" showAll="0"/>
    <pivotField showAll="0"/>
    <pivotField showAll="0"/>
    <pivotField showAll="0"/>
    <pivotField showAll="0"/>
    <pivotField axis="axisRow" showAll="0">
      <items count="15">
        <item x="2"/>
        <item x="0"/>
        <item x="1"/>
        <item x="3"/>
        <item x="4"/>
        <item x="5"/>
        <item x="6"/>
        <item x="7"/>
        <item x="8"/>
        <item x="9"/>
        <item x="10"/>
        <item x="11"/>
        <item x="12"/>
        <item x="13"/>
        <item t="default"/>
      </items>
    </pivotField>
  </pivotFields>
  <rowFields count="4">
    <field x="2"/>
    <field x="5"/>
    <field x="15"/>
    <field x="8"/>
  </rowFields>
  <rowItems count="104">
    <i>
      <x v="3"/>
    </i>
    <i r="1">
      <x/>
    </i>
    <i r="2">
      <x/>
    </i>
    <i r="3">
      <x v="22"/>
    </i>
    <i r="3">
      <x v="24"/>
    </i>
    <i r="2">
      <x v="1"/>
    </i>
    <i r="3">
      <x v="6"/>
    </i>
    <i r="3">
      <x v="7"/>
    </i>
    <i r="3">
      <x v="10"/>
    </i>
    <i r="3">
      <x v="23"/>
    </i>
    <i r="2">
      <x v="2"/>
    </i>
    <i r="3">
      <x v="8"/>
    </i>
    <i r="3">
      <x v="9"/>
    </i>
    <i>
      <x v="4"/>
    </i>
    <i r="1">
      <x/>
    </i>
    <i r="2">
      <x/>
    </i>
    <i r="3">
      <x v="12"/>
    </i>
    <i r="3">
      <x v="13"/>
    </i>
    <i r="3">
      <x v="14"/>
    </i>
    <i r="3">
      <x v="15"/>
    </i>
    <i r="3">
      <x v="16"/>
    </i>
    <i r="3">
      <x v="17"/>
    </i>
    <i r="3">
      <x v="18"/>
    </i>
    <i r="3">
      <x v="19"/>
    </i>
    <i r="3">
      <x v="20"/>
    </i>
    <i r="3">
      <x v="21"/>
    </i>
    <i>
      <x v="5"/>
    </i>
    <i r="1">
      <x/>
    </i>
    <i r="2">
      <x/>
    </i>
    <i r="3">
      <x v="25"/>
    </i>
    <i r="3">
      <x v="33"/>
    </i>
    <i r="2">
      <x v="3"/>
    </i>
    <i r="3">
      <x v="26"/>
    </i>
    <i r="3">
      <x v="27"/>
    </i>
    <i r="3">
      <x v="37"/>
    </i>
    <i r="3">
      <x v="48"/>
    </i>
    <i r="2">
      <x v="9"/>
    </i>
    <i r="3">
      <x v="47"/>
    </i>
    <i r="2">
      <x v="12"/>
    </i>
    <i r="3">
      <x v="3"/>
    </i>
    <i>
      <x v="6"/>
    </i>
    <i r="1">
      <x/>
    </i>
    <i r="2">
      <x/>
    </i>
    <i r="3">
      <x v="28"/>
    </i>
    <i r="3">
      <x v="29"/>
    </i>
    <i r="3">
      <x v="40"/>
    </i>
    <i r="3">
      <x v="45"/>
    </i>
    <i r="2">
      <x v="5"/>
    </i>
    <i r="3">
      <x v="32"/>
    </i>
    <i r="3">
      <x v="44"/>
    </i>
    <i r="3">
      <x v="55"/>
    </i>
    <i r="2">
      <x v="7"/>
    </i>
    <i r="3">
      <x v="41"/>
    </i>
    <i r="3">
      <x v="42"/>
    </i>
    <i r="3">
      <x v="43"/>
    </i>
    <i r="3">
      <x v="54"/>
    </i>
    <i>
      <x v="7"/>
    </i>
    <i r="1">
      <x/>
    </i>
    <i r="2">
      <x/>
    </i>
    <i r="3">
      <x v="30"/>
    </i>
    <i r="3">
      <x v="56"/>
    </i>
    <i r="2">
      <x v="4"/>
    </i>
    <i r="3">
      <x v="31"/>
    </i>
    <i r="2">
      <x v="11"/>
    </i>
    <i r="3">
      <x v="53"/>
    </i>
    <i r="2">
      <x v="12"/>
    </i>
    <i r="3">
      <x v="3"/>
    </i>
    <i>
      <x v="8"/>
    </i>
    <i r="1">
      <x/>
    </i>
    <i r="2">
      <x/>
    </i>
    <i r="3">
      <x v="34"/>
    </i>
    <i r="3">
      <x v="57"/>
    </i>
    <i r="2">
      <x v="8"/>
    </i>
    <i r="3">
      <x v="46"/>
    </i>
    <i r="3">
      <x v="60"/>
    </i>
    <i>
      <x v="9"/>
    </i>
    <i r="1">
      <x/>
    </i>
    <i r="2">
      <x/>
    </i>
    <i r="3">
      <x v="35"/>
    </i>
    <i r="2">
      <x v="6"/>
    </i>
    <i r="3">
      <x v="38"/>
    </i>
    <i r="3">
      <x v="49"/>
    </i>
    <i r="3">
      <x v="59"/>
    </i>
    <i r="2">
      <x v="12"/>
    </i>
    <i r="3">
      <x v="3"/>
    </i>
    <i>
      <x v="10"/>
    </i>
    <i r="1">
      <x/>
    </i>
    <i r="2">
      <x/>
    </i>
    <i r="3">
      <x v="36"/>
    </i>
    <i r="2">
      <x v="12"/>
    </i>
    <i r="3">
      <x v="3"/>
    </i>
    <i>
      <x v="11"/>
    </i>
    <i r="1">
      <x/>
    </i>
    <i r="2">
      <x/>
    </i>
    <i r="3">
      <x v="39"/>
    </i>
    <i>
      <x v="12"/>
    </i>
    <i r="1">
      <x/>
    </i>
    <i r="2">
      <x v="10"/>
    </i>
    <i r="3">
      <x v="50"/>
    </i>
    <i r="3">
      <x v="51"/>
    </i>
    <i r="3">
      <x v="52"/>
    </i>
    <i r="2">
      <x v="13"/>
    </i>
    <i r="3">
      <x v="58"/>
    </i>
    <i t="grand">
      <x/>
    </i>
  </rowItems>
  <colFields count="2">
    <field x="1"/>
    <field x="9"/>
  </colFields>
  <colItems count="29">
    <i>
      <x v="4"/>
      <x v="1"/>
    </i>
    <i r="1">
      <x v="2"/>
    </i>
    <i t="default">
      <x v="4"/>
    </i>
    <i>
      <x v="5"/>
      <x/>
    </i>
    <i r="1">
      <x v="1"/>
    </i>
    <i r="1">
      <x v="2"/>
    </i>
    <i r="1">
      <x v="4"/>
    </i>
    <i r="1">
      <x v="5"/>
    </i>
    <i r="1">
      <x v="6"/>
    </i>
    <i t="default">
      <x v="5"/>
    </i>
    <i>
      <x v="6"/>
      <x/>
    </i>
    <i r="1">
      <x v="1"/>
    </i>
    <i r="1">
      <x v="2"/>
    </i>
    <i r="1">
      <x v="4"/>
    </i>
    <i r="1">
      <x v="5"/>
    </i>
    <i r="1">
      <x v="7"/>
    </i>
    <i t="default">
      <x v="6"/>
    </i>
    <i>
      <x v="7"/>
      <x/>
    </i>
    <i r="1">
      <x v="1"/>
    </i>
    <i r="1">
      <x v="2"/>
    </i>
    <i r="1">
      <x v="5"/>
    </i>
    <i r="1">
      <x v="7"/>
    </i>
    <i t="default">
      <x v="7"/>
    </i>
    <i>
      <x v="8"/>
      <x/>
    </i>
    <i r="1">
      <x v="1"/>
    </i>
    <i r="1">
      <x v="5"/>
    </i>
    <i r="1">
      <x v="7"/>
    </i>
    <i t="default">
      <x v="8"/>
    </i>
    <i t="grand">
      <x/>
    </i>
  </colItems>
  <dataFields count="1">
    <dataField name="Summe von Tim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AAEABC-FEE3-524A-82AA-0C18D8E7C8F5}" name="PivotTable16" cacheId="28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5:C160" firstHeaderRow="1" firstDataRow="1" firstDataCol="1"/>
  <pivotFields count="7">
    <pivotField axis="axisRow" showAll="0">
      <items count="12">
        <item x="1"/>
        <item x="0"/>
        <item m="1" x="10"/>
        <item x="2"/>
        <item x="3"/>
        <item x="4"/>
        <item x="5"/>
        <item x="6"/>
        <item x="7"/>
        <item x="8"/>
        <item x="9"/>
        <item t="default"/>
      </items>
    </pivotField>
    <pivotField axis="axisRow" showAll="0">
      <items count="2">
        <item x="0"/>
        <item t="default"/>
      </items>
    </pivotField>
    <pivotField showAll="0"/>
    <pivotField showAll="0"/>
    <pivotField showAll="0"/>
    <pivotField showAll="0"/>
    <pivotField axis="axisRow" showAll="0">
      <items count="136">
        <item x="15"/>
        <item x="16"/>
        <item x="20"/>
        <item x="19"/>
        <item x="18"/>
        <item x="17"/>
        <item x="21"/>
        <item x="22"/>
        <item x="13"/>
        <item x="12"/>
        <item x="23"/>
        <item x="24"/>
        <item x="14"/>
        <item x="0"/>
        <item x="1"/>
        <item x="2"/>
        <item x="3"/>
        <item x="5"/>
        <item x="6"/>
        <item x="7"/>
        <item m="1" x="134"/>
        <item n="Kategorien und Funktoren in HA2" x="4"/>
        <item x="8"/>
        <item x="9"/>
        <item x="10"/>
        <item x="11"/>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s>
  <rowFields count="3">
    <field x="0"/>
    <field x="1"/>
    <field x="6"/>
  </rowFields>
  <rowItems count="155">
    <i>
      <x/>
    </i>
    <i r="1">
      <x/>
    </i>
    <i r="2">
      <x/>
    </i>
    <i r="2">
      <x v="1"/>
    </i>
    <i r="2">
      <x v="2"/>
    </i>
    <i r="2">
      <x v="3"/>
    </i>
    <i r="2">
      <x v="4"/>
    </i>
    <i r="2">
      <x v="5"/>
    </i>
    <i r="2">
      <x v="6"/>
    </i>
    <i r="2">
      <x v="7"/>
    </i>
    <i r="2">
      <x v="10"/>
    </i>
    <i r="2">
      <x v="11"/>
    </i>
    <i>
      <x v="1"/>
    </i>
    <i r="1">
      <x/>
    </i>
    <i r="2">
      <x v="8"/>
    </i>
    <i r="2">
      <x v="9"/>
    </i>
    <i r="2">
      <x v="12"/>
    </i>
    <i r="2">
      <x v="13"/>
    </i>
    <i r="2">
      <x v="14"/>
    </i>
    <i r="2">
      <x v="15"/>
    </i>
    <i r="2">
      <x v="16"/>
    </i>
    <i r="2">
      <x v="17"/>
    </i>
    <i r="2">
      <x v="18"/>
    </i>
    <i r="2">
      <x v="19"/>
    </i>
    <i r="2">
      <x v="21"/>
    </i>
    <i r="2">
      <x v="22"/>
    </i>
    <i r="2">
      <x v="23"/>
    </i>
    <i r="2">
      <x v="24"/>
    </i>
    <i r="2">
      <x v="25"/>
    </i>
    <i r="2">
      <x v="119"/>
    </i>
    <i>
      <x v="3"/>
    </i>
    <i r="1">
      <x/>
    </i>
    <i r="2">
      <x v="26"/>
    </i>
    <i r="2">
      <x v="27"/>
    </i>
    <i r="2">
      <x v="28"/>
    </i>
    <i r="2">
      <x v="29"/>
    </i>
    <i r="2">
      <x v="30"/>
    </i>
    <i r="2">
      <x v="31"/>
    </i>
    <i r="2">
      <x v="32"/>
    </i>
    <i r="2">
      <x v="69"/>
    </i>
    <i r="2">
      <x v="70"/>
    </i>
    <i>
      <x v="4"/>
    </i>
    <i r="1">
      <x/>
    </i>
    <i r="2">
      <x v="33"/>
    </i>
    <i r="2">
      <x v="34"/>
    </i>
    <i r="2">
      <x v="35"/>
    </i>
    <i r="2">
      <x v="36"/>
    </i>
    <i r="2">
      <x v="37"/>
    </i>
    <i r="2">
      <x v="38"/>
    </i>
    <i r="2">
      <x v="39"/>
    </i>
    <i r="2">
      <x v="40"/>
    </i>
    <i r="2">
      <x v="41"/>
    </i>
    <i r="2">
      <x v="42"/>
    </i>
    <i r="2">
      <x v="43"/>
    </i>
    <i r="2">
      <x v="44"/>
    </i>
    <i r="2">
      <x v="45"/>
    </i>
    <i r="2">
      <x v="46"/>
    </i>
    <i r="2">
      <x v="47"/>
    </i>
    <i r="2">
      <x v="48"/>
    </i>
    <i r="2">
      <x v="49"/>
    </i>
    <i r="2">
      <x v="50"/>
    </i>
    <i r="2">
      <x v="67"/>
    </i>
    <i r="2">
      <x v="68"/>
    </i>
    <i r="2">
      <x v="104"/>
    </i>
    <i r="2">
      <x v="105"/>
    </i>
    <i r="2">
      <x v="106"/>
    </i>
    <i r="2">
      <x v="107"/>
    </i>
    <i r="2">
      <x v="108"/>
    </i>
    <i r="2">
      <x v="109"/>
    </i>
    <i r="2">
      <x v="110"/>
    </i>
    <i r="2">
      <x v="111"/>
    </i>
    <i r="2">
      <x v="112"/>
    </i>
    <i r="2">
      <x v="113"/>
    </i>
    <i r="2">
      <x v="114"/>
    </i>
    <i r="2">
      <x v="115"/>
    </i>
    <i r="2">
      <x v="116"/>
    </i>
    <i r="2">
      <x v="128"/>
    </i>
    <i>
      <x v="5"/>
    </i>
    <i r="1">
      <x/>
    </i>
    <i r="2">
      <x v="51"/>
    </i>
    <i r="2">
      <x v="52"/>
    </i>
    <i r="2">
      <x v="53"/>
    </i>
    <i r="2">
      <x v="54"/>
    </i>
    <i r="2">
      <x v="55"/>
    </i>
    <i r="2">
      <x v="56"/>
    </i>
    <i r="2">
      <x v="57"/>
    </i>
    <i r="2">
      <x v="58"/>
    </i>
    <i r="2">
      <x v="59"/>
    </i>
    <i r="2">
      <x v="60"/>
    </i>
    <i r="2">
      <x v="61"/>
    </i>
    <i r="2">
      <x v="62"/>
    </i>
    <i r="2">
      <x v="63"/>
    </i>
    <i r="2">
      <x v="64"/>
    </i>
    <i r="2">
      <x v="65"/>
    </i>
    <i r="2">
      <x v="66"/>
    </i>
    <i r="2">
      <x v="125"/>
    </i>
    <i r="2">
      <x v="126"/>
    </i>
    <i r="2">
      <x v="127"/>
    </i>
    <i r="2">
      <x v="130"/>
    </i>
    <i>
      <x v="6"/>
    </i>
    <i r="1">
      <x/>
    </i>
    <i r="2">
      <x v="71"/>
    </i>
    <i r="2">
      <x v="72"/>
    </i>
    <i r="2">
      <x v="73"/>
    </i>
    <i r="2">
      <x v="74"/>
    </i>
    <i r="2">
      <x v="75"/>
    </i>
    <i r="2">
      <x v="76"/>
    </i>
    <i r="2">
      <x v="77"/>
    </i>
    <i r="2">
      <x v="117"/>
    </i>
    <i r="2">
      <x v="129"/>
    </i>
    <i r="2">
      <x v="134"/>
    </i>
    <i>
      <x v="7"/>
    </i>
    <i r="1">
      <x/>
    </i>
    <i r="2">
      <x v="78"/>
    </i>
    <i r="2">
      <x v="79"/>
    </i>
    <i r="2">
      <x v="80"/>
    </i>
    <i r="2">
      <x v="81"/>
    </i>
    <i r="2">
      <x v="82"/>
    </i>
    <i r="2">
      <x v="83"/>
    </i>
    <i r="2">
      <x v="84"/>
    </i>
    <i r="2">
      <x v="85"/>
    </i>
    <i r="2">
      <x v="86"/>
    </i>
    <i r="2">
      <x v="87"/>
    </i>
    <i r="2">
      <x v="88"/>
    </i>
    <i r="2">
      <x v="89"/>
    </i>
    <i r="2">
      <x v="90"/>
    </i>
    <i r="2">
      <x v="91"/>
    </i>
    <i r="2">
      <x v="93"/>
    </i>
    <i r="2">
      <x v="94"/>
    </i>
    <i r="2">
      <x v="118"/>
    </i>
    <i r="2">
      <x v="133"/>
    </i>
    <i>
      <x v="8"/>
    </i>
    <i r="1">
      <x/>
    </i>
    <i r="2">
      <x v="92"/>
    </i>
    <i>
      <x v="9"/>
    </i>
    <i r="1">
      <x/>
    </i>
    <i r="2">
      <x v="95"/>
    </i>
    <i r="2">
      <x v="96"/>
    </i>
    <i r="2">
      <x v="97"/>
    </i>
    <i r="2">
      <x v="98"/>
    </i>
    <i r="2">
      <x v="99"/>
    </i>
    <i r="2">
      <x v="100"/>
    </i>
    <i r="2">
      <x v="101"/>
    </i>
    <i r="2">
      <x v="102"/>
    </i>
    <i r="2">
      <x v="103"/>
    </i>
    <i>
      <x v="10"/>
    </i>
    <i r="1">
      <x/>
    </i>
    <i r="2">
      <x v="120"/>
    </i>
    <i r="2">
      <x v="121"/>
    </i>
    <i r="2">
      <x v="122"/>
    </i>
    <i r="2">
      <x v="123"/>
    </i>
    <i r="2">
      <x v="124"/>
    </i>
    <i r="2">
      <x v="131"/>
    </i>
    <i r="2">
      <x v="1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1F33DB-F108-E740-A9A4-604031D4381E}" name="PivotTable14" cacheId="29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rowHeaderCaption="KW">
  <location ref="B3:K62" firstHeaderRow="0" firstDataRow="1" firstDataCol="1"/>
  <pivotFields count="30">
    <pivotField axis="axisRow" showAll="0">
      <items count="8">
        <item x="0"/>
        <item m="1" x="6"/>
        <item x="2"/>
        <item x="1"/>
        <item x="3"/>
        <item x="4"/>
        <item x="5"/>
        <item t="default"/>
      </items>
    </pivotField>
    <pivotField axis="axisRow" showAll="0">
      <items count="23">
        <item x="4"/>
        <item m="1" x="15"/>
        <item m="1" x="18"/>
        <item m="1" x="19"/>
        <item x="10"/>
        <item m="1" x="16"/>
        <item m="1" x="20"/>
        <item m="1" x="21"/>
        <item m="1" x="14"/>
        <item m="1" x="17"/>
        <item x="0"/>
        <item x="1"/>
        <item x="2"/>
        <item x="3"/>
        <item x="5"/>
        <item x="6"/>
        <item x="7"/>
        <item x="8"/>
        <item x="9"/>
        <item x="11"/>
        <item x="12"/>
        <item x="13"/>
        <item t="default"/>
      </items>
    </pivotField>
    <pivotField numFmtId="165" showAll="0"/>
    <pivotField showAll="0"/>
    <pivotField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numFmtId="165" showAll="0"/>
    <pivotField showAll="0"/>
    <pivotField dataField="1"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dataField="1" numFmtId="165" showAll="0"/>
    <pivotField dataField="1" numFmtId="165" showAll="0"/>
    <pivotField dataField="1" numFmtId="165" showAll="0"/>
    <pivotField dataField="1" numFmtId="165" showAll="0"/>
  </pivotFields>
  <rowFields count="2">
    <field x="0"/>
    <field x="1"/>
  </rowFields>
  <rowItems count="59">
    <i>
      <x/>
    </i>
    <i r="1">
      <x v="10"/>
    </i>
    <i r="1">
      <x v="11"/>
    </i>
    <i>
      <x v="2"/>
    </i>
    <i r="1">
      <x/>
    </i>
    <i r="1">
      <x v="4"/>
    </i>
    <i r="1">
      <x v="10"/>
    </i>
    <i r="1">
      <x v="11"/>
    </i>
    <i r="1">
      <x v="12"/>
    </i>
    <i r="1">
      <x v="13"/>
    </i>
    <i r="1">
      <x v="14"/>
    </i>
    <i r="1">
      <x v="15"/>
    </i>
    <i r="1">
      <x v="16"/>
    </i>
    <i r="1">
      <x v="17"/>
    </i>
    <i r="1">
      <x v="18"/>
    </i>
    <i>
      <x v="3"/>
    </i>
    <i r="1">
      <x/>
    </i>
    <i r="1">
      <x v="4"/>
    </i>
    <i r="1">
      <x v="10"/>
    </i>
    <i r="1">
      <x v="11"/>
    </i>
    <i r="1">
      <x v="12"/>
    </i>
    <i r="1">
      <x v="13"/>
    </i>
    <i r="1">
      <x v="14"/>
    </i>
    <i r="1">
      <x v="15"/>
    </i>
    <i r="1">
      <x v="16"/>
    </i>
    <i r="1">
      <x v="17"/>
    </i>
    <i r="1">
      <x v="18"/>
    </i>
    <i>
      <x v="4"/>
    </i>
    <i r="1">
      <x/>
    </i>
    <i r="1">
      <x v="4"/>
    </i>
    <i r="1">
      <x v="11"/>
    </i>
    <i r="1">
      <x v="12"/>
    </i>
    <i r="1">
      <x v="14"/>
    </i>
    <i r="1">
      <x v="15"/>
    </i>
    <i r="1">
      <x v="16"/>
    </i>
    <i r="1">
      <x v="19"/>
    </i>
    <i r="1">
      <x v="20"/>
    </i>
    <i>
      <x v="5"/>
    </i>
    <i r="1">
      <x/>
    </i>
    <i r="1">
      <x v="4"/>
    </i>
    <i r="1">
      <x v="11"/>
    </i>
    <i r="1">
      <x v="12"/>
    </i>
    <i r="1">
      <x v="14"/>
    </i>
    <i r="1">
      <x v="15"/>
    </i>
    <i r="1">
      <x v="16"/>
    </i>
    <i r="1">
      <x v="19"/>
    </i>
    <i r="1">
      <x v="20"/>
    </i>
    <i>
      <x v="6"/>
    </i>
    <i r="1">
      <x/>
    </i>
    <i r="1">
      <x v="4"/>
    </i>
    <i r="1">
      <x v="11"/>
    </i>
    <i r="1">
      <x v="12"/>
    </i>
    <i r="1">
      <x v="14"/>
    </i>
    <i r="1">
      <x v="15"/>
    </i>
    <i r="1">
      <x v="16"/>
    </i>
    <i r="1">
      <x v="19"/>
    </i>
    <i r="1">
      <x v="20"/>
    </i>
    <i r="1">
      <x v="21"/>
    </i>
    <i t="grand">
      <x/>
    </i>
  </rowItems>
  <colFields count="1">
    <field x="-2"/>
  </colFields>
  <colItems count="9">
    <i>
      <x/>
    </i>
    <i i="1">
      <x v="1"/>
    </i>
    <i i="2">
      <x v="2"/>
    </i>
    <i i="3">
      <x v="3"/>
    </i>
    <i i="4">
      <x v="4"/>
    </i>
    <i i="5">
      <x v="5"/>
    </i>
    <i i="6">
      <x v="6"/>
    </i>
    <i i="7">
      <x v="7"/>
    </i>
    <i i="8">
      <x v="8"/>
    </i>
  </colItems>
  <dataFields count="9">
    <dataField name="Summe von VL-∆" fld="10" baseField="0" baseItem="0" numFmtId="165"/>
    <dataField name="Summe von EX-∆" fld="13" baseField="0" baseItem="0" numFmtId="165"/>
    <dataField name="Summe von ST-∆" fld="16" baseField="0" baseItem="0" numFmtId="165"/>
    <dataField name="Summe von AP-∆" fld="22" baseField="0" baseItem="0" numFmtId="165"/>
    <dataField name="Summe von PRES-∆" fld="25" baseField="0" baseItem="0" numFmtId="165"/>
    <dataField name="Summe von S" fld="26" baseField="0" baseItem="0" numFmtId="165"/>
    <dataField name="Summe von L" fld="27" baseField="0" baseItem="0" numFmtId="165"/>
    <dataField name="Summe von ∆" fld="28" baseField="0" baseItem="0" numFmtId="165"/>
    <dataField name="Summe von ∆*" fld="2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7" xr16:uid="{F368362D-195E-EC4E-B4CE-AC5BC6BE5761}" autoFormatId="16" applyNumberFormats="0" applyBorderFormats="0" applyFontFormats="0" applyPatternFormats="0" applyAlignmentFormats="0" applyWidthHeightFormats="0">
  <queryTableRefresh nextId="27">
    <queryTableFields count="22">
      <queryTableField id="1" name="Subject" tableColumnId="1"/>
      <queryTableField id="2" name="UnitID" tableColumnId="2"/>
      <queryTableField id="25" name="RowIndex" tableColumnId="23"/>
      <queryTableField id="21" name="LitID" tableColumnId="21"/>
      <queryTableField id="4" name="TopicID" tableColumnId="4"/>
      <queryTableField id="5" name="TopicIDCount" tableColumnId="5"/>
      <queryTableField id="22" name="TopicIndex" tableColumnId="22"/>
      <queryTableField id="6" name="Topic" tableColumnId="6"/>
      <queryTableField id="7" name="Content" tableColumnId="7"/>
      <queryTableField id="8" name="CTyp" tableColumnId="8"/>
      <queryTableField id="9" name="AQ-State" tableColumnId="9"/>
      <queryTableField id="10" name="Layer" tableColumnId="10"/>
      <queryTableField id="11" name="Comp" tableColumnId="11"/>
      <queryTableField id="12" name="RelInt" tableColumnId="12"/>
      <queryTableField id="13" name="RelId" tableColumnId="13"/>
      <queryTableField id="14" name="Cont" tableColumnId="14"/>
      <queryTableField id="15" name="Cint" tableColumnId="15"/>
      <queryTableField id="16" name="CID" tableColumnId="16"/>
      <queryTableField id="17" name="SYS-State" tableColumnId="17"/>
      <queryTableField id="18" name="Comments" tableColumnId="18"/>
      <queryTableField id="19" name="ParentTopic" tableColumnId="19"/>
      <queryTableField id="20" name="TopicPath"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W_Jahr" xr10:uid="{76F1C16E-CB4A-184B-83B7-32E275C54FFC}" sourceName="KW-Jahr">
  <pivotTables>
    <pivotTable tabId="13" name="PivotTable14"/>
  </pivotTables>
  <data>
    <tabular pivotCacheId="919049091">
      <items count="7">
        <i x="0" s="1"/>
        <i x="1" s="1"/>
        <i x="2" s="1"/>
        <i x="3"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3" xr10:uid="{E00BAD5F-3AFF-594A-9220-C956127E0FBE}" sourceName="Subject">
  <pivotTables>
    <pivotTable tabId="13" name="PivotTable14"/>
  </pivotTables>
  <data>
    <tabular pivotCacheId="919049091">
      <items count="22">
        <i x="13" s="1"/>
        <i x="11" s="1"/>
        <i x="4" s="1"/>
        <i x="1" s="1"/>
        <i x="3" s="1"/>
        <i x="7" s="1"/>
        <i x="6" s="1"/>
        <i x="12" s="1"/>
        <i x="10" s="1"/>
        <i x="2" s="1"/>
        <i x="8" s="1"/>
        <i x="9" s="1"/>
        <i x="0" s="1"/>
        <i x="5" s="1"/>
        <i x="15" s="1" nd="1"/>
        <i x="18" s="1" nd="1"/>
        <i x="19" s="1" nd="1"/>
        <i x="16" s="1" nd="1"/>
        <i x="20" s="1" nd="1"/>
        <i x="21" s="1" nd="1"/>
        <i x="14"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 xr10:uid="{D4DBE488-6140-7243-900E-651BEA81FD67}" sourceName="Subject">
  <pivotTables>
    <pivotTable tabId="16" name="PivotTable15"/>
  </pivotTables>
  <data>
    <tabular pivotCacheId="1706130249">
      <items count="13">
        <i x="9" s="1"/>
        <i x="5" s="1"/>
        <i x="8" s="1"/>
        <i x="2" s="1"/>
        <i x="1" s="1"/>
        <i x="3" s="1"/>
        <i x="4" s="1"/>
        <i x="6" s="1"/>
        <i x="0" s="1"/>
        <i x="7" s="1"/>
        <i x="11" s="1" nd="1"/>
        <i x="12" s="1"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hase" xr10:uid="{C88C38EB-4B28-F446-834F-22FCD710EC60}" sourceName="Phase">
  <pivotTables>
    <pivotTable tabId="16" name="PivotTable15"/>
  </pivotTables>
  <data>
    <tabular pivotCacheId="170613024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opic" xr10:uid="{D4CE14F1-CA82-1A48-A6B4-A11EAE839747}" sourceName="Topic">
  <pivotTables>
    <pivotTable tabId="25" name="PivotTable17"/>
  </pivotTables>
  <data>
    <tabular pivotCacheId="430805412">
      <items count="60">
        <i x="5"/>
        <i x="9"/>
        <i x="8"/>
        <i x="1"/>
        <i x="7"/>
        <i x="3"/>
        <i x="0"/>
        <i x="6"/>
        <i x="4"/>
        <i x="10"/>
        <i x="2"/>
        <i x="11"/>
        <i x="30" nd="1"/>
        <i x="28" nd="1"/>
        <i x="43" nd="1"/>
        <i x="45" nd="1"/>
        <i x="31" nd="1"/>
        <i x="12" nd="1"/>
        <i x="56" nd="1"/>
        <i x="42" nd="1"/>
        <i x="41" nd="1"/>
        <i x="34" nd="1"/>
        <i x="33" nd="1"/>
        <i x="18" nd="1"/>
        <i x="44" nd="1"/>
        <i x="39" nd="1"/>
        <i x="54" nd="1"/>
        <i x="25" nd="1"/>
        <i x="26" nd="1"/>
        <i x="24" nd="1"/>
        <i x="22" nd="1"/>
        <i x="37" nd="1"/>
        <i x="36" nd="1"/>
        <i x="59" nd="1"/>
        <i x="21" nd="1"/>
        <i x="38" nd="1"/>
        <i x="53" nd="1"/>
        <i x="49" nd="1"/>
        <i x="48" s="1" nd="1"/>
        <i x="46" nd="1"/>
        <i x="19" nd="1"/>
        <i x="58" nd="1"/>
        <i x="13" nd="1"/>
        <i x="40" nd="1"/>
        <i x="51" nd="1"/>
        <i x="35" nd="1"/>
        <i x="52" nd="1"/>
        <i x="29" nd="1"/>
        <i x="16" nd="1"/>
        <i x="14" nd="1"/>
        <i x="15" nd="1"/>
        <i x="55" nd="1"/>
        <i x="57" nd="1"/>
        <i x="47" nd="1"/>
        <i x="32" nd="1"/>
        <i x="50" nd="1"/>
        <i x="23" nd="1"/>
        <i x="17" nd="1"/>
        <i x="27" nd="1"/>
        <i x="20"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 xr10:uid="{04009406-B92F-0A46-A40C-D681A497196B}" sourceName="Layer">
  <pivotTables>
    <pivotTable tabId="25" name="PivotTable17"/>
  </pivotTables>
  <data>
    <tabular pivotCacheId="430805412">
      <items count="5">
        <i x="4" s="1" nd="1"/>
        <i x="0" s="1" nd="1"/>
        <i x="1"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RelInt" xr10:uid="{CEECDBAC-BDBD-E749-BFC9-0822EF8B64AA}" sourceName="RelInt">
  <pivotTables>
    <pivotTable tabId="25" name="PivotTable17"/>
  </pivotTables>
  <data>
    <tabular pivotCacheId="430805412">
      <items count="7">
        <i x="6" s="1" nd="1"/>
        <i x="5" s="1" nd="1"/>
        <i x="3" s="1" nd="1"/>
        <i x="1" s="1" nd="1"/>
        <i x="2" s="1" nd="1"/>
        <i x="0" s="1" nd="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int" xr10:uid="{4B41BE2C-AE4C-624E-9642-90EEE50684CB}" sourceName="Cint">
  <pivotTables>
    <pivotTable tabId="25" name="PivotTable17"/>
  </pivotTables>
  <data>
    <tabular pivotCacheId="430805412">
      <items count="26">
        <i x="18"/>
        <i x="14" s="1" nd="1"/>
        <i x="8" s="1" nd="1"/>
        <i x="25" nd="1"/>
        <i x="21" s="1" nd="1"/>
        <i x="20" s="1" nd="1"/>
        <i x="4" s="1" nd="1"/>
        <i x="16" s="1" nd="1"/>
        <i x="10" s="1" nd="1"/>
        <i x="23" s="1" nd="1"/>
        <i x="12" s="1" nd="1"/>
        <i x="19" s="1" nd="1"/>
        <i x="7" s="1" nd="1"/>
        <i x="2" s="1" nd="1"/>
        <i x="22" s="1" nd="1"/>
        <i x="13" s="1" nd="1"/>
        <i x="6" s="1" nd="1"/>
        <i x="17" s="1" nd="1"/>
        <i x="3" s="1" nd="1"/>
        <i x="9" s="1" nd="1"/>
        <i x="11" s="1" nd="1"/>
        <i x="0" s="1" nd="1"/>
        <i x="1" s="1" nd="1"/>
        <i x="24" nd="1"/>
        <i x="5"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1" xr10:uid="{935D4927-ED36-8B43-812B-41FCB193FB7A}" sourceName="Subject">
  <pivotTables>
    <pivotTable tabId="26" name="PivotTable1"/>
  </pivotTables>
  <data>
    <tabular pivotCacheId="430805412">
      <items count="11">
        <i x="5"/>
        <i x="9"/>
        <i x="6"/>
        <i x="8"/>
        <i x="2"/>
        <i x="0"/>
        <i x="3" s="1"/>
        <i x="4"/>
        <i x="7"/>
        <i x="1"/>
        <i x="1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Typ" xr10:uid="{C5275769-4F7F-E04E-9F17-6E15B8D7AF9E}" sourceName="CTyp">
  <pivotTables>
    <pivotTable tabId="26" name="PivotTable1"/>
  </pivotTables>
  <data>
    <tabular pivotCacheId="430805412">
      <items count="13">
        <i x="10" s="1"/>
        <i x="0" s="1"/>
        <i x="2" s="1"/>
        <i x="11"/>
        <i x="5" s="1"/>
        <i x="6" s="1"/>
        <i x="9" s="1" nd="1"/>
        <i x="1" s="1" nd="1"/>
        <i x="12" s="1" nd="1"/>
        <i x="7" s="1" nd="1"/>
        <i x="8" s="1" nd="1"/>
        <i x="4"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1" xr10:uid="{4E997151-1403-9D48-A918-0BA6858E58A6}" sourceName="Layer">
  <pivotTables>
    <pivotTable tabId="26" name="PivotTable1"/>
  </pivotTables>
  <data>
    <tabular pivotCacheId="430805412">
      <items count="5">
        <i x="0" s="1"/>
        <i x="3" s="1"/>
        <i x="4"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1" xr10:uid="{842F6B3E-70A2-3A4F-8D5A-4DC95BF3465B}" cache="Datenschnitt_Subject1" caption="Subject" rowHeight="251883"/>
  <slicer name="CTyp" xr10:uid="{4D7B575C-8825-3240-A416-5A511634E7E0}" cache="Datenschnitt_CTyp" caption="CTyp" rowHeight="251883"/>
  <slicer name="Layer 1" xr10:uid="{04C5C21B-FB25-7547-97F1-972F502E4CE2}" cache="Datenschnitt_Layer1" caption="Lay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168A11B-CB4E-8D44-BC27-575D768EFC0D}" cache="Datenschnitt_Topic" caption="Topic" startItem="29" rowHeight="251883"/>
  <slicer name="Layer" xr10:uid="{DFA73933-AF31-684B-BF6D-05DF115F81ED}" cache="Datenschnitt_Layer" caption="Layer" rowHeight="251883"/>
  <slicer name="RelInt" xr10:uid="{43BB06AD-B7D2-C54E-BBE2-3A938227ED5C}" cache="Datenschnitt_RelInt" caption="RelInt" rowHeight="251883"/>
  <slicer name="Cint" xr10:uid="{66854D58-954F-6343-9CF2-681322B53F20}" cache="Datenschnitt_Cint" caption="Cint" startItem="5"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FCC184BA-EE6B-8D49-8E84-8DFA5CEF1897}" cache="Datenschnitt_Subject" caption="Subject" rowHeight="251883"/>
  <slicer name="Phase" xr10:uid="{1494E588-35A7-8C47-B1B2-EB6729EDD58A}" cache="Datenschnitt_Phase" caption="Phas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W-Jahr" xr10:uid="{3112E881-102D-DA43-A76E-2FAA1C6CF063}" cache="Datenschnitt_KW_Jahr" caption="KW-Jahr" rowHeight="251883"/>
  <slicer name="Subject 6" xr10:uid="{750B07D8-E728-5A48-86EF-DE97389C3110}" cache="Datenschnitt_Subject3" caption="Subject" startItem="2" rowHeight="251883"/>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5ABB9-6A6E-1844-95DD-BC37C41778EF}" name="tbl_TOPIC" displayName="tbl_TOPIC" ref="B2:I136" totalsRowShown="0">
  <autoFilter ref="B2:I136" xr:uid="{C725ABB9-6A6E-1844-95DD-BC37C41778EF}"/>
  <sortState xmlns:xlrd2="http://schemas.microsoft.com/office/spreadsheetml/2017/richdata2" ref="B3:I26">
    <sortCondition ref="E2:E26"/>
  </sortState>
  <tableColumns count="8">
    <tableColumn id="1" xr3:uid="{1D83675A-0FD6-C047-8E7F-25EE6F0A27AF}" name="Subject"/>
    <tableColumn id="7" xr3:uid="{3EDA59E8-6AFD-8147-A23B-69E2CE359416}" name="Phase"/>
    <tableColumn id="8" xr3:uid="{8D0FE10F-8C01-114F-AE2B-60EA7453CD65}" name="Order"/>
    <tableColumn id="9" xr3:uid="{23229C23-23D9-D84D-A347-DDD543FEF14A}" name="TopicID" dataDxfId="26">
      <calculatedColumnFormula>tbl_TOPIC[[#This Row],[Subject]] &amp; "-" &amp; tbl_TOPIC[[#This Row],[Phase]] &amp; "-" &amp; TEXT(tbl_TOPIC[[#This Row],[Order]], "00")</calculatedColumnFormula>
    </tableColumn>
    <tableColumn id="6" xr3:uid="{02564BB2-0EBE-3047-9702-A6F7FD9F11A5}" name="TopicIndex" dataDxfId="4">
      <calculatedColumnFormula>RIGHT(tbl_TOPIC[[#This Row],[TopicID]], 2)</calculatedColumnFormula>
    </tableColumn>
    <tableColumn id="2" xr3:uid="{B4162ACC-F859-C441-A9F2-11C3BFF92CB1}" name="Topic"/>
    <tableColumn id="3" xr3:uid="{9433E892-5400-CD42-BBCF-7F419881A48A}" name="ParentTopic"/>
    <tableColumn id="4" xr3:uid="{0869B673-3D53-7A4E-9291-35B7FA1F0605}" name="TopicPath" dataDxfId="25">
      <calculatedColumnFormula>IF(ISBLANK(tbl_TOPIC[[#This Row],[ParentTopic]]), tbl_TOPIC[[#This Row],[Topic]], _xlfn.XLOOKUP(tbl_TOPIC[[#This Row],[ParentTopic]], tbl_TOPIC[Topic], tbl_TOPIC[TopicPath]) &amp; "/" &amp; tbl_TOPIC[[#This Row],[Topic]])</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98322-E31F-524D-8144-BAE95A764B0B}" name="tbl_SEIN" displayName="tbl_SEIN" ref="B2:Q82" totalsRowShown="0">
  <autoFilter ref="B2:Q82" xr:uid="{ECB98322-E31F-524D-8144-BAE95A764B0B}"/>
  <tableColumns count="16">
    <tableColumn id="1" xr3:uid="{B0BDB3E5-0477-6C42-B1F9-C663058DD9F7}" name="Date" dataDxfId="40"/>
    <tableColumn id="5" xr3:uid="{4BC1AC80-181C-0F4F-83F5-29709E1C908E}" name="Week" dataDxfId="39">
      <calculatedColumnFormula>TEXT(WEEKNUM(tbl_SEIN[[#This Row],[Date]], 2), "00") &amp; "-" &amp; YEAR(tbl_SEIN[[#This Row],[Date]])</calculatedColumnFormula>
    </tableColumn>
    <tableColumn id="2" xr3:uid="{9AEA456D-936D-F944-9928-6782C6AA5738}" name="Subject"/>
    <tableColumn id="18" xr3:uid="{5812D58E-1BDE-8A47-8562-8B8E91E4B369}" name="SubjectCount" dataDxfId="38">
      <calculatedColumnFormula array="1">SUM((tbl_SEIN[[#This Row],[Subject]]=INDEX(tbl_SEIN[Subject],1):tbl_SEIN[[#This Row],[Subject]])*1)</calculatedColumnFormula>
    </tableColumn>
    <tableColumn id="16" xr3:uid="{83172AB2-C048-1846-85A5-19EEE03421C7}" name="NoteID" dataDxfId="37">
      <calculatedColumnFormula>D3 &amp; "-" &amp; TEXT(E3, "00")</calculatedColumnFormula>
    </tableColumn>
    <tableColumn id="11" xr3:uid="{175895A0-2521-EE47-A27E-72FD5E366912}" name="Phase" dataDxfId="36"/>
    <tableColumn id="14" xr3:uid="{CDFD7C7F-F39D-2F4C-A6A8-FE0C59022D41}" name="Spalte1" dataDxfId="35">
      <calculatedColumnFormula>IF(tbl_SEIN[[#This Row],[Phase]]="", "", "Phase" &amp; tbl_SEIN[[#This Row],[Phase]])</calculatedColumnFormula>
    </tableColumn>
    <tableColumn id="19" xr3:uid="{F0179597-5409-1C4C-8EA2-4E3D4E1BCA76}" name="TopicID" dataDxfId="34">
      <calculatedColumnFormula>_xlfn.XLOOKUP(tbl_SEIN[[#This Row],[Topic]], tbl_TOPIC[Topic], tbl_TOPIC[TopicID], "")</calculatedColumnFormula>
    </tableColumn>
    <tableColumn id="6" xr3:uid="{E55C5964-9257-BB4E-BF4D-E88694C0FB3D}" name="Topic" dataDxfId="33"/>
    <tableColumn id="3" xr3:uid="{42863BBD-0B65-0745-87B0-FAD67BF22445}" name="Process"/>
    <tableColumn id="4" xr3:uid="{ED6C51A0-C937-1D4A-B22B-A24029E54C01}" name="Time" dataDxfId="32"/>
    <tableColumn id="12" xr3:uid="{406F7C8E-EFD4-0048-886E-CB56E049C383}" name="PredComp" dataDxfId="31"/>
    <tableColumn id="13" xr3:uid="{332E8DB7-7D71-7F4D-9003-4605C87C1B03}" name="ExpComp" dataDxfId="30"/>
    <tableColumn id="15" xr3:uid="{F4B9AC22-9B89-384F-9D6D-F6FBDBA70B28}" name="Relev" dataDxfId="29"/>
    <tableColumn id="17" xr3:uid="{6E71B335-7684-6B48-B6FF-F5C8D4670997}" name="TopicPath" dataDxfId="28">
      <calculatedColumnFormula>_xlfn.XLOOKUP(tbl_SEIN[[#This Row],[Topic]], tbl_TOPIC[Topic], tbl_TOPIC[TopicPath], "")</calculatedColumnFormula>
    </tableColumn>
    <tableColumn id="7" xr3:uid="{F99A32E4-07ED-D440-BF8D-BAE3DEF591CD}" name="TopicParent" dataDxfId="27">
      <calculatedColumnFormula>_xlfn.XLOOKUP(tbl_SEIN[[#This Row],[Topic]], tbl_TOPIC[Topic], tbl_TOPIC[ParentTopic], "")</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9ED4C-7840-5748-B211-F23E2AC2647F}" name="tbl_CONTENT" displayName="tbl_CONTENT" ref="C4:X598" totalsRowShown="0" dataDxfId="24">
  <autoFilter ref="C4:X598" xr:uid="{6BE9ED4C-7840-5748-B211-F23E2AC2647F}"/>
  <tableColumns count="22">
    <tableColumn id="1" xr3:uid="{5A908F32-ED2D-6B44-B48E-F765927236E0}" name="Subject" dataDxfId="23">
      <calculatedColumnFormula>_xlfn.XLOOKUP(tbl_CONTENT[[#This Row],[TopicID]], tbl_TOPIC[TopicID], tbl_TOPIC[Subject], "")</calculatedColumnFormula>
    </tableColumn>
    <tableColumn id="45" xr3:uid="{4CE93F93-29F3-6344-BE97-B284980039D6}" name="UnitID" dataDxfId="1">
      <calculatedColumnFormula>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calculatedColumnFormula>
    </tableColumn>
    <tableColumn id="15" xr3:uid="{23E4596F-718E-374C-B0ED-077D296CE6BC}" name="RowIndex" dataDxfId="2">
      <calculatedColumnFormula>ROW()</calculatedColumnFormula>
    </tableColumn>
    <tableColumn id="2" xr3:uid="{61F01C5F-4954-0840-9C42-581418F5387A}" name="LitID" dataDxfId="22"/>
    <tableColumn id="3" xr3:uid="{E9E99A15-EB54-8848-AE5A-4BCD11C34666}" name="TopicID" dataDxfId="21">
      <calculatedColumnFormula>_xlfn.XLOOKUP(tbl_CONTENT[[#This Row],[Topic]], tbl_TOPIC[Topic], tbl_TOPIC[TopicID], "")</calculatedColumnFormula>
    </tableColumn>
    <tableColumn id="14" xr3:uid="{473EDE4A-4B8E-5045-A00C-20398C8EC1D7}" name="TopicIDCount" dataDxfId="20">
      <calculatedColumnFormula array="1">SUM((tbl_CONTENT[[#This Row],[TopicID]]=INDEX(tbl_CONTENT[TopicID],1):tbl_CONTENT[[#This Row],[TopicID]])*1)</calculatedColumnFormula>
    </tableColumn>
    <tableColumn id="11" xr3:uid="{6A1237D7-DEE9-314F-B5E3-95AA93533ED5}" name="TopicIndex" dataDxfId="3">
      <calculatedColumnFormula>_xlfn.XLOOKUP(tbl_CONTENT[[#This Row],[Topic]], tbl_TOPIC[Topic], tbl_TOPIC[TopicIndex], "")</calculatedColumnFormula>
    </tableColumn>
    <tableColumn id="13" xr3:uid="{DEA73332-DEFE-0E42-BCD5-BB79E3E53E4E}" name="Topic" dataDxfId="19"/>
    <tableColumn id="4" xr3:uid="{D31AE625-8867-0B4E-B4B9-B68A6D62E1B8}" name="Content" dataDxfId="18"/>
    <tableColumn id="5" xr3:uid="{56182988-75A2-744C-9E88-EA3BFE259096}" name="CTyp" dataDxfId="17"/>
    <tableColumn id="8" xr3:uid="{286BD1E8-7C21-804A-BE07-CEDF025561FD}" name="AQ-State" dataDxfId="16"/>
    <tableColumn id="9" xr3:uid="{39DD9C8A-AF1E-DF46-AEEF-3F0DBF1586C2}" name="Layer" dataDxfId="15"/>
    <tableColumn id="16" xr3:uid="{A968EDF9-E94A-2242-AD25-EC418BE7AAAA}" name="Comp" dataDxfId="14"/>
    <tableColumn id="27" xr3:uid="{FCECCD77-B292-E34B-9674-295A2EDD7AEB}" name="RelInt" dataDxfId="13"/>
    <tableColumn id="28" xr3:uid="{888AA591-1AC8-9F4B-8B3E-9D3481DEFE86}" name="RelId" dataDxfId="12"/>
    <tableColumn id="17" xr3:uid="{5384DD29-A876-414E-AA03-742164B6772B}" name="Cont" dataDxfId="11"/>
    <tableColumn id="26" xr3:uid="{2730D2CD-9116-AC49-A144-C24E4C8CD937}" name="Cint" dataDxfId="10">
      <calculatedColumnFormula>IFERROR(
 (1.907*EXP(1)^(-0.5*tbl_CONTENT[[#This Row],[Layer]])) *
 ((tbl_CONTENT[[#This Row],[RelInt]]-1)^(2.5)*4^(1-2.5)+1) +
 ((tbl_CONTENT[[#This Row],[Comp]]-1)^(2.5)*4^(1-2.5)+1)*(0.5*((tbl_CONTENT[[#This Row],[RelInt]]-1)/4)^(2.5)+1),
 0
)</calculatedColumnFormula>
    </tableColumn>
    <tableColumn id="29" xr3:uid="{405F84FF-5683-0B42-B7C5-646BB762B2F9}" name="CID" dataDxfId="9">
      <calculatedColumnFormula>IFERROR(
 (1.907*EXP(1)^(-0.5*VALUE(tbl_CONTENT[[#This Row],[Layer]]))) *
 ((VALUE(tbl_CONTENT[[#This Row],[RelId]])-1)^(2.5)*4^(1-2.5)+1) +
 ((VALUE(tbl_CONTENT[[#This Row],[Comp]])-1)^(2.5)*4^(1-2.5)+1)*(0.5*((VALUE(tbl_CONTENT[[#This Row],[RelId]])-1)/4)^(2.5)+1),
 0
)</calculatedColumnFormula>
    </tableColumn>
    <tableColumn id="12" xr3:uid="{C1695563-CF2E-E343-9ABC-A4C59E667681}" name="SYS-State" dataDxfId="8"/>
    <tableColumn id="30" xr3:uid="{BA0F9437-8654-8448-8344-868E1C4E625F}" name="Comments" dataDxfId="7"/>
    <tableColumn id="6" xr3:uid="{63A331F8-F7B9-8B46-9584-C1041D80C260}" name="ParentTopic" dataDxfId="6">
      <calculatedColumnFormula>IFERROR(
  IF(_xlfn.XLOOKUP(tbl_CONTENT[[#This Row],[Topic]], tbl_TOPIC[Topic], tbl_TOPIC[ParentTopic])="", "",
       _xlfn.XLOOKUP(tbl_CONTENT[[#This Row],[Topic]], tbl_TOPIC[Topic], tbl_TOPIC[ParentTopic])),
  ""
)</calculatedColumnFormula>
    </tableColumn>
    <tableColumn id="7" xr3:uid="{E1A8CB3A-07DE-164B-8D39-0564120B4A9D}" name="TopicPath" dataDxfId="5">
      <calculatedColumnFormula>IFERROR(
  IF(_xlfn.XLOOKUP(tbl_CONTENT[[#This Row],[Topic]], tbl_TOPIC[Topic], tbl_TOPIC[TopicPath])="", "",
       _xlfn.XLOOKUP(tbl_CONTENT[[#This Row],[Topic]], tbl_TOPIC[Topic], tbl_TOPIC[TopicPath])),
  ""
)</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047219-126B-2843-BCDA-5A4368B2D0A0}" name="Abfrage" displayName="Abfrage" ref="A1:V595" tableType="queryTable" totalsRowShown="0">
  <autoFilter ref="A1:V595" xr:uid="{9D047219-126B-2843-BCDA-5A4368B2D0A0}"/>
  <tableColumns count="22">
    <tableColumn id="1" xr3:uid="{46615572-3301-2C49-AF9F-AD69C63E63BF}" uniqueName="1" name="Subject" queryTableFieldId="1"/>
    <tableColumn id="2" xr3:uid="{EA82E035-4A2A-3B4E-B953-44AD7D64663F}" uniqueName="2" name="UnitID" queryTableFieldId="2"/>
    <tableColumn id="23" xr3:uid="{43DB61FC-F427-2F4B-A053-90980F151052}" uniqueName="23" name="RowIndex" queryTableFieldId="25"/>
    <tableColumn id="21" xr3:uid="{F7F7D29E-6072-7A4D-B088-BADB7061DDB7}" uniqueName="21" name="LitID" queryTableFieldId="21"/>
    <tableColumn id="4" xr3:uid="{8FC0000C-4394-F74A-AC34-6E18E1FCDF50}" uniqueName="4" name="TopicID" queryTableFieldId="4"/>
    <tableColumn id="5" xr3:uid="{AEF013D3-5191-E743-919B-96A801FD2B4F}" uniqueName="5" name="TopicIDCount" queryTableFieldId="5"/>
    <tableColumn id="22" xr3:uid="{8B998925-4453-CF44-A1D3-96C58504E76C}" uniqueName="22" name="TopicIndex" queryTableFieldId="22"/>
    <tableColumn id="6" xr3:uid="{BBE39616-80F7-F340-999F-DA1CBBBDF9AD}" uniqueName="6" name="Topic" queryTableFieldId="6"/>
    <tableColumn id="7" xr3:uid="{F7FB25FC-A0C3-E140-AA03-3F5DDD21F0D6}" uniqueName="7" name="Content" queryTableFieldId="7"/>
    <tableColumn id="8" xr3:uid="{A1B71B8F-90F5-2141-A039-D127D89B3703}" uniqueName="8" name="CTyp" queryTableFieldId="8"/>
    <tableColumn id="9" xr3:uid="{DB810967-D909-BA4E-8296-96D53F5713EC}" uniqueName="9" name="AQ-State" queryTableFieldId="9"/>
    <tableColumn id="10" xr3:uid="{50D800DD-353A-E34C-8531-9B4CE8C6B07A}" uniqueName="10" name="Layer" queryTableFieldId="10"/>
    <tableColumn id="11" xr3:uid="{68CA5C50-1872-7841-8F7E-1B066841D588}" uniqueName="11" name="Comp" queryTableFieldId="11"/>
    <tableColumn id="12" xr3:uid="{6BC43DF0-6E77-4346-BADD-42CFEA84D9C0}" uniqueName="12" name="RelInt" queryTableFieldId="12"/>
    <tableColumn id="13" xr3:uid="{FA1B07D4-FEE3-334C-8FD1-58ED4CFFF0F2}" uniqueName="13" name="RelId" queryTableFieldId="13"/>
    <tableColumn id="14" xr3:uid="{40CCDED6-0C97-A14C-B0E2-4F8D9B778D12}" uniqueName="14" name="Cont" queryTableFieldId="14"/>
    <tableColumn id="15" xr3:uid="{65BA6AF1-A049-744E-B0BE-220D0CB577EB}" uniqueName="15" name="Cint" queryTableFieldId="15"/>
    <tableColumn id="16" xr3:uid="{DCF683E7-C3E0-6D4E-A047-536FAFC9C89D}" uniqueName="16" name="CID" queryTableFieldId="16"/>
    <tableColumn id="17" xr3:uid="{75A7ED34-D82A-6F47-BF4A-5E954A9FEEE3}" uniqueName="17" name="SYS-State" queryTableFieldId="17"/>
    <tableColumn id="18" xr3:uid="{3054C17F-083D-0E47-B2C4-EE76E5617698}" uniqueName="18" name="Comments" queryTableFieldId="18"/>
    <tableColumn id="19" xr3:uid="{197FD85C-4315-E14F-B5A3-B7634F841B08}" uniqueName="19" name="ParentTopic" queryTableFieldId="19" dataDxfId="0"/>
    <tableColumn id="20" xr3:uid="{12B5BC7D-3269-2841-A2C4-43641F509C72}" uniqueName="20" name="TopicPath" queryTableFieldId="20"/>
  </tableColumns>
  <tableStyleInfo name="TableStyleLight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B9E424-D27B-2343-8EAA-EA83290C41DE}" name="tbl_AUSWERTUNG" displayName="tbl_AUSWERTUNG" ref="B9:AE61" headerRowDxfId="160" dataDxfId="159" totalsRowDxfId="158">
  <autoFilter ref="B9:AE61" xr:uid="{84B9E424-D27B-2343-8EAA-EA83290C41DE}"/>
  <tableColumns count="30">
    <tableColumn id="1" xr3:uid="{951E3833-AE90-9F49-9609-852A0C16C484}" name="KW-Jahr" totalsRowLabel="Ergebnis" dataDxfId="157"/>
    <tableColumn id="2" xr3:uid="{A96F14D5-CA5B-7840-A2C6-76E5FB575C7A}" name="Subject" dataDxfId="156"/>
    <tableColumn id="3" xr3:uid="{9DB526D7-3689-7A4F-BF23-5002945C4D84}" name="AQ-S" dataDxfId="155" totalsRowDxfId="154">
      <calculatedColumnFormula>SUMIFS(tbl_SEIN[Time],
            tbl_SEIN[Week], $B10,
            tbl_SEIN[Subject], $C10,
            tbl_SEIN[Process], D$9)</calculatedColumnFormula>
    </tableColumn>
    <tableColumn id="4" xr3:uid="{9256B60F-838A-CD49-BFB6-5697DEFBE731}" name="AQ-L" dataDxfId="153" totalsRowDxfId="152"/>
    <tableColumn id="5" xr3:uid="{353591FB-B6EC-6545-94CA-F7D0D724691F}" name="AQ-∆" dataDxfId="151">
      <calculatedColumnFormula>tbl_AUSWERTUNG[[#This Row],[AQ-S]]-tbl_AUSWERTUNG[[#This Row],[AQ-L]]</calculatedColumnFormula>
    </tableColumn>
    <tableColumn id="23" xr3:uid="{2C04A465-474F-8E46-98DA-691F3DF6D167}" name="MON-S" dataDxfId="150">
      <calculatedColumnFormula>SUMIFS(tbl_SEIN[Time],
            tbl_SEIN[Week], $B10,
            tbl_SEIN[Subject], $C10,
            tbl_SEIN[Process], G$9)</calculatedColumnFormula>
    </tableColumn>
    <tableColumn id="22" xr3:uid="{7BA568E2-9000-7F44-AC8E-1D93FDF0A7DF}" name="MON-L" dataDxfId="149"/>
    <tableColumn id="21" xr3:uid="{62BAF0F4-A2F0-F344-B9E1-962303461EFA}" name="MON-∆" dataDxfId="148">
      <calculatedColumnFormula>tbl_AUSWERTUNG[[#This Row],[MON-S]]-tbl_AUSWERTUNG[[#This Row],[MON-L]]</calculatedColumnFormula>
    </tableColumn>
    <tableColumn id="6" xr3:uid="{0182267E-F0D4-4F47-8262-38634D068A63}" name="VL-S" dataDxfId="147" totalsRowDxfId="146">
      <calculatedColumnFormula>SUMIFS(tbl_SEIN[Time],
            tbl_SEIN[Week], $B10,
            tbl_SEIN[Subject], $C10,
            tbl_SEIN[Process], J$9)</calculatedColumnFormula>
    </tableColumn>
    <tableColumn id="7" xr3:uid="{5D1A6456-0FBA-574F-954F-6D25BC66324D}" name="VL-L" dataDxfId="145" totalsRowDxfId="144"/>
    <tableColumn id="8" xr3:uid="{471BFCD0-7D9A-C045-BD24-A9DC2A2361E5}" name="VL-∆" dataDxfId="143" totalsRowDxfId="142">
      <calculatedColumnFormula>tbl_AUSWERTUNG[[#This Row],[VL-S]]-tbl_AUSWERTUNG[[#This Row],[VL-L]]</calculatedColumnFormula>
    </tableColumn>
    <tableColumn id="9" xr3:uid="{3E88718E-7181-5A47-A3E9-3400C209CDE4}" name="EX-S" dataDxfId="141" totalsRowDxfId="140">
      <calculatedColumnFormula>SUMIFS(tbl_SEIN[Time],
            tbl_SEIN[Week], $B10,
            tbl_SEIN[Subject], $C10,
            tbl_SEIN[Process], M$9)</calculatedColumnFormula>
    </tableColumn>
    <tableColumn id="10" xr3:uid="{F857429C-F7D1-0E49-B668-A36B15CD93CD}" name="EX-L" dataDxfId="139" totalsRowDxfId="138"/>
    <tableColumn id="11" xr3:uid="{4306B735-0957-A044-8BDC-0A4A211608D3}" name="EX-∆" dataDxfId="137" totalsRowDxfId="136">
      <calculatedColumnFormula>tbl_AUSWERTUNG[[#This Row],[EX-S]]-tbl_AUSWERTUNG[[#This Row],[EX-L]]</calculatedColumnFormula>
    </tableColumn>
    <tableColumn id="12" xr3:uid="{91ED57C9-EB78-B441-AAA5-D83D88B0ED19}" name="ST-S" dataDxfId="135" totalsRowDxfId="134">
      <calculatedColumnFormula>SUMIFS(tbl_SEIN[Time],
            tbl_SEIN[Week], $B10,
            tbl_SEIN[Subject], $C10,
            tbl_SEIN[Process], P$9)</calculatedColumnFormula>
    </tableColumn>
    <tableColumn id="13" xr3:uid="{CDCE9D15-98AC-704D-AB77-D8CC00DD9D8A}" name="ST-L" dataDxfId="133" totalsRowDxfId="132"/>
    <tableColumn id="14" xr3:uid="{1D1428DD-39B9-0B47-9C72-76CBC8865B6A}" name="ST-∆" dataDxfId="131" totalsRowDxfId="130">
      <calculatedColumnFormula>tbl_AUSWERTUNG[[#This Row],[ST-S]]-tbl_AUSWERTUNG[[#This Row],[ST-L]]</calculatedColumnFormula>
    </tableColumn>
    <tableColumn id="15" xr3:uid="{0976D8DF-6866-3844-B8EA-D708F9F97AF5}" name="LRN-S" dataDxfId="129" totalsRowDxfId="128">
      <calculatedColumnFormula>SUMIFS(tbl_SEIN[Time],
            tbl_SEIN[Week], $B10,
            tbl_SEIN[Subject], $C10,
            tbl_SEIN[Process], S$9)</calculatedColumnFormula>
    </tableColumn>
    <tableColumn id="16" xr3:uid="{DA7BF54E-68C3-AC4D-BF03-0A13EDC88123}" name="LRN-L" dataDxfId="127" totalsRowDxfId="126"/>
    <tableColumn id="17" xr3:uid="{5B6658C2-5780-EF47-A81B-C460CC3E057D}" name="LRN-∆" dataDxfId="125" totalsRowDxfId="124">
      <calculatedColumnFormula>tbl_AUSWERTUNG[[#This Row],[LRN-S]]-tbl_AUSWERTUNG[[#This Row],[LRN-L]]</calculatedColumnFormula>
    </tableColumn>
    <tableColumn id="18" xr3:uid="{46CB4F27-010E-8F48-B7A0-73B6B56248C3}" name="AP-S" dataDxfId="123" totalsRowDxfId="122">
      <calculatedColumnFormula>SUMIFS(tbl_SEIN[Time],
            tbl_SEIN[Week], $B10,
            tbl_SEIN[Subject], $C10,
            tbl_SEIN[Process], V$9)</calculatedColumnFormula>
    </tableColumn>
    <tableColumn id="19" xr3:uid="{D2060AAD-0DE0-E946-BE74-77D3E9DA0990}" name="AP-L" dataDxfId="121" totalsRowDxfId="120"/>
    <tableColumn id="20" xr3:uid="{48BFB546-98AF-5141-98EB-E34C822E15EA}" name="AP-∆" dataDxfId="119" totalsRowDxfId="118">
      <calculatedColumnFormula>tbl_AUSWERTUNG[[#This Row],[AP-S]]-tbl_AUSWERTUNG[[#This Row],[AP-L]]</calculatedColumnFormula>
    </tableColumn>
    <tableColumn id="24" xr3:uid="{C4863EEA-67DF-E24D-9E78-7C07B31FD369}" name="PRES-S" dataDxfId="117">
      <calculatedColumnFormula>SUMIFS(tbl_SEIN[Time],
            tbl_SEIN[Week], $B10,
            tbl_SEIN[Subject], $C10,
            tbl_SEIN[Process], Y$9)</calculatedColumnFormula>
    </tableColumn>
    <tableColumn id="25" xr3:uid="{8A7BB308-D5D5-E84A-A29F-E1B6AD3790CE}" name="PRES-L" dataDxfId="116" totalsRowDxfId="115"/>
    <tableColumn id="26" xr3:uid="{C20DA585-C622-304A-B7B5-D99EB1953E8F}" name="PRES-∆" dataDxfId="114" totalsRowDxfId="113">
      <calculatedColumnFormula>tbl_AUSWERTUNG[[#This Row],[PRES-S]]-tbl_AUSWERTUNG[[#This Row],[PRES-L]]</calculatedColumnFormula>
    </tableColumn>
    <tableColumn id="27" xr3:uid="{054AC68C-E0AD-EE46-A293-0A729F91C4F1}" name="S" dataDxfId="112" totalsRowDxfId="111">
      <calculatedColumnFormula>SUM(D10,J10,M10,P10,S10,V10,Y10,G10)</calculatedColumnFormula>
    </tableColumn>
    <tableColumn id="28" xr3:uid="{7C4B8280-16F0-974C-A0E9-DA34E3F9C95D}" name="L" dataDxfId="110" totalsRowDxfId="109">
      <calculatedColumnFormula>SUM(E10,K10,N10,Q10,T10,W10,Z10,H10)</calculatedColumnFormula>
    </tableColumn>
    <tableColumn id="29" xr3:uid="{F4EF9949-0840-F74F-8C2A-396EC811C830}" name="∆" dataDxfId="108" totalsRowDxfId="107">
      <calculatedColumnFormula>tbl_AUSWERTUNG[[#This Row],[S]]-tbl_AUSWERTUNG[[#This Row],[L]]</calculatedColumnFormula>
    </tableColumn>
    <tableColumn id="30" xr3:uid="{538C0504-C005-5E4E-BDB6-12DF75009FAD}" name="∆*" totalsRowFunction="count" dataDxfId="106" totalsRowDxfId="105">
      <calculatedColumnFormula>tbl_AUSWERTUNG[[#This Row],[∆]]-SUM(L10,O10)</calculatedColumnFormula>
    </tableColumn>
  </tableColumns>
  <tableStyleInfo name="TableStyleLight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66D082-B578-9E45-8B3D-E1DAF88301A5}" name="Tabelle81116" displayName="Tabelle81116" ref="X75:AQ85" totalsRowCount="1" headerRowDxfId="104" dataDxfId="103" totalsRowDxfId="102">
  <autoFilter ref="X75:AQ84" xr:uid="{5C66D082-B578-9E45-8B3D-E1DAF88301A5}"/>
  <tableColumns count="20">
    <tableColumn id="1" xr3:uid="{616C766F-7659-3444-BF71-7942E077C885}" name="Subject" dataDxfId="101" totalsRowDxfId="100"/>
    <tableColumn id="2" xr3:uid="{B3F071D9-F7A6-1F4C-921D-279D4ACDE81A}" name="CP" totalsRowFunction="custom" dataDxfId="99" totalsRowDxfId="98">
      <totalsRowFormula>SUM(Y76:Y84)</totalsRowFormula>
    </tableColumn>
    <tableColumn id="3" xr3:uid="{0530B3D9-C2E1-624D-9C90-5B333D72748C}" name="Phase" dataDxfId="97" totalsRowDxfId="96"/>
    <tableColumn id="4" xr3:uid="{D2EE7BE9-2815-E84A-AF8F-AB50633029C3}" name="State (P2)" dataDxfId="95" totalsRowDxfId="94"/>
    <tableColumn id="5" xr3:uid="{02BFE7E3-68AD-4743-AA92-EBACFBA75311}" name="VL (h)" totalsRowFunction="custom" dataDxfId="93" totalsRowDxfId="92">
      <totalsRowFormula>SUBTOTAL(109,AB76:AB84)</totalsRowFormula>
    </tableColumn>
    <tableColumn id="6" xr3:uid="{6D2EC961-4511-4448-97D7-D84571E1041C}" name="ÜB (h)" totalsRowFunction="custom" dataDxfId="91" totalsRowDxfId="90">
      <totalsRowFormula>SUBTOTAL(109,AC76:AC84)</totalsRowFormula>
    </tableColumn>
    <tableColumn id="7" xr3:uid="{83D33FAE-A75C-F843-98F1-90584A8D7F90}" name="Tot (Vera.)" totalsRowFunction="custom" dataDxfId="89" totalsRowDxfId="88">
      <calculatedColumnFormula>SUM(AB76:AC76)</calculatedColumnFormula>
      <totalsRowFormula>SUBTOTAL(109,AD76:AD84)</totalsRowFormula>
    </tableColumn>
    <tableColumn id="22" xr3:uid="{3DC3D878-0ACA-B149-B049-169D8A391938}" name="_" dataDxfId="87" totalsRowDxfId="86"/>
    <tableColumn id="21" xr3:uid="{CF6CAE1F-A846-074C-94E7-F97D68BD426F}" name="Subject2" dataDxfId="85" totalsRowDxfId="84"/>
    <tableColumn id="8" xr3:uid="{D8AAF759-F9DE-804F-9043-DE05B6324AA0}" name="SAQ" totalsRowFunction="custom" dataDxfId="83" totalsRowDxfId="82">
      <totalsRowFormula>SUBTOTAL(109,AG76:AG84)</totalsRowFormula>
    </tableColumn>
    <tableColumn id="9" xr3:uid="{6EA44CC8-A12A-C140-BC02-D173C80C2060}" name="CAQ (VL)" totalsRowFunction="custom" dataDxfId="81" totalsRowDxfId="80">
      <totalsRowFormula>SUBTOTAL(109,AH76:AH84)</totalsRowFormula>
    </tableColumn>
    <tableColumn id="10" xr3:uid="{ECC0B2D4-CA7F-4F40-AF43-19343F262E5E}" name="CAQ (EX)" totalsRowFunction="custom" dataDxfId="79" totalsRowDxfId="78">
      <totalsRowFormula>SUBTOTAL(109,AI76:AI84)</totalsRowFormula>
    </tableColumn>
    <tableColumn id="11" xr3:uid="{9B4C3241-01DC-B34A-9723-EBA3CCD6C0C7}" name="CAQ (SS)" totalsRowFunction="custom" dataDxfId="77" totalsRowDxfId="76">
      <totalsRowFormula>SUBTOTAL(109,AJ76:AJ84)</totalsRowFormula>
    </tableColumn>
    <tableColumn id="12" xr3:uid="{51402162-D816-3E48-8BE9-AF83BADE8190}" name="Stud" totalsRowFunction="custom" dataDxfId="75" totalsRowDxfId="74">
      <totalsRowFormula>SUBTOTAL(109,AK76:AK84)</totalsRowFormula>
    </tableColumn>
    <tableColumn id="13" xr3:uid="{9168C634-EAE4-2742-A5C5-DFCBD90D19C4}" name="Exc" totalsRowFunction="custom" dataDxfId="73" totalsRowDxfId="72">
      <totalsRowFormula>SUBTOTAL(109,AL76:AL84)</totalsRowFormula>
    </tableColumn>
    <tableColumn id="14" xr3:uid="{6F60B46B-1FEA-7A47-B176-4C7CB61BDE09}" name="Rep" totalsRowFunction="custom" dataDxfId="71" totalsRowDxfId="70">
      <totalsRowFormula>SUBTOTAL(109,AM76:AM84)</totalsRowFormula>
    </tableColumn>
    <tableColumn id="15" xr3:uid="{55A1DDA8-7AF4-0145-8542-559400AEDC81}" name="Pres" totalsRowFunction="custom" dataDxfId="69" totalsRowDxfId="68">
      <totalsRowFormula>SUBTOTAL(109,AN76:AN84)</totalsRowFormula>
    </tableColumn>
    <tableColumn id="16" xr3:uid="{25795924-EB83-0741-A9C1-26E962CD7612}" name="Sum" totalsRowFunction="custom" dataDxfId="67" totalsRowDxfId="66">
      <calculatedColumnFormula>SUM(AG76:AN76)</calculatedColumnFormula>
      <totalsRowFormula>SUBTOTAL(109,AO76:AO84)</totalsRowFormula>
    </tableColumn>
    <tableColumn id="17" xr3:uid="{8FD94020-8DC9-B34D-9F8F-4812AAE57A0A}" name="Sum/M" totalsRowFunction="custom" dataDxfId="65" totalsRowDxfId="64">
      <calculatedColumnFormula>Tabelle81116[[#This Row],[Sum]]-SUM(Tabelle81116[[#This Row],[CAQ (VL)]:[CAQ (EX)]])</calculatedColumnFormula>
      <totalsRowFormula>SUM(AP76:AP84)</totalsRowFormula>
    </tableColumn>
    <tableColumn id="18" xr3:uid="{DB6207BD-A809-F74C-B4D3-09A52046BF44}" name="Subject22" dataDxfId="63" totalsRowDxfId="62"/>
  </tableColumns>
  <tableStyleInfo name="TableStyleLight1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48FF-0328-6643-A873-E721EDDBEC60}">
  <sheetPr codeName="Tabelle10"/>
  <dimension ref="B2:I136"/>
  <sheetViews>
    <sheetView workbookViewId="0">
      <selection activeCell="F3" sqref="F3"/>
    </sheetView>
    <sheetView workbookViewId="1"/>
  </sheetViews>
  <sheetFormatPr baseColWidth="10" defaultRowHeight="16" customHeight="1" x14ac:dyDescent="0.2"/>
  <cols>
    <col min="3" max="4" width="5.33203125" customWidth="1"/>
    <col min="5" max="5" width="11.5" customWidth="1"/>
    <col min="6" max="6" width="25.33203125" customWidth="1"/>
    <col min="7" max="7" width="23.6640625" customWidth="1"/>
    <col min="8" max="8" width="83.6640625" customWidth="1"/>
  </cols>
  <sheetData>
    <row r="2" spans="2:9" ht="16" customHeight="1" x14ac:dyDescent="0.2">
      <c r="B2" t="s">
        <v>6</v>
      </c>
      <c r="C2" t="s">
        <v>40</v>
      </c>
      <c r="D2" t="s">
        <v>156</v>
      </c>
      <c r="E2" t="s">
        <v>155</v>
      </c>
      <c r="F2" t="s">
        <v>1052</v>
      </c>
      <c r="G2" t="s">
        <v>93</v>
      </c>
      <c r="H2" t="s">
        <v>94</v>
      </c>
      <c r="I2" t="s">
        <v>95</v>
      </c>
    </row>
    <row r="3" spans="2:9" ht="16" customHeight="1" x14ac:dyDescent="0.2">
      <c r="B3" s="21" t="s">
        <v>119</v>
      </c>
      <c r="C3" s="21">
        <v>1</v>
      </c>
      <c r="D3" s="21"/>
      <c r="E3" s="21" t="str">
        <f>tbl_TOPIC[[#This Row],[Subject]] &amp; "-" &amp; tbl_TOPIC[[#This Row],[Phase]] &amp; "-" &amp; TEXT(tbl_TOPIC[[#This Row],[Order]], "00")</f>
        <v>HA-1-00</v>
      </c>
      <c r="F3" s="21" t="str">
        <f>RIGHT(tbl_TOPIC[[#This Row],[TopicID]], 2)</f>
        <v>00</v>
      </c>
      <c r="G3" t="s">
        <v>126</v>
      </c>
      <c r="H3" t="s">
        <v>125</v>
      </c>
      <c r="I3" s="22" t="str">
        <f>IF(ISBLANK(tbl_TOPIC[[#This Row],[ParentTopic]]), tbl_TOPIC[[#This Row],[Topic]], _xlfn.XLOOKUP(tbl_TOPIC[[#This Row],[ParentTopic]], tbl_TOPIC[Topic], tbl_TOPIC[TopicPath]) &amp; "/" &amp; tbl_TOPIC[[#This Row],[Topic]])</f>
        <v>Homologie mit Koeffizienten/Tensorprodukt von abelschen Gruppen (HmK)</v>
      </c>
    </row>
    <row r="4" spans="2:9" ht="16" customHeight="1" x14ac:dyDescent="0.2">
      <c r="B4" s="21" t="s">
        <v>119</v>
      </c>
      <c r="C4" s="21">
        <v>1</v>
      </c>
      <c r="D4" s="21"/>
      <c r="E4" s="21" t="str">
        <f>tbl_TOPIC[[#This Row],[Subject]] &amp; "-" &amp; tbl_TOPIC[[#This Row],[Phase]] &amp; "-" &amp; TEXT(tbl_TOPIC[[#This Row],[Order]], "00")</f>
        <v>HA-1-00</v>
      </c>
      <c r="F4" s="21" t="str">
        <f>RIGHT(tbl_TOPIC[[#This Row],[TopicID]], 2)</f>
        <v>00</v>
      </c>
      <c r="G4" t="s">
        <v>127</v>
      </c>
      <c r="H4" t="s">
        <v>125</v>
      </c>
      <c r="I4" s="22" t="str">
        <f>IF(ISBLANK(tbl_TOPIC[[#This Row],[ParentTopic]]), tbl_TOPIC[[#This Row],[Topic]], _xlfn.XLOOKUP(tbl_TOPIC[[#This Row],[ParentTopic]], tbl_TOPIC[Topic], tbl_TOPIC[TopicPath]) &amp; "/" &amp; tbl_TOPIC[[#This Row],[Topic]])</f>
        <v>Homologie mit Koeffizienten/Torsionsprodukt von abelschen Gruppen (HmK)</v>
      </c>
    </row>
    <row r="5" spans="2:9" ht="16" customHeight="1" x14ac:dyDescent="0.2">
      <c r="B5" s="21" t="s">
        <v>119</v>
      </c>
      <c r="C5" s="21">
        <v>1</v>
      </c>
      <c r="D5" s="21"/>
      <c r="E5" s="21" t="str">
        <f>tbl_TOPIC[[#This Row],[Subject]] &amp; "-" &amp; tbl_TOPIC[[#This Row],[Phase]] &amp; "-" &amp; TEXT(tbl_TOPIC[[#This Row],[Order]], "00")</f>
        <v>HA-1-00</v>
      </c>
      <c r="F5" s="21" t="str">
        <f>RIGHT(tbl_TOPIC[[#This Row],[TopicID]], 2)</f>
        <v>00</v>
      </c>
      <c r="G5" t="s">
        <v>128</v>
      </c>
      <c r="I5" s="22" t="str">
        <f>IF(ISBLANK(tbl_TOPIC[[#This Row],[ParentTopic]]), tbl_TOPIC[[#This Row],[Topic]], _xlfn.XLOOKUP(tbl_TOPIC[[#This Row],[ParentTopic]], tbl_TOPIC[Topic], tbl_TOPIC[TopicPath]) &amp; "/" &amp; tbl_TOPIC[[#This Row],[Topic]])</f>
        <v>Homologisches Kreuzprodukt (HA)</v>
      </c>
    </row>
    <row r="6" spans="2:9" ht="16" customHeight="1" x14ac:dyDescent="0.2">
      <c r="B6" s="21" t="s">
        <v>119</v>
      </c>
      <c r="C6" s="21">
        <v>1</v>
      </c>
      <c r="D6" s="21"/>
      <c r="E6" s="21" t="str">
        <f>tbl_TOPIC[[#This Row],[Subject]] &amp; "-" &amp; tbl_TOPIC[[#This Row],[Phase]] &amp; "-" &amp; TEXT(tbl_TOPIC[[#This Row],[Order]], "00")</f>
        <v>HA-1-00</v>
      </c>
      <c r="F6" s="21" t="str">
        <f>RIGHT(tbl_TOPIC[[#This Row],[TopicID]], 2)</f>
        <v>00</v>
      </c>
      <c r="G6" t="s">
        <v>131</v>
      </c>
      <c r="I6" s="22" t="str">
        <f>IF(ISBLANK(tbl_TOPIC[[#This Row],[ParentTopic]]), tbl_TOPIC[[#This Row],[Topic]], _xlfn.XLOOKUP(tbl_TOPIC[[#This Row],[ParentTopic]], tbl_TOPIC[Topic], tbl_TOPIC[TopicPath]) &amp; "/" &amp; tbl_TOPIC[[#This Row],[Topic]])</f>
        <v>Homologische Algebra</v>
      </c>
    </row>
    <row r="7" spans="2:9" ht="16" customHeight="1" x14ac:dyDescent="0.2">
      <c r="B7" s="21" t="s">
        <v>119</v>
      </c>
      <c r="C7" s="21">
        <v>1</v>
      </c>
      <c r="D7" s="21">
        <v>1</v>
      </c>
      <c r="E7" s="21" t="str">
        <f>tbl_TOPIC[[#This Row],[Subject]] &amp; "-" &amp; tbl_TOPIC[[#This Row],[Phase]] &amp; "-" &amp; TEXT(tbl_TOPIC[[#This Row],[Order]], "00")</f>
        <v>HA-1-01</v>
      </c>
      <c r="F7" s="21" t="str">
        <f>RIGHT(tbl_TOPIC[[#This Row],[TopicID]], 2)</f>
        <v>01</v>
      </c>
      <c r="G7" t="s">
        <v>158</v>
      </c>
      <c r="I7" s="22" t="str">
        <f>IF(ISBLANK(tbl_TOPIC[[#This Row],[ParentTopic]]), tbl_TOPIC[[#This Row],[Topic]], _xlfn.XLOOKUP(tbl_TOPIC[[#This Row],[ParentTopic]], tbl_TOPIC[Topic], tbl_TOPIC[TopicPath]) &amp; "/" &amp; tbl_TOPIC[[#This Row],[Topic]])</f>
        <v>Kategorien und Funktoren in HA</v>
      </c>
    </row>
    <row r="8" spans="2:9" ht="16" customHeight="1" x14ac:dyDescent="0.2">
      <c r="B8" s="21" t="s">
        <v>119</v>
      </c>
      <c r="C8" s="21">
        <v>1</v>
      </c>
      <c r="D8" s="21">
        <v>2</v>
      </c>
      <c r="E8" s="21" t="str">
        <f>tbl_TOPIC[[#This Row],[Subject]] &amp; "-" &amp; tbl_TOPIC[[#This Row],[Phase]] &amp; "-" &amp; TEXT(tbl_TOPIC[[#This Row],[Order]], "00")</f>
        <v>HA-1-02</v>
      </c>
      <c r="F8" s="21" t="str">
        <f>RIGHT(tbl_TOPIC[[#This Row],[TopicID]], 2)</f>
        <v>02</v>
      </c>
      <c r="G8" t="s">
        <v>132</v>
      </c>
      <c r="I8" s="22" t="str">
        <f>IF(ISBLANK(tbl_TOPIC[[#This Row],[ParentTopic]]), tbl_TOPIC[[#This Row],[Topic]], _xlfn.XLOOKUP(tbl_TOPIC[[#This Row],[ParentTopic]], tbl_TOPIC[Topic], tbl_TOPIC[TopicPath]) &amp; "/" &amp; tbl_TOPIC[[#This Row],[Topic]])</f>
        <v>Moduln in HA</v>
      </c>
    </row>
    <row r="9" spans="2:9" ht="16" customHeight="1" x14ac:dyDescent="0.2">
      <c r="B9" s="21" t="s">
        <v>119</v>
      </c>
      <c r="C9" s="21">
        <v>1</v>
      </c>
      <c r="D9" s="21">
        <v>3</v>
      </c>
      <c r="E9" s="21" t="str">
        <f>tbl_TOPIC[[#This Row],[Subject]] &amp; "-" &amp; tbl_TOPIC[[#This Row],[Phase]] &amp; "-" &amp; TEXT(tbl_TOPIC[[#This Row],[Order]], "00")</f>
        <v>HA-1-03</v>
      </c>
      <c r="F9" s="21" t="str">
        <f>RIGHT(tbl_TOPIC[[#This Row],[TopicID]], 2)</f>
        <v>03</v>
      </c>
      <c r="G9" t="s">
        <v>133</v>
      </c>
      <c r="I9" s="22" t="str">
        <f>IF(ISBLANK(tbl_TOPIC[[#This Row],[ParentTopic]]), tbl_TOPIC[[#This Row],[Topic]], _xlfn.XLOOKUP(tbl_TOPIC[[#This Row],[ParentTopic]], tbl_TOPIC[Topic], tbl_TOPIC[TopicPath]) &amp; "/" &amp; tbl_TOPIC[[#This Row],[Topic]])</f>
        <v>Tensorprodukt in HA</v>
      </c>
    </row>
    <row r="10" spans="2:9" ht="16" customHeight="1" x14ac:dyDescent="0.2">
      <c r="B10" t="s">
        <v>119</v>
      </c>
      <c r="C10">
        <v>1</v>
      </c>
      <c r="D10">
        <v>4</v>
      </c>
      <c r="E10" t="str">
        <f>tbl_TOPIC[[#This Row],[Subject]] &amp; "-" &amp; tbl_TOPIC[[#This Row],[Phase]] &amp; "-" &amp; TEXT(tbl_TOPIC[[#This Row],[Order]], "00")</f>
        <v>HA-1-04</v>
      </c>
      <c r="F10" t="str">
        <f>RIGHT(tbl_TOPIC[[#This Row],[TopicID]], 2)</f>
        <v>04</v>
      </c>
      <c r="G10" t="s">
        <v>134</v>
      </c>
      <c r="I10" s="22" t="str">
        <f>IF(ISBLANK(tbl_TOPIC[[#This Row],[ParentTopic]]), tbl_TOPIC[[#This Row],[Topic]], _xlfn.XLOOKUP(tbl_TOPIC[[#This Row],[ParentTopic]], tbl_TOPIC[Topic], tbl_TOPIC[TopicPath]) &amp; "/" &amp; tbl_TOPIC[[#This Row],[Topic]])</f>
        <v>Abelsche Kategorien</v>
      </c>
    </row>
    <row r="11" spans="2:9" ht="16" customHeight="1" x14ac:dyDescent="0.2">
      <c r="B11" t="s">
        <v>119</v>
      </c>
      <c r="C11">
        <v>1</v>
      </c>
      <c r="D11">
        <v>5</v>
      </c>
      <c r="E11" t="str">
        <f>tbl_TOPIC[[#This Row],[Subject]] &amp; "-" &amp; tbl_TOPIC[[#This Row],[Phase]] &amp; "-" &amp; TEXT(tbl_TOPIC[[#This Row],[Order]], "00")</f>
        <v>HA-1-05</v>
      </c>
      <c r="F11" t="str">
        <f>RIGHT(tbl_TOPIC[[#This Row],[TopicID]], 2)</f>
        <v>05</v>
      </c>
      <c r="G11" t="s">
        <v>141</v>
      </c>
      <c r="I11" s="22" t="str">
        <f>IF(ISBLANK(tbl_TOPIC[[#This Row],[ParentTopic]]), tbl_TOPIC[[#This Row],[Topic]], _xlfn.XLOOKUP(tbl_TOPIC[[#This Row],[ParentTopic]], tbl_TOPIC[Topic], tbl_TOPIC[TopicPath]) &amp; "/" &amp; tbl_TOPIC[[#This Row],[Topic]])</f>
        <v>Homologie Funktor in HA</v>
      </c>
    </row>
    <row r="12" spans="2:9" ht="16" customHeight="1" x14ac:dyDescent="0.2">
      <c r="B12" t="s">
        <v>119</v>
      </c>
      <c r="C12">
        <v>1</v>
      </c>
      <c r="D12">
        <v>6</v>
      </c>
      <c r="E12" t="str">
        <f>tbl_TOPIC[[#This Row],[Subject]] &amp; "-" &amp; tbl_TOPIC[[#This Row],[Phase]] &amp; "-" &amp; TEXT(tbl_TOPIC[[#This Row],[Order]], "00")</f>
        <v>HA-1-06</v>
      </c>
      <c r="F12" t="str">
        <f>RIGHT(tbl_TOPIC[[#This Row],[TopicID]], 2)</f>
        <v>06</v>
      </c>
      <c r="G12" t="s">
        <v>140</v>
      </c>
      <c r="I12" s="22" t="str">
        <f>IF(ISBLANK(tbl_TOPIC[[#This Row],[ParentTopic]]), tbl_TOPIC[[#This Row],[Topic]], _xlfn.XLOOKUP(tbl_TOPIC[[#This Row],[ParentTopic]], tbl_TOPIC[Topic], tbl_TOPIC[TopicPath]) &amp; "/" &amp; tbl_TOPIC[[#This Row],[Topic]])</f>
        <v>Komplexe in HA</v>
      </c>
    </row>
    <row r="13" spans="2:9" ht="16" customHeight="1" x14ac:dyDescent="0.2">
      <c r="B13" t="s">
        <v>119</v>
      </c>
      <c r="C13">
        <v>1</v>
      </c>
      <c r="D13">
        <v>7</v>
      </c>
      <c r="E13" t="str">
        <f>tbl_TOPIC[[#This Row],[Subject]] &amp; "-" &amp; tbl_TOPIC[[#This Row],[Phase]] &amp; "-" &amp; TEXT(tbl_TOPIC[[#This Row],[Order]], "00")</f>
        <v>HA-1-07</v>
      </c>
      <c r="F13" t="str">
        <f>RIGHT(tbl_TOPIC[[#This Row],[TopicID]], 2)</f>
        <v>07</v>
      </c>
      <c r="G13" t="s">
        <v>169</v>
      </c>
      <c r="I13" s="22" t="str">
        <f>IF(ISBLANK(tbl_TOPIC[[#This Row],[ParentTopic]]), tbl_TOPIC[[#This Row],[Topic]], _xlfn.XLOOKUP(tbl_TOPIC[[#This Row],[ParentTopic]], tbl_TOPIC[Topic], tbl_TOPIC[TopicPath]) &amp; "/" &amp; tbl_TOPIC[[#This Row],[Topic]])</f>
        <v>Hilftslemma für Diagramme der HA</v>
      </c>
    </row>
    <row r="14" spans="2:9" ht="16" customHeight="1" x14ac:dyDescent="0.2">
      <c r="B14" t="s">
        <v>119</v>
      </c>
      <c r="C14">
        <v>1</v>
      </c>
      <c r="D14">
        <v>8</v>
      </c>
      <c r="E14" t="str">
        <f>tbl_TOPIC[[#This Row],[Subject]] &amp; "-" &amp; tbl_TOPIC[[#This Row],[Phase]] &amp; "-" &amp; TEXT(tbl_TOPIC[[#This Row],[Order]], "00")</f>
        <v>HA-1-08</v>
      </c>
      <c r="F14" t="str">
        <f>RIGHT(tbl_TOPIC[[#This Row],[TopicID]], 2)</f>
        <v>08</v>
      </c>
      <c r="G14" t="s">
        <v>170</v>
      </c>
      <c r="I14" s="22" t="str">
        <f>IF(ISBLANK(tbl_TOPIC[[#This Row],[ParentTopic]]), tbl_TOPIC[[#This Row],[Topic]], _xlfn.XLOOKUP(tbl_TOPIC[[#This Row],[ParentTopic]], tbl_TOPIC[Topic], tbl_TOPIC[TopicPath]) &amp; "/" &amp; tbl_TOPIC[[#This Row],[Topic]])</f>
        <v>Exaktheit von Sequenzen</v>
      </c>
    </row>
    <row r="15" spans="2:9" ht="16" customHeight="1" x14ac:dyDescent="0.2">
      <c r="B15" t="s">
        <v>119</v>
      </c>
      <c r="C15">
        <v>1</v>
      </c>
      <c r="D15">
        <v>10</v>
      </c>
      <c r="E15" t="str">
        <f>tbl_TOPIC[[#This Row],[Subject]] &amp; "-" &amp; tbl_TOPIC[[#This Row],[Phase]] &amp; "-" &amp; TEXT(tbl_TOPIC[[#This Row],[Order]], "00")</f>
        <v>HA-1-10</v>
      </c>
      <c r="F15" t="str">
        <f>RIGHT(tbl_TOPIC[[#This Row],[TopicID]], 2)</f>
        <v>10</v>
      </c>
      <c r="G15" t="s">
        <v>121</v>
      </c>
      <c r="I15" s="22" t="str">
        <f>IF(ISBLANK(tbl_TOPIC[[#This Row],[ParentTopic]]), tbl_TOPIC[[#This Row],[Topic]], _xlfn.XLOOKUP(tbl_TOPIC[[#This Row],[ParentTopic]], tbl_TOPIC[Topic], tbl_TOPIC[TopicPath]) &amp; "/" &amp; tbl_TOPIC[[#This Row],[Topic]])</f>
        <v>Splitting</v>
      </c>
    </row>
    <row r="16" spans="2:9" ht="16" customHeight="1" x14ac:dyDescent="0.2">
      <c r="B16" t="s">
        <v>119</v>
      </c>
      <c r="C16">
        <v>1</v>
      </c>
      <c r="D16">
        <v>12</v>
      </c>
      <c r="E16" t="str">
        <f>tbl_TOPIC[[#This Row],[Subject]] &amp; "-" &amp; tbl_TOPIC[[#This Row],[Phase]] &amp; "-" &amp; TEXT(tbl_TOPIC[[#This Row],[Order]], "00")</f>
        <v>HA-1-12</v>
      </c>
      <c r="F16" t="str">
        <f>RIGHT(tbl_TOPIC[[#This Row],[TopicID]], 2)</f>
        <v>12</v>
      </c>
      <c r="G16" t="s">
        <v>123</v>
      </c>
      <c r="I16" s="22" t="str">
        <f>IF(ISBLANK(tbl_TOPIC[[#This Row],[ParentTopic]]), tbl_TOPIC[[#This Row],[Topic]], _xlfn.XLOOKUP(tbl_TOPIC[[#This Row],[ParentTopic]], tbl_TOPIC[Topic], tbl_TOPIC[TopicPath]) &amp; "/" &amp; tbl_TOPIC[[#This Row],[Topic]])</f>
        <v>Kategorische Formulierung der Homologietheorie</v>
      </c>
    </row>
    <row r="17" spans="2:9" ht="16" customHeight="1" x14ac:dyDescent="0.2">
      <c r="B17" s="30" t="s">
        <v>119</v>
      </c>
      <c r="C17" s="32">
        <v>1</v>
      </c>
      <c r="D17" s="21">
        <v>14</v>
      </c>
      <c r="E17" s="21" t="str">
        <f>tbl_TOPIC[[#This Row],[Subject]] &amp; "-" &amp; tbl_TOPIC[[#This Row],[Phase]] &amp; "-" &amp; TEXT(tbl_TOPIC[[#This Row],[Order]], "00")</f>
        <v>HA-1-14</v>
      </c>
      <c r="F17" s="21" t="str">
        <f>RIGHT(tbl_TOPIC[[#This Row],[TopicID]], 2)</f>
        <v>14</v>
      </c>
      <c r="G17" t="s">
        <v>125</v>
      </c>
      <c r="I17" s="22" t="str">
        <f>IF(ISBLANK(tbl_TOPIC[[#This Row],[ParentTopic]]), tbl_TOPIC[[#This Row],[Topic]], _xlfn.XLOOKUP(tbl_TOPIC[[#This Row],[ParentTopic]], tbl_TOPIC[Topic], tbl_TOPIC[TopicPath]) &amp; "/" &amp; tbl_TOPIC[[#This Row],[Topic]])</f>
        <v>Homologie mit Koeffizienten</v>
      </c>
    </row>
    <row r="18" spans="2:9" ht="16" customHeight="1" x14ac:dyDescent="0.2">
      <c r="B18" s="29" t="s">
        <v>100</v>
      </c>
      <c r="C18" s="31">
        <v>1</v>
      </c>
      <c r="D18">
        <v>1</v>
      </c>
      <c r="E18" t="str">
        <f>tbl_TOPIC[[#This Row],[Subject]] &amp; "-" &amp; tbl_TOPIC[[#This Row],[Phase]] &amp; "-" &amp; TEXT(tbl_TOPIC[[#This Row],[Order]], "00")</f>
        <v>TOP1-1-01</v>
      </c>
      <c r="F18" t="str">
        <f>RIGHT(tbl_TOPIC[[#This Row],[TopicID]], 2)</f>
        <v>01</v>
      </c>
      <c r="G18" t="s">
        <v>104</v>
      </c>
      <c r="I18" s="22" t="str">
        <f>IF(ISBLANK(tbl_TOPIC[[#This Row],[ParentTopic]]), tbl_TOPIC[[#This Row],[Topic]], _xlfn.XLOOKUP(tbl_TOPIC[[#This Row],[ParentTopic]], tbl_TOPIC[Topic], tbl_TOPIC[TopicPath]) &amp; "/" &amp; tbl_TOPIC[[#This Row],[Topic]])</f>
        <v>Singuläre Homologie (SHT)</v>
      </c>
    </row>
    <row r="19" spans="2:9" ht="16" customHeight="1" x14ac:dyDescent="0.2">
      <c r="B19" s="29" t="s">
        <v>100</v>
      </c>
      <c r="C19" s="31">
        <v>1</v>
      </c>
      <c r="D19">
        <v>2</v>
      </c>
      <c r="E19" t="str">
        <f>tbl_TOPIC[[#This Row],[Subject]] &amp; "-" &amp; tbl_TOPIC[[#This Row],[Phase]] &amp; "-" &amp; TEXT(tbl_TOPIC[[#This Row],[Order]], "00")</f>
        <v>TOP1-1-02</v>
      </c>
      <c r="F19" t="str">
        <f>RIGHT(tbl_TOPIC[[#This Row],[TopicID]], 2)</f>
        <v>02</v>
      </c>
      <c r="G19" t="s">
        <v>103</v>
      </c>
      <c r="H19" t="s">
        <v>104</v>
      </c>
      <c r="I19" s="22" t="str">
        <f>IF(ISBLANK(tbl_TOPIC[[#This Row],[ParentTopic]]), tbl_TOPIC[[#This Row],[Topic]], _xlfn.XLOOKUP(tbl_TOPIC[[#This Row],[ParentTopic]], tbl_TOPIC[Topic], tbl_TOPIC[TopicPath]) &amp; "/" &amp; tbl_TOPIC[[#This Row],[Topic]])</f>
        <v>Singuläre Homologie (SHT)/Basics der SHT</v>
      </c>
    </row>
    <row r="20" spans="2:9" ht="16" customHeight="1" x14ac:dyDescent="0.2">
      <c r="B20" s="29" t="s">
        <v>100</v>
      </c>
      <c r="C20" s="31">
        <v>1</v>
      </c>
      <c r="D20">
        <v>3</v>
      </c>
      <c r="E20" t="str">
        <f>tbl_TOPIC[[#This Row],[Subject]] &amp; "-" &amp; tbl_TOPIC[[#This Row],[Phase]] &amp; "-" &amp; TEXT(tbl_TOPIC[[#This Row],[Order]], "00")</f>
        <v>TOP1-1-03</v>
      </c>
      <c r="F20" t="str">
        <f>RIGHT(tbl_TOPIC[[#This Row],[TopicID]], 2)</f>
        <v>03</v>
      </c>
      <c r="G20" t="s">
        <v>120</v>
      </c>
      <c r="H20" t="s">
        <v>104</v>
      </c>
      <c r="I20" s="22" t="str">
        <f>IF(ISBLANK(tbl_TOPIC[[#This Row],[ParentTopic]]), tbl_TOPIC[[#This Row],[Topic]], _xlfn.XLOOKUP(tbl_TOPIC[[#This Row],[ParentTopic]], tbl_TOPIC[Topic], tbl_TOPIC[TopicPath]) &amp; "/" &amp; tbl_TOPIC[[#This Row],[Topic]])</f>
        <v>Singuläre Homologie (SHT)/Kategorische Formulierung der SHT</v>
      </c>
    </row>
    <row r="21" spans="2:9" ht="16" customHeight="1" x14ac:dyDescent="0.2">
      <c r="B21" s="29" t="s">
        <v>100</v>
      </c>
      <c r="C21" s="31">
        <v>1</v>
      </c>
      <c r="D21">
        <v>4</v>
      </c>
      <c r="E21" t="str">
        <f>tbl_TOPIC[[#This Row],[Subject]] &amp; "-" &amp; tbl_TOPIC[[#This Row],[Phase]] &amp; "-" &amp; TEXT(tbl_TOPIC[[#This Row],[Order]], "00")</f>
        <v>TOP1-1-04</v>
      </c>
      <c r="F21" t="str">
        <f>RIGHT(tbl_TOPIC[[#This Row],[TopicID]], 2)</f>
        <v>04</v>
      </c>
      <c r="G21" t="s">
        <v>102</v>
      </c>
      <c r="H21" t="s">
        <v>104</v>
      </c>
      <c r="I21" s="22" t="str">
        <f>IF(ISBLANK(tbl_TOPIC[[#This Row],[ParentTopic]]), tbl_TOPIC[[#This Row],[Topic]], _xlfn.XLOOKUP(tbl_TOPIC[[#This Row],[ParentTopic]], tbl_TOPIC[Topic], tbl_TOPIC[TopicPath]) &amp; "/" &amp; tbl_TOPIC[[#This Row],[Topic]])</f>
        <v>Singuläre Homologie (SHT)/Unterteilung  und Ausschneidung in SHT</v>
      </c>
    </row>
    <row r="22" spans="2:9" ht="16" customHeight="1" x14ac:dyDescent="0.2">
      <c r="B22" s="29" t="s">
        <v>100</v>
      </c>
      <c r="C22" s="31">
        <v>1</v>
      </c>
      <c r="D22">
        <v>5</v>
      </c>
      <c r="E22" t="str">
        <f>tbl_TOPIC[[#This Row],[Subject]] &amp; "-" &amp; tbl_TOPIC[[#This Row],[Phase]] &amp; "-" &amp; TEXT(tbl_TOPIC[[#This Row],[Order]], "00")</f>
        <v>TOP1-1-05</v>
      </c>
      <c r="F22" t="str">
        <f>RIGHT(tbl_TOPIC[[#This Row],[TopicID]], 2)</f>
        <v>05</v>
      </c>
      <c r="G22" t="s">
        <v>101</v>
      </c>
      <c r="H22" t="s">
        <v>104</v>
      </c>
      <c r="I22" s="22" t="str">
        <f>IF(ISBLANK(tbl_TOPIC[[#This Row],[ParentTopic]]), tbl_TOPIC[[#This Row],[Topic]], _xlfn.XLOOKUP(tbl_TOPIC[[#This Row],[ParentTopic]], tbl_TOPIC[Topic], tbl_TOPIC[TopicPath]) &amp; "/" &amp; tbl_TOPIC[[#This Row],[Topic]])</f>
        <v>Singuläre Homologie (SHT)/Mayer-Vietoris Sequenz in SHT</v>
      </c>
    </row>
    <row r="23" spans="2:9" ht="16" customHeight="1" x14ac:dyDescent="0.2">
      <c r="B23" s="29" t="s">
        <v>100</v>
      </c>
      <c r="C23" s="31">
        <v>1</v>
      </c>
      <c r="D23">
        <v>6</v>
      </c>
      <c r="E23" t="str">
        <f>tbl_TOPIC[[#This Row],[Subject]] &amp; "-" &amp; tbl_TOPIC[[#This Row],[Phase]] &amp; "-" &amp; TEXT(tbl_TOPIC[[#This Row],[Order]], "00")</f>
        <v>TOP1-1-06</v>
      </c>
      <c r="F23" t="str">
        <f>RIGHT(tbl_TOPIC[[#This Row],[TopicID]], 2)</f>
        <v>06</v>
      </c>
      <c r="G23" t="s">
        <v>105</v>
      </c>
      <c r="H23" t="s">
        <v>104</v>
      </c>
      <c r="I23" s="22" t="str">
        <f>IF(ISBLANK(tbl_TOPIC[[#This Row],[ParentTopic]]), tbl_TOPIC[[#This Row],[Topic]], _xlfn.XLOOKUP(tbl_TOPIC[[#This Row],[ParentTopic]], tbl_TOPIC[Topic], tbl_TOPIC[TopicPath]) &amp; "/" &amp; tbl_TOPIC[[#This Row],[Topic]])</f>
        <v>Singuläre Homologie (SHT)/Kreuzprodukt in SHT</v>
      </c>
    </row>
    <row r="24" spans="2:9" ht="16" customHeight="1" x14ac:dyDescent="0.2">
      <c r="B24" t="s">
        <v>100</v>
      </c>
      <c r="C24">
        <v>1</v>
      </c>
      <c r="D24">
        <v>7</v>
      </c>
      <c r="E24" t="str">
        <f>tbl_TOPIC[[#This Row],[Subject]] &amp; "-" &amp; tbl_TOPIC[[#This Row],[Phase]] &amp; "-" &amp; TEXT(tbl_TOPIC[[#This Row],[Order]], "00")</f>
        <v>TOP1-1-07</v>
      </c>
      <c r="F24" t="str">
        <f>RIGHT(tbl_TOPIC[[#This Row],[TopicID]], 2)</f>
        <v>07</v>
      </c>
      <c r="G24" t="s">
        <v>117</v>
      </c>
      <c r="H24" t="s">
        <v>105</v>
      </c>
      <c r="I24" s="22" t="str">
        <f>IF(ISBLANK(tbl_TOPIC[[#This Row],[ParentTopic]]), tbl_TOPIC[[#This Row],[Topic]], _xlfn.XLOOKUP(tbl_TOPIC[[#This Row],[ParentTopic]], tbl_TOPIC[Topic], tbl_TOPIC[TopicPath]) &amp; "/" &amp; tbl_TOPIC[[#This Row],[Topic]])</f>
        <v>Singuläre Homologie (SHT)/Kreuzprodukt in SHT/Kreuzprodukt auf Kettengruppenkomplexe in SHT</v>
      </c>
    </row>
    <row r="25" spans="2:9" ht="16" customHeight="1" x14ac:dyDescent="0.2">
      <c r="B25" t="s">
        <v>100</v>
      </c>
      <c r="C25">
        <v>1</v>
      </c>
      <c r="D25">
        <v>8</v>
      </c>
      <c r="E25" t="str">
        <f>tbl_TOPIC[[#This Row],[Subject]] &amp; "-" &amp; tbl_TOPIC[[#This Row],[Phase]] &amp; "-" &amp; TEXT(tbl_TOPIC[[#This Row],[Order]], "00")</f>
        <v>TOP1-1-08</v>
      </c>
      <c r="F25" t="str">
        <f>RIGHT(tbl_TOPIC[[#This Row],[TopicID]], 2)</f>
        <v>08</v>
      </c>
      <c r="G25" t="s">
        <v>118</v>
      </c>
      <c r="H25" t="s">
        <v>105</v>
      </c>
      <c r="I25" s="22" t="str">
        <f>IF(ISBLANK(tbl_TOPIC[[#This Row],[ParentTopic]]), tbl_TOPIC[[#This Row],[Topic]], _xlfn.XLOOKUP(tbl_TOPIC[[#This Row],[ParentTopic]], tbl_TOPIC[Topic], tbl_TOPIC[TopicPath]) &amp; "/" &amp; tbl_TOPIC[[#This Row],[Topic]])</f>
        <v>Singuläre Homologie (SHT)/Kreuzprodukt in SHT/Homologie Kreuzprodukt in SHT</v>
      </c>
    </row>
    <row r="26" spans="2:9" ht="16" customHeight="1" x14ac:dyDescent="0.2">
      <c r="B26" t="s">
        <v>100</v>
      </c>
      <c r="C26">
        <v>1</v>
      </c>
      <c r="D26">
        <v>9</v>
      </c>
      <c r="E26" t="str">
        <f>tbl_TOPIC[[#This Row],[Subject]] &amp; "-" &amp; tbl_TOPIC[[#This Row],[Phase]] &amp; "-" &amp; TEXT(tbl_TOPIC[[#This Row],[Order]], "00")</f>
        <v>TOP1-1-09</v>
      </c>
      <c r="F26" t="str">
        <f>RIGHT(tbl_TOPIC[[#This Row],[TopicID]], 2)</f>
        <v>09</v>
      </c>
      <c r="G26" t="s">
        <v>122</v>
      </c>
      <c r="I26" s="22" t="str">
        <f>IF(ISBLANK(tbl_TOPIC[[#This Row],[ParentTopic]]), tbl_TOPIC[[#This Row],[Topic]], _xlfn.XLOOKUP(tbl_TOPIC[[#This Row],[ParentTopic]], tbl_TOPIC[Topic], tbl_TOPIC[TopicPath]) &amp; "/" &amp; tbl_TOPIC[[#This Row],[Topic]])</f>
        <v>Absolute und Relative Homologie</v>
      </c>
    </row>
    <row r="27" spans="2:9" ht="16" customHeight="1" x14ac:dyDescent="0.2">
      <c r="B27" t="s">
        <v>100</v>
      </c>
      <c r="C27">
        <v>1</v>
      </c>
      <c r="D27">
        <v>9</v>
      </c>
      <c r="E27" t="str">
        <f>tbl_TOPIC[[#This Row],[Subject]] &amp; "-" &amp; tbl_TOPIC[[#This Row],[Phase]] &amp; "-" &amp; TEXT(tbl_TOPIC[[#This Row],[Order]], "00")</f>
        <v>TOP1-1-09</v>
      </c>
      <c r="F27" t="str">
        <f>RIGHT(tbl_TOPIC[[#This Row],[TopicID]], 2)</f>
        <v>09</v>
      </c>
      <c r="G27" t="s">
        <v>124</v>
      </c>
      <c r="I27" s="22" t="str">
        <f>IF(ISBLANK(tbl_TOPIC[[#This Row],[ParentTopic]]), tbl_TOPIC[[#This Row],[Topic]], _xlfn.XLOOKUP(tbl_TOPIC[[#This Row],[ParentTopic]], tbl_TOPIC[Topic], tbl_TOPIC[TopicPath]) &amp; "/" &amp; tbl_TOPIC[[#This Row],[Topic]])</f>
        <v>Reduzierte Homologie</v>
      </c>
    </row>
    <row r="28" spans="2:9" ht="16" customHeight="1" x14ac:dyDescent="0.2">
      <c r="B28" t="s">
        <v>106</v>
      </c>
      <c r="C28">
        <v>1</v>
      </c>
      <c r="D28">
        <v>1</v>
      </c>
      <c r="E28" t="str">
        <f>tbl_TOPIC[[#This Row],[Subject]] &amp; "-" &amp; tbl_TOPIC[[#This Row],[Phase]] &amp; "-" &amp; TEXT(tbl_TOPIC[[#This Row],[Order]], "00")</f>
        <v>GPDE-1-01</v>
      </c>
      <c r="F28" t="str">
        <f>RIGHT(tbl_TOPIC[[#This Row],[TopicID]], 2)</f>
        <v>01</v>
      </c>
      <c r="G28" t="s">
        <v>329</v>
      </c>
      <c r="I28" s="22" t="str">
        <f>IF(ISBLANK(tbl_TOPIC[[#This Row],[ParentTopic]]), tbl_TOPIC[[#This Row],[Topic]], _xlfn.XLOOKUP(tbl_TOPIC[[#This Row],[ParentTopic]], tbl_TOPIC[Topic], tbl_TOPIC[TopicPath]) &amp; "/" &amp; tbl_TOPIC[[#This Row],[Topic]])</f>
        <v>GPDE Basics</v>
      </c>
    </row>
    <row r="29" spans="2:9" ht="16" customHeight="1" x14ac:dyDescent="0.2">
      <c r="B29" t="s">
        <v>106</v>
      </c>
      <c r="C29">
        <v>1</v>
      </c>
      <c r="D29">
        <v>3</v>
      </c>
      <c r="E29" t="str">
        <f>tbl_TOPIC[[#This Row],[Subject]] &amp; "-" &amp; tbl_TOPIC[[#This Row],[Phase]] &amp; "-" &amp; TEXT(tbl_TOPIC[[#This Row],[Order]], "00")</f>
        <v>GPDE-1-03</v>
      </c>
      <c r="F29" t="str">
        <f>RIGHT(tbl_TOPIC[[#This Row],[TopicID]], 2)</f>
        <v>03</v>
      </c>
      <c r="G29" t="s">
        <v>328</v>
      </c>
      <c r="H29" t="s">
        <v>329</v>
      </c>
      <c r="I29" s="22" t="str">
        <f>IF(ISBLANK(tbl_TOPIC[[#This Row],[ParentTopic]]), tbl_TOPIC[[#This Row],[Topic]], _xlfn.XLOOKUP(tbl_TOPIC[[#This Row],[ParentTopic]], tbl_TOPIC[Topic], tbl_TOPIC[TopicPath]) &amp; "/" &amp; tbl_TOPIC[[#This Row],[Topic]])</f>
        <v>GPDE Basics/Regularitätsklassen</v>
      </c>
    </row>
    <row r="30" spans="2:9" ht="16" customHeight="1" x14ac:dyDescent="0.2">
      <c r="B30" t="s">
        <v>106</v>
      </c>
      <c r="C30">
        <v>1</v>
      </c>
      <c r="D30">
        <v>2</v>
      </c>
      <c r="E30" t="str">
        <f>tbl_TOPIC[[#This Row],[Subject]] &amp; "-" &amp; tbl_TOPIC[[#This Row],[Phase]] &amp; "-" &amp; TEXT(tbl_TOPIC[[#This Row],[Order]], "00")</f>
        <v>GPDE-1-02</v>
      </c>
      <c r="F30" t="str">
        <f>RIGHT(tbl_TOPIC[[#This Row],[TopicID]], 2)</f>
        <v>02</v>
      </c>
      <c r="G30" t="s">
        <v>331</v>
      </c>
      <c r="H30" t="s">
        <v>329</v>
      </c>
      <c r="I30" s="22" t="str">
        <f>IF(ISBLANK(tbl_TOPIC[[#This Row],[ParentTopic]]), tbl_TOPIC[[#This Row],[Topic]], _xlfn.XLOOKUP(tbl_TOPIC[[#This Row],[ParentTopic]], tbl_TOPIC[Topic], tbl_TOPIC[TopicPath]) &amp; "/" &amp; tbl_TOPIC[[#This Row],[Topic]])</f>
        <v>GPDE Basics/Differentialoperatoren</v>
      </c>
    </row>
    <row r="31" spans="2:9" ht="16" customHeight="1" x14ac:dyDescent="0.2">
      <c r="B31" t="s">
        <v>106</v>
      </c>
      <c r="C31">
        <v>1</v>
      </c>
      <c r="D31">
        <v>4</v>
      </c>
      <c r="E31" t="str">
        <f>tbl_TOPIC[[#This Row],[Subject]] &amp; "-" &amp; tbl_TOPIC[[#This Row],[Phase]] &amp; "-" &amp; TEXT(tbl_TOPIC[[#This Row],[Order]], "00")</f>
        <v>GPDE-1-04</v>
      </c>
      <c r="F31" t="str">
        <f>RIGHT(tbl_TOPIC[[#This Row],[TopicID]], 2)</f>
        <v>04</v>
      </c>
      <c r="G31" t="s">
        <v>345</v>
      </c>
      <c r="H31" t="s">
        <v>329</v>
      </c>
      <c r="I31" s="22" t="str">
        <f>IF(ISBLANK(tbl_TOPIC[[#This Row],[ParentTopic]]), tbl_TOPIC[[#This Row],[Topic]], _xlfn.XLOOKUP(tbl_TOPIC[[#This Row],[ParentTopic]], tbl_TOPIC[Topic], tbl_TOPIC[TopicPath]) &amp; "/" &amp; tbl_TOPIC[[#This Row],[Topic]])</f>
        <v>GPDE Basics/Ungleichungen und Abschätzungen</v>
      </c>
    </row>
    <row r="32" spans="2:9" ht="16" customHeight="1" x14ac:dyDescent="0.2">
      <c r="B32" t="s">
        <v>106</v>
      </c>
      <c r="C32">
        <v>1</v>
      </c>
      <c r="D32">
        <v>5</v>
      </c>
      <c r="E32" t="str">
        <f>tbl_TOPIC[[#This Row],[Subject]] &amp; "-" &amp; tbl_TOPIC[[#This Row],[Phase]] &amp; "-" &amp; TEXT(tbl_TOPIC[[#This Row],[Order]], "00")</f>
        <v>GPDE-1-05</v>
      </c>
      <c r="F32" t="str">
        <f>RIGHT(tbl_TOPIC[[#This Row],[TopicID]], 2)</f>
        <v>05</v>
      </c>
      <c r="G32" t="s">
        <v>330</v>
      </c>
      <c r="I32" s="22" t="str">
        <f>IF(ISBLANK(tbl_TOPIC[[#This Row],[ParentTopic]]), tbl_TOPIC[[#This Row],[Topic]], _xlfn.XLOOKUP(tbl_TOPIC[[#This Row],[ParentTopic]], tbl_TOPIC[Topic], tbl_TOPIC[TopicPath]) &amp; "/" &amp; tbl_TOPIC[[#This Row],[Topic]])</f>
        <v>Maximum Prinzipien</v>
      </c>
    </row>
    <row r="33" spans="2:9" ht="16" customHeight="1" x14ac:dyDescent="0.2">
      <c r="B33" t="s">
        <v>106</v>
      </c>
      <c r="C33">
        <v>1</v>
      </c>
      <c r="D33">
        <v>6</v>
      </c>
      <c r="E33" t="str">
        <f>tbl_TOPIC[[#This Row],[Subject]] &amp; "-" &amp; tbl_TOPIC[[#This Row],[Phase]] &amp; "-" &amp; TEXT(tbl_TOPIC[[#This Row],[Order]], "00")</f>
        <v>GPDE-1-06</v>
      </c>
      <c r="F33" t="str">
        <f>RIGHT(tbl_TOPIC[[#This Row],[TopicID]], 2)</f>
        <v>06</v>
      </c>
      <c r="G33" t="s">
        <v>332</v>
      </c>
      <c r="H33" t="s">
        <v>330</v>
      </c>
      <c r="I33" s="22" t="str">
        <f>IF(ISBLANK(tbl_TOPIC[[#This Row],[ParentTopic]]), tbl_TOPIC[[#This Row],[Topic]], _xlfn.XLOOKUP(tbl_TOPIC[[#This Row],[ParentTopic]], tbl_TOPIC[Topic], tbl_TOPIC[TopicPath]) &amp; "/" &amp; tbl_TOPIC[[#This Row],[Topic]])</f>
        <v>Maximum Prinzipien/Schwache Maximum Prinzipien</v>
      </c>
    </row>
    <row r="34" spans="2:9" ht="16" customHeight="1" x14ac:dyDescent="0.2">
      <c r="B34" t="s">
        <v>106</v>
      </c>
      <c r="C34">
        <v>1</v>
      </c>
      <c r="D34">
        <v>7</v>
      </c>
      <c r="E34" t="str">
        <f>tbl_TOPIC[[#This Row],[Subject]] &amp; "-" &amp; tbl_TOPIC[[#This Row],[Phase]] &amp; "-" &amp; TEXT(tbl_TOPIC[[#This Row],[Order]], "00")</f>
        <v>GPDE-1-07</v>
      </c>
      <c r="F34" t="str">
        <f>RIGHT(tbl_TOPIC[[#This Row],[TopicID]], 2)</f>
        <v>07</v>
      </c>
      <c r="G34" t="s">
        <v>333</v>
      </c>
      <c r="H34" t="s">
        <v>330</v>
      </c>
      <c r="I34" s="22" t="str">
        <f>IF(ISBLANK(tbl_TOPIC[[#This Row],[ParentTopic]]), tbl_TOPIC[[#This Row],[Topic]], _xlfn.XLOOKUP(tbl_TOPIC[[#This Row],[ParentTopic]], tbl_TOPIC[Topic], tbl_TOPIC[TopicPath]) &amp; "/" &amp; tbl_TOPIC[[#This Row],[Topic]])</f>
        <v>Maximum Prinzipien/Starke Maximum Prinzipien</v>
      </c>
    </row>
    <row r="35" spans="2:9" ht="16" customHeight="1" x14ac:dyDescent="0.2">
      <c r="B35" t="s">
        <v>361</v>
      </c>
      <c r="C35">
        <v>1</v>
      </c>
      <c r="D35">
        <v>1</v>
      </c>
      <c r="E35" t="str">
        <f>tbl_TOPIC[[#This Row],[Subject]] &amp; "-" &amp; tbl_TOPIC[[#This Row],[Phase]] &amp; "-" &amp; TEXT(tbl_TOPIC[[#This Row],[Order]], "00")</f>
        <v>QM-1-01</v>
      </c>
      <c r="F35" t="str">
        <f>RIGHT(tbl_TOPIC[[#This Row],[TopicID]], 2)</f>
        <v>01</v>
      </c>
      <c r="G35" t="s">
        <v>362</v>
      </c>
      <c r="I35" s="22" t="str">
        <f>IF(ISBLANK(tbl_TOPIC[[#This Row],[ParentTopic]]), tbl_TOPIC[[#This Row],[Topic]], _xlfn.XLOOKUP(tbl_TOPIC[[#This Row],[ParentTopic]], tbl_TOPIC[Topic], tbl_TOPIC[TopicPath]) &amp; "/" &amp; tbl_TOPIC[[#This Row],[Topic]])</f>
        <v>Quantenmechanik</v>
      </c>
    </row>
    <row r="36" spans="2:9" ht="16" customHeight="1" x14ac:dyDescent="0.2">
      <c r="B36" t="s">
        <v>361</v>
      </c>
      <c r="C36">
        <v>1</v>
      </c>
      <c r="D36">
        <v>2</v>
      </c>
      <c r="E36" t="str">
        <f>tbl_TOPIC[[#This Row],[Subject]] &amp; "-" &amp; tbl_TOPIC[[#This Row],[Phase]] &amp; "-" &amp; TEXT(tbl_TOPIC[[#This Row],[Order]], "00")</f>
        <v>QM-1-02</v>
      </c>
      <c r="F36" t="str">
        <f>RIGHT(tbl_TOPIC[[#This Row],[TopicID]], 2)</f>
        <v>02</v>
      </c>
      <c r="G36" t="s">
        <v>363</v>
      </c>
      <c r="I36" s="22" t="str">
        <f>IF(ISBLANK(tbl_TOPIC[[#This Row],[ParentTopic]]), tbl_TOPIC[[#This Row],[Topic]], _xlfn.XLOOKUP(tbl_TOPIC[[#This Row],[ParentTopic]], tbl_TOPIC[Topic], tbl_TOPIC[TopicPath]) &amp; "/" &amp; tbl_TOPIC[[#This Row],[Topic]])</f>
        <v>Schrödinger Gleichung</v>
      </c>
    </row>
    <row r="37" spans="2:9" ht="16" customHeight="1" x14ac:dyDescent="0.2">
      <c r="B37" t="s">
        <v>361</v>
      </c>
      <c r="C37">
        <v>1</v>
      </c>
      <c r="D37">
        <v>3</v>
      </c>
      <c r="E37" t="str">
        <f>tbl_TOPIC[[#This Row],[Subject]] &amp; "-" &amp; tbl_TOPIC[[#This Row],[Phase]] &amp; "-" &amp; TEXT(tbl_TOPIC[[#This Row],[Order]], "00")</f>
        <v>QM-1-03</v>
      </c>
      <c r="F37" t="str">
        <f>RIGHT(tbl_TOPIC[[#This Row],[TopicID]], 2)</f>
        <v>03</v>
      </c>
      <c r="G37" t="s">
        <v>364</v>
      </c>
      <c r="H37" t="s">
        <v>363</v>
      </c>
      <c r="I37" s="22" t="str">
        <f>IF(ISBLANK(tbl_TOPIC[[#This Row],[ParentTopic]]), tbl_TOPIC[[#This Row],[Topic]], _xlfn.XLOOKUP(tbl_TOPIC[[#This Row],[ParentTopic]], tbl_TOPIC[Topic], tbl_TOPIC[TopicPath]) &amp; "/" &amp; tbl_TOPIC[[#This Row],[Topic]])</f>
        <v>Schrödinger Gleichung/Wellenpakete in QM</v>
      </c>
    </row>
    <row r="38" spans="2:9" ht="16" customHeight="1" x14ac:dyDescent="0.2">
      <c r="B38" t="s">
        <v>361</v>
      </c>
      <c r="C38">
        <v>1</v>
      </c>
      <c r="D38">
        <v>4</v>
      </c>
      <c r="E38" t="str">
        <f>tbl_TOPIC[[#This Row],[Subject]] &amp; "-" &amp; tbl_TOPIC[[#This Row],[Phase]] &amp; "-" &amp; TEXT(tbl_TOPIC[[#This Row],[Order]], "00")</f>
        <v>QM-1-04</v>
      </c>
      <c r="F38" t="str">
        <f>RIGHT(tbl_TOPIC[[#This Row],[TopicID]], 2)</f>
        <v>04</v>
      </c>
      <c r="G38" t="s">
        <v>365</v>
      </c>
      <c r="H38" t="s">
        <v>363</v>
      </c>
      <c r="I38" s="22" t="str">
        <f>IF(ISBLANK(tbl_TOPIC[[#This Row],[ParentTopic]]), tbl_TOPIC[[#This Row],[Topic]], _xlfn.XLOOKUP(tbl_TOPIC[[#This Row],[ParentTopic]], tbl_TOPIC[Topic], tbl_TOPIC[TopicPath]) &amp; "/" &amp; tbl_TOPIC[[#This Row],[Topic]])</f>
        <v>Schrödinger Gleichung/Einführung der Schrödinger Gleichung</v>
      </c>
    </row>
    <row r="39" spans="2:9" ht="16" customHeight="1" x14ac:dyDescent="0.2">
      <c r="B39" t="s">
        <v>361</v>
      </c>
      <c r="C39">
        <v>1</v>
      </c>
      <c r="D39">
        <v>5</v>
      </c>
      <c r="E39" t="str">
        <f>tbl_TOPIC[[#This Row],[Subject]] &amp; "-" &amp; tbl_TOPIC[[#This Row],[Phase]] &amp; "-" &amp; TEXT(tbl_TOPIC[[#This Row],[Order]], "00")</f>
        <v>QM-1-05</v>
      </c>
      <c r="F39" t="str">
        <f>RIGHT(tbl_TOPIC[[#This Row],[TopicID]], 2)</f>
        <v>05</v>
      </c>
      <c r="G39" t="s">
        <v>366</v>
      </c>
      <c r="H39" t="s">
        <v>365</v>
      </c>
      <c r="I39" s="22" t="str">
        <f>IF(ISBLANK(tbl_TOPIC[[#This Row],[ParentTopic]]), tbl_TOPIC[[#This Row],[Topic]], _xlfn.XLOOKUP(tbl_TOPIC[[#This Row],[ParentTopic]], tbl_TOPIC[Topic], tbl_TOPIC[TopicPath]) &amp; "/" &amp; tbl_TOPIC[[#This Row],[Topic]])</f>
        <v>Schrödinger Gleichung/Einführung der Schrödinger Gleichung/Herleitung für freie Teilchen</v>
      </c>
    </row>
    <row r="40" spans="2:9" ht="16" customHeight="1" x14ac:dyDescent="0.2">
      <c r="B40" t="s">
        <v>361</v>
      </c>
      <c r="C40">
        <v>1</v>
      </c>
      <c r="D40">
        <v>6</v>
      </c>
      <c r="E40" t="str">
        <f>tbl_TOPIC[[#This Row],[Subject]] &amp; "-" &amp; tbl_TOPIC[[#This Row],[Phase]] &amp; "-" &amp; TEXT(tbl_TOPIC[[#This Row],[Order]], "00")</f>
        <v>QM-1-06</v>
      </c>
      <c r="F40" t="str">
        <f>RIGHT(tbl_TOPIC[[#This Row],[TopicID]], 2)</f>
        <v>06</v>
      </c>
      <c r="G40" t="s">
        <v>367</v>
      </c>
      <c r="H40" t="s">
        <v>365</v>
      </c>
      <c r="I40" s="22" t="str">
        <f>IF(ISBLANK(tbl_TOPIC[[#This Row],[ParentTopic]]), tbl_TOPIC[[#This Row],[Topic]], _xlfn.XLOOKUP(tbl_TOPIC[[#This Row],[ParentTopic]], tbl_TOPIC[Topic], tbl_TOPIC[TopicPath]) &amp; "/" &amp; tbl_TOPIC[[#This Row],[Topic]])</f>
        <v>Schrödinger Gleichung/Einführung der Schrödinger Gleichung/Teilchen in äußeren Potentialen</v>
      </c>
    </row>
    <row r="41" spans="2:9" ht="16" customHeight="1" x14ac:dyDescent="0.2">
      <c r="B41" t="s">
        <v>361</v>
      </c>
      <c r="C41">
        <v>1</v>
      </c>
      <c r="D41">
        <v>7</v>
      </c>
      <c r="E41" t="str">
        <f>tbl_TOPIC[[#This Row],[Subject]] &amp; "-" &amp; tbl_TOPIC[[#This Row],[Phase]] &amp; "-" &amp; TEXT(tbl_TOPIC[[#This Row],[Order]], "00")</f>
        <v>QM-1-07</v>
      </c>
      <c r="F41" t="str">
        <f>RIGHT(tbl_TOPIC[[#This Row],[TopicID]], 2)</f>
        <v>07</v>
      </c>
      <c r="G41" t="s">
        <v>368</v>
      </c>
      <c r="H41" t="s">
        <v>365</v>
      </c>
      <c r="I41" s="22" t="str">
        <f>IF(ISBLANK(tbl_TOPIC[[#This Row],[ParentTopic]]), tbl_TOPIC[[#This Row],[Topic]], _xlfn.XLOOKUP(tbl_TOPIC[[#This Row],[ParentTopic]], tbl_TOPIC[Topic], tbl_TOPIC[TopicPath]) &amp; "/" &amp; tbl_TOPIC[[#This Row],[Topic]])</f>
        <v>Schrödinger Gleichung/Einführung der Schrödinger Gleichung/Operatoren</v>
      </c>
    </row>
    <row r="42" spans="2:9" ht="16" customHeight="1" x14ac:dyDescent="0.2">
      <c r="B42" t="s">
        <v>361</v>
      </c>
      <c r="C42">
        <v>1</v>
      </c>
      <c r="D42">
        <v>8</v>
      </c>
      <c r="E42" t="str">
        <f>tbl_TOPIC[[#This Row],[Subject]] &amp; "-" &amp; tbl_TOPIC[[#This Row],[Phase]] &amp; "-" &amp; TEXT(tbl_TOPIC[[#This Row],[Order]], "00")</f>
        <v>QM-1-08</v>
      </c>
      <c r="F42" t="str">
        <f>RIGHT(tbl_TOPIC[[#This Row],[TopicID]], 2)</f>
        <v>08</v>
      </c>
      <c r="G42" t="s">
        <v>369</v>
      </c>
      <c r="H42" t="s">
        <v>365</v>
      </c>
      <c r="I42" s="22" t="str">
        <f>IF(ISBLANK(tbl_TOPIC[[#This Row],[ParentTopic]]), tbl_TOPIC[[#This Row],[Topic]], _xlfn.XLOOKUP(tbl_TOPIC[[#This Row],[ParentTopic]], tbl_TOPIC[Topic], tbl_TOPIC[TopicPath]) &amp; "/" &amp; tbl_TOPIC[[#This Row],[Topic]])</f>
        <v>Schrödinger Gleichung/Einführung der Schrödinger Gleichung/Korrespondenz Prinzip</v>
      </c>
    </row>
    <row r="43" spans="2:9" ht="16" customHeight="1" x14ac:dyDescent="0.2">
      <c r="B43" t="s">
        <v>361</v>
      </c>
      <c r="C43">
        <v>1</v>
      </c>
      <c r="D43">
        <v>9</v>
      </c>
      <c r="E43" t="str">
        <f>tbl_TOPIC[[#This Row],[Subject]] &amp; "-" &amp; tbl_TOPIC[[#This Row],[Phase]] &amp; "-" &amp; TEXT(tbl_TOPIC[[#This Row],[Order]], "00")</f>
        <v>QM-1-09</v>
      </c>
      <c r="F43" t="str">
        <f>RIGHT(tbl_TOPIC[[#This Row],[TopicID]], 2)</f>
        <v>09</v>
      </c>
      <c r="G43" t="s">
        <v>370</v>
      </c>
      <c r="H43" t="s">
        <v>363</v>
      </c>
      <c r="I43" s="22" t="str">
        <f>IF(ISBLANK(tbl_TOPIC[[#This Row],[ParentTopic]]), tbl_TOPIC[[#This Row],[Topic]], _xlfn.XLOOKUP(tbl_TOPIC[[#This Row],[ParentTopic]], tbl_TOPIC[Topic], tbl_TOPIC[TopicPath]) &amp; "/" &amp; tbl_TOPIC[[#This Row],[Topic]])</f>
        <v>Schrödinger Gleichung/Interpretation der Wellenfunktion</v>
      </c>
    </row>
    <row r="44" spans="2:9" ht="16" customHeight="1" x14ac:dyDescent="0.2">
      <c r="B44" t="s">
        <v>361</v>
      </c>
      <c r="C44">
        <v>1</v>
      </c>
      <c r="D44">
        <v>10</v>
      </c>
      <c r="E44" t="str">
        <f>tbl_TOPIC[[#This Row],[Subject]] &amp; "-" &amp; tbl_TOPIC[[#This Row],[Phase]] &amp; "-" &amp; TEXT(tbl_TOPIC[[#This Row],[Order]], "00")</f>
        <v>QM-1-10</v>
      </c>
      <c r="F44" t="str">
        <f>RIGHT(tbl_TOPIC[[#This Row],[TopicID]], 2)</f>
        <v>10</v>
      </c>
      <c r="G44" t="s">
        <v>371</v>
      </c>
      <c r="H44" t="s">
        <v>370</v>
      </c>
      <c r="I44" s="22" t="str">
        <f>IF(ISBLANK(tbl_TOPIC[[#This Row],[ParentTopic]]), tbl_TOPIC[[#This Row],[Topic]], _xlfn.XLOOKUP(tbl_TOPIC[[#This Row],[ParentTopic]], tbl_TOPIC[Topic], tbl_TOPIC[TopicPath]) &amp; "/" &amp; tbl_TOPIC[[#This Row],[Topic]])</f>
        <v>Schrödinger Gleichung/Interpretation der Wellenfunktion/Wahrscheinlichkeitsdichte</v>
      </c>
    </row>
    <row r="45" spans="2:9" ht="16" customHeight="1" x14ac:dyDescent="0.2">
      <c r="B45" t="s">
        <v>361</v>
      </c>
      <c r="C45">
        <v>1</v>
      </c>
      <c r="D45">
        <v>11</v>
      </c>
      <c r="E45" t="str">
        <f>tbl_TOPIC[[#This Row],[Subject]] &amp; "-" &amp; tbl_TOPIC[[#This Row],[Phase]] &amp; "-" &amp; TEXT(tbl_TOPIC[[#This Row],[Order]], "00")</f>
        <v>QM-1-11</v>
      </c>
      <c r="F45" t="str">
        <f>RIGHT(tbl_TOPIC[[#This Row],[TopicID]], 2)</f>
        <v>11</v>
      </c>
      <c r="G45" t="s">
        <v>372</v>
      </c>
      <c r="H45" t="s">
        <v>370</v>
      </c>
      <c r="I45" s="22" t="str">
        <f>IF(ISBLANK(tbl_TOPIC[[#This Row],[ParentTopic]]), tbl_TOPIC[[#This Row],[Topic]], _xlfn.XLOOKUP(tbl_TOPIC[[#This Row],[ParentTopic]], tbl_TOPIC[Topic], tbl_TOPIC[TopicPath]) &amp; "/" &amp; tbl_TOPIC[[#This Row],[Topic]])</f>
        <v>Schrödinger Gleichung/Interpretation der Wellenfunktion/Kontinuitätsgleichung</v>
      </c>
    </row>
    <row r="46" spans="2:9" ht="16" customHeight="1" x14ac:dyDescent="0.2">
      <c r="B46" t="s">
        <v>361</v>
      </c>
      <c r="C46">
        <v>1</v>
      </c>
      <c r="D46">
        <v>12</v>
      </c>
      <c r="E46" t="str">
        <f>tbl_TOPIC[[#This Row],[Subject]] &amp; "-" &amp; tbl_TOPIC[[#This Row],[Phase]] &amp; "-" &amp; TEXT(tbl_TOPIC[[#This Row],[Order]], "00")</f>
        <v>QM-1-12</v>
      </c>
      <c r="F46" t="str">
        <f>RIGHT(tbl_TOPIC[[#This Row],[TopicID]], 2)</f>
        <v>12</v>
      </c>
      <c r="G46" t="s">
        <v>373</v>
      </c>
      <c r="H46" t="s">
        <v>370</v>
      </c>
      <c r="I46" s="22" t="str">
        <f>IF(ISBLANK(tbl_TOPIC[[#This Row],[ParentTopic]]), tbl_TOPIC[[#This Row],[Topic]], _xlfn.XLOOKUP(tbl_TOPIC[[#This Row],[ParentTopic]], tbl_TOPIC[Topic], tbl_TOPIC[TopicPath]) &amp; "/" &amp; tbl_TOPIC[[#This Row],[Topic]])</f>
        <v>Schrödinger Gleichung/Interpretation der Wellenfunktion/Impulsraum</v>
      </c>
    </row>
    <row r="47" spans="2:9" ht="16" customHeight="1" x14ac:dyDescent="0.2">
      <c r="B47" t="s">
        <v>361</v>
      </c>
      <c r="C47">
        <v>1</v>
      </c>
      <c r="D47">
        <v>13</v>
      </c>
      <c r="E47" t="str">
        <f>tbl_TOPIC[[#This Row],[Subject]] &amp; "-" &amp; tbl_TOPIC[[#This Row],[Phase]] &amp; "-" &amp; TEXT(tbl_TOPIC[[#This Row],[Order]], "00")</f>
        <v>QM-1-13</v>
      </c>
      <c r="F47" t="str">
        <f>RIGHT(tbl_TOPIC[[#This Row],[TopicID]], 2)</f>
        <v>13</v>
      </c>
      <c r="G47" t="s">
        <v>374</v>
      </c>
      <c r="H47" t="s">
        <v>370</v>
      </c>
      <c r="I47" s="22" t="str">
        <f>IF(ISBLANK(tbl_TOPIC[[#This Row],[ParentTopic]]), tbl_TOPIC[[#This Row],[Topic]], _xlfn.XLOOKUP(tbl_TOPIC[[#This Row],[ParentTopic]], tbl_TOPIC[Topic], tbl_TOPIC[TopicPath]) &amp; "/" &amp; tbl_TOPIC[[#This Row],[Topic]])</f>
        <v>Schrödinger Gleichung/Interpretation der Wellenfunktion/Erwartungswert</v>
      </c>
    </row>
    <row r="48" spans="2:9" ht="16" customHeight="1" x14ac:dyDescent="0.2">
      <c r="B48" t="s">
        <v>361</v>
      </c>
      <c r="C48">
        <v>1</v>
      </c>
      <c r="D48">
        <v>14</v>
      </c>
      <c r="E48" t="str">
        <f>tbl_TOPIC[[#This Row],[Subject]] &amp; "-" &amp; tbl_TOPIC[[#This Row],[Phase]] &amp; "-" &amp; TEXT(tbl_TOPIC[[#This Row],[Order]], "00")</f>
        <v>QM-1-14</v>
      </c>
      <c r="F48" t="str">
        <f>RIGHT(tbl_TOPIC[[#This Row],[TopicID]], 2)</f>
        <v>14</v>
      </c>
      <c r="G48" t="s">
        <v>375</v>
      </c>
      <c r="H48" t="s">
        <v>370</v>
      </c>
      <c r="I48" s="22" t="str">
        <f>IF(ISBLANK(tbl_TOPIC[[#This Row],[ParentTopic]]), tbl_TOPIC[[#This Row],[Topic]], _xlfn.XLOOKUP(tbl_TOPIC[[#This Row],[ParentTopic]], tbl_TOPIC[Topic], tbl_TOPIC[TopicPath]) &amp; "/" &amp; tbl_TOPIC[[#This Row],[Topic]])</f>
        <v>Schrödinger Gleichung/Interpretation der Wellenfunktion/Beugung und Inferenz</v>
      </c>
    </row>
    <row r="49" spans="2:9" ht="16" customHeight="1" x14ac:dyDescent="0.2">
      <c r="B49" t="s">
        <v>361</v>
      </c>
      <c r="C49">
        <v>1</v>
      </c>
      <c r="D49">
        <v>15</v>
      </c>
      <c r="E49" t="str">
        <f>tbl_TOPIC[[#This Row],[Subject]] &amp; "-" &amp; tbl_TOPIC[[#This Row],[Phase]] &amp; "-" &amp; TEXT(tbl_TOPIC[[#This Row],[Order]], "00")</f>
        <v>QM-1-15</v>
      </c>
      <c r="F49" t="str">
        <f>RIGHT(tbl_TOPIC[[#This Row],[TopicID]], 2)</f>
        <v>15</v>
      </c>
      <c r="G49" t="s">
        <v>376</v>
      </c>
      <c r="H49" t="s">
        <v>363</v>
      </c>
      <c r="I49" s="22" t="str">
        <f>IF(ISBLANK(tbl_TOPIC[[#This Row],[ParentTopic]]), tbl_TOPIC[[#This Row],[Topic]], _xlfn.XLOOKUP(tbl_TOPIC[[#This Row],[ParentTopic]], tbl_TOPIC[Topic], tbl_TOPIC[TopicPath]) &amp; "/" &amp; tbl_TOPIC[[#This Row],[Topic]])</f>
        <v>Schrödinger Gleichung/Ehrenfest Theorem</v>
      </c>
    </row>
    <row r="50" spans="2:9" ht="16" customHeight="1" x14ac:dyDescent="0.2">
      <c r="B50" t="s">
        <v>361</v>
      </c>
      <c r="C50">
        <v>1</v>
      </c>
      <c r="D50">
        <v>16</v>
      </c>
      <c r="E50" t="str">
        <f>tbl_TOPIC[[#This Row],[Subject]] &amp; "-" &amp; tbl_TOPIC[[#This Row],[Phase]] &amp; "-" &amp; TEXT(tbl_TOPIC[[#This Row],[Order]], "00")</f>
        <v>QM-1-16</v>
      </c>
      <c r="F50" t="str">
        <f>RIGHT(tbl_TOPIC[[#This Row],[TopicID]], 2)</f>
        <v>16</v>
      </c>
      <c r="G50" t="s">
        <v>377</v>
      </c>
      <c r="H50" t="s">
        <v>376</v>
      </c>
      <c r="I50" s="22" t="str">
        <f>IF(ISBLANK(tbl_TOPIC[[#This Row],[ParentTopic]]), tbl_TOPIC[[#This Row],[Topic]], _xlfn.XLOOKUP(tbl_TOPIC[[#This Row],[ParentTopic]], tbl_TOPIC[Topic], tbl_TOPIC[TopicPath]) &amp; "/" &amp; tbl_TOPIC[[#This Row],[Topic]])</f>
        <v>Schrödinger Gleichung/Ehrenfest Theorem/Hermitisch konjugierte Operatoren</v>
      </c>
    </row>
    <row r="51" spans="2:9" ht="16" customHeight="1" x14ac:dyDescent="0.2">
      <c r="B51" t="s">
        <v>361</v>
      </c>
      <c r="C51">
        <v>1</v>
      </c>
      <c r="D51">
        <v>17</v>
      </c>
      <c r="E51" t="str">
        <f>tbl_TOPIC[[#This Row],[Subject]] &amp; "-" &amp; tbl_TOPIC[[#This Row],[Phase]] &amp; "-" &amp; TEXT(tbl_TOPIC[[#This Row],[Order]], "00")</f>
        <v>QM-1-17</v>
      </c>
      <c r="F51" t="str">
        <f>RIGHT(tbl_TOPIC[[#This Row],[TopicID]], 2)</f>
        <v>17</v>
      </c>
      <c r="G51" t="s">
        <v>378</v>
      </c>
      <c r="H51" t="s">
        <v>376</v>
      </c>
      <c r="I51" s="22" t="str">
        <f>IF(ISBLANK(tbl_TOPIC[[#This Row],[ParentTopic]]), tbl_TOPIC[[#This Row],[Topic]], _xlfn.XLOOKUP(tbl_TOPIC[[#This Row],[ParentTopic]], tbl_TOPIC[Topic], tbl_TOPIC[TopicPath]) &amp; "/" &amp; tbl_TOPIC[[#This Row],[Topic]])</f>
        <v>Schrödinger Gleichung/Ehrenfest Theorem/Bewegungsgleichung für Erwartungswert</v>
      </c>
    </row>
    <row r="52" spans="2:9" ht="16" customHeight="1" x14ac:dyDescent="0.2">
      <c r="B52" t="s">
        <v>361</v>
      </c>
      <c r="C52">
        <v>1</v>
      </c>
      <c r="D52">
        <v>18</v>
      </c>
      <c r="E52" t="str">
        <f>tbl_TOPIC[[#This Row],[Subject]] &amp; "-" &amp; tbl_TOPIC[[#This Row],[Phase]] &amp; "-" &amp; TEXT(tbl_TOPIC[[#This Row],[Order]], "00")</f>
        <v>QM-1-18</v>
      </c>
      <c r="F52" t="str">
        <f>RIGHT(tbl_TOPIC[[#This Row],[TopicID]], 2)</f>
        <v>18</v>
      </c>
      <c r="G52" t="s">
        <v>379</v>
      </c>
      <c r="H52" t="s">
        <v>376</v>
      </c>
      <c r="I52" s="22" t="str">
        <f>IF(ISBLANK(tbl_TOPIC[[#This Row],[ParentTopic]]), tbl_TOPIC[[#This Row],[Topic]], _xlfn.XLOOKUP(tbl_TOPIC[[#This Row],[ParentTopic]], tbl_TOPIC[Topic], tbl_TOPIC[TopicPath]) &amp; "/" &amp; tbl_TOPIC[[#This Row],[Topic]])</f>
        <v>Schrödinger Gleichung/Ehrenfest Theorem/Quasiklassische Bewegung</v>
      </c>
    </row>
    <row r="53" spans="2:9" ht="16" customHeight="1" x14ac:dyDescent="0.2">
      <c r="B53" t="s">
        <v>24</v>
      </c>
      <c r="C53">
        <v>1</v>
      </c>
      <c r="D53">
        <v>1</v>
      </c>
      <c r="E53" t="str">
        <f>tbl_TOPIC[[#This Row],[Subject]] &amp; "-" &amp; tbl_TOPIC[[#This Row],[Phase]] &amp; "-" &amp; TEXT(tbl_TOPIC[[#This Row],[Order]], "00")</f>
        <v>QMS-1-01</v>
      </c>
      <c r="F53" t="str">
        <f>RIGHT(tbl_TOPIC[[#This Row],[TopicID]], 2)</f>
        <v>01</v>
      </c>
      <c r="G53" t="s">
        <v>398</v>
      </c>
      <c r="I53" s="22" t="str">
        <f>IF(ISBLANK(tbl_TOPIC[[#This Row],[ParentTopic]]), tbl_TOPIC[[#This Row],[Topic]], _xlfn.XLOOKUP(tbl_TOPIC[[#This Row],[ParentTopic]], tbl_TOPIC[Topic], tbl_TOPIC[TopicPath]) &amp; "/" &amp; tbl_TOPIC[[#This Row],[Topic]])</f>
        <v>Symmetrie in Quantenmechanik</v>
      </c>
    </row>
    <row r="54" spans="2:9" ht="16" customHeight="1" x14ac:dyDescent="0.2">
      <c r="B54" t="s">
        <v>24</v>
      </c>
      <c r="C54">
        <v>1</v>
      </c>
      <c r="D54">
        <v>2</v>
      </c>
      <c r="E54" t="str">
        <f>tbl_TOPIC[[#This Row],[Subject]] &amp; "-" &amp; tbl_TOPIC[[#This Row],[Phase]] &amp; "-" &amp; TEXT(tbl_TOPIC[[#This Row],[Order]], "00")</f>
        <v>QMS-1-02</v>
      </c>
      <c r="F54" t="str">
        <f>RIGHT(tbl_TOPIC[[#This Row],[TopicID]], 2)</f>
        <v>02</v>
      </c>
      <c r="G54" t="s">
        <v>399</v>
      </c>
      <c r="H54" t="s">
        <v>398</v>
      </c>
      <c r="I54" s="22" t="str">
        <f>IF(ISBLANK(tbl_TOPIC[[#This Row],[ParentTopic]]), tbl_TOPIC[[#This Row],[Topic]], _xlfn.XLOOKUP(tbl_TOPIC[[#This Row],[ParentTopic]], tbl_TOPIC[Topic], tbl_TOPIC[TopicPath]) &amp; "/" &amp; tbl_TOPIC[[#This Row],[Topic]])</f>
        <v>Symmetrie in Quantenmechanik/Raum Translation</v>
      </c>
    </row>
    <row r="55" spans="2:9" ht="16" customHeight="1" x14ac:dyDescent="0.2">
      <c r="B55" t="s">
        <v>24</v>
      </c>
      <c r="C55">
        <v>1</v>
      </c>
      <c r="D55">
        <v>3</v>
      </c>
      <c r="E55" t="str">
        <f>tbl_TOPIC[[#This Row],[Subject]] &amp; "-" &amp; tbl_TOPIC[[#This Row],[Phase]] &amp; "-" &amp; TEXT(tbl_TOPIC[[#This Row],[Order]], "00")</f>
        <v>QMS-1-03</v>
      </c>
      <c r="F55" t="str">
        <f>RIGHT(tbl_TOPIC[[#This Row],[TopicID]], 2)</f>
        <v>03</v>
      </c>
      <c r="G55" t="s">
        <v>400</v>
      </c>
      <c r="H55" t="s">
        <v>398</v>
      </c>
      <c r="I55" s="22" t="str">
        <f>IF(ISBLANK(tbl_TOPIC[[#This Row],[ParentTopic]]), tbl_TOPIC[[#This Row],[Topic]], _xlfn.XLOOKUP(tbl_TOPIC[[#This Row],[ParentTopic]], tbl_TOPIC[Topic], tbl_TOPIC[TopicPath]) &amp; "/" &amp; tbl_TOPIC[[#This Row],[Topic]])</f>
        <v>Symmetrie in Quantenmechanik/Zeit Translation</v>
      </c>
    </row>
    <row r="56" spans="2:9" ht="16" customHeight="1" x14ac:dyDescent="0.2">
      <c r="B56" t="s">
        <v>24</v>
      </c>
      <c r="C56">
        <v>1</v>
      </c>
      <c r="D56">
        <v>4</v>
      </c>
      <c r="E56" t="str">
        <f>tbl_TOPIC[[#This Row],[Subject]] &amp; "-" &amp; tbl_TOPIC[[#This Row],[Phase]] &amp; "-" &amp; TEXT(tbl_TOPIC[[#This Row],[Order]], "00")</f>
        <v>QMS-1-04</v>
      </c>
      <c r="F56" t="str">
        <f>RIGHT(tbl_TOPIC[[#This Row],[TopicID]], 2)</f>
        <v>04</v>
      </c>
      <c r="G56" t="s">
        <v>401</v>
      </c>
      <c r="H56" t="s">
        <v>398</v>
      </c>
      <c r="I56" s="22" t="str">
        <f>IF(ISBLANK(tbl_TOPIC[[#This Row],[ParentTopic]]), tbl_TOPIC[[#This Row],[Topic]], _xlfn.XLOOKUP(tbl_TOPIC[[#This Row],[ParentTopic]], tbl_TOPIC[Topic], tbl_TOPIC[TopicPath]) &amp; "/" &amp; tbl_TOPIC[[#This Row],[Topic]])</f>
        <v>Symmetrie in Quantenmechanik/Rotation</v>
      </c>
    </row>
    <row r="57" spans="2:9" ht="16" customHeight="1" x14ac:dyDescent="0.2">
      <c r="B57" t="s">
        <v>24</v>
      </c>
      <c r="C57">
        <v>1</v>
      </c>
      <c r="D57">
        <v>5</v>
      </c>
      <c r="E57" t="str">
        <f>tbl_TOPIC[[#This Row],[Subject]] &amp; "-" &amp; tbl_TOPIC[[#This Row],[Phase]] &amp; "-" &amp; TEXT(tbl_TOPIC[[#This Row],[Order]], "00")</f>
        <v>QMS-1-05</v>
      </c>
      <c r="F57" t="str">
        <f>RIGHT(tbl_TOPIC[[#This Row],[TopicID]], 2)</f>
        <v>05</v>
      </c>
      <c r="G57" t="s">
        <v>402</v>
      </c>
      <c r="I57" s="22" t="str">
        <f>IF(ISBLANK(tbl_TOPIC[[#This Row],[ParentTopic]]), tbl_TOPIC[[#This Row],[Topic]], _xlfn.XLOOKUP(tbl_TOPIC[[#This Row],[ParentTopic]], tbl_TOPIC[Topic], tbl_TOPIC[TopicPath]) &amp; "/" &amp; tbl_TOPIC[[#This Row],[Topic]])</f>
        <v>Gruppentheorie für QMS</v>
      </c>
    </row>
    <row r="58" spans="2:9" ht="16" customHeight="1" x14ac:dyDescent="0.2">
      <c r="B58" t="s">
        <v>24</v>
      </c>
      <c r="C58">
        <v>1</v>
      </c>
      <c r="D58">
        <v>6</v>
      </c>
      <c r="E58" t="str">
        <f>tbl_TOPIC[[#This Row],[Subject]] &amp; "-" &amp; tbl_TOPIC[[#This Row],[Phase]] &amp; "-" &amp; TEXT(tbl_TOPIC[[#This Row],[Order]], "00")</f>
        <v>QMS-1-06</v>
      </c>
      <c r="F58" t="str">
        <f>RIGHT(tbl_TOPIC[[#This Row],[TopicID]], 2)</f>
        <v>06</v>
      </c>
      <c r="G58" t="s">
        <v>403</v>
      </c>
      <c r="H58" t="s">
        <v>402</v>
      </c>
      <c r="I58" s="22" t="str">
        <f>IF(ISBLANK(tbl_TOPIC[[#This Row],[ParentTopic]]), tbl_TOPIC[[#This Row],[Topic]], _xlfn.XLOOKUP(tbl_TOPIC[[#This Row],[ParentTopic]], tbl_TOPIC[Topic], tbl_TOPIC[TopicPath]) &amp; "/" &amp; tbl_TOPIC[[#This Row],[Topic]])</f>
        <v>Gruppentheorie für QMS/Basics Gruppentheorie für QMS</v>
      </c>
    </row>
    <row r="59" spans="2:9" ht="16" customHeight="1" x14ac:dyDescent="0.2">
      <c r="B59" t="s">
        <v>24</v>
      </c>
      <c r="C59">
        <v>1</v>
      </c>
      <c r="D59">
        <v>7</v>
      </c>
      <c r="E59" t="str">
        <f>tbl_TOPIC[[#This Row],[Subject]] &amp; "-" &amp; tbl_TOPIC[[#This Row],[Phase]] &amp; "-" &amp; TEXT(tbl_TOPIC[[#This Row],[Order]], "00")</f>
        <v>QMS-1-07</v>
      </c>
      <c r="F59" t="str">
        <f>RIGHT(tbl_TOPIC[[#This Row],[TopicID]], 2)</f>
        <v>07</v>
      </c>
      <c r="G59" t="s">
        <v>404</v>
      </c>
      <c r="H59" t="s">
        <v>402</v>
      </c>
      <c r="I59" s="22" t="str">
        <f>IF(ISBLANK(tbl_TOPIC[[#This Row],[ParentTopic]]), tbl_TOPIC[[#This Row],[Topic]], _xlfn.XLOOKUP(tbl_TOPIC[[#This Row],[ParentTopic]], tbl_TOPIC[Topic], tbl_TOPIC[TopicPath]) &amp; "/" &amp; tbl_TOPIC[[#This Row],[Topic]])</f>
        <v>Gruppentheorie für QMS/Repräsentation von Gruppen</v>
      </c>
    </row>
    <row r="60" spans="2:9" ht="16" customHeight="1" x14ac:dyDescent="0.2">
      <c r="B60" t="s">
        <v>24</v>
      </c>
      <c r="C60">
        <v>1</v>
      </c>
      <c r="D60">
        <v>8</v>
      </c>
      <c r="E60" t="str">
        <f>tbl_TOPIC[[#This Row],[Subject]] &amp; "-" &amp; tbl_TOPIC[[#This Row],[Phase]] &amp; "-" &amp; TEXT(tbl_TOPIC[[#This Row],[Order]], "00")</f>
        <v>QMS-1-08</v>
      </c>
      <c r="F60" t="str">
        <f>RIGHT(tbl_TOPIC[[#This Row],[TopicID]], 2)</f>
        <v>08</v>
      </c>
      <c r="G60" t="s">
        <v>5</v>
      </c>
      <c r="H60" t="s">
        <v>402</v>
      </c>
      <c r="I60" s="22" t="str">
        <f>IF(ISBLANK(tbl_TOPIC[[#This Row],[ParentTopic]]), tbl_TOPIC[[#This Row],[Topic]], _xlfn.XLOOKUP(tbl_TOPIC[[#This Row],[ParentTopic]], tbl_TOPIC[Topic], tbl_TOPIC[TopicPath]) &amp; "/" &amp; tbl_TOPIC[[#This Row],[Topic]])</f>
        <v>Gruppentheorie für QMS/Lie Gruppen</v>
      </c>
    </row>
    <row r="61" spans="2:9" ht="16" customHeight="1" x14ac:dyDescent="0.2">
      <c r="B61" t="s">
        <v>24</v>
      </c>
      <c r="C61">
        <v>1</v>
      </c>
      <c r="D61">
        <v>9</v>
      </c>
      <c r="E61" t="str">
        <f>tbl_TOPIC[[#This Row],[Subject]] &amp; "-" &amp; tbl_TOPIC[[#This Row],[Phase]] &amp; "-" &amp; TEXT(tbl_TOPIC[[#This Row],[Order]], "00")</f>
        <v>QMS-1-09</v>
      </c>
      <c r="F61" t="str">
        <f>RIGHT(tbl_TOPIC[[#This Row],[TopicID]], 2)</f>
        <v>09</v>
      </c>
      <c r="G61" t="s">
        <v>405</v>
      </c>
      <c r="H61" t="s">
        <v>402</v>
      </c>
      <c r="I61" s="22" t="str">
        <f>IF(ISBLANK(tbl_TOPIC[[#This Row],[ParentTopic]]), tbl_TOPIC[[#This Row],[Topic]], _xlfn.XLOOKUP(tbl_TOPIC[[#This Row],[ParentTopic]], tbl_TOPIC[Topic], tbl_TOPIC[TopicPath]) &amp; "/" &amp; tbl_TOPIC[[#This Row],[Topic]])</f>
        <v>Gruppentheorie für QMS/Einfache und Semi-Einfache Lie Gruppen</v>
      </c>
    </row>
    <row r="62" spans="2:9" ht="16" customHeight="1" x14ac:dyDescent="0.2">
      <c r="B62" t="s">
        <v>24</v>
      </c>
      <c r="C62">
        <v>1</v>
      </c>
      <c r="D62">
        <v>10</v>
      </c>
      <c r="E62" t="str">
        <f>tbl_TOPIC[[#This Row],[Subject]] &amp; "-" &amp; tbl_TOPIC[[#This Row],[Phase]] &amp; "-" &amp; TEXT(tbl_TOPIC[[#This Row],[Order]], "00")</f>
        <v>QMS-1-10</v>
      </c>
      <c r="F62" t="str">
        <f>RIGHT(tbl_TOPIC[[#This Row],[TopicID]], 2)</f>
        <v>10</v>
      </c>
      <c r="G62" t="s">
        <v>410</v>
      </c>
      <c r="H62" t="s">
        <v>402</v>
      </c>
      <c r="I62" s="22" t="str">
        <f>IF(ISBLANK(tbl_TOPIC[[#This Row],[ParentTopic]]), tbl_TOPIC[[#This Row],[Topic]], _xlfn.XLOOKUP(tbl_TOPIC[[#This Row],[ParentTopic]], tbl_TOPIC[Topic], tbl_TOPIC[TopicPath]) &amp; "/" &amp; tbl_TOPIC[[#This Row],[Topic]])</f>
        <v>Gruppentheorie für QMS/Qasimir Operator, Multiplet, Schur Lemma</v>
      </c>
    </row>
    <row r="63" spans="2:9" ht="16" customHeight="1" x14ac:dyDescent="0.2">
      <c r="B63" t="s">
        <v>24</v>
      </c>
      <c r="C63">
        <v>1</v>
      </c>
      <c r="D63">
        <v>11</v>
      </c>
      <c r="E63" t="str">
        <f>tbl_TOPIC[[#This Row],[Subject]] &amp; "-" &amp; tbl_TOPIC[[#This Row],[Phase]] &amp; "-" &amp; TEXT(tbl_TOPIC[[#This Row],[Order]], "00")</f>
        <v>QMS-1-11</v>
      </c>
      <c r="F63" t="str">
        <f>RIGHT(tbl_TOPIC[[#This Row],[TopicID]], 2)</f>
        <v>11</v>
      </c>
      <c r="G63" t="s">
        <v>406</v>
      </c>
      <c r="I63" s="22" t="str">
        <f>IF(ISBLANK(tbl_TOPIC[[#This Row],[ParentTopic]]), tbl_TOPIC[[#This Row],[Topic]], _xlfn.XLOOKUP(tbl_TOPIC[[#This Row],[ParentTopic]], tbl_TOPIC[Topic], tbl_TOPIC[TopicPath]) &amp; "/" &amp; tbl_TOPIC[[#This Row],[Topic]])</f>
        <v>Gruppe SU(3)</v>
      </c>
    </row>
    <row r="64" spans="2:9" ht="16" customHeight="1" x14ac:dyDescent="0.2">
      <c r="B64" t="s">
        <v>24</v>
      </c>
      <c r="C64">
        <v>1</v>
      </c>
      <c r="D64">
        <v>12</v>
      </c>
      <c r="E64" t="str">
        <f>tbl_TOPIC[[#This Row],[Subject]] &amp; "-" &amp; tbl_TOPIC[[#This Row],[Phase]] &amp; "-" &amp; TEXT(tbl_TOPIC[[#This Row],[Order]], "00")</f>
        <v>QMS-1-12</v>
      </c>
      <c r="F64" t="str">
        <f>RIGHT(tbl_TOPIC[[#This Row],[TopicID]], 2)</f>
        <v>12</v>
      </c>
      <c r="G64" t="s">
        <v>407</v>
      </c>
      <c r="H64" t="s">
        <v>406</v>
      </c>
      <c r="I64" s="22" t="str">
        <f>IF(ISBLANK(tbl_TOPIC[[#This Row],[ParentTopic]]), tbl_TOPIC[[#This Row],[Topic]], _xlfn.XLOOKUP(tbl_TOPIC[[#This Row],[ParentTopic]], tbl_TOPIC[Topic], tbl_TOPIC[TopicPath]) &amp; "/" &amp; tbl_TOPIC[[#This Row],[Topic]])</f>
        <v>Gruppe SU(3)/Generatoren</v>
      </c>
    </row>
    <row r="65" spans="2:9" ht="16" customHeight="1" x14ac:dyDescent="0.2">
      <c r="B65" t="s">
        <v>24</v>
      </c>
      <c r="C65">
        <v>1</v>
      </c>
      <c r="D65">
        <v>13</v>
      </c>
      <c r="E65" t="str">
        <f>tbl_TOPIC[[#This Row],[Subject]] &amp; "-" &amp; tbl_TOPIC[[#This Row],[Phase]] &amp; "-" &amp; TEXT(tbl_TOPIC[[#This Row],[Order]], "00")</f>
        <v>QMS-1-13</v>
      </c>
      <c r="F65" t="str">
        <f>RIGHT(tbl_TOPIC[[#This Row],[TopicID]], 2)</f>
        <v>13</v>
      </c>
      <c r="G65" t="s">
        <v>408</v>
      </c>
      <c r="H65" t="s">
        <v>406</v>
      </c>
      <c r="I65" s="22" t="str">
        <f>IF(ISBLANK(tbl_TOPIC[[#This Row],[ParentTopic]]), tbl_TOPIC[[#This Row],[Topic]], _xlfn.XLOOKUP(tbl_TOPIC[[#This Row],[ParentTopic]], tbl_TOPIC[Topic], tbl_TOPIC[TopicPath]) &amp; "/" &amp; tbl_TOPIC[[#This Row],[Topic]])</f>
        <v>Gruppe SU(3)/Struktur Konstanten</v>
      </c>
    </row>
    <row r="66" spans="2:9" ht="16" customHeight="1" x14ac:dyDescent="0.2">
      <c r="B66" t="s">
        <v>24</v>
      </c>
      <c r="C66">
        <v>1</v>
      </c>
      <c r="D66">
        <v>14</v>
      </c>
      <c r="E66" t="str">
        <f>tbl_TOPIC[[#This Row],[Subject]] &amp; "-" &amp; tbl_TOPIC[[#This Row],[Phase]] &amp; "-" &amp; TEXT(tbl_TOPIC[[#This Row],[Order]], "00")</f>
        <v>QMS-1-14</v>
      </c>
      <c r="F66" t="str">
        <f>RIGHT(tbl_TOPIC[[#This Row],[TopicID]], 2)</f>
        <v>14</v>
      </c>
      <c r="G66" t="s">
        <v>409</v>
      </c>
      <c r="H66" t="s">
        <v>406</v>
      </c>
      <c r="I66" s="22" t="str">
        <f>IF(ISBLANK(tbl_TOPIC[[#This Row],[ParentTopic]]), tbl_TOPIC[[#This Row],[Topic]], _xlfn.XLOOKUP(tbl_TOPIC[[#This Row],[ParentTopic]], tbl_TOPIC[Topic], tbl_TOPIC[TopicPath]) &amp; "/" &amp; tbl_TOPIC[[#This Row],[Topic]])</f>
        <v>Gruppe SU(3)/Unteralgebren und Untergruppen</v>
      </c>
    </row>
    <row r="67" spans="2:9" ht="16" customHeight="1" x14ac:dyDescent="0.2">
      <c r="B67" t="s">
        <v>24</v>
      </c>
      <c r="C67">
        <v>1</v>
      </c>
      <c r="D67">
        <v>15</v>
      </c>
      <c r="E67" t="str">
        <f>tbl_TOPIC[[#This Row],[Subject]] &amp; "-" &amp; tbl_TOPIC[[#This Row],[Phase]] &amp; "-" &amp; TEXT(tbl_TOPIC[[#This Row],[Order]], "00")</f>
        <v>QMS-1-15</v>
      </c>
      <c r="F67" t="str">
        <f>RIGHT(tbl_TOPIC[[#This Row],[TopicID]], 2)</f>
        <v>15</v>
      </c>
      <c r="G67" t="s">
        <v>411</v>
      </c>
      <c r="H67" t="s">
        <v>406</v>
      </c>
      <c r="I67" s="22" t="str">
        <f>IF(ISBLANK(tbl_TOPIC[[#This Row],[ParentTopic]]), tbl_TOPIC[[#This Row],[Topic]], _xlfn.XLOOKUP(tbl_TOPIC[[#This Row],[ParentTopic]], tbl_TOPIC[Topic], tbl_TOPIC[TopicPath]) &amp; "/" &amp; tbl_TOPIC[[#This Row],[Topic]])</f>
        <v>Gruppe SU(3)/Konstruktion von Multiplets von fundamentalen Repräsentationen</v>
      </c>
    </row>
    <row r="68" spans="2:9" ht="16" customHeight="1" x14ac:dyDescent="0.2">
      <c r="B68" t="s">
        <v>24</v>
      </c>
      <c r="C68">
        <v>1</v>
      </c>
      <c r="D68">
        <v>16</v>
      </c>
      <c r="E68" t="str">
        <f>tbl_TOPIC[[#This Row],[Subject]] &amp; "-" &amp; tbl_TOPIC[[#This Row],[Phase]] &amp; "-" &amp; TEXT(tbl_TOPIC[[#This Row],[Order]], "00")</f>
        <v>QMS-1-16</v>
      </c>
      <c r="F68" t="str">
        <f>RIGHT(tbl_TOPIC[[#This Row],[TopicID]], 2)</f>
        <v>16</v>
      </c>
      <c r="G68" t="s">
        <v>412</v>
      </c>
      <c r="H68" t="s">
        <v>406</v>
      </c>
      <c r="I68" s="22" t="str">
        <f>IF(ISBLANK(tbl_TOPIC[[#This Row],[ParentTopic]]), tbl_TOPIC[[#This Row],[Topic]], _xlfn.XLOOKUP(tbl_TOPIC[[#This Row],[ParentTopic]], tbl_TOPIC[Topic], tbl_TOPIC[TopicPath]) &amp; "/" &amp; tbl_TOPIC[[#This Row],[Topic]])</f>
        <v>Gruppe SU(3)/Young Tableaux</v>
      </c>
    </row>
    <row r="69" spans="2:9" ht="16" customHeight="1" x14ac:dyDescent="0.2">
      <c r="B69" t="s">
        <v>361</v>
      </c>
      <c r="C69">
        <v>1</v>
      </c>
      <c r="D69">
        <v>19</v>
      </c>
      <c r="E69" t="str">
        <f>tbl_TOPIC[[#This Row],[Subject]] &amp; "-" &amp; tbl_TOPIC[[#This Row],[Phase]] &amp; "-" &amp; TEXT(tbl_TOPIC[[#This Row],[Order]], "00")</f>
        <v>QM-1-19</v>
      </c>
      <c r="F69" t="str">
        <f>RIGHT(tbl_TOPIC[[#This Row],[TopicID]], 2)</f>
        <v>19</v>
      </c>
      <c r="G69" t="s">
        <v>455</v>
      </c>
      <c r="I69" s="22" t="str">
        <f>IF(ISBLANK(tbl_TOPIC[[#This Row],[ParentTopic]]), tbl_TOPIC[[#This Row],[Topic]], _xlfn.XLOOKUP(tbl_TOPIC[[#This Row],[ParentTopic]], tbl_TOPIC[Topic], tbl_TOPIC[TopicPath]) &amp; "/" &amp; tbl_TOPIC[[#This Row],[Topic]])</f>
        <v>QM-ÜB</v>
      </c>
    </row>
    <row r="70" spans="2:9" ht="16" customHeight="1" x14ac:dyDescent="0.2">
      <c r="B70" t="s">
        <v>361</v>
      </c>
      <c r="C70">
        <v>1</v>
      </c>
      <c r="D70">
        <v>20</v>
      </c>
      <c r="E70" t="str">
        <f>tbl_TOPIC[[#This Row],[Subject]] &amp; "-" &amp; tbl_TOPIC[[#This Row],[Phase]] &amp; "-" &amp; TEXT(tbl_TOPIC[[#This Row],[Order]], "00")</f>
        <v>QM-1-20</v>
      </c>
      <c r="F70" t="str">
        <f>RIGHT(tbl_TOPIC[[#This Row],[TopicID]], 2)</f>
        <v>20</v>
      </c>
      <c r="G70" t="s">
        <v>454</v>
      </c>
      <c r="H70" t="s">
        <v>455</v>
      </c>
      <c r="I70" s="22" t="str">
        <f>IF(ISBLANK(tbl_TOPIC[[#This Row],[ParentTopic]]), tbl_TOPIC[[#This Row],[Topic]], _xlfn.XLOOKUP(tbl_TOPIC[[#This Row],[ParentTopic]], tbl_TOPIC[Topic], tbl_TOPIC[TopicPath]) &amp; "/" &amp; tbl_TOPIC[[#This Row],[Topic]])</f>
        <v>QM-ÜB/QM-ÜB-00: Hermitische Unitäre Matrizen</v>
      </c>
    </row>
    <row r="71" spans="2:9" ht="16" customHeight="1" x14ac:dyDescent="0.2">
      <c r="B71" t="s">
        <v>106</v>
      </c>
      <c r="C71">
        <v>1</v>
      </c>
      <c r="D71">
        <v>8</v>
      </c>
      <c r="E71" t="str">
        <f>tbl_TOPIC[[#This Row],[Subject]] &amp; "-" &amp; tbl_TOPIC[[#This Row],[Phase]] &amp; "-" &amp; TEXT(tbl_TOPIC[[#This Row],[Order]], "00")</f>
        <v>GPDE-1-08</v>
      </c>
      <c r="F71" t="str">
        <f>RIGHT(tbl_TOPIC[[#This Row],[TopicID]], 2)</f>
        <v>08</v>
      </c>
      <c r="G71" t="s">
        <v>456</v>
      </c>
      <c r="H71" t="s">
        <v>330</v>
      </c>
      <c r="I71" s="22" t="str">
        <f>IF(ISBLANK(tbl_TOPIC[[#This Row],[ParentTopic]]), tbl_TOPIC[[#This Row],[Topic]], _xlfn.XLOOKUP(tbl_TOPIC[[#This Row],[ParentTopic]], tbl_TOPIC[Topic], tbl_TOPIC[TopicPath]) &amp; "/" &amp; tbl_TOPIC[[#This Row],[Topic]])</f>
        <v>Maximum Prinzipien/Hopf Lemma</v>
      </c>
    </row>
    <row r="72" spans="2:9" ht="16" customHeight="1" x14ac:dyDescent="0.2">
      <c r="B72" t="s">
        <v>106</v>
      </c>
      <c r="C72">
        <v>1</v>
      </c>
      <c r="D72">
        <v>9</v>
      </c>
      <c r="E72" t="str">
        <f>tbl_TOPIC[[#This Row],[Subject]] &amp; "-" &amp; tbl_TOPIC[[#This Row],[Phase]] &amp; "-" &amp; TEXT(tbl_TOPIC[[#This Row],[Order]], "00")</f>
        <v>GPDE-1-09</v>
      </c>
      <c r="F72" t="str">
        <f>RIGHT(tbl_TOPIC[[#This Row],[TopicID]], 2)</f>
        <v>09</v>
      </c>
      <c r="G72" t="s">
        <v>457</v>
      </c>
      <c r="H72" t="s">
        <v>330</v>
      </c>
      <c r="I72" s="22" t="str">
        <f>IF(ISBLANK(tbl_TOPIC[[#This Row],[ParentTopic]]), tbl_TOPIC[[#This Row],[Topic]], _xlfn.XLOOKUP(tbl_TOPIC[[#This Row],[ParentTopic]], tbl_TOPIC[Topic], tbl_TOPIC[TopicPath]) &amp; "/" &amp; tbl_TOPIC[[#This Row],[Topic]])</f>
        <v>Maximum Prinzipien/Vergleichsprinzipien für voll nicht-lineare Differentialoperatoren</v>
      </c>
    </row>
    <row r="73" spans="2:9" ht="16" customHeight="1" x14ac:dyDescent="0.2">
      <c r="B73" t="s">
        <v>453</v>
      </c>
      <c r="C73">
        <v>1</v>
      </c>
      <c r="D73">
        <v>1</v>
      </c>
      <c r="E73" t="str">
        <f>tbl_TOPIC[[#This Row],[Subject]] &amp; "-" &amp; tbl_TOPIC[[#This Row],[Phase]] &amp; "-" &amp; TEXT(tbl_TOPIC[[#This Row],[Order]], "00")</f>
        <v>CM-1-01</v>
      </c>
      <c r="F73" t="str">
        <f>RIGHT(tbl_TOPIC[[#This Row],[TopicID]], 2)</f>
        <v>01</v>
      </c>
      <c r="G73" t="s">
        <v>460</v>
      </c>
      <c r="I73" s="22" t="str">
        <f>IF(ISBLANK(tbl_TOPIC[[#This Row],[ParentTopic]]), tbl_TOPIC[[#This Row],[Topic]], _xlfn.XLOOKUP(tbl_TOPIC[[#This Row],[ParentTopic]], tbl_TOPIC[Topic], tbl_TOPIC[TopicPath]) &amp; "/" &amp; tbl_TOPIC[[#This Row],[Topic]])</f>
        <v>Klassische Streutheorie</v>
      </c>
    </row>
    <row r="74" spans="2:9" ht="16" customHeight="1" x14ac:dyDescent="0.2">
      <c r="B74" t="s">
        <v>453</v>
      </c>
      <c r="C74">
        <v>1</v>
      </c>
      <c r="D74">
        <v>2</v>
      </c>
      <c r="E74" t="str">
        <f>tbl_TOPIC[[#This Row],[Subject]] &amp; "-" &amp; tbl_TOPIC[[#This Row],[Phase]] &amp; "-" &amp; TEXT(tbl_TOPIC[[#This Row],[Order]], "00")</f>
        <v>CM-1-02</v>
      </c>
      <c r="F74" t="str">
        <f>RIGHT(tbl_TOPIC[[#This Row],[TopicID]], 2)</f>
        <v>02</v>
      </c>
      <c r="G74" t="s">
        <v>461</v>
      </c>
      <c r="H74" t="s">
        <v>460</v>
      </c>
      <c r="I74" s="22" t="str">
        <f>IF(ISBLANK(tbl_TOPIC[[#This Row],[ParentTopic]]), tbl_TOPIC[[#This Row],[Topic]], _xlfn.XLOOKUP(tbl_TOPIC[[#This Row],[ParentTopic]], tbl_TOPIC[Topic], tbl_TOPIC[TopicPath]) &amp; "/" &amp; tbl_TOPIC[[#This Row],[Topic]])</f>
        <v>Klassische Streutheorie/Wirkungsquerschnitt</v>
      </c>
    </row>
    <row r="75" spans="2:9" ht="16" customHeight="1" x14ac:dyDescent="0.2">
      <c r="B75" t="s">
        <v>453</v>
      </c>
      <c r="C75">
        <v>1</v>
      </c>
      <c r="D75">
        <v>3</v>
      </c>
      <c r="E75" t="str">
        <f>tbl_TOPIC[[#This Row],[Subject]] &amp; "-" &amp; tbl_TOPIC[[#This Row],[Phase]] &amp; "-" &amp; TEXT(tbl_TOPIC[[#This Row],[Order]], "00")</f>
        <v>CM-1-03</v>
      </c>
      <c r="F75" t="str">
        <f>RIGHT(tbl_TOPIC[[#This Row],[TopicID]], 2)</f>
        <v>03</v>
      </c>
      <c r="G75" t="s">
        <v>462</v>
      </c>
      <c r="H75" t="s">
        <v>460</v>
      </c>
      <c r="I75" s="22" t="str">
        <f>IF(ISBLANK(tbl_TOPIC[[#This Row],[ParentTopic]]), tbl_TOPIC[[#This Row],[Topic]], _xlfn.XLOOKUP(tbl_TOPIC[[#This Row],[ParentTopic]], tbl_TOPIC[Topic], tbl_TOPIC[TopicPath]) &amp; "/" &amp; tbl_TOPIC[[#This Row],[Topic]])</f>
        <v>Klassische Streutheorie/Berechnung des Wirkungsquerschnitts für elastische Streuung am Zentralpotential</v>
      </c>
    </row>
    <row r="76" spans="2:9" ht="16" customHeight="1" x14ac:dyDescent="0.2">
      <c r="B76" t="s">
        <v>453</v>
      </c>
      <c r="C76">
        <v>1</v>
      </c>
      <c r="D76">
        <v>4</v>
      </c>
      <c r="E76" t="str">
        <f>tbl_TOPIC[[#This Row],[Subject]] &amp; "-" &amp; tbl_TOPIC[[#This Row],[Phase]] &amp; "-" &amp; TEXT(tbl_TOPIC[[#This Row],[Order]], "00")</f>
        <v>CM-1-04</v>
      </c>
      <c r="F76" t="str">
        <f>RIGHT(tbl_TOPIC[[#This Row],[TopicID]], 2)</f>
        <v>04</v>
      </c>
      <c r="G76" t="s">
        <v>463</v>
      </c>
      <c r="H76" t="s">
        <v>460</v>
      </c>
      <c r="I76" s="22" t="str">
        <f>IF(ISBLANK(tbl_TOPIC[[#This Row],[ParentTopic]]), tbl_TOPIC[[#This Row],[Topic]], _xlfn.XLOOKUP(tbl_TOPIC[[#This Row],[ParentTopic]], tbl_TOPIC[Topic], tbl_TOPIC[TopicPath]) &amp; "/" &amp; tbl_TOPIC[[#This Row],[Topic]])</f>
        <v>Klassische Streutheorie/Rücktransformation ins Laborsystem</v>
      </c>
    </row>
    <row r="77" spans="2:9" ht="16" customHeight="1" x14ac:dyDescent="0.2">
      <c r="B77" t="s">
        <v>453</v>
      </c>
      <c r="C77">
        <v>1</v>
      </c>
      <c r="D77">
        <v>5</v>
      </c>
      <c r="E77" t="str">
        <f>tbl_TOPIC[[#This Row],[Subject]] &amp; "-" &amp; tbl_TOPIC[[#This Row],[Phase]] &amp; "-" &amp; TEXT(tbl_TOPIC[[#This Row],[Order]], "00")</f>
        <v>CM-1-05</v>
      </c>
      <c r="F77" t="str">
        <f>RIGHT(tbl_TOPIC[[#This Row],[TopicID]], 2)</f>
        <v>05</v>
      </c>
      <c r="G77" t="s">
        <v>482</v>
      </c>
      <c r="I77" s="22" t="str">
        <f>IF(ISBLANK(tbl_TOPIC[[#This Row],[ParentTopic]]), tbl_TOPIC[[#This Row],[Topic]], _xlfn.XLOOKUP(tbl_TOPIC[[#This Row],[ParentTopic]], tbl_TOPIC[Topic], tbl_TOPIC[TopicPath]) &amp; "/" &amp; tbl_TOPIC[[#This Row],[Topic]])</f>
        <v>2-Körper und effektives 1-Körper Problem</v>
      </c>
    </row>
    <row r="78" spans="2:9" ht="16" customHeight="1" x14ac:dyDescent="0.2">
      <c r="B78" t="s">
        <v>453</v>
      </c>
      <c r="C78">
        <v>1</v>
      </c>
      <c r="D78">
        <v>6</v>
      </c>
      <c r="E78" t="str">
        <f>tbl_TOPIC[[#This Row],[Subject]] &amp; "-" &amp; tbl_TOPIC[[#This Row],[Phase]] &amp; "-" &amp; TEXT(tbl_TOPIC[[#This Row],[Order]], "00")</f>
        <v>CM-1-06</v>
      </c>
      <c r="F78" t="str">
        <f>RIGHT(tbl_TOPIC[[#This Row],[TopicID]], 2)</f>
        <v>06</v>
      </c>
      <c r="G78" t="s">
        <v>489</v>
      </c>
      <c r="I78" s="22" t="str">
        <f>IF(ISBLANK(tbl_TOPIC[[#This Row],[ParentTopic]]), tbl_TOPIC[[#This Row],[Topic]], _xlfn.XLOOKUP(tbl_TOPIC[[#This Row],[ParentTopic]], tbl_TOPIC[Topic], tbl_TOPIC[TopicPath]) &amp; "/" &amp; tbl_TOPIC[[#This Row],[Topic]])</f>
        <v>CM-ÜB</v>
      </c>
    </row>
    <row r="79" spans="2:9" ht="16" customHeight="1" x14ac:dyDescent="0.2">
      <c r="B79" t="s">
        <v>453</v>
      </c>
      <c r="C79">
        <v>1</v>
      </c>
      <c r="D79">
        <v>7</v>
      </c>
      <c r="E79" t="str">
        <f>tbl_TOPIC[[#This Row],[Subject]] &amp; "-" &amp; tbl_TOPIC[[#This Row],[Phase]] &amp; "-" &amp; TEXT(tbl_TOPIC[[#This Row],[Order]], "00")</f>
        <v>CM-1-07</v>
      </c>
      <c r="F79" t="str">
        <f>RIGHT(tbl_TOPIC[[#This Row],[TopicID]], 2)</f>
        <v>07</v>
      </c>
      <c r="G79" t="s">
        <v>490</v>
      </c>
      <c r="H79" t="s">
        <v>489</v>
      </c>
      <c r="I79" s="22" t="str">
        <f>IF(ISBLANK(tbl_TOPIC[[#This Row],[ParentTopic]]), tbl_TOPIC[[#This Row],[Topic]], _xlfn.XLOOKUP(tbl_TOPIC[[#This Row],[ParentTopic]], tbl_TOPIC[Topic], tbl_TOPIC[TopicPath]) &amp; "/" &amp; tbl_TOPIC[[#This Row],[Topic]])</f>
        <v>CM-ÜB/CM-ÜB-01: Streutheorie</v>
      </c>
    </row>
    <row r="80" spans="2:9" ht="16" customHeight="1" x14ac:dyDescent="0.2">
      <c r="B80" t="s">
        <v>107</v>
      </c>
      <c r="C80">
        <v>1</v>
      </c>
      <c r="D80">
        <v>1</v>
      </c>
      <c r="E80" t="str">
        <f>tbl_TOPIC[[#This Row],[Subject]] &amp; "-" &amp; tbl_TOPIC[[#This Row],[Phase]] &amp; "-" &amp; TEXT(tbl_TOPIC[[#This Row],[Order]], "00")</f>
        <v>RG-1-01</v>
      </c>
      <c r="F80" t="str">
        <f>RIGHT(tbl_TOPIC[[#This Row],[TopicID]], 2)</f>
        <v>01</v>
      </c>
      <c r="G80" t="s">
        <v>496</v>
      </c>
      <c r="I80" s="22" t="str">
        <f>IF(ISBLANK(tbl_TOPIC[[#This Row],[ParentTopic]]), tbl_TOPIC[[#This Row],[Topic]], _xlfn.XLOOKUP(tbl_TOPIC[[#This Row],[ParentTopic]], tbl_TOPIC[Topic], tbl_TOPIC[TopicPath]) &amp; "/" &amp; tbl_TOPIC[[#This Row],[Topic]])</f>
        <v>Differenzierbare Mannigfaltigkeiten</v>
      </c>
    </row>
    <row r="81" spans="2:9" ht="16" customHeight="1" x14ac:dyDescent="0.2">
      <c r="B81" t="s">
        <v>107</v>
      </c>
      <c r="C81">
        <v>1</v>
      </c>
      <c r="D81">
        <v>2</v>
      </c>
      <c r="E81" t="str">
        <f>tbl_TOPIC[[#This Row],[Subject]] &amp; "-" &amp; tbl_TOPIC[[#This Row],[Phase]] &amp; "-" &amp; TEXT(tbl_TOPIC[[#This Row],[Order]], "00")</f>
        <v>RG-1-02</v>
      </c>
      <c r="F81" t="str">
        <f>RIGHT(tbl_TOPIC[[#This Row],[TopicID]], 2)</f>
        <v>02</v>
      </c>
      <c r="G81" t="s">
        <v>497</v>
      </c>
      <c r="H81" t="s">
        <v>496</v>
      </c>
      <c r="I81" s="22" t="str">
        <f>IF(ISBLANK(tbl_TOPIC[[#This Row],[ParentTopic]]), tbl_TOPIC[[#This Row],[Topic]], _xlfn.XLOOKUP(tbl_TOPIC[[#This Row],[ParentTopic]], tbl_TOPIC[Topic], tbl_TOPIC[TopicPath]) &amp; "/" &amp; tbl_TOPIC[[#This Row],[Topic]])</f>
        <v>Differenzierbare Mannigfaltigkeiten/Untermannigfaltigkeiten im euklidischen Raum</v>
      </c>
    </row>
    <row r="82" spans="2:9" ht="16" customHeight="1" x14ac:dyDescent="0.2">
      <c r="B82" t="s">
        <v>107</v>
      </c>
      <c r="C82">
        <v>1</v>
      </c>
      <c r="D82">
        <v>3</v>
      </c>
      <c r="E82" t="str">
        <f>tbl_TOPIC[[#This Row],[Subject]] &amp; "-" &amp; tbl_TOPIC[[#This Row],[Phase]] &amp; "-" &amp; TEXT(tbl_TOPIC[[#This Row],[Order]], "00")</f>
        <v>RG-1-03</v>
      </c>
      <c r="F82" t="str">
        <f>RIGHT(tbl_TOPIC[[#This Row],[TopicID]], 2)</f>
        <v>03</v>
      </c>
      <c r="G82" t="s">
        <v>498</v>
      </c>
      <c r="H82" t="s">
        <v>496</v>
      </c>
      <c r="I82" s="22" t="str">
        <f>IF(ISBLANK(tbl_TOPIC[[#This Row],[ParentTopic]]), tbl_TOPIC[[#This Row],[Topic]], _xlfn.XLOOKUP(tbl_TOPIC[[#This Row],[ParentTopic]], tbl_TOPIC[Topic], tbl_TOPIC[TopicPath]) &amp; "/" &amp; tbl_TOPIC[[#This Row],[Topic]])</f>
        <v>Differenzierbare Mannigfaltigkeiten/Glatte Mannigfaltigkeiten</v>
      </c>
    </row>
    <row r="83" spans="2:9" ht="16" customHeight="1" x14ac:dyDescent="0.2">
      <c r="B83" t="s">
        <v>107</v>
      </c>
      <c r="C83">
        <v>1</v>
      </c>
      <c r="D83">
        <v>4</v>
      </c>
      <c r="E83" t="str">
        <f>tbl_TOPIC[[#This Row],[Subject]] &amp; "-" &amp; tbl_TOPIC[[#This Row],[Phase]] &amp; "-" &amp; TEXT(tbl_TOPIC[[#This Row],[Order]], "00")</f>
        <v>RG-1-04</v>
      </c>
      <c r="F83" t="str">
        <f>RIGHT(tbl_TOPIC[[#This Row],[TopicID]], 2)</f>
        <v>04</v>
      </c>
      <c r="G83" t="s">
        <v>499</v>
      </c>
      <c r="H83" t="s">
        <v>496</v>
      </c>
      <c r="I83" s="22" t="str">
        <f>IF(ISBLANK(tbl_TOPIC[[#This Row],[ParentTopic]]), tbl_TOPIC[[#This Row],[Topic]], _xlfn.XLOOKUP(tbl_TOPIC[[#This Row],[ParentTopic]], tbl_TOPIC[Topic], tbl_TOPIC[TopicPath]) &amp; "/" &amp; tbl_TOPIC[[#This Row],[Topic]])</f>
        <v>Differenzierbare Mannigfaltigkeiten/Glatte Abbildungen und Vektorfelder</v>
      </c>
    </row>
    <row r="84" spans="2:9" ht="16" customHeight="1" x14ac:dyDescent="0.2">
      <c r="B84" t="s">
        <v>107</v>
      </c>
      <c r="C84">
        <v>1</v>
      </c>
      <c r="D84">
        <v>5</v>
      </c>
      <c r="E84" t="str">
        <f>tbl_TOPIC[[#This Row],[Subject]] &amp; "-" &amp; tbl_TOPIC[[#This Row],[Phase]] &amp; "-" &amp; TEXT(tbl_TOPIC[[#This Row],[Order]], "00")</f>
        <v>RG-1-05</v>
      </c>
      <c r="F84" t="str">
        <f>RIGHT(tbl_TOPIC[[#This Row],[TopicID]], 2)</f>
        <v>05</v>
      </c>
      <c r="G84" t="s">
        <v>500</v>
      </c>
      <c r="I84" s="22" t="str">
        <f>IF(ISBLANK(tbl_TOPIC[[#This Row],[ParentTopic]]), tbl_TOPIC[[#This Row],[Topic]], _xlfn.XLOOKUP(tbl_TOPIC[[#This Row],[ParentTopic]], tbl_TOPIC[Topic], tbl_TOPIC[TopicPath]) &amp; "/" &amp; tbl_TOPIC[[#This Row],[Topic]])</f>
        <v>Riemannische Mannigfaltigkeiten</v>
      </c>
    </row>
    <row r="85" spans="2:9" ht="16" customHeight="1" x14ac:dyDescent="0.2">
      <c r="B85" t="s">
        <v>107</v>
      </c>
      <c r="C85">
        <v>1</v>
      </c>
      <c r="D85">
        <v>6</v>
      </c>
      <c r="E85" t="str">
        <f>tbl_TOPIC[[#This Row],[Subject]] &amp; "-" &amp; tbl_TOPIC[[#This Row],[Phase]] &amp; "-" &amp; TEXT(tbl_TOPIC[[#This Row],[Order]], "00")</f>
        <v>RG-1-06</v>
      </c>
      <c r="F85" t="str">
        <f>RIGHT(tbl_TOPIC[[#This Row],[TopicID]], 2)</f>
        <v>06</v>
      </c>
      <c r="G85" t="s">
        <v>501</v>
      </c>
      <c r="H85" t="s">
        <v>500</v>
      </c>
      <c r="I85" s="22" t="str">
        <f>IF(ISBLANK(tbl_TOPIC[[#This Row],[ParentTopic]]), tbl_TOPIC[[#This Row],[Topic]], _xlfn.XLOOKUP(tbl_TOPIC[[#This Row],[ParentTopic]], tbl_TOPIC[Topic], tbl_TOPIC[TopicPath]) &amp; "/" &amp; tbl_TOPIC[[#This Row],[Topic]])</f>
        <v>Riemannische Mannigfaltigkeiten/Definitionen und Beispiele</v>
      </c>
    </row>
    <row r="86" spans="2:9" ht="16" customHeight="1" x14ac:dyDescent="0.2">
      <c r="B86" t="s">
        <v>107</v>
      </c>
      <c r="C86">
        <v>1</v>
      </c>
      <c r="D86">
        <v>7</v>
      </c>
      <c r="E86" t="str">
        <f>tbl_TOPIC[[#This Row],[Subject]] &amp; "-" &amp; tbl_TOPIC[[#This Row],[Phase]] &amp; "-" &amp; TEXT(tbl_TOPIC[[#This Row],[Order]], "00")</f>
        <v>RG-1-07</v>
      </c>
      <c r="F86" t="str">
        <f>RIGHT(tbl_TOPIC[[#This Row],[TopicID]], 2)</f>
        <v>07</v>
      </c>
      <c r="G86" t="s">
        <v>502</v>
      </c>
      <c r="H86" t="s">
        <v>500</v>
      </c>
      <c r="I86" s="22" t="str">
        <f>IF(ISBLANK(tbl_TOPIC[[#This Row],[ParentTopic]]), tbl_TOPIC[[#This Row],[Topic]], _xlfn.XLOOKUP(tbl_TOPIC[[#This Row],[ParentTopic]], tbl_TOPIC[Topic], tbl_TOPIC[TopicPath]) &amp; "/" &amp; tbl_TOPIC[[#This Row],[Topic]])</f>
        <v>Riemannische Mannigfaltigkeiten/Levi-Civita Zusammenhang</v>
      </c>
    </row>
    <row r="87" spans="2:9" ht="16" customHeight="1" x14ac:dyDescent="0.2">
      <c r="B87" t="s">
        <v>107</v>
      </c>
      <c r="C87">
        <v>1</v>
      </c>
      <c r="D87">
        <v>8</v>
      </c>
      <c r="E87" t="str">
        <f>tbl_TOPIC[[#This Row],[Subject]] &amp; "-" &amp; tbl_TOPIC[[#This Row],[Phase]] &amp; "-" &amp; TEXT(tbl_TOPIC[[#This Row],[Order]], "00")</f>
        <v>RG-1-08</v>
      </c>
      <c r="F87" t="str">
        <f>RIGHT(tbl_TOPIC[[#This Row],[TopicID]], 2)</f>
        <v>08</v>
      </c>
      <c r="G87" t="s">
        <v>503</v>
      </c>
      <c r="H87" t="s">
        <v>500</v>
      </c>
      <c r="I87" s="22" t="str">
        <f>IF(ISBLANK(tbl_TOPIC[[#This Row],[ParentTopic]]), tbl_TOPIC[[#This Row],[Topic]], _xlfn.XLOOKUP(tbl_TOPIC[[#This Row],[ParentTopic]], tbl_TOPIC[Topic], tbl_TOPIC[TopicPath]) &amp; "/" &amp; tbl_TOPIC[[#This Row],[Topic]])</f>
        <v>Riemannische Mannigfaltigkeiten/Kovariante Ableitung längs einer Kurve</v>
      </c>
    </row>
    <row r="88" spans="2:9" ht="16" customHeight="1" x14ac:dyDescent="0.2">
      <c r="B88" t="s">
        <v>107</v>
      </c>
      <c r="C88">
        <v>1</v>
      </c>
      <c r="D88">
        <v>9</v>
      </c>
      <c r="E88" t="str">
        <f>tbl_TOPIC[[#This Row],[Subject]] &amp; "-" &amp; tbl_TOPIC[[#This Row],[Phase]] &amp; "-" &amp; TEXT(tbl_TOPIC[[#This Row],[Order]], "00")</f>
        <v>RG-1-09</v>
      </c>
      <c r="F88" t="str">
        <f>RIGHT(tbl_TOPIC[[#This Row],[TopicID]], 2)</f>
        <v>09</v>
      </c>
      <c r="G88" t="s">
        <v>504</v>
      </c>
      <c r="H88" t="s">
        <v>500</v>
      </c>
      <c r="I88" s="22" t="str">
        <f>IF(ISBLANK(tbl_TOPIC[[#This Row],[ParentTopic]]), tbl_TOPIC[[#This Row],[Topic]], _xlfn.XLOOKUP(tbl_TOPIC[[#This Row],[ParentTopic]], tbl_TOPIC[Topic], tbl_TOPIC[TopicPath]) &amp; "/" &amp; tbl_TOPIC[[#This Row],[Topic]])</f>
        <v>Riemannische Mannigfaltigkeiten/Paralleltransport</v>
      </c>
    </row>
    <row r="89" spans="2:9" ht="16" customHeight="1" x14ac:dyDescent="0.2">
      <c r="B89" t="s">
        <v>107</v>
      </c>
      <c r="C89">
        <v>1</v>
      </c>
      <c r="D89">
        <v>10</v>
      </c>
      <c r="E89" t="str">
        <f>tbl_TOPIC[[#This Row],[Subject]] &amp; "-" &amp; tbl_TOPIC[[#This Row],[Phase]] &amp; "-" &amp; TEXT(tbl_TOPIC[[#This Row],[Order]], "00")</f>
        <v>RG-1-10</v>
      </c>
      <c r="F89" t="str">
        <f>RIGHT(tbl_TOPIC[[#This Row],[TopicID]], 2)</f>
        <v>10</v>
      </c>
      <c r="G89" t="s">
        <v>505</v>
      </c>
      <c r="I89" s="22" t="str">
        <f>IF(ISBLANK(tbl_TOPIC[[#This Row],[ParentTopic]]), tbl_TOPIC[[#This Row],[Topic]], _xlfn.XLOOKUP(tbl_TOPIC[[#This Row],[ParentTopic]], tbl_TOPIC[Topic], tbl_TOPIC[TopicPath]) &amp; "/" &amp; tbl_TOPIC[[#This Row],[Topic]])</f>
        <v>Geodätische und Exponentialabbildung</v>
      </c>
    </row>
    <row r="90" spans="2:9" ht="16" customHeight="1" x14ac:dyDescent="0.2">
      <c r="B90" t="s">
        <v>107</v>
      </c>
      <c r="C90">
        <v>1</v>
      </c>
      <c r="D90">
        <v>11</v>
      </c>
      <c r="E90" t="str">
        <f>tbl_TOPIC[[#This Row],[Subject]] &amp; "-" &amp; tbl_TOPIC[[#This Row],[Phase]] &amp; "-" &amp; TEXT(tbl_TOPIC[[#This Row],[Order]], "00")</f>
        <v>RG-1-11</v>
      </c>
      <c r="F90" t="str">
        <f>RIGHT(tbl_TOPIC[[#This Row],[TopicID]], 2)</f>
        <v>11</v>
      </c>
      <c r="G90" t="s">
        <v>506</v>
      </c>
      <c r="H90" t="s">
        <v>505</v>
      </c>
      <c r="I90" s="22" t="str">
        <f>IF(ISBLANK(tbl_TOPIC[[#This Row],[ParentTopic]]), tbl_TOPIC[[#This Row],[Topic]], _xlfn.XLOOKUP(tbl_TOPIC[[#This Row],[ParentTopic]], tbl_TOPIC[Topic], tbl_TOPIC[TopicPath]) &amp; "/" &amp; tbl_TOPIC[[#This Row],[Topic]])</f>
        <v>Geodätische und Exponentialabbildung/Geodätische</v>
      </c>
    </row>
    <row r="91" spans="2:9" ht="16" customHeight="1" x14ac:dyDescent="0.2">
      <c r="B91" t="s">
        <v>107</v>
      </c>
      <c r="C91">
        <v>1</v>
      </c>
      <c r="D91">
        <v>12</v>
      </c>
      <c r="E91" t="str">
        <f>tbl_TOPIC[[#This Row],[Subject]] &amp; "-" &amp; tbl_TOPIC[[#This Row],[Phase]] &amp; "-" &amp; TEXT(tbl_TOPIC[[#This Row],[Order]], "00")</f>
        <v>RG-1-12</v>
      </c>
      <c r="F91" t="str">
        <f>RIGHT(tbl_TOPIC[[#This Row],[TopicID]], 2)</f>
        <v>12</v>
      </c>
      <c r="G91" t="s">
        <v>507</v>
      </c>
      <c r="H91" t="s">
        <v>505</v>
      </c>
      <c r="I91" s="22" t="str">
        <f>IF(ISBLANK(tbl_TOPIC[[#This Row],[ParentTopic]]), tbl_TOPIC[[#This Row],[Topic]], _xlfn.XLOOKUP(tbl_TOPIC[[#This Row],[ParentTopic]], tbl_TOPIC[Topic], tbl_TOPIC[TopicPath]) &amp; "/" &amp; tbl_TOPIC[[#This Row],[Topic]])</f>
        <v>Geodätische und Exponentialabbildung/Exponentialabbildung</v>
      </c>
    </row>
    <row r="92" spans="2:9" ht="16" customHeight="1" x14ac:dyDescent="0.2">
      <c r="B92" t="s">
        <v>107</v>
      </c>
      <c r="C92">
        <v>1</v>
      </c>
      <c r="D92">
        <v>13</v>
      </c>
      <c r="E92" t="str">
        <f>tbl_TOPIC[[#This Row],[Subject]] &amp; "-" &amp; tbl_TOPIC[[#This Row],[Phase]] &amp; "-" &amp; TEXT(tbl_TOPIC[[#This Row],[Order]], "00")</f>
        <v>RG-1-13</v>
      </c>
      <c r="F92" t="str">
        <f>RIGHT(tbl_TOPIC[[#This Row],[TopicID]], 2)</f>
        <v>13</v>
      </c>
      <c r="G92" t="s">
        <v>508</v>
      </c>
      <c r="H92" t="s">
        <v>505</v>
      </c>
      <c r="I92" s="22" t="str">
        <f>IF(ISBLANK(tbl_TOPIC[[#This Row],[ParentTopic]]), tbl_TOPIC[[#This Row],[Topic]], _xlfn.XLOOKUP(tbl_TOPIC[[#This Row],[ParentTopic]], tbl_TOPIC[Topic], tbl_TOPIC[TopicPath]) &amp; "/" &amp; tbl_TOPIC[[#This Row],[Topic]])</f>
        <v>Geodätische und Exponentialabbildung/Satz von Hopf-Rinow</v>
      </c>
    </row>
    <row r="93" spans="2:9" ht="16" customHeight="1" x14ac:dyDescent="0.2">
      <c r="B93" t="s">
        <v>107</v>
      </c>
      <c r="C93">
        <v>1</v>
      </c>
      <c r="D93">
        <v>14</v>
      </c>
      <c r="E93" t="str">
        <f>tbl_TOPIC[[#This Row],[Subject]] &amp; "-" &amp; tbl_TOPIC[[#This Row],[Phase]] &amp; "-" &amp; TEXT(tbl_TOPIC[[#This Row],[Order]], "00")</f>
        <v>RG-1-14</v>
      </c>
      <c r="F93" t="str">
        <f>RIGHT(tbl_TOPIC[[#This Row],[TopicID]], 2)</f>
        <v>14</v>
      </c>
      <c r="G93" t="s">
        <v>583</v>
      </c>
      <c r="I93" s="22" t="str">
        <f>IF(ISBLANK(tbl_TOPIC[[#This Row],[ParentTopic]]), tbl_TOPIC[[#This Row],[Topic]], _xlfn.XLOOKUP(tbl_TOPIC[[#This Row],[ParentTopic]], tbl_TOPIC[Topic], tbl_TOPIC[TopicPath]) &amp; "/" &amp; tbl_TOPIC[[#This Row],[Topic]])</f>
        <v>Riemannische Geometrie</v>
      </c>
    </row>
    <row r="94" spans="2:9" ht="16" customHeight="1" x14ac:dyDescent="0.2">
      <c r="B94" t="s">
        <v>108</v>
      </c>
      <c r="C94">
        <v>1</v>
      </c>
      <c r="D94">
        <v>1</v>
      </c>
      <c r="E94" t="str">
        <f>tbl_TOPIC[[#This Row],[Subject]] &amp; "-" &amp; tbl_TOPIC[[#This Row],[Phase]] &amp; "-" &amp; TEXT(tbl_TOPIC[[#This Row],[Order]], "00")</f>
        <v>TOP2-1-01</v>
      </c>
      <c r="F94" t="str">
        <f>RIGHT(tbl_TOPIC[[#This Row],[TopicID]], 2)</f>
        <v>01</v>
      </c>
      <c r="G94" t="s">
        <v>585</v>
      </c>
      <c r="I94" s="22" t="str">
        <f>IF(ISBLANK(tbl_TOPIC[[#This Row],[ParentTopic]]), tbl_TOPIC[[#This Row],[Topic]], _xlfn.XLOOKUP(tbl_TOPIC[[#This Row],[ParentTopic]], tbl_TOPIC[Topic], tbl_TOPIC[TopicPath]) &amp; "/" &amp; tbl_TOPIC[[#This Row],[Topic]])</f>
        <v>Topologie 2</v>
      </c>
    </row>
    <row r="95" spans="2:9" ht="16" customHeight="1" x14ac:dyDescent="0.2">
      <c r="B95" t="s">
        <v>107</v>
      </c>
      <c r="C95">
        <v>1</v>
      </c>
      <c r="D95">
        <v>15</v>
      </c>
      <c r="E95" t="str">
        <f>tbl_TOPIC[[#This Row],[Subject]] &amp; "-" &amp; tbl_TOPIC[[#This Row],[Phase]] &amp; "-" &amp; TEXT(tbl_TOPIC[[#This Row],[Order]], "00")</f>
        <v>RG-1-15</v>
      </c>
      <c r="F95" t="str">
        <f>RIGHT(tbl_TOPIC[[#This Row],[TopicID]], 2)</f>
        <v>15</v>
      </c>
      <c r="G95" t="s">
        <v>590</v>
      </c>
      <c r="I95" s="22" t="str">
        <f>IF(ISBLANK(tbl_TOPIC[[#This Row],[ParentTopic]]), tbl_TOPIC[[#This Row],[Topic]], _xlfn.XLOOKUP(tbl_TOPIC[[#This Row],[ParentTopic]], tbl_TOPIC[Topic], tbl_TOPIC[TopicPath]) &amp; "/" &amp; tbl_TOPIC[[#This Row],[Topic]])</f>
        <v>RG-ÜB</v>
      </c>
    </row>
    <row r="96" spans="2:9" ht="16" customHeight="1" x14ac:dyDescent="0.2">
      <c r="B96" t="s">
        <v>107</v>
      </c>
      <c r="C96">
        <v>1</v>
      </c>
      <c r="D96">
        <v>16</v>
      </c>
      <c r="E96" t="str">
        <f>tbl_TOPIC[[#This Row],[Subject]] &amp; "-" &amp; tbl_TOPIC[[#This Row],[Phase]] &amp; "-" &amp; TEXT(tbl_TOPIC[[#This Row],[Order]], "00")</f>
        <v>RG-1-16</v>
      </c>
      <c r="F96" t="str">
        <f>RIGHT(tbl_TOPIC[[#This Row],[TopicID]], 2)</f>
        <v>16</v>
      </c>
      <c r="G96" t="s">
        <v>591</v>
      </c>
      <c r="H96" t="s">
        <v>590</v>
      </c>
      <c r="I96" s="22" t="str">
        <f>IF(ISBLANK(tbl_TOPIC[[#This Row],[ParentTopic]]), tbl_TOPIC[[#This Row],[Topic]], _xlfn.XLOOKUP(tbl_TOPIC[[#This Row],[ParentTopic]], tbl_TOPIC[Topic], tbl_TOPIC[TopicPath]) &amp; "/" &amp; tbl_TOPIC[[#This Row],[Topic]])</f>
        <v>RG-ÜB/RG-ÜB-01: Glatte Mannigfaltigkeiten</v>
      </c>
    </row>
    <row r="97" spans="2:9" ht="16" customHeight="1" x14ac:dyDescent="0.2">
      <c r="B97" t="s">
        <v>20</v>
      </c>
      <c r="C97">
        <v>1</v>
      </c>
      <c r="D97">
        <v>1</v>
      </c>
      <c r="E97" t="str">
        <f>tbl_TOPIC[[#This Row],[Subject]] &amp; "-" &amp; tbl_TOPIC[[#This Row],[Phase]] &amp; "-" &amp; TEXT(tbl_TOPIC[[#This Row],[Order]], "00")</f>
        <v>EFT1-1-01</v>
      </c>
      <c r="F97" t="str">
        <f>RIGHT(tbl_TOPIC[[#This Row],[TopicID]], 2)</f>
        <v>01</v>
      </c>
      <c r="G97" t="s">
        <v>595</v>
      </c>
      <c r="I97" s="22" t="str">
        <f>IF(ISBLANK(tbl_TOPIC[[#This Row],[ParentTopic]]), tbl_TOPIC[[#This Row],[Topic]], _xlfn.XLOOKUP(tbl_TOPIC[[#This Row],[ParentTopic]], tbl_TOPIC[Topic], tbl_TOPIC[TopicPath]) &amp; "/" &amp; tbl_TOPIC[[#This Row],[Topic]])</f>
        <v>Eichfeldtheorie</v>
      </c>
    </row>
    <row r="98" spans="2:9" ht="16" customHeight="1" x14ac:dyDescent="0.2">
      <c r="B98" t="s">
        <v>20</v>
      </c>
      <c r="C98">
        <v>1</v>
      </c>
      <c r="D98">
        <v>2</v>
      </c>
      <c r="E98" t="str">
        <f>tbl_TOPIC[[#This Row],[Subject]] &amp; "-" &amp; tbl_TOPIC[[#This Row],[Phase]] &amp; "-" &amp; TEXT(tbl_TOPIC[[#This Row],[Order]], "00")</f>
        <v>EFT1-1-02</v>
      </c>
      <c r="F98" t="str">
        <f>RIGHT(tbl_TOPIC[[#This Row],[TopicID]], 2)</f>
        <v>02</v>
      </c>
      <c r="G98" t="s">
        <v>596</v>
      </c>
      <c r="I98" s="22" t="str">
        <f>IF(ISBLANK(tbl_TOPIC[[#This Row],[ParentTopic]]), tbl_TOPIC[[#This Row],[Topic]], _xlfn.XLOOKUP(tbl_TOPIC[[#This Row],[ParentTopic]], tbl_TOPIC[Topic], tbl_TOPIC[TopicPath]) &amp; "/" &amp; tbl_TOPIC[[#This Row],[Topic]])</f>
        <v>Faserbündel</v>
      </c>
    </row>
    <row r="99" spans="2:9" ht="16" customHeight="1" x14ac:dyDescent="0.2">
      <c r="B99" t="s">
        <v>20</v>
      </c>
      <c r="C99">
        <v>1</v>
      </c>
      <c r="D99">
        <v>3</v>
      </c>
      <c r="E99" t="str">
        <f>tbl_TOPIC[[#This Row],[Subject]] &amp; "-" &amp; tbl_TOPIC[[#This Row],[Phase]] &amp; "-" &amp; TEXT(tbl_TOPIC[[#This Row],[Order]], "00")</f>
        <v>EFT1-1-03</v>
      </c>
      <c r="F99" t="str">
        <f>RIGHT(tbl_TOPIC[[#This Row],[TopicID]], 2)</f>
        <v>03</v>
      </c>
      <c r="G99" t="s">
        <v>597</v>
      </c>
      <c r="I99" s="22" t="str">
        <f>IF(ISBLANK(tbl_TOPIC[[#This Row],[ParentTopic]]), tbl_TOPIC[[#This Row],[Topic]], _xlfn.XLOOKUP(tbl_TOPIC[[#This Row],[ParentTopic]], tbl_TOPIC[Topic], tbl_TOPIC[TopicPath]) &amp; "/" &amp; tbl_TOPIC[[#This Row],[Topic]])</f>
        <v>Prinzipialbündel</v>
      </c>
    </row>
    <row r="100" spans="2:9" ht="16" customHeight="1" x14ac:dyDescent="0.2">
      <c r="B100" t="s">
        <v>20</v>
      </c>
      <c r="C100">
        <v>1</v>
      </c>
      <c r="D100">
        <v>4</v>
      </c>
      <c r="E100" t="str">
        <f>tbl_TOPIC[[#This Row],[Subject]] &amp; "-" &amp; tbl_TOPIC[[#This Row],[Phase]] &amp; "-" &amp; TEXT(tbl_TOPIC[[#This Row],[Order]], "00")</f>
        <v>EFT1-1-04</v>
      </c>
      <c r="F100" t="str">
        <f>RIGHT(tbl_TOPIC[[#This Row],[TopicID]], 2)</f>
        <v>04</v>
      </c>
      <c r="G100" t="s">
        <v>598</v>
      </c>
      <c r="I100" s="22" t="str">
        <f>IF(ISBLANK(tbl_TOPIC[[#This Row],[ParentTopic]]), tbl_TOPIC[[#This Row],[Topic]], _xlfn.XLOOKUP(tbl_TOPIC[[#This Row],[ParentTopic]], tbl_TOPIC[Topic], tbl_TOPIC[TopicPath]) &amp; "/" &amp; tbl_TOPIC[[#This Row],[Topic]])</f>
        <v>An- und Abmontieren von Fasern</v>
      </c>
    </row>
    <row r="101" spans="2:9" ht="16" customHeight="1" x14ac:dyDescent="0.2">
      <c r="B101" t="s">
        <v>20</v>
      </c>
      <c r="C101">
        <v>1</v>
      </c>
      <c r="D101">
        <v>5</v>
      </c>
      <c r="E101" t="str">
        <f>tbl_TOPIC[[#This Row],[Subject]] &amp; "-" &amp; tbl_TOPIC[[#This Row],[Phase]] &amp; "-" &amp; TEXT(tbl_TOPIC[[#This Row],[Order]], "00")</f>
        <v>EFT1-1-05</v>
      </c>
      <c r="F101" t="str">
        <f>RIGHT(tbl_TOPIC[[#This Row],[TopicID]], 2)</f>
        <v>05</v>
      </c>
      <c r="G101" t="s">
        <v>599</v>
      </c>
      <c r="I101" s="22" t="str">
        <f>IF(ISBLANK(tbl_TOPIC[[#This Row],[ParentTopic]]), tbl_TOPIC[[#This Row],[Topic]], _xlfn.XLOOKUP(tbl_TOPIC[[#This Row],[ParentTopic]], tbl_TOPIC[Topic], tbl_TOPIC[TopicPath]) &amp; "/" &amp; tbl_TOPIC[[#This Row],[Topic]])</f>
        <v>Lie Gruppen in EFT</v>
      </c>
    </row>
    <row r="102" spans="2:9" ht="16" customHeight="1" x14ac:dyDescent="0.2">
      <c r="B102" t="s">
        <v>20</v>
      </c>
      <c r="C102">
        <v>1</v>
      </c>
      <c r="D102">
        <v>6</v>
      </c>
      <c r="E102" t="str">
        <f>tbl_TOPIC[[#This Row],[Subject]] &amp; "-" &amp; tbl_TOPIC[[#This Row],[Phase]] &amp; "-" &amp; TEXT(tbl_TOPIC[[#This Row],[Order]], "00")</f>
        <v>EFT1-1-06</v>
      </c>
      <c r="F102" t="str">
        <f>RIGHT(tbl_TOPIC[[#This Row],[TopicID]], 2)</f>
        <v>06</v>
      </c>
      <c r="G102" t="s">
        <v>600</v>
      </c>
      <c r="I102" s="22" t="str">
        <f>IF(ISBLANK(tbl_TOPIC[[#This Row],[ParentTopic]]), tbl_TOPIC[[#This Row],[Topic]], _xlfn.XLOOKUP(tbl_TOPIC[[#This Row],[ParentTopic]], tbl_TOPIC[Topic], tbl_TOPIC[TopicPath]) &amp; "/" &amp; tbl_TOPIC[[#This Row],[Topic]])</f>
        <v>Invariante Vektorfelder und Differentialformen</v>
      </c>
    </row>
    <row r="103" spans="2:9" ht="16" customHeight="1" x14ac:dyDescent="0.2">
      <c r="B103" t="s">
        <v>20</v>
      </c>
      <c r="C103">
        <v>1</v>
      </c>
      <c r="D103">
        <v>7</v>
      </c>
      <c r="E103" t="str">
        <f>tbl_TOPIC[[#This Row],[Subject]] &amp; "-" &amp; tbl_TOPIC[[#This Row],[Phase]] &amp; "-" &amp; TEXT(tbl_TOPIC[[#This Row],[Order]], "00")</f>
        <v>EFT1-1-07</v>
      </c>
      <c r="F103" t="str">
        <f>RIGHT(tbl_TOPIC[[#This Row],[TopicID]], 2)</f>
        <v>07</v>
      </c>
      <c r="G103" t="s">
        <v>601</v>
      </c>
      <c r="I103" s="22" t="str">
        <f>IF(ISBLANK(tbl_TOPIC[[#This Row],[ParentTopic]]), tbl_TOPIC[[#This Row],[Topic]], _xlfn.XLOOKUP(tbl_TOPIC[[#This Row],[ParentTopic]], tbl_TOPIC[Topic], tbl_TOPIC[TopicPath]) &amp; "/" &amp; tbl_TOPIC[[#This Row],[Topic]])</f>
        <v>Lie Algebren in EFT</v>
      </c>
    </row>
    <row r="104" spans="2:9" ht="16" customHeight="1" x14ac:dyDescent="0.2">
      <c r="B104" t="s">
        <v>20</v>
      </c>
      <c r="C104">
        <v>1</v>
      </c>
      <c r="D104">
        <v>8</v>
      </c>
      <c r="E104" t="str">
        <f>tbl_TOPIC[[#This Row],[Subject]] &amp; "-" &amp; tbl_TOPIC[[#This Row],[Phase]] &amp; "-" &amp; TEXT(tbl_TOPIC[[#This Row],[Order]], "00")</f>
        <v>EFT1-1-08</v>
      </c>
      <c r="F104" t="str">
        <f>RIGHT(tbl_TOPIC[[#This Row],[TopicID]], 2)</f>
        <v>08</v>
      </c>
      <c r="G104" t="s">
        <v>602</v>
      </c>
      <c r="I104" s="22" t="str">
        <f>IF(ISBLANK(tbl_TOPIC[[#This Row],[ParentTopic]]), tbl_TOPIC[[#This Row],[Topic]], _xlfn.XLOOKUP(tbl_TOPIC[[#This Row],[ParentTopic]], tbl_TOPIC[Topic], tbl_TOPIC[TopicPath]) &amp; "/" &amp; tbl_TOPIC[[#This Row],[Topic]])</f>
        <v>Exponentialabbildung in EFT</v>
      </c>
    </row>
    <row r="105" spans="2:9" ht="16" customHeight="1" x14ac:dyDescent="0.2">
      <c r="B105" t="s">
        <v>20</v>
      </c>
      <c r="C105">
        <v>1</v>
      </c>
      <c r="D105">
        <v>8</v>
      </c>
      <c r="E105" t="str">
        <f>tbl_TOPIC[[#This Row],[Subject]] &amp; "-" &amp; tbl_TOPIC[[#This Row],[Phase]] &amp; "-" &amp; TEXT(tbl_TOPIC[[#This Row],[Order]], "00")</f>
        <v>EFT1-1-08</v>
      </c>
      <c r="F105" t="str">
        <f>RIGHT(tbl_TOPIC[[#This Row],[TopicID]], 2)</f>
        <v>08</v>
      </c>
      <c r="G105" t="s">
        <v>603</v>
      </c>
      <c r="I105" s="22" t="str">
        <f>IF(ISBLANK(tbl_TOPIC[[#This Row],[ParentTopic]]), tbl_TOPIC[[#This Row],[Topic]], _xlfn.XLOOKUP(tbl_TOPIC[[#This Row],[ParentTopic]], tbl_TOPIC[Topic], tbl_TOPIC[TopicPath]) &amp; "/" &amp; tbl_TOPIC[[#This Row],[Topic]])</f>
        <v>Homogene Räume</v>
      </c>
    </row>
    <row r="106" spans="2:9" ht="16" customHeight="1" x14ac:dyDescent="0.2">
      <c r="B106" t="s">
        <v>361</v>
      </c>
      <c r="C106">
        <v>1</v>
      </c>
      <c r="D106">
        <v>21</v>
      </c>
      <c r="E106" t="str">
        <f>tbl_TOPIC[[#This Row],[Subject]] &amp; "-" &amp; tbl_TOPIC[[#This Row],[Phase]] &amp; "-" &amp; TEXT(tbl_TOPIC[[#This Row],[Order]], "00")</f>
        <v>QM-1-21</v>
      </c>
      <c r="F106" t="str">
        <f>RIGHT(tbl_TOPIC[[#This Row],[TopicID]], 2)</f>
        <v>21</v>
      </c>
      <c r="G106" t="s">
        <v>676</v>
      </c>
      <c r="I106" s="22" t="str">
        <f>IF(ISBLANK(tbl_TOPIC[[#This Row],[ParentTopic]]), tbl_TOPIC[[#This Row],[Topic]], _xlfn.XLOOKUP(tbl_TOPIC[[#This Row],[ParentTopic]], tbl_TOPIC[Topic], tbl_TOPIC[TopicPath]) &amp; "/" &amp; tbl_TOPIC[[#This Row],[Topic]])</f>
        <v>Eindimensionale Systeme</v>
      </c>
    </row>
    <row r="107" spans="2:9" ht="16" customHeight="1" x14ac:dyDescent="0.2">
      <c r="B107" t="s">
        <v>361</v>
      </c>
      <c r="C107">
        <v>1</v>
      </c>
      <c r="D107">
        <v>22</v>
      </c>
      <c r="E107" t="str">
        <f>tbl_TOPIC[[#This Row],[Subject]] &amp; "-" &amp; tbl_TOPIC[[#This Row],[Phase]] &amp; "-" &amp; TEXT(tbl_TOPIC[[#This Row],[Order]], "00")</f>
        <v>QM-1-22</v>
      </c>
      <c r="F107" t="str">
        <f>RIGHT(tbl_TOPIC[[#This Row],[TopicID]], 2)</f>
        <v>22</v>
      </c>
      <c r="G107" t="s">
        <v>677</v>
      </c>
      <c r="H107" t="s">
        <v>676</v>
      </c>
      <c r="I107" s="22" t="str">
        <f>IF(ISBLANK(tbl_TOPIC[[#This Row],[ParentTopic]]), tbl_TOPIC[[#This Row],[Topic]], _xlfn.XLOOKUP(tbl_TOPIC[[#This Row],[ParentTopic]], tbl_TOPIC[Topic], tbl_TOPIC[TopicPath]) &amp; "/" &amp; tbl_TOPIC[[#This Row],[Topic]])</f>
        <v>Eindimensionale Systeme/Stationäre Schrödinger Gleichung</v>
      </c>
    </row>
    <row r="108" spans="2:9" ht="16" customHeight="1" x14ac:dyDescent="0.2">
      <c r="B108" t="s">
        <v>361</v>
      </c>
      <c r="C108">
        <v>1</v>
      </c>
      <c r="D108">
        <v>23</v>
      </c>
      <c r="E108" t="str">
        <f>tbl_TOPIC[[#This Row],[Subject]] &amp; "-" &amp; tbl_TOPIC[[#This Row],[Phase]] &amp; "-" &amp; TEXT(tbl_TOPIC[[#This Row],[Order]], "00")</f>
        <v>QM-1-23</v>
      </c>
      <c r="F108" t="str">
        <f>RIGHT(tbl_TOPIC[[#This Row],[TopicID]], 2)</f>
        <v>23</v>
      </c>
      <c r="G108" t="s">
        <v>678</v>
      </c>
      <c r="H108" t="s">
        <v>676</v>
      </c>
      <c r="I108" s="22" t="str">
        <f>IF(ISBLANK(tbl_TOPIC[[#This Row],[ParentTopic]]), tbl_TOPIC[[#This Row],[Topic]], _xlfn.XLOOKUP(tbl_TOPIC[[#This Row],[ParentTopic]], tbl_TOPIC[Topic], tbl_TOPIC[TopicPath]) &amp; "/" &amp; tbl_TOPIC[[#This Row],[Topic]])</f>
        <v>Eindimensionale Systeme/Eindimensionale Potentialstufe</v>
      </c>
    </row>
    <row r="109" spans="2:9" ht="16" customHeight="1" x14ac:dyDescent="0.2">
      <c r="B109" t="s">
        <v>361</v>
      </c>
      <c r="C109">
        <v>1</v>
      </c>
      <c r="D109">
        <v>24</v>
      </c>
      <c r="E109" t="str">
        <f>tbl_TOPIC[[#This Row],[Subject]] &amp; "-" &amp; tbl_TOPIC[[#This Row],[Phase]] &amp; "-" &amp; TEXT(tbl_TOPIC[[#This Row],[Order]], "00")</f>
        <v>QM-1-24</v>
      </c>
      <c r="F109" t="str">
        <f>RIGHT(tbl_TOPIC[[#This Row],[TopicID]], 2)</f>
        <v>24</v>
      </c>
      <c r="G109" t="s">
        <v>679</v>
      </c>
      <c r="H109" t="s">
        <v>678</v>
      </c>
      <c r="I109" s="22" t="str">
        <f>IF(ISBLANK(tbl_TOPIC[[#This Row],[ParentTopic]]), tbl_TOPIC[[#This Row],[Topic]], _xlfn.XLOOKUP(tbl_TOPIC[[#This Row],[ParentTopic]], tbl_TOPIC[Topic], tbl_TOPIC[TopicPath]) &amp; "/" &amp; tbl_TOPIC[[#This Row],[Topic]])</f>
        <v>Eindimensionale Systeme/Eindimensionale Potentialstufe/Streuzustände</v>
      </c>
    </row>
    <row r="110" spans="2:9" ht="16" customHeight="1" x14ac:dyDescent="0.2">
      <c r="B110" t="s">
        <v>361</v>
      </c>
      <c r="C110">
        <v>1</v>
      </c>
      <c r="D110">
        <v>25</v>
      </c>
      <c r="E110" t="str">
        <f>tbl_TOPIC[[#This Row],[Subject]] &amp; "-" &amp; tbl_TOPIC[[#This Row],[Phase]] &amp; "-" &amp; TEXT(tbl_TOPIC[[#This Row],[Order]], "00")</f>
        <v>QM-1-25</v>
      </c>
      <c r="F110" t="str">
        <f>RIGHT(tbl_TOPIC[[#This Row],[TopicID]], 2)</f>
        <v>25</v>
      </c>
      <c r="G110" t="s">
        <v>680</v>
      </c>
      <c r="H110" t="s">
        <v>678</v>
      </c>
      <c r="I110" s="22" t="str">
        <f>IF(ISBLANK(tbl_TOPIC[[#This Row],[ParentTopic]]), tbl_TOPIC[[#This Row],[Topic]], _xlfn.XLOOKUP(tbl_TOPIC[[#This Row],[ParentTopic]], tbl_TOPIC[Topic], tbl_TOPIC[TopicPath]) &amp; "/" &amp; tbl_TOPIC[[#This Row],[Topic]])</f>
        <v>Eindimensionale Systeme/Eindimensionale Potentialstufe/Reflektierte Zustände</v>
      </c>
    </row>
    <row r="111" spans="2:9" ht="16" customHeight="1" x14ac:dyDescent="0.2">
      <c r="B111" t="s">
        <v>361</v>
      </c>
      <c r="C111">
        <v>1</v>
      </c>
      <c r="D111">
        <v>26</v>
      </c>
      <c r="E111" t="str">
        <f>tbl_TOPIC[[#This Row],[Subject]] &amp; "-" &amp; tbl_TOPIC[[#This Row],[Phase]] &amp; "-" &amp; TEXT(tbl_TOPIC[[#This Row],[Order]], "00")</f>
        <v>QM-1-26</v>
      </c>
      <c r="F111" t="str">
        <f>RIGHT(tbl_TOPIC[[#This Row],[TopicID]], 2)</f>
        <v>26</v>
      </c>
      <c r="G111" t="s">
        <v>681</v>
      </c>
      <c r="H111" t="s">
        <v>676</v>
      </c>
      <c r="I111" s="22" t="str">
        <f>IF(ISBLANK(tbl_TOPIC[[#This Row],[ParentTopic]]), tbl_TOPIC[[#This Row],[Topic]], _xlfn.XLOOKUP(tbl_TOPIC[[#This Row],[ParentTopic]], tbl_TOPIC[Topic], tbl_TOPIC[TopicPath]) &amp; "/" &amp; tbl_TOPIC[[#This Row],[Topic]])</f>
        <v>Eindimensionale Systeme/Potentialbarriere</v>
      </c>
    </row>
    <row r="112" spans="2:9" ht="16" customHeight="1" x14ac:dyDescent="0.2">
      <c r="B112" t="s">
        <v>361</v>
      </c>
      <c r="C112">
        <v>1</v>
      </c>
      <c r="D112">
        <v>27</v>
      </c>
      <c r="E112" t="str">
        <f>tbl_TOPIC[[#This Row],[Subject]] &amp; "-" &amp; tbl_TOPIC[[#This Row],[Phase]] &amp; "-" &amp; TEXT(tbl_TOPIC[[#This Row],[Order]], "00")</f>
        <v>QM-1-27</v>
      </c>
      <c r="F112" t="str">
        <f>RIGHT(tbl_TOPIC[[#This Row],[TopicID]], 2)</f>
        <v>27</v>
      </c>
      <c r="G112" t="s">
        <v>682</v>
      </c>
      <c r="H112" t="s">
        <v>676</v>
      </c>
      <c r="I112" s="22" t="str">
        <f>IF(ISBLANK(tbl_TOPIC[[#This Row],[ParentTopic]]), tbl_TOPIC[[#This Row],[Topic]], _xlfn.XLOOKUP(tbl_TOPIC[[#This Row],[ParentTopic]], tbl_TOPIC[Topic], tbl_TOPIC[TopicPath]) &amp; "/" &amp; tbl_TOPIC[[#This Row],[Topic]])</f>
        <v>Eindimensionale Systeme/Unendlich tiefer Potentialtopf</v>
      </c>
    </row>
    <row r="113" spans="2:9" ht="16" customHeight="1" x14ac:dyDescent="0.2">
      <c r="B113" t="s">
        <v>361</v>
      </c>
      <c r="C113">
        <v>1</v>
      </c>
      <c r="D113">
        <v>28</v>
      </c>
      <c r="E113" t="str">
        <f>tbl_TOPIC[[#This Row],[Subject]] &amp; "-" &amp; tbl_TOPIC[[#This Row],[Phase]] &amp; "-" &amp; TEXT(tbl_TOPIC[[#This Row],[Order]], "00")</f>
        <v>QM-1-28</v>
      </c>
      <c r="F113" t="str">
        <f>RIGHT(tbl_TOPIC[[#This Row],[TopicID]], 2)</f>
        <v>28</v>
      </c>
      <c r="G113" t="s">
        <v>683</v>
      </c>
      <c r="H113" t="s">
        <v>676</v>
      </c>
      <c r="I113" s="22" t="str">
        <f>IF(ISBLANK(tbl_TOPIC[[#This Row],[ParentTopic]]), tbl_TOPIC[[#This Row],[Topic]], _xlfn.XLOOKUP(tbl_TOPIC[[#This Row],[ParentTopic]], tbl_TOPIC[Topic], tbl_TOPIC[TopicPath]) &amp; "/" &amp; tbl_TOPIC[[#This Row],[Topic]])</f>
        <v>Eindimensionale Systeme/Potentialtopf mit endlicher Tiefe</v>
      </c>
    </row>
    <row r="114" spans="2:9" ht="16" customHeight="1" x14ac:dyDescent="0.2">
      <c r="B114" t="s">
        <v>361</v>
      </c>
      <c r="C114">
        <v>1</v>
      </c>
      <c r="D114">
        <v>29</v>
      </c>
      <c r="E114" t="str">
        <f>tbl_TOPIC[[#This Row],[Subject]] &amp; "-" &amp; tbl_TOPIC[[#This Row],[Phase]] &amp; "-" &amp; TEXT(tbl_TOPIC[[#This Row],[Order]], "00")</f>
        <v>QM-1-29</v>
      </c>
      <c r="F114" t="str">
        <f>RIGHT(tbl_TOPIC[[#This Row],[TopicID]], 2)</f>
        <v>29</v>
      </c>
      <c r="G114" t="s">
        <v>684</v>
      </c>
      <c r="H114" t="s">
        <v>676</v>
      </c>
      <c r="I114" s="22" t="str">
        <f>IF(ISBLANK(tbl_TOPIC[[#This Row],[ParentTopic]]), tbl_TOPIC[[#This Row],[Topic]], _xlfn.XLOOKUP(tbl_TOPIC[[#This Row],[ParentTopic]], tbl_TOPIC[Topic], tbl_TOPIC[TopicPath]) &amp; "/" &amp; tbl_TOPIC[[#This Row],[Topic]])</f>
        <v>Eindimensionale Systeme/Paritätsoperator</v>
      </c>
    </row>
    <row r="115" spans="2:9" ht="16" customHeight="1" x14ac:dyDescent="0.2">
      <c r="B115" t="s">
        <v>361</v>
      </c>
      <c r="C115">
        <v>1</v>
      </c>
      <c r="D115">
        <v>30</v>
      </c>
      <c r="E115" t="str">
        <f>tbl_TOPIC[[#This Row],[Subject]] &amp; "-" &amp; tbl_TOPIC[[#This Row],[Phase]] &amp; "-" &amp; TEXT(tbl_TOPIC[[#This Row],[Order]], "00")</f>
        <v>QM-1-30</v>
      </c>
      <c r="F115" t="str">
        <f>RIGHT(tbl_TOPIC[[#This Row],[TopicID]], 2)</f>
        <v>30</v>
      </c>
      <c r="G115" t="s">
        <v>685</v>
      </c>
      <c r="H115" t="s">
        <v>676</v>
      </c>
      <c r="I115" s="22" t="str">
        <f>IF(ISBLANK(tbl_TOPIC[[#This Row],[ParentTopic]]), tbl_TOPIC[[#This Row],[Topic]], _xlfn.XLOOKUP(tbl_TOPIC[[#This Row],[ParentTopic]], tbl_TOPIC[Topic], tbl_TOPIC[TopicPath]) &amp; "/" &amp; tbl_TOPIC[[#This Row],[Topic]])</f>
        <v>Eindimensionale Systeme/Zusammenfassung</v>
      </c>
    </row>
    <row r="116" spans="2:9" ht="16" customHeight="1" x14ac:dyDescent="0.2">
      <c r="B116" t="s">
        <v>361</v>
      </c>
      <c r="C116">
        <v>1</v>
      </c>
      <c r="D116">
        <v>31</v>
      </c>
      <c r="E116" t="str">
        <f>tbl_TOPIC[[#This Row],[Subject]] &amp; "-" &amp; tbl_TOPIC[[#This Row],[Phase]] &amp; "-" &amp; TEXT(tbl_TOPIC[[#This Row],[Order]], "00")</f>
        <v>QM-1-31</v>
      </c>
      <c r="F116" t="str">
        <f>RIGHT(tbl_TOPIC[[#This Row],[TopicID]], 2)</f>
        <v>31</v>
      </c>
      <c r="G116" t="s">
        <v>691</v>
      </c>
      <c r="H116" t="s">
        <v>455</v>
      </c>
      <c r="I116" s="22" t="str">
        <f>IF(ISBLANK(tbl_TOPIC[[#This Row],[ParentTopic]]), tbl_TOPIC[[#This Row],[Topic]], _xlfn.XLOOKUP(tbl_TOPIC[[#This Row],[ParentTopic]], tbl_TOPIC[Topic], tbl_TOPIC[TopicPath]) &amp; "/" &amp; tbl_TOPIC[[#This Row],[Topic]])</f>
        <v>QM-ÜB/QM-ÜB-01: Delta-Distribution, Kommutator und W-keit</v>
      </c>
    </row>
    <row r="117" spans="2:9" ht="16" customHeight="1" x14ac:dyDescent="0.2">
      <c r="B117" t="s">
        <v>361</v>
      </c>
      <c r="C117">
        <v>1</v>
      </c>
      <c r="D117">
        <v>32</v>
      </c>
      <c r="E117" s="61" t="str">
        <f>tbl_TOPIC[[#This Row],[Subject]] &amp; "-" &amp; tbl_TOPIC[[#This Row],[Phase]] &amp; "-" &amp; TEXT(tbl_TOPIC[[#This Row],[Order]], "00")</f>
        <v>QM-1-32</v>
      </c>
      <c r="F117" s="61" t="str">
        <f>RIGHT(tbl_TOPIC[[#This Row],[TopicID]], 2)</f>
        <v>32</v>
      </c>
      <c r="G117" t="s">
        <v>692</v>
      </c>
      <c r="I117" s="62" t="str">
        <f>IF(ISBLANK(tbl_TOPIC[[#This Row],[ParentTopic]]), tbl_TOPIC[[#This Row],[Topic]], _xlfn.XLOOKUP(tbl_TOPIC[[#This Row],[ParentTopic]], tbl_TOPIC[Topic], tbl_TOPIC[TopicPath]) &amp; "/" &amp; tbl_TOPIC[[#This Row],[Topic]])</f>
        <v>QM-Ex</v>
      </c>
    </row>
    <row r="118" spans="2:9" ht="16" customHeight="1" x14ac:dyDescent="0.2">
      <c r="B118" t="s">
        <v>361</v>
      </c>
      <c r="C118">
        <v>1</v>
      </c>
      <c r="D118">
        <v>33</v>
      </c>
      <c r="E118" s="61" t="str">
        <f>tbl_TOPIC[[#This Row],[Subject]] &amp; "-" &amp; tbl_TOPIC[[#This Row],[Phase]] &amp; "-" &amp; TEXT(tbl_TOPIC[[#This Row],[Order]], "00")</f>
        <v>QM-1-33</v>
      </c>
      <c r="F118" s="61" t="str">
        <f>RIGHT(tbl_TOPIC[[#This Row],[TopicID]], 2)</f>
        <v>33</v>
      </c>
      <c r="G118" t="s">
        <v>693</v>
      </c>
      <c r="I118" s="62" t="str">
        <f>IF(ISBLANK(tbl_TOPIC[[#This Row],[ParentTopic]]), tbl_TOPIC[[#This Row],[Topic]], _xlfn.XLOOKUP(tbl_TOPIC[[#This Row],[ParentTopic]], tbl_TOPIC[Topic], tbl_TOPIC[TopicPath]) &amp; "/" &amp; tbl_TOPIC[[#This Row],[Topic]])</f>
        <v>QM-Ex-ÜB 00</v>
      </c>
    </row>
    <row r="119" spans="2:9" ht="16" customHeight="1" x14ac:dyDescent="0.2">
      <c r="B119" t="s">
        <v>453</v>
      </c>
      <c r="C119">
        <v>1</v>
      </c>
      <c r="D119">
        <v>8</v>
      </c>
      <c r="E119" s="61" t="str">
        <f>tbl_TOPIC[[#This Row],[Subject]] &amp; "-" &amp; tbl_TOPIC[[#This Row],[Phase]] &amp; "-" &amp; TEXT(tbl_TOPIC[[#This Row],[Order]], "00")</f>
        <v>CM-1-08</v>
      </c>
      <c r="F119" s="61" t="str">
        <f>RIGHT(tbl_TOPIC[[#This Row],[TopicID]], 2)</f>
        <v>08</v>
      </c>
      <c r="G119" t="s">
        <v>809</v>
      </c>
      <c r="H119" t="s">
        <v>489</v>
      </c>
      <c r="I119" s="62" t="str">
        <f>IF(ISBLANK(tbl_TOPIC[[#This Row],[ParentTopic]]), tbl_TOPIC[[#This Row],[Topic]], _xlfn.XLOOKUP(tbl_TOPIC[[#This Row],[ParentTopic]], tbl_TOPIC[Topic], tbl_TOPIC[TopicPath]) &amp; "/" &amp; tbl_TOPIC[[#This Row],[Topic]])</f>
        <v>CM-ÜB/CM-ÜB-02: Runge-Lenz-Vektor, 1KP und Zwangsbedingungen</v>
      </c>
    </row>
    <row r="120" spans="2:9" ht="16" customHeight="1" x14ac:dyDescent="0.2">
      <c r="B120" t="s">
        <v>107</v>
      </c>
      <c r="C120">
        <v>1</v>
      </c>
      <c r="D120">
        <v>17</v>
      </c>
      <c r="E120" s="61" t="str">
        <f>tbl_TOPIC[[#This Row],[Subject]] &amp; "-" &amp; tbl_TOPIC[[#This Row],[Phase]] &amp; "-" &amp; TEXT(tbl_TOPIC[[#This Row],[Order]], "00")</f>
        <v>RG-1-17</v>
      </c>
      <c r="F120" s="61" t="str">
        <f>RIGHT(tbl_TOPIC[[#This Row],[TopicID]], 2)</f>
        <v>17</v>
      </c>
      <c r="G120" t="s">
        <v>825</v>
      </c>
      <c r="H120" t="s">
        <v>590</v>
      </c>
      <c r="I120" s="62" t="str">
        <f>IF(ISBLANK(tbl_TOPIC[[#This Row],[ParentTopic]]), tbl_TOPIC[[#This Row],[Topic]], _xlfn.XLOOKUP(tbl_TOPIC[[#This Row],[ParentTopic]], tbl_TOPIC[Topic], tbl_TOPIC[TopicPath]) &amp; "/" &amp; tbl_TOPIC[[#This Row],[Topic]])</f>
        <v>RG-ÜB/RG-ÜB-02: Tangentialbündel und Hyperbolischer Raum</v>
      </c>
    </row>
    <row r="121" spans="2:9" ht="16" customHeight="1" x14ac:dyDescent="0.2">
      <c r="B121" t="s">
        <v>119</v>
      </c>
      <c r="C121">
        <v>1</v>
      </c>
      <c r="D121">
        <v>15</v>
      </c>
      <c r="E121" s="61" t="str">
        <f>tbl_TOPIC[[#This Row],[Subject]] &amp; "-" &amp; tbl_TOPIC[[#This Row],[Phase]] &amp; "-" &amp; TEXT(tbl_TOPIC[[#This Row],[Order]], "00")</f>
        <v>HA-1-15</v>
      </c>
      <c r="F121" s="61" t="str">
        <f>RIGHT(tbl_TOPIC[[#This Row],[TopicID]], 2)</f>
        <v>15</v>
      </c>
      <c r="G121" t="s">
        <v>830</v>
      </c>
      <c r="I121" s="62" t="str">
        <f>IF(ISBLANK(tbl_TOPIC[[#This Row],[ParentTopic]]), tbl_TOPIC[[#This Row],[Topic]], _xlfn.XLOOKUP(tbl_TOPIC[[#This Row],[ParentTopic]], tbl_TOPIC[Topic], tbl_TOPIC[TopicPath]) &amp; "/" &amp; tbl_TOPIC[[#This Row],[Topic]])</f>
        <v>HOM-Funktor</v>
      </c>
    </row>
    <row r="122" spans="2:9" ht="16" customHeight="1" x14ac:dyDescent="0.2">
      <c r="B122" t="s">
        <v>880</v>
      </c>
      <c r="C122">
        <v>1</v>
      </c>
      <c r="D122">
        <v>1</v>
      </c>
      <c r="E122" s="61" t="str">
        <f>tbl_TOPIC[[#This Row],[Subject]] &amp; "-" &amp; tbl_TOPIC[[#This Row],[Phase]] &amp; "-" &amp; TEXT(tbl_TOPIC[[#This Row],[Order]], "00")</f>
        <v>A-1-01</v>
      </c>
      <c r="F122" s="61" t="str">
        <f>RIGHT(tbl_TOPIC[[#This Row],[TopicID]], 2)</f>
        <v>01</v>
      </c>
      <c r="G122" t="s">
        <v>900</v>
      </c>
      <c r="I122" s="62" t="str">
        <f>IF(ISBLANK(tbl_TOPIC[[#This Row],[ParentTopic]]), tbl_TOPIC[[#This Row],[Topic]], _xlfn.XLOOKUP(tbl_TOPIC[[#This Row],[ParentTopic]], tbl_TOPIC[Topic], tbl_TOPIC[TopicPath]) &amp; "/" &amp; tbl_TOPIC[[#This Row],[Topic]])</f>
        <v>Algebra</v>
      </c>
    </row>
    <row r="123" spans="2:9" ht="16" customHeight="1" x14ac:dyDescent="0.2">
      <c r="B123" t="s">
        <v>880</v>
      </c>
      <c r="C123">
        <v>1</v>
      </c>
      <c r="D123">
        <v>2</v>
      </c>
      <c r="E123" s="61" t="str">
        <f>tbl_TOPIC[[#This Row],[Subject]] &amp; "-" &amp; tbl_TOPIC[[#This Row],[Phase]] &amp; "-" &amp; TEXT(tbl_TOPIC[[#This Row],[Order]], "00")</f>
        <v>A-1-02</v>
      </c>
      <c r="F123" s="61" t="str">
        <f>RIGHT(tbl_TOPIC[[#This Row],[TopicID]], 2)</f>
        <v>02</v>
      </c>
      <c r="G123" t="s">
        <v>831</v>
      </c>
      <c r="I123" s="62" t="str">
        <f>IF(ISBLANK(tbl_TOPIC[[#This Row],[ParentTopic]]), tbl_TOPIC[[#This Row],[Topic]], _xlfn.XLOOKUP(tbl_TOPIC[[#This Row],[ParentTopic]], tbl_TOPIC[Topic], tbl_TOPIC[TopicPath]) &amp; "/" &amp; tbl_TOPIC[[#This Row],[Topic]])</f>
        <v>Ringe</v>
      </c>
    </row>
    <row r="124" spans="2:9" ht="16" customHeight="1" x14ac:dyDescent="0.2">
      <c r="B124" t="s">
        <v>880</v>
      </c>
      <c r="C124">
        <v>1</v>
      </c>
      <c r="D124">
        <v>3</v>
      </c>
      <c r="E124" s="61" t="str">
        <f>tbl_TOPIC[[#This Row],[Subject]] &amp; "-" &amp; tbl_TOPIC[[#This Row],[Phase]] &amp; "-" &amp; TEXT(tbl_TOPIC[[#This Row],[Order]], "00")</f>
        <v>A-1-03</v>
      </c>
      <c r="F124" s="61" t="str">
        <f>RIGHT(tbl_TOPIC[[#This Row],[TopicID]], 2)</f>
        <v>03</v>
      </c>
      <c r="G124" t="s">
        <v>832</v>
      </c>
      <c r="H124" t="s">
        <v>831</v>
      </c>
      <c r="I124" s="62" t="str">
        <f>IF(ISBLANK(tbl_TOPIC[[#This Row],[ParentTopic]]), tbl_TOPIC[[#This Row],[Topic]], _xlfn.XLOOKUP(tbl_TOPIC[[#This Row],[ParentTopic]], tbl_TOPIC[Topic], tbl_TOPIC[TopicPath]) &amp; "/" &amp; tbl_TOPIC[[#This Row],[Topic]])</f>
        <v>Ringe/Ringe Basics</v>
      </c>
    </row>
    <row r="125" spans="2:9" ht="16" customHeight="1" x14ac:dyDescent="0.2">
      <c r="B125" t="s">
        <v>880</v>
      </c>
      <c r="C125">
        <v>1</v>
      </c>
      <c r="D125">
        <v>4</v>
      </c>
      <c r="E125" s="61" t="str">
        <f>tbl_TOPIC[[#This Row],[Subject]] &amp; "-" &amp; tbl_TOPIC[[#This Row],[Phase]] &amp; "-" &amp; TEXT(tbl_TOPIC[[#This Row],[Order]], "00")</f>
        <v>A-1-04</v>
      </c>
      <c r="F125" s="61" t="str">
        <f>RIGHT(tbl_TOPIC[[#This Row],[TopicID]], 2)</f>
        <v>04</v>
      </c>
      <c r="G125" t="s">
        <v>851</v>
      </c>
      <c r="H125" t="s">
        <v>831</v>
      </c>
      <c r="I125" s="62" t="str">
        <f>IF(ISBLANK(tbl_TOPIC[[#This Row],[ParentTopic]]), tbl_TOPIC[[#This Row],[Topic]], _xlfn.XLOOKUP(tbl_TOPIC[[#This Row],[ParentTopic]], tbl_TOPIC[Topic], tbl_TOPIC[TopicPath]) &amp; "/" &amp; tbl_TOPIC[[#This Row],[Topic]])</f>
        <v>Ringe/Potenzreihenringe und Polynomringe</v>
      </c>
    </row>
    <row r="126" spans="2:9" ht="16" customHeight="1" x14ac:dyDescent="0.2">
      <c r="B126" t="s">
        <v>880</v>
      </c>
      <c r="C126">
        <v>1</v>
      </c>
      <c r="D126">
        <v>5</v>
      </c>
      <c r="E126" s="61" t="str">
        <f>tbl_TOPIC[[#This Row],[Subject]] &amp; "-" &amp; tbl_TOPIC[[#This Row],[Phase]] &amp; "-" &amp; TEXT(tbl_TOPIC[[#This Row],[Order]], "00")</f>
        <v>A-1-05</v>
      </c>
      <c r="F126" s="61" t="str">
        <f>RIGHT(tbl_TOPIC[[#This Row],[TopicID]], 2)</f>
        <v>05</v>
      </c>
      <c r="G126" t="s">
        <v>879</v>
      </c>
      <c r="H126" t="s">
        <v>831</v>
      </c>
      <c r="I126" s="62" t="str">
        <f>IF(ISBLANK(tbl_TOPIC[[#This Row],[ParentTopic]]), tbl_TOPIC[[#This Row],[Topic]], _xlfn.XLOOKUP(tbl_TOPIC[[#This Row],[ParentTopic]], tbl_TOPIC[Topic], tbl_TOPIC[TopicPath]) &amp; "/" &amp; tbl_TOPIC[[#This Row],[Topic]])</f>
        <v>Ringe/Ideale und Quotienten</v>
      </c>
    </row>
    <row r="127" spans="2:9" ht="16" customHeight="1" x14ac:dyDescent="0.2">
      <c r="B127" t="s">
        <v>24</v>
      </c>
      <c r="C127">
        <v>1</v>
      </c>
      <c r="D127">
        <v>17</v>
      </c>
      <c r="E127" s="61" t="str">
        <f>tbl_TOPIC[[#This Row],[Subject]] &amp; "-" &amp; tbl_TOPIC[[#This Row],[Phase]] &amp; "-" &amp; TEXT(tbl_TOPIC[[#This Row],[Order]], "00")</f>
        <v>QMS-1-17</v>
      </c>
      <c r="F127" s="61" t="str">
        <f>RIGHT(tbl_TOPIC[[#This Row],[TopicID]], 2)</f>
        <v>17</v>
      </c>
      <c r="G127" t="s">
        <v>901</v>
      </c>
      <c r="I127" s="62" t="str">
        <f>IF(ISBLANK(tbl_TOPIC[[#This Row],[ParentTopic]]), tbl_TOPIC[[#This Row],[Topic]], _xlfn.XLOOKUP(tbl_TOPIC[[#This Row],[ParentTopic]], tbl_TOPIC[Topic], tbl_TOPIC[TopicPath]) &amp; "/" &amp; tbl_TOPIC[[#This Row],[Topic]])</f>
        <v>QMS-Ex</v>
      </c>
    </row>
    <row r="128" spans="2:9" ht="16" customHeight="1" x14ac:dyDescent="0.2">
      <c r="B128" t="s">
        <v>24</v>
      </c>
      <c r="C128">
        <v>1</v>
      </c>
      <c r="D128">
        <v>18</v>
      </c>
      <c r="E128" s="61" t="str">
        <f>tbl_TOPIC[[#This Row],[Subject]] &amp; "-" &amp; tbl_TOPIC[[#This Row],[Phase]] &amp; "-" &amp; TEXT(tbl_TOPIC[[#This Row],[Order]], "00")</f>
        <v>QMS-1-18</v>
      </c>
      <c r="F128" s="61" t="str">
        <f>RIGHT(tbl_TOPIC[[#This Row],[TopicID]], 2)</f>
        <v>18</v>
      </c>
      <c r="G128" t="s">
        <v>902</v>
      </c>
      <c r="I128" s="62" t="str">
        <f>IF(ISBLANK(tbl_TOPIC[[#This Row],[ParentTopic]]), tbl_TOPIC[[#This Row],[Topic]], _xlfn.XLOOKUP(tbl_TOPIC[[#This Row],[ParentTopic]], tbl_TOPIC[Topic], tbl_TOPIC[TopicPath]) &amp; "/" &amp; tbl_TOPIC[[#This Row],[Topic]])</f>
        <v>QMS-ÜB</v>
      </c>
    </row>
    <row r="129" spans="2:9" ht="16" customHeight="1" x14ac:dyDescent="0.2">
      <c r="B129" t="s">
        <v>24</v>
      </c>
      <c r="C129">
        <v>1</v>
      </c>
      <c r="D129">
        <v>19</v>
      </c>
      <c r="E129" s="61" t="str">
        <f>tbl_TOPIC[[#This Row],[Subject]] &amp; "-" &amp; tbl_TOPIC[[#This Row],[Phase]] &amp; "-" &amp; TEXT(tbl_TOPIC[[#This Row],[Order]], "00")</f>
        <v>QMS-1-19</v>
      </c>
      <c r="F129" s="61" t="str">
        <f>RIGHT(tbl_TOPIC[[#This Row],[TopicID]], 2)</f>
        <v>19</v>
      </c>
      <c r="G129" t="s">
        <v>903</v>
      </c>
      <c r="H129" t="s">
        <v>902</v>
      </c>
      <c r="I129" s="62" t="str">
        <f>IF(ISBLANK(tbl_TOPIC[[#This Row],[ParentTopic]]), tbl_TOPIC[[#This Row],[Topic]], _xlfn.XLOOKUP(tbl_TOPIC[[#This Row],[ParentTopic]], tbl_TOPIC[Topic], tbl_TOPIC[TopicPath]) &amp; "/" &amp; tbl_TOPIC[[#This Row],[Topic]])</f>
        <v>QMS-ÜB/QMS-ÜB-01</v>
      </c>
    </row>
    <row r="130" spans="2:9" ht="16" customHeight="1" x14ac:dyDescent="0.2">
      <c r="B130" t="s">
        <v>361</v>
      </c>
      <c r="C130">
        <v>1</v>
      </c>
      <c r="D130">
        <v>34</v>
      </c>
      <c r="E130" s="61" t="str">
        <f>tbl_TOPIC[[#This Row],[Subject]] &amp; "-" &amp; tbl_TOPIC[[#This Row],[Phase]] &amp; "-" &amp; TEXT(tbl_TOPIC[[#This Row],[Order]], "00")</f>
        <v>QM-1-34</v>
      </c>
      <c r="F130" s="61" t="str">
        <f>RIGHT(tbl_TOPIC[[#This Row],[TopicID]], 2)</f>
        <v>34</v>
      </c>
      <c r="G130" t="s">
        <v>906</v>
      </c>
      <c r="H130" t="s">
        <v>455</v>
      </c>
      <c r="I130" s="62" t="str">
        <f>IF(ISBLANK(tbl_TOPIC[[#This Row],[ParentTopic]]), tbl_TOPIC[[#This Row],[Topic]], _xlfn.XLOOKUP(tbl_TOPIC[[#This Row],[ParentTopic]], tbl_TOPIC[Topic], tbl_TOPIC[TopicPath]) &amp; "/" &amp; tbl_TOPIC[[#This Row],[Topic]])</f>
        <v>QM-ÜB/QM-ÜB-02:</v>
      </c>
    </row>
    <row r="131" spans="2:9" ht="16" customHeight="1" x14ac:dyDescent="0.2">
      <c r="B131" t="s">
        <v>453</v>
      </c>
      <c r="C131">
        <v>1</v>
      </c>
      <c r="D131">
        <v>9</v>
      </c>
      <c r="E131" s="61" t="str">
        <f>tbl_TOPIC[[#This Row],[Subject]] &amp; "-" &amp; tbl_TOPIC[[#This Row],[Phase]] &amp; "-" &amp; TEXT(tbl_TOPIC[[#This Row],[Order]], "00")</f>
        <v>CM-1-09</v>
      </c>
      <c r="F131" s="61" t="str">
        <f>RIGHT(tbl_TOPIC[[#This Row],[TopicID]], 2)</f>
        <v>09</v>
      </c>
      <c r="G131" t="s">
        <v>932</v>
      </c>
      <c r="I131" s="62" t="str">
        <f>IF(ISBLANK(tbl_TOPIC[[#This Row],[ParentTopic]]), tbl_TOPIC[[#This Row],[Topic]], _xlfn.XLOOKUP(tbl_TOPIC[[#This Row],[ParentTopic]], tbl_TOPIC[Topic], tbl_TOPIC[TopicPath]) &amp; "/" &amp; tbl_TOPIC[[#This Row],[Topic]])</f>
        <v>CM-Ex</v>
      </c>
    </row>
    <row r="132" spans="2:9" ht="16" customHeight="1" x14ac:dyDescent="0.2">
      <c r="B132" t="s">
        <v>24</v>
      </c>
      <c r="C132">
        <v>1</v>
      </c>
      <c r="D132">
        <v>20</v>
      </c>
      <c r="E132" s="61" t="str">
        <f>tbl_TOPIC[[#This Row],[Subject]] &amp; "-" &amp; tbl_TOPIC[[#This Row],[Phase]] &amp; "-" &amp; TEXT(tbl_TOPIC[[#This Row],[Order]], "00")</f>
        <v>QMS-1-20</v>
      </c>
      <c r="F132" s="61" t="str">
        <f>RIGHT(tbl_TOPIC[[#This Row],[TopicID]], 2)</f>
        <v>20</v>
      </c>
      <c r="G132" t="s">
        <v>933</v>
      </c>
      <c r="I132" s="62" t="str">
        <f>IF(ISBLANK(tbl_TOPIC[[#This Row],[ParentTopic]]), tbl_TOPIC[[#This Row],[Topic]], _xlfn.XLOOKUP(tbl_TOPIC[[#This Row],[ParentTopic]], tbl_TOPIC[Topic], tbl_TOPIC[TopicPath]) &amp; "/" &amp; tbl_TOPIC[[#This Row],[Topic]])</f>
        <v>QMS-VL</v>
      </c>
    </row>
    <row r="133" spans="2:9" ht="16" customHeight="1" x14ac:dyDescent="0.2">
      <c r="B133" t="s">
        <v>880</v>
      </c>
      <c r="C133">
        <v>1</v>
      </c>
      <c r="D133">
        <v>6</v>
      </c>
      <c r="E133" s="61" t="str">
        <f>tbl_TOPIC[[#This Row],[Subject]] &amp; "-" &amp; tbl_TOPIC[[#This Row],[Phase]] &amp; "-" &amp; TEXT(tbl_TOPIC[[#This Row],[Order]], "00")</f>
        <v>A-1-06</v>
      </c>
      <c r="F133" s="61" t="str">
        <f>RIGHT(tbl_TOPIC[[#This Row],[TopicID]], 2)</f>
        <v>06</v>
      </c>
      <c r="G133" t="s">
        <v>935</v>
      </c>
      <c r="I133" s="62" t="str">
        <f>IF(ISBLANK(tbl_TOPIC[[#This Row],[ParentTopic]]), tbl_TOPIC[[#This Row],[Topic]], _xlfn.XLOOKUP(tbl_TOPIC[[#This Row],[ParentTopic]], tbl_TOPIC[Topic], tbl_TOPIC[TopicPath]) &amp; "/" &amp; tbl_TOPIC[[#This Row],[Topic]])</f>
        <v>Moduln</v>
      </c>
    </row>
    <row r="134" spans="2:9" ht="16" customHeight="1" x14ac:dyDescent="0.2">
      <c r="B134" t="s">
        <v>880</v>
      </c>
      <c r="C134">
        <v>1</v>
      </c>
      <c r="D134">
        <v>7</v>
      </c>
      <c r="E134" s="61" t="str">
        <f>tbl_TOPIC[[#This Row],[Subject]] &amp; "-" &amp; tbl_TOPIC[[#This Row],[Phase]] &amp; "-" &amp; TEXT(tbl_TOPIC[[#This Row],[Order]], "00")</f>
        <v>A-1-07</v>
      </c>
      <c r="F134" s="61" t="str">
        <f>RIGHT(tbl_TOPIC[[#This Row],[TopicID]], 2)</f>
        <v>07</v>
      </c>
      <c r="G134" t="s">
        <v>936</v>
      </c>
      <c r="H134" t="s">
        <v>935</v>
      </c>
      <c r="I134" s="62" t="str">
        <f>IF(ISBLANK(tbl_TOPIC[[#This Row],[ParentTopic]]), tbl_TOPIC[[#This Row],[Topic]], _xlfn.XLOOKUP(tbl_TOPIC[[#This Row],[ParentTopic]], tbl_TOPIC[Topic], tbl_TOPIC[TopicPath]) &amp; "/" &amp; tbl_TOPIC[[#This Row],[Topic]])</f>
        <v>Moduln/Moduln Grundlagen</v>
      </c>
    </row>
    <row r="135" spans="2:9" ht="16" customHeight="1" x14ac:dyDescent="0.2">
      <c r="B135" t="s">
        <v>107</v>
      </c>
      <c r="C135">
        <v>1</v>
      </c>
      <c r="D135">
        <v>18</v>
      </c>
      <c r="E135" s="61" t="str">
        <f>tbl_TOPIC[[#This Row],[Subject]] &amp; "-" &amp; tbl_TOPIC[[#This Row],[Phase]] &amp; "-" &amp; TEXT(tbl_TOPIC[[#This Row],[Order]], "00")</f>
        <v>RG-1-18</v>
      </c>
      <c r="F135" s="61" t="str">
        <f>RIGHT(tbl_TOPIC[[#This Row],[TopicID]], 2)</f>
        <v>18</v>
      </c>
      <c r="G135" t="s">
        <v>955</v>
      </c>
      <c r="H135" t="s">
        <v>590</v>
      </c>
      <c r="I135" s="62" t="str">
        <f>IF(ISBLANK(tbl_TOPIC[[#This Row],[ParentTopic]]), tbl_TOPIC[[#This Row],[Topic]], _xlfn.XLOOKUP(tbl_TOPIC[[#This Row],[ParentTopic]], tbl_TOPIC[Topic], tbl_TOPIC[TopicPath]) &amp; "/" &amp; tbl_TOPIC[[#This Row],[Topic]])</f>
        <v>RG-ÜB/RG_ÜB_03: Christoffelsymbole und Kovariante Ableitung entlang Kurven</v>
      </c>
    </row>
    <row r="136" spans="2:9" ht="16" customHeight="1" x14ac:dyDescent="0.2">
      <c r="B136" t="s">
        <v>453</v>
      </c>
      <c r="C136">
        <v>1</v>
      </c>
      <c r="D136">
        <v>10</v>
      </c>
      <c r="E136" s="61" t="str">
        <f>tbl_TOPIC[[#This Row],[Subject]] &amp; "-" &amp; tbl_TOPIC[[#This Row],[Phase]] &amp; "-" &amp; TEXT(tbl_TOPIC[[#This Row],[Order]], "00")</f>
        <v>CM-1-10</v>
      </c>
      <c r="F136" s="61" t="str">
        <f>RIGHT(tbl_TOPIC[[#This Row],[TopicID]], 2)</f>
        <v>10</v>
      </c>
      <c r="G136" t="s">
        <v>956</v>
      </c>
      <c r="H136" t="s">
        <v>489</v>
      </c>
      <c r="I136" s="62" t="str">
        <f>IF(ISBLANK(tbl_TOPIC[[#This Row],[ParentTopic]]), tbl_TOPIC[[#This Row],[Topic]], _xlfn.XLOOKUP(tbl_TOPIC[[#This Row],[ParentTopic]], tbl_TOPIC[Topic], tbl_TOPIC[TopicPath]) &amp; "/" &amp; tbl_TOPIC[[#This Row],[Topic]])</f>
        <v>CM-ÜB/CM_ÜB_03: Kinetische Energie in Lagrange, Rollpendel, Trafo von Kart. Koord, Alembert</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70A-3DA8-604F-8967-828C307A1854}">
  <sheetPr codeName="Tabelle3"/>
  <dimension ref="B2:T82"/>
  <sheetViews>
    <sheetView zoomScaleNormal="117" workbookViewId="0">
      <pane ySplit="2" topLeftCell="A58" activePane="bottomLeft" state="frozen"/>
      <selection pane="bottomLeft" activeCell="G83" sqref="G83"/>
    </sheetView>
    <sheetView workbookViewId="1"/>
  </sheetViews>
  <sheetFormatPr baseColWidth="10" defaultRowHeight="16" x14ac:dyDescent="0.2"/>
  <cols>
    <col min="2" max="2" width="5.33203125" customWidth="1"/>
    <col min="5" max="5" width="10.83203125" hidden="1" customWidth="1"/>
    <col min="6" max="6" width="9.83203125" customWidth="1"/>
    <col min="7" max="7" width="4.83203125" customWidth="1"/>
    <col min="8" max="8" width="11.1640625" hidden="1"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167</v>
      </c>
      <c r="G2" t="s">
        <v>40</v>
      </c>
      <c r="H2" t="s">
        <v>16</v>
      </c>
      <c r="I2" t="s">
        <v>155</v>
      </c>
      <c r="J2" t="s">
        <v>93</v>
      </c>
      <c r="K2" t="s">
        <v>8</v>
      </c>
      <c r="L2" s="7" t="s">
        <v>9</v>
      </c>
      <c r="M2" s="7" t="s">
        <v>97</v>
      </c>
      <c r="N2" s="7" t="s">
        <v>98</v>
      </c>
      <c r="O2" s="7" t="s">
        <v>99</v>
      </c>
      <c r="P2" s="7" t="s">
        <v>95</v>
      </c>
      <c r="Q2" t="s">
        <v>96</v>
      </c>
    </row>
    <row r="3" spans="2:20" x14ac:dyDescent="0.2">
      <c r="B3" s="19">
        <v>44299</v>
      </c>
      <c r="C3" s="4" t="str">
        <f>TEXT(WEEKNUM(tbl_SEIN[[#This Row],[Date]], 2), "00") &amp; "-" &amp; YEAR(tbl_SEIN[[#This Row],[Date]])</f>
        <v>16-2025</v>
      </c>
      <c r="D3" s="20" t="s">
        <v>100</v>
      </c>
      <c r="E3" s="21" cm="1">
        <f t="array" ref="E3">SUM((tbl_SEIN[[#This Row],[Subject]]=INDEX(tbl_SEIN[Subject],1):tbl_SEIN[[#This Row],[Subject]])*1)</f>
        <v>1</v>
      </c>
      <c r="F3" s="21" t="str">
        <f>D3 &amp; "-" &amp; TEXT(E3, "00")</f>
        <v>TOP1-01</v>
      </c>
      <c r="G3" s="21">
        <v>1</v>
      </c>
      <c r="H3" t="str">
        <f>IF(tbl_SEIN[[#This Row],[Phase]]="", "", "Phase" &amp; tbl_SEIN[[#This Row],[Phase]])</f>
        <v>Phase1</v>
      </c>
      <c r="I3" t="str">
        <f>_xlfn.XLOOKUP(tbl_SEIN[[#This Row],[Topic]], tbl_TOPIC[Topic], tbl_TOPIC[TopicID], "")</f>
        <v>TOP1-1-04</v>
      </c>
      <c r="J3" t="s">
        <v>102</v>
      </c>
      <c r="K3" t="s">
        <v>87</v>
      </c>
      <c r="L3" s="7">
        <v>9.7222222222222224E-2</v>
      </c>
      <c r="M3">
        <v>5</v>
      </c>
      <c r="N3">
        <v>4</v>
      </c>
      <c r="O3">
        <v>5</v>
      </c>
      <c r="P3" t="str">
        <f>_xlfn.XLOOKUP(tbl_SEIN[[#This Row],[Topic]], tbl_TOPIC[Topic], tbl_TOPIC[TopicPath], "")</f>
        <v>Singuläre Homologie (SHT)/Unterteilung  und Ausschneidung in SHT</v>
      </c>
      <c r="Q3" t="str">
        <f>_xlfn.XLOOKUP(tbl_SEIN[[#This Row],[Topic]], tbl_TOPIC[Topic], tbl_TOPIC[ParentTopic], "")</f>
        <v>Singuläre Homologie (SHT)</v>
      </c>
    </row>
    <row r="4" spans="2:20" x14ac:dyDescent="0.2">
      <c r="B4" s="19">
        <v>44300</v>
      </c>
      <c r="C4" s="4" t="str">
        <f>TEXT(WEEKNUM(tbl_SEIN[[#This Row],[Date]], 2), "00") &amp; "-" &amp; YEAR(tbl_SEIN[[#This Row],[Date]])</f>
        <v>16-2025</v>
      </c>
      <c r="D4" s="20" t="s">
        <v>100</v>
      </c>
      <c r="E4" s="21" cm="1">
        <f t="array" ref="E4">SUM((tbl_SEIN[[#This Row],[Subject]]=INDEX(tbl_SEIN[Subject],1):tbl_SEIN[[#This Row],[Subject]])*1)</f>
        <v>2</v>
      </c>
      <c r="F4" s="21" t="str">
        <f t="shared" ref="F4:F9" si="0">D4 &amp; "-" &amp; TEXT(E4, "00")</f>
        <v>TOP1-02</v>
      </c>
      <c r="G4" s="21">
        <v>1</v>
      </c>
      <c r="H4" t="str">
        <f>IF(tbl_SEIN[[#This Row],[Phase]]="", "", "Phase" &amp; tbl_SEIN[[#This Row],[Phase]])</f>
        <v>Phase1</v>
      </c>
      <c r="I4" t="str">
        <f>_xlfn.XLOOKUP(tbl_SEIN[[#This Row],[Topic]], tbl_TOPIC[Topic], tbl_TOPIC[TopicID], "")</f>
        <v>TOP1-1-05</v>
      </c>
      <c r="J4" t="s">
        <v>101</v>
      </c>
      <c r="K4" t="s">
        <v>87</v>
      </c>
      <c r="L4" s="7">
        <v>8.3333333333333329E-2</v>
      </c>
      <c r="M4">
        <v>3</v>
      </c>
      <c r="N4">
        <v>4</v>
      </c>
      <c r="O4">
        <v>5</v>
      </c>
      <c r="P4" t="str">
        <f>_xlfn.XLOOKUP(tbl_SEIN[[#This Row],[Topic]], tbl_TOPIC[Topic], tbl_TOPIC[TopicPath], "")</f>
        <v>Singuläre Homologie (SHT)/Mayer-Vietoris Sequenz in SHT</v>
      </c>
      <c r="Q4" t="str">
        <f>_xlfn.XLOOKUP(tbl_SEIN[[#This Row],[Topic]], tbl_TOPIC[Topic], tbl_TOPIC[ParentTopic], "")</f>
        <v>Singuläre Homologie (SHT)</v>
      </c>
    </row>
    <row r="5" spans="2:20" x14ac:dyDescent="0.2">
      <c r="B5" s="19">
        <v>44300</v>
      </c>
      <c r="C5" s="4" t="str">
        <f>TEXT(WEEKNUM(tbl_SEIN[[#This Row],[Date]], 2), "00") &amp; "-" &amp; YEAR(tbl_SEIN[[#This Row],[Date]])</f>
        <v>16-2025</v>
      </c>
      <c r="D5" s="20" t="s">
        <v>100</v>
      </c>
      <c r="E5" s="21" cm="1">
        <f t="array" ref="E5">SUM((tbl_SEIN[[#This Row],[Subject]]=INDEX(tbl_SEIN[Subject],1):tbl_SEIN[[#This Row],[Subject]])*1)</f>
        <v>3</v>
      </c>
      <c r="F5" s="21" t="str">
        <f t="shared" si="0"/>
        <v>TOP1-03</v>
      </c>
      <c r="G5" s="21">
        <v>1</v>
      </c>
      <c r="H5" t="str">
        <f>IF(tbl_SEIN[[#This Row],[Phase]]="", "", "Phase" &amp; tbl_SEIN[[#This Row],[Phase]])</f>
        <v>Phase1</v>
      </c>
      <c r="I5" t="str">
        <f>_xlfn.XLOOKUP(tbl_SEIN[[#This Row],[Topic]], tbl_TOPIC[Topic], tbl_TOPIC[TopicID], "")</f>
        <v>TOP1-1-05</v>
      </c>
      <c r="J5" t="s">
        <v>101</v>
      </c>
      <c r="K5" t="s">
        <v>68</v>
      </c>
      <c r="L5" s="7">
        <v>2.0833333333333332E-2</v>
      </c>
      <c r="M5">
        <v>2</v>
      </c>
      <c r="N5">
        <v>2</v>
      </c>
      <c r="O5">
        <v>4</v>
      </c>
      <c r="P5" t="str">
        <f>_xlfn.XLOOKUP(tbl_SEIN[[#This Row],[Topic]], tbl_TOPIC[Topic], tbl_TOPIC[TopicPath], "")</f>
        <v>Singuläre Homologie (SHT)/Mayer-Vietoris Sequenz in SHT</v>
      </c>
      <c r="Q5" t="str">
        <f>_xlfn.XLOOKUP(tbl_SEIN[[#This Row],[Topic]], tbl_TOPIC[Topic], tbl_TOPIC[ParentTopic], "")</f>
        <v>Singuläre Homologie (SHT)</v>
      </c>
    </row>
    <row r="6" spans="2:20" x14ac:dyDescent="0.2">
      <c r="B6" s="19">
        <v>44300</v>
      </c>
      <c r="C6" s="4" t="str">
        <f>TEXT(WEEKNUM(tbl_SEIN[[#This Row],[Date]], 2), "00") &amp; "-" &amp; YEAR(tbl_SEIN[[#This Row],[Date]])</f>
        <v>16-2025</v>
      </c>
      <c r="D6" s="20" t="s">
        <v>100</v>
      </c>
      <c r="E6" s="21" cm="1">
        <f t="array" ref="E6">SUM((tbl_SEIN[[#This Row],[Subject]]=INDEX(tbl_SEIN[Subject],1):tbl_SEIN[[#This Row],[Subject]])*1)</f>
        <v>4</v>
      </c>
      <c r="F6" s="21" t="str">
        <f t="shared" si="0"/>
        <v>TOP1-04</v>
      </c>
      <c r="G6" s="21">
        <v>1</v>
      </c>
      <c r="H6" t="str">
        <f>IF(tbl_SEIN[[#This Row],[Phase]]="", "", "Phase" &amp; tbl_SEIN[[#This Row],[Phase]])</f>
        <v>Phase1</v>
      </c>
      <c r="I6" t="str">
        <f>_xlfn.XLOOKUP(tbl_SEIN[[#This Row],[Topic]], tbl_TOPIC[Topic], tbl_TOPIC[TopicID], "")</f>
        <v>TOP1-1-07</v>
      </c>
      <c r="J6" t="s">
        <v>117</v>
      </c>
      <c r="K6" t="s">
        <v>87</v>
      </c>
      <c r="L6" s="7">
        <v>7.6388888888888895E-2</v>
      </c>
      <c r="M6">
        <v>4</v>
      </c>
      <c r="N6">
        <v>4</v>
      </c>
      <c r="O6">
        <v>5</v>
      </c>
      <c r="P6" t="str">
        <f>_xlfn.XLOOKUP(tbl_SEIN[[#This Row],[Topic]], tbl_TOPIC[Topic], tbl_TOPIC[TopicPath], "")</f>
        <v>Singuläre Homologie (SHT)/Kreuzprodukt in SHT/Kreuzprodukt auf Kettengruppenkomplexe in SHT</v>
      </c>
      <c r="Q6" t="str">
        <f>_xlfn.XLOOKUP(tbl_SEIN[[#This Row],[Topic]], tbl_TOPIC[Topic], tbl_TOPIC[ParentTopic], "")</f>
        <v>Kreuzprodukt in SHT</v>
      </c>
    </row>
    <row r="7" spans="2:20" x14ac:dyDescent="0.2">
      <c r="B7" s="19">
        <v>44300</v>
      </c>
      <c r="C7" s="4" t="str">
        <f>TEXT(WEEKNUM(tbl_SEIN[[#This Row],[Date]], 2), "00") &amp; "-" &amp; YEAR(tbl_SEIN[[#This Row],[Date]])</f>
        <v>16-2025</v>
      </c>
      <c r="D7" s="20" t="s">
        <v>100</v>
      </c>
      <c r="E7" s="21" cm="1">
        <f t="array" ref="E7">SUM((tbl_SEIN[[#This Row],[Subject]]=INDEX(tbl_SEIN[Subject],1):tbl_SEIN[[#This Row],[Subject]])*1)</f>
        <v>5</v>
      </c>
      <c r="F7" s="21" t="str">
        <f t="shared" si="0"/>
        <v>TOP1-05</v>
      </c>
      <c r="G7" s="21">
        <v>1</v>
      </c>
      <c r="H7" s="21" t="str">
        <f>IF(tbl_SEIN[[#This Row],[Phase]]="", "", "Phase" &amp; tbl_SEIN[[#This Row],[Phase]])</f>
        <v>Phase1</v>
      </c>
      <c r="I7" s="21" t="str">
        <f>_xlfn.XLOOKUP(tbl_SEIN[[#This Row],[Topic]], tbl_TOPIC[Topic], tbl_TOPIC[TopicID], "")</f>
        <v>TOP1-1-08</v>
      </c>
      <c r="J7" s="21" t="s">
        <v>118</v>
      </c>
      <c r="K7" t="s">
        <v>87</v>
      </c>
      <c r="L7" s="7">
        <v>3.125E-2</v>
      </c>
      <c r="M7">
        <v>5</v>
      </c>
      <c r="N7">
        <v>5</v>
      </c>
      <c r="O7">
        <v>5</v>
      </c>
      <c r="P7" t="str">
        <f>_xlfn.XLOOKUP(tbl_SEIN[[#This Row],[Topic]], tbl_TOPIC[Topic], tbl_TOPIC[TopicPath], "")</f>
        <v>Singuläre Homologie (SHT)/Kreuzprodukt in SHT/Homologie Kreuzprodukt in SHT</v>
      </c>
      <c r="Q7" t="str">
        <f>_xlfn.XLOOKUP(tbl_SEIN[[#This Row],[Topic]], tbl_TOPIC[Topic], tbl_TOPIC[ParentTopic], "")</f>
        <v>Kreuzprodukt in SHT</v>
      </c>
    </row>
    <row r="8" spans="2:20" x14ac:dyDescent="0.2">
      <c r="B8" s="19">
        <v>44301</v>
      </c>
      <c r="C8" s="4" t="str">
        <f>TEXT(WEEKNUM(tbl_SEIN[[#This Row],[Date]], 2), "00") &amp; "-" &amp; YEAR(tbl_SEIN[[#This Row],[Date]])</f>
        <v>16-2025</v>
      </c>
      <c r="D8" s="20" t="s">
        <v>100</v>
      </c>
      <c r="E8" s="21" cm="1">
        <f t="array" ref="E8">SUM((tbl_SEIN[[#This Row],[Subject]]=INDEX(tbl_SEIN[Subject],1):tbl_SEIN[[#This Row],[Subject]])*1)</f>
        <v>6</v>
      </c>
      <c r="F8" s="21" t="str">
        <f t="shared" si="0"/>
        <v>TOP1-06</v>
      </c>
      <c r="G8" s="21">
        <v>1</v>
      </c>
      <c r="H8" s="21" t="str">
        <f>IF(tbl_SEIN[[#This Row],[Phase]]="", "", "Phase" &amp; tbl_SEIN[[#This Row],[Phase]])</f>
        <v>Phase1</v>
      </c>
      <c r="I8" s="21" t="str">
        <f>_xlfn.XLOOKUP(tbl_SEIN[[#This Row],[Topic]], tbl_TOPIC[Topic], tbl_TOPIC[TopicID], "")</f>
        <v>TOP1-1-03</v>
      </c>
      <c r="J8" s="21" t="s">
        <v>120</v>
      </c>
      <c r="K8" t="s">
        <v>68</v>
      </c>
      <c r="L8" s="7">
        <v>2.7777777777777776E-2</v>
      </c>
      <c r="M8">
        <v>2</v>
      </c>
      <c r="N8">
        <v>2</v>
      </c>
      <c r="O8">
        <v>2</v>
      </c>
      <c r="P8" t="str">
        <f>_xlfn.XLOOKUP(tbl_SEIN[[#This Row],[Topic]], tbl_TOPIC[Topic], tbl_TOPIC[TopicPath], "")</f>
        <v>Singuläre Homologie (SHT)/Kategorische Formulierung der SHT</v>
      </c>
      <c r="Q8" t="str">
        <f>_xlfn.XLOOKUP(tbl_SEIN[[#This Row],[Topic]], tbl_TOPIC[Topic], tbl_TOPIC[ParentTopic], "")</f>
        <v>Singuläre Homologie (SHT)</v>
      </c>
    </row>
    <row r="9" spans="2:20" x14ac:dyDescent="0.2">
      <c r="B9" s="19">
        <v>44301</v>
      </c>
      <c r="C9" s="4" t="str">
        <f>TEXT(WEEKNUM(tbl_SEIN[[#This Row],[Date]], 2), "00") &amp; "-" &amp; YEAR(tbl_SEIN[[#This Row],[Date]])</f>
        <v>16-2025</v>
      </c>
      <c r="D9" s="20" t="s">
        <v>119</v>
      </c>
      <c r="E9" s="21" cm="1">
        <f t="array" ref="E9">SUM((tbl_SEIN[[#This Row],[Subject]]=INDEX(tbl_SEIN[Subject],1):tbl_SEIN[[#This Row],[Subject]])*1)</f>
        <v>1</v>
      </c>
      <c r="F9" s="21" t="str">
        <f t="shared" si="0"/>
        <v>HA-01</v>
      </c>
      <c r="G9" s="21">
        <v>1</v>
      </c>
      <c r="H9" s="21" t="str">
        <f>IF(tbl_SEIN[[#This Row],[Phase]]="", "", "Phase" &amp; tbl_SEIN[[#This Row],[Phase]])</f>
        <v>Phase1</v>
      </c>
      <c r="I9" s="21" t="str">
        <f>_xlfn.XLOOKUP(tbl_SEIN[[#This Row],[Topic]], tbl_TOPIC[Topic], tbl_TOPIC[TopicID], "")</f>
        <v>HA-1-01</v>
      </c>
      <c r="J9" s="21" t="s">
        <v>158</v>
      </c>
      <c r="K9" t="s">
        <v>87</v>
      </c>
      <c r="L9" s="7">
        <v>9.7222222222222224E-2</v>
      </c>
      <c r="M9">
        <v>3</v>
      </c>
      <c r="N9">
        <v>2</v>
      </c>
      <c r="O9">
        <v>5</v>
      </c>
      <c r="P9" t="str">
        <f>_xlfn.XLOOKUP(tbl_SEIN[[#This Row],[Topic]], tbl_TOPIC[Topic], tbl_TOPIC[TopicPath], "")</f>
        <v>Kategorien und Funktoren in HA</v>
      </c>
      <c r="Q9">
        <f>_xlfn.XLOOKUP(tbl_SEIN[[#This Row],[Topic]], tbl_TOPIC[Topic], tbl_TOPIC[ParentTopic], "")</f>
        <v>0</v>
      </c>
    </row>
    <row r="10" spans="2:20" x14ac:dyDescent="0.2">
      <c r="B10" s="19">
        <v>44301</v>
      </c>
      <c r="C10" s="4" t="str">
        <f>TEXT(WEEKNUM(tbl_SEIN[[#This Row],[Date]], 2), "00") &amp; "-" &amp; YEAR(tbl_SEIN[[#This Row],[Date]])</f>
        <v>16-2025</v>
      </c>
      <c r="D10" s="20" t="s">
        <v>119</v>
      </c>
      <c r="E10" s="21" cm="1">
        <f t="array" ref="E10">SUM((tbl_SEIN[[#This Row],[Subject]]=INDEX(tbl_SEIN[Subject],1):tbl_SEIN[[#This Row],[Subject]])*1)</f>
        <v>2</v>
      </c>
      <c r="F10" s="21" t="str">
        <f t="shared" ref="F10:F50" si="1">D10 &amp; "-" &amp; TEXT(E10, "00")</f>
        <v>HA-02</v>
      </c>
      <c r="G10" s="21">
        <v>1</v>
      </c>
      <c r="H10" s="21" t="str">
        <f>IF(tbl_SEIN[[#This Row],[Phase]]="", "", "Phase" &amp; tbl_SEIN[[#This Row],[Phase]])</f>
        <v>Phase1</v>
      </c>
      <c r="I10" s="21" t="str">
        <f>_xlfn.XLOOKUP(tbl_SEIN[[#This Row],[Topic]], tbl_TOPIC[Topic], tbl_TOPIC[TopicID], "")</f>
        <v>HA-1-00</v>
      </c>
      <c r="J10" s="21" t="s">
        <v>131</v>
      </c>
      <c r="K10" t="s">
        <v>68</v>
      </c>
      <c r="L10" s="7">
        <v>9.0277777777777776E-2</v>
      </c>
      <c r="M10">
        <v>4</v>
      </c>
      <c r="N10">
        <v>4</v>
      </c>
      <c r="O10">
        <v>5</v>
      </c>
      <c r="P10" t="str">
        <f>_xlfn.XLOOKUP(tbl_SEIN[[#This Row],[Topic]], tbl_TOPIC[Topic], tbl_TOPIC[TopicPath], "")</f>
        <v>Homologische Algebra</v>
      </c>
      <c r="Q10">
        <f>_xlfn.XLOOKUP(tbl_SEIN[[#This Row],[Topic]], tbl_TOPIC[Topic], tbl_TOPIC[ParentTopic], "")</f>
        <v>0</v>
      </c>
    </row>
    <row r="11" spans="2:20" x14ac:dyDescent="0.2">
      <c r="B11" s="19">
        <v>44301</v>
      </c>
      <c r="C11" s="4" t="str">
        <f>TEXT(WEEKNUM(tbl_SEIN[[#This Row],[Date]], 2), "00") &amp; "-" &amp; YEAR(tbl_SEIN[[#This Row],[Date]])</f>
        <v>16-2025</v>
      </c>
      <c r="D11" s="20" t="s">
        <v>119</v>
      </c>
      <c r="E11" s="21" cm="1">
        <f t="array" ref="E11">SUM((tbl_SEIN[[#This Row],[Subject]]=INDEX(tbl_SEIN[Subject],1):tbl_SEIN[[#This Row],[Subject]])*1)</f>
        <v>3</v>
      </c>
      <c r="F11" s="21" t="str">
        <f t="shared" si="1"/>
        <v>HA-03</v>
      </c>
      <c r="G11" s="21">
        <v>1</v>
      </c>
      <c r="H11" s="21" t="str">
        <f>IF(tbl_SEIN[[#This Row],[Phase]]="", "", "Phase" &amp; tbl_SEIN[[#This Row],[Phase]])</f>
        <v>Phase1</v>
      </c>
      <c r="I11" s="21" t="str">
        <f>_xlfn.XLOOKUP(tbl_SEIN[[#This Row],[Topic]], tbl_TOPIC[Topic], tbl_TOPIC[TopicID], "")</f>
        <v>HA-1-02</v>
      </c>
      <c r="J11" s="21" t="s">
        <v>132</v>
      </c>
      <c r="K11" t="s">
        <v>87</v>
      </c>
      <c r="L11" s="7">
        <v>1.7361111111111112E-2</v>
      </c>
      <c r="M11">
        <v>4</v>
      </c>
      <c r="N11">
        <v>2</v>
      </c>
      <c r="O11">
        <v>3</v>
      </c>
      <c r="P11" t="str">
        <f>_xlfn.XLOOKUP(tbl_SEIN[[#This Row],[Topic]], tbl_TOPIC[Topic], tbl_TOPIC[TopicPath], "")</f>
        <v>Moduln in HA</v>
      </c>
      <c r="Q11">
        <f>_xlfn.XLOOKUP(tbl_SEIN[[#This Row],[Topic]], tbl_TOPIC[Topic], tbl_TOPIC[ParentTopic], "")</f>
        <v>0</v>
      </c>
      <c r="T11" s="7"/>
    </row>
    <row r="12" spans="2:20" x14ac:dyDescent="0.2">
      <c r="B12" s="19">
        <v>44301</v>
      </c>
      <c r="C12" s="4" t="str">
        <f>TEXT(WEEKNUM(tbl_SEIN[[#This Row],[Date]], 2), "00") &amp; "-" &amp; YEAR(tbl_SEIN[[#This Row],[Date]])</f>
        <v>16-2025</v>
      </c>
      <c r="D12" s="20" t="s">
        <v>119</v>
      </c>
      <c r="E12" s="21" cm="1">
        <f t="array" ref="E12">SUM((tbl_SEIN[[#This Row],[Subject]]=INDEX(tbl_SEIN[Subject],1):tbl_SEIN[[#This Row],[Subject]])*1)</f>
        <v>4</v>
      </c>
      <c r="F12" s="21" t="str">
        <f t="shared" si="1"/>
        <v>HA-04</v>
      </c>
      <c r="G12" s="21">
        <v>1</v>
      </c>
      <c r="H12" s="21" t="str">
        <f>IF(tbl_SEIN[[#This Row],[Phase]]="", "", "Phase" &amp; tbl_SEIN[[#This Row],[Phase]])</f>
        <v>Phase1</v>
      </c>
      <c r="I12" s="21" t="str">
        <f>_xlfn.XLOOKUP(tbl_SEIN[[#This Row],[Topic]], tbl_TOPIC[Topic], tbl_TOPIC[TopicID], "")</f>
        <v>HA-1-03</v>
      </c>
      <c r="J12" s="21" t="s">
        <v>133</v>
      </c>
      <c r="K12" t="s">
        <v>87</v>
      </c>
      <c r="L12" s="7">
        <v>1.7361111111111112E-2</v>
      </c>
      <c r="M12">
        <v>4</v>
      </c>
      <c r="N12">
        <v>2</v>
      </c>
      <c r="O12">
        <v>3</v>
      </c>
      <c r="P12" t="str">
        <f>_xlfn.XLOOKUP(tbl_SEIN[[#This Row],[Topic]], tbl_TOPIC[Topic], tbl_TOPIC[TopicPath], "")</f>
        <v>Tensorprodukt in HA</v>
      </c>
      <c r="Q12">
        <f>_xlfn.XLOOKUP(tbl_SEIN[[#This Row],[Topic]], tbl_TOPIC[Topic], tbl_TOPIC[ParentTopic], "")</f>
        <v>0</v>
      </c>
    </row>
    <row r="13" spans="2:20" x14ac:dyDescent="0.2">
      <c r="B13" s="19">
        <v>44301</v>
      </c>
      <c r="C13" s="4" t="str">
        <f>TEXT(WEEKNUM(tbl_SEIN[[#This Row],[Date]], 2), "00") &amp; "-" &amp; YEAR(tbl_SEIN[[#This Row],[Date]])</f>
        <v>16-2025</v>
      </c>
      <c r="D13" s="20" t="s">
        <v>119</v>
      </c>
      <c r="E13" s="21" cm="1">
        <f t="array" ref="E13">SUM((tbl_SEIN[[#This Row],[Subject]]=INDEX(tbl_SEIN[Subject],1):tbl_SEIN[[#This Row],[Subject]])*1)</f>
        <v>5</v>
      </c>
      <c r="F13" s="21" t="str">
        <f t="shared" si="1"/>
        <v>HA-05</v>
      </c>
      <c r="G13" s="21">
        <v>1</v>
      </c>
      <c r="H13" s="21" t="str">
        <f>IF(tbl_SEIN[[#This Row],[Phase]]="", "", "Phase" &amp; tbl_SEIN[[#This Row],[Phase]])</f>
        <v>Phase1</v>
      </c>
      <c r="I13" s="21" t="str">
        <f>_xlfn.XLOOKUP(tbl_SEIN[[#This Row],[Topic]], tbl_TOPIC[Topic], tbl_TOPIC[TopicID], "")</f>
        <v>HA-1-04</v>
      </c>
      <c r="J13" s="21" t="s">
        <v>134</v>
      </c>
      <c r="K13" t="s">
        <v>87</v>
      </c>
      <c r="L13" s="7">
        <v>3.125E-2</v>
      </c>
      <c r="M13">
        <v>4</v>
      </c>
      <c r="N13">
        <v>4</v>
      </c>
      <c r="O13">
        <v>5</v>
      </c>
      <c r="P13" t="str">
        <f>_xlfn.XLOOKUP(tbl_SEIN[[#This Row],[Topic]], tbl_TOPIC[Topic], tbl_TOPIC[TopicPath], "")</f>
        <v>Abelsche Kategorien</v>
      </c>
      <c r="Q13">
        <f>_xlfn.XLOOKUP(tbl_SEIN[[#This Row],[Topic]], tbl_TOPIC[Topic], tbl_TOPIC[ParentTopic], "")</f>
        <v>0</v>
      </c>
    </row>
    <row r="14" spans="2:20" x14ac:dyDescent="0.2">
      <c r="B14" s="19">
        <v>44301</v>
      </c>
      <c r="C14" s="4" t="str">
        <f>TEXT(WEEKNUM(tbl_SEIN[[#This Row],[Date]], 2), "00") &amp; "-" &amp; YEAR(tbl_SEIN[[#This Row],[Date]])</f>
        <v>16-2025</v>
      </c>
      <c r="D14" s="20" t="s">
        <v>119</v>
      </c>
      <c r="E14" s="21" cm="1">
        <f t="array" ref="E14">SUM((tbl_SEIN[[#This Row],[Subject]]=INDEX(tbl_SEIN[Subject],1):tbl_SEIN[[#This Row],[Subject]])*1)</f>
        <v>6</v>
      </c>
      <c r="F14" s="21" t="str">
        <f t="shared" si="1"/>
        <v>HA-06</v>
      </c>
      <c r="G14" s="21">
        <v>1</v>
      </c>
      <c r="H14" s="21" t="str">
        <f>IF(tbl_SEIN[[#This Row],[Phase]]="", "", "Phase" &amp; tbl_SEIN[[#This Row],[Phase]])</f>
        <v>Phase1</v>
      </c>
      <c r="I14" s="21" t="str">
        <f>_xlfn.XLOOKUP(tbl_SEIN[[#This Row],[Topic]], tbl_TOPIC[Topic], tbl_TOPIC[TopicID], "")</f>
        <v>HA-1-06</v>
      </c>
      <c r="J14" s="21" t="s">
        <v>140</v>
      </c>
      <c r="K14" t="s">
        <v>87</v>
      </c>
      <c r="L14" s="7">
        <v>2.0833333333333332E-2</v>
      </c>
      <c r="M14">
        <v>2</v>
      </c>
      <c r="N14">
        <v>2</v>
      </c>
      <c r="O14">
        <v>5</v>
      </c>
      <c r="P14" t="str">
        <f>_xlfn.XLOOKUP(tbl_SEIN[[#This Row],[Topic]], tbl_TOPIC[Topic], tbl_TOPIC[TopicPath], "")</f>
        <v>Komplexe in HA</v>
      </c>
      <c r="Q14">
        <f>_xlfn.XLOOKUP(tbl_SEIN[[#This Row],[Topic]], tbl_TOPIC[Topic], tbl_TOPIC[ParentTopic], "")</f>
        <v>0</v>
      </c>
    </row>
    <row r="15" spans="2:20" x14ac:dyDescent="0.2">
      <c r="B15" s="19">
        <v>44301</v>
      </c>
      <c r="C15" s="4" t="str">
        <f>TEXT(WEEKNUM(tbl_SEIN[[#This Row],[Date]], 2), "00") &amp; "-" &amp; YEAR(tbl_SEIN[[#This Row],[Date]])</f>
        <v>16-2025</v>
      </c>
      <c r="D15" s="20" t="s">
        <v>119</v>
      </c>
      <c r="E15" s="21" cm="1">
        <f t="array" ref="E15">SUM((tbl_SEIN[[#This Row],[Subject]]=INDEX(tbl_SEIN[Subject],1):tbl_SEIN[[#This Row],[Subject]])*1)</f>
        <v>7</v>
      </c>
      <c r="F15" s="21" t="str">
        <f t="shared" si="1"/>
        <v>HA-07</v>
      </c>
      <c r="G15" s="21">
        <v>1</v>
      </c>
      <c r="H15" s="21" t="str">
        <f>IF(tbl_SEIN[[#This Row],[Phase]]="", "", "Phase" &amp; tbl_SEIN[[#This Row],[Phase]])</f>
        <v>Phase1</v>
      </c>
      <c r="I15" s="21" t="str">
        <f>_xlfn.XLOOKUP(tbl_SEIN[[#This Row],[Topic]], tbl_TOPIC[Topic], tbl_TOPIC[TopicID], "")</f>
        <v>HA-1-05</v>
      </c>
      <c r="J15" s="21" t="s">
        <v>141</v>
      </c>
      <c r="K15" t="s">
        <v>87</v>
      </c>
      <c r="L15" s="7">
        <v>0.10069444444444443</v>
      </c>
      <c r="M15">
        <v>3</v>
      </c>
      <c r="N15">
        <v>4</v>
      </c>
      <c r="O15">
        <v>5</v>
      </c>
      <c r="P15" t="str">
        <f>_xlfn.XLOOKUP(tbl_SEIN[[#This Row],[Topic]], tbl_TOPIC[Topic], tbl_TOPIC[TopicPath], "")</f>
        <v>Homologie Funktor in HA</v>
      </c>
      <c r="Q15">
        <f>_xlfn.XLOOKUP(tbl_SEIN[[#This Row],[Topic]], tbl_TOPIC[Topic], tbl_TOPIC[ParentTopic], "")</f>
        <v>0</v>
      </c>
    </row>
    <row r="16" spans="2:20" x14ac:dyDescent="0.2">
      <c r="B16" s="19">
        <v>44304</v>
      </c>
      <c r="C16" s="4" t="str">
        <f>TEXT(WEEKNUM(tbl_SEIN[[#This Row],[Date]], 2), "00") &amp; "-" &amp; YEAR(tbl_SEIN[[#This Row],[Date]])</f>
        <v>16-2025</v>
      </c>
      <c r="D16" s="20" t="s">
        <v>119</v>
      </c>
      <c r="E16" s="21" cm="1">
        <f t="array" ref="E16">SUM((tbl_SEIN[[#This Row],[Subject]]=INDEX(tbl_SEIN[Subject],1):tbl_SEIN[[#This Row],[Subject]])*1)</f>
        <v>8</v>
      </c>
      <c r="F16" s="21" t="str">
        <f t="shared" si="1"/>
        <v>HA-08</v>
      </c>
      <c r="G16" s="21">
        <v>1</v>
      </c>
      <c r="H16" s="21" t="str">
        <f>IF(tbl_SEIN[[#This Row],[Phase]]="", "", "Phase" &amp; tbl_SEIN[[#This Row],[Phase]])</f>
        <v>Phase1</v>
      </c>
      <c r="I16" s="21" t="str">
        <f>_xlfn.XLOOKUP(tbl_SEIN[[#This Row],[Topic]], tbl_TOPIC[Topic], tbl_TOPIC[TopicID], "")</f>
        <v>HA-1-12</v>
      </c>
      <c r="J16" s="21" t="s">
        <v>123</v>
      </c>
      <c r="K16" t="s">
        <v>87</v>
      </c>
      <c r="L16" s="7">
        <v>6.9444444444444441E-3</v>
      </c>
      <c r="M16">
        <v>2</v>
      </c>
      <c r="N16">
        <v>1</v>
      </c>
      <c r="O16">
        <v>5</v>
      </c>
      <c r="P16" t="str">
        <f>_xlfn.XLOOKUP(tbl_SEIN[[#This Row],[Topic]], tbl_TOPIC[Topic], tbl_TOPIC[TopicPath], "")</f>
        <v>Kategorische Formulierung der Homologietheorie</v>
      </c>
      <c r="Q16">
        <f>_xlfn.XLOOKUP(tbl_SEIN[[#This Row],[Topic]], tbl_TOPIC[Topic], tbl_TOPIC[ParentTopic], "")</f>
        <v>0</v>
      </c>
    </row>
    <row r="17" spans="2:17" x14ac:dyDescent="0.2">
      <c r="B17" s="19">
        <v>44304</v>
      </c>
      <c r="C17" s="4" t="str">
        <f>TEXT(WEEKNUM(tbl_SEIN[[#This Row],[Date]], 2), "00") &amp; "-" &amp; YEAR(tbl_SEIN[[#This Row],[Date]])</f>
        <v>16-2025</v>
      </c>
      <c r="D17" s="20" t="s">
        <v>119</v>
      </c>
      <c r="E17" s="21" cm="1">
        <f t="array" ref="E17">SUM((tbl_SEIN[[#This Row],[Subject]]=INDEX(tbl_SEIN[Subject],1):tbl_SEIN[[#This Row],[Subject]])*1)</f>
        <v>9</v>
      </c>
      <c r="F17" s="21" t="str">
        <f t="shared" si="1"/>
        <v>HA-09</v>
      </c>
      <c r="G17" s="21">
        <v>1</v>
      </c>
      <c r="H17" s="21" t="str">
        <f>IF(tbl_SEIN[[#This Row],[Phase]]="", "", "Phase" &amp; tbl_SEIN[[#This Row],[Phase]])</f>
        <v>Phase1</v>
      </c>
      <c r="I17" s="21" t="str">
        <f>_xlfn.XLOOKUP(tbl_SEIN[[#This Row],[Topic]], tbl_TOPIC[Topic], tbl_TOPIC[TopicID], "")</f>
        <v>HA-1-07</v>
      </c>
      <c r="J17" s="21" t="s">
        <v>169</v>
      </c>
      <c r="K17" t="s">
        <v>87</v>
      </c>
      <c r="L17" s="7">
        <v>2.4305555555555556E-2</v>
      </c>
      <c r="P17" t="str">
        <f>_xlfn.XLOOKUP(tbl_SEIN[[#This Row],[Topic]], tbl_TOPIC[Topic], tbl_TOPIC[TopicPath], "")</f>
        <v>Hilftslemma für Diagramme der HA</v>
      </c>
      <c r="Q17">
        <f>_xlfn.XLOOKUP(tbl_SEIN[[#This Row],[Topic]], tbl_TOPIC[Topic], tbl_TOPIC[ParentTopic], "")</f>
        <v>0</v>
      </c>
    </row>
    <row r="18" spans="2:17" x14ac:dyDescent="0.2">
      <c r="B18" s="19">
        <v>44304</v>
      </c>
      <c r="C18" s="4" t="str">
        <f>TEXT(WEEKNUM(tbl_SEIN[[#This Row],[Date]], 2), "00") &amp; "-" &amp; YEAR(tbl_SEIN[[#This Row],[Date]])</f>
        <v>16-2025</v>
      </c>
      <c r="D18" s="20" t="s">
        <v>119</v>
      </c>
      <c r="E18" s="21" cm="1">
        <f t="array" ref="E18">SUM((tbl_SEIN[[#This Row],[Subject]]=INDEX(tbl_SEIN[Subject],1):tbl_SEIN[[#This Row],[Subject]])*1)</f>
        <v>10</v>
      </c>
      <c r="F18" s="21" t="str">
        <f t="shared" si="1"/>
        <v>HA-10</v>
      </c>
      <c r="G18" s="21">
        <v>1</v>
      </c>
      <c r="H18" s="21" t="str">
        <f>IF(tbl_SEIN[[#This Row],[Phase]]="", "", "Phase" &amp; tbl_SEIN[[#This Row],[Phase]])</f>
        <v>Phase1</v>
      </c>
      <c r="I18" s="21" t="str">
        <f>_xlfn.XLOOKUP(tbl_SEIN[[#This Row],[Topic]], tbl_TOPIC[Topic], tbl_TOPIC[TopicID], "")</f>
        <v>HA-1-10</v>
      </c>
      <c r="J18" s="21" t="s">
        <v>121</v>
      </c>
      <c r="K18" t="s">
        <v>87</v>
      </c>
      <c r="L18" s="7">
        <v>1.3888888888888888E-2</v>
      </c>
      <c r="P18" t="str">
        <f>_xlfn.XLOOKUP(tbl_SEIN[[#This Row],[Topic]], tbl_TOPIC[Topic], tbl_TOPIC[TopicPath], "")</f>
        <v>Splitting</v>
      </c>
      <c r="Q18">
        <f>_xlfn.XLOOKUP(tbl_SEIN[[#This Row],[Topic]], tbl_TOPIC[Topic], tbl_TOPIC[ParentTopic], "")</f>
        <v>0</v>
      </c>
    </row>
    <row r="19" spans="2:17" x14ac:dyDescent="0.2">
      <c r="B19" s="19">
        <v>44305</v>
      </c>
      <c r="C19" s="4" t="str">
        <f>TEXT(WEEKNUM(tbl_SEIN[[#This Row],[Date]], 2), "00") &amp; "-" &amp; YEAR(tbl_SEIN[[#This Row],[Date]])</f>
        <v>16-2025</v>
      </c>
      <c r="D19" s="20" t="s">
        <v>119</v>
      </c>
      <c r="E19" s="21" cm="1">
        <f t="array" ref="E19">SUM((tbl_SEIN[[#This Row],[Subject]]=INDEX(tbl_SEIN[Subject],1):tbl_SEIN[[#This Row],[Subject]])*1)</f>
        <v>11</v>
      </c>
      <c r="F19" s="21" t="str">
        <f t="shared" si="1"/>
        <v>HA-11</v>
      </c>
      <c r="G19" s="21">
        <v>1</v>
      </c>
      <c r="H19" s="21" t="str">
        <f>IF(tbl_SEIN[[#This Row],[Phase]]="", "", "Phase" &amp; tbl_SEIN[[#This Row],[Phase]])</f>
        <v>Phase1</v>
      </c>
      <c r="I19" s="21" t="str">
        <f>_xlfn.XLOOKUP(tbl_SEIN[[#This Row],[Topic]], tbl_TOPIC[Topic], tbl_TOPIC[TopicID], "")</f>
        <v>HA-1-01</v>
      </c>
      <c r="J19" s="21" t="s">
        <v>158</v>
      </c>
      <c r="K19" t="s">
        <v>68</v>
      </c>
      <c r="L19" s="7">
        <v>5.2083333333333336E-2</v>
      </c>
      <c r="P19" t="str">
        <f>_xlfn.XLOOKUP(tbl_SEIN[[#This Row],[Topic]], tbl_TOPIC[Topic], tbl_TOPIC[TopicPath], "")</f>
        <v>Kategorien und Funktoren in HA</v>
      </c>
      <c r="Q19">
        <f>_xlfn.XLOOKUP(tbl_SEIN[[#This Row],[Topic]], tbl_TOPIC[Topic], tbl_TOPIC[ParentTopic], "")</f>
        <v>0</v>
      </c>
    </row>
    <row r="20" spans="2:17" x14ac:dyDescent="0.2">
      <c r="B20" s="19">
        <v>44305</v>
      </c>
      <c r="C20" s="4" t="str">
        <f>TEXT(WEEKNUM(tbl_SEIN[[#This Row],[Date]], 2), "00") &amp; "-" &amp; YEAR(tbl_SEIN[[#This Row],[Date]])</f>
        <v>16-2025</v>
      </c>
      <c r="D20" s="20" t="s">
        <v>119</v>
      </c>
      <c r="E20" s="21" cm="1">
        <f t="array" ref="E20">SUM((tbl_SEIN[[#This Row],[Subject]]=INDEX(tbl_SEIN[Subject],1):tbl_SEIN[[#This Row],[Subject]])*1)</f>
        <v>12</v>
      </c>
      <c r="F20" s="21" t="str">
        <f t="shared" si="1"/>
        <v>HA-12</v>
      </c>
      <c r="G20" s="21">
        <v>1</v>
      </c>
      <c r="H20" s="21" t="str">
        <f>IF(tbl_SEIN[[#This Row],[Phase]]="", "", "Phase" &amp; tbl_SEIN[[#This Row],[Phase]])</f>
        <v>Phase1</v>
      </c>
      <c r="I20" s="21" t="str">
        <f>_xlfn.XLOOKUP(tbl_SEIN[[#This Row],[Topic]], tbl_TOPIC[Topic], tbl_TOPIC[TopicID], "")</f>
        <v>HA-1-04</v>
      </c>
      <c r="J20" s="21" t="s">
        <v>134</v>
      </c>
      <c r="K20" t="s">
        <v>68</v>
      </c>
      <c r="L20" s="41">
        <v>2.7777777777777776E-2</v>
      </c>
      <c r="P20" t="str">
        <f>_xlfn.XLOOKUP(tbl_SEIN[[#This Row],[Topic]], tbl_TOPIC[Topic], tbl_TOPIC[TopicPath], "")</f>
        <v>Abelsche Kategorien</v>
      </c>
      <c r="Q20">
        <f>_xlfn.XLOOKUP(tbl_SEIN[[#This Row],[Topic]], tbl_TOPIC[Topic], tbl_TOPIC[ParentTopic], "")</f>
        <v>0</v>
      </c>
    </row>
    <row r="21" spans="2:17" x14ac:dyDescent="0.2">
      <c r="B21" s="19">
        <v>44305</v>
      </c>
      <c r="C21" s="4" t="str">
        <f>TEXT(WEEKNUM(tbl_SEIN[[#This Row],[Date]], 2), "00") &amp; "-" &amp; YEAR(tbl_SEIN[[#This Row],[Date]])</f>
        <v>16-2025</v>
      </c>
      <c r="D21" s="20" t="s">
        <v>119</v>
      </c>
      <c r="E21" s="21" cm="1">
        <f t="array" ref="E21">SUM((tbl_SEIN[[#This Row],[Subject]]=INDEX(tbl_SEIN[Subject],1):tbl_SEIN[[#This Row],[Subject]])*1)</f>
        <v>13</v>
      </c>
      <c r="F21" s="21" t="str">
        <f t="shared" si="1"/>
        <v>HA-13</v>
      </c>
      <c r="G21" s="21">
        <v>1</v>
      </c>
      <c r="H21" s="21" t="str">
        <f>IF(tbl_SEIN[[#This Row],[Phase]]="", "", "Phase" &amp; tbl_SEIN[[#This Row],[Phase]])</f>
        <v>Phase1</v>
      </c>
      <c r="I21" s="21" t="str">
        <f>_xlfn.XLOOKUP(tbl_SEIN[[#This Row],[Topic]], tbl_TOPIC[Topic], tbl_TOPIC[TopicID], "")</f>
        <v>HA-1-06</v>
      </c>
      <c r="J21" s="21" t="s">
        <v>140</v>
      </c>
      <c r="K21" t="s">
        <v>68</v>
      </c>
      <c r="L21" s="41">
        <v>2.4305555555555556E-2</v>
      </c>
      <c r="P21" t="str">
        <f>_xlfn.XLOOKUP(tbl_SEIN[[#This Row],[Topic]], tbl_TOPIC[Topic], tbl_TOPIC[TopicPath], "")</f>
        <v>Komplexe in HA</v>
      </c>
      <c r="Q21">
        <f>_xlfn.XLOOKUP(tbl_SEIN[[#This Row],[Topic]], tbl_TOPIC[Topic], tbl_TOPIC[ParentTopic], "")</f>
        <v>0</v>
      </c>
    </row>
    <row r="22" spans="2:17" x14ac:dyDescent="0.2">
      <c r="B22" s="19">
        <v>44305</v>
      </c>
      <c r="C22" s="4" t="str">
        <f>TEXT(WEEKNUM(tbl_SEIN[[#This Row],[Date]], 2), "00") &amp; "-" &amp; YEAR(tbl_SEIN[[#This Row],[Date]])</f>
        <v>16-2025</v>
      </c>
      <c r="D22" s="20" t="s">
        <v>119</v>
      </c>
      <c r="E22" s="21" cm="1">
        <f t="array" ref="E22">SUM((tbl_SEIN[[#This Row],[Subject]]=INDEX(tbl_SEIN[Subject],1):tbl_SEIN[[#This Row],[Subject]])*1)</f>
        <v>14</v>
      </c>
      <c r="F22" s="21" t="str">
        <f t="shared" si="1"/>
        <v>HA-14</v>
      </c>
      <c r="G22" s="21">
        <v>1</v>
      </c>
      <c r="H22" s="21" t="str">
        <f>IF(tbl_SEIN[[#This Row],[Phase]]="", "", "Phase" &amp; tbl_SEIN[[#This Row],[Phase]])</f>
        <v>Phase1</v>
      </c>
      <c r="I22" s="21" t="str">
        <f>_xlfn.XLOOKUP(tbl_SEIN[[#This Row],[Topic]], tbl_TOPIC[Topic], tbl_TOPIC[TopicID], "")</f>
        <v>HA-1-05</v>
      </c>
      <c r="J22" s="21" t="s">
        <v>141</v>
      </c>
      <c r="K22" t="s">
        <v>68</v>
      </c>
      <c r="L22" s="41">
        <v>6.25E-2</v>
      </c>
      <c r="P22" t="str">
        <f>_xlfn.XLOOKUP(tbl_SEIN[[#This Row],[Topic]], tbl_TOPIC[Topic], tbl_TOPIC[TopicPath], "")</f>
        <v>Homologie Funktor in HA</v>
      </c>
      <c r="Q22">
        <f>_xlfn.XLOOKUP(tbl_SEIN[[#This Row],[Topic]], tbl_TOPIC[Topic], tbl_TOPIC[ParentTopic], "")</f>
        <v>0</v>
      </c>
    </row>
    <row r="23" spans="2:17" x14ac:dyDescent="0.2">
      <c r="B23" s="19">
        <v>44306</v>
      </c>
      <c r="C23" s="4" t="str">
        <f>TEXT(WEEKNUM(tbl_SEIN[[#This Row],[Date]], 2), "00") &amp; "-" &amp; YEAR(tbl_SEIN[[#This Row],[Date]])</f>
        <v>17-2025</v>
      </c>
      <c r="D23" s="20" t="s">
        <v>100</v>
      </c>
      <c r="E23" s="21" cm="1">
        <f t="array" ref="E23">SUM((tbl_SEIN[[#This Row],[Subject]]=INDEX(tbl_SEIN[Subject],1):tbl_SEIN[[#This Row],[Subject]])*1)</f>
        <v>7</v>
      </c>
      <c r="F23" s="21" t="str">
        <f t="shared" si="1"/>
        <v>TOP1-07</v>
      </c>
      <c r="G23" s="21">
        <v>1</v>
      </c>
      <c r="H23" s="21" t="str">
        <f>IF(tbl_SEIN[[#This Row],[Phase]]="", "", "Phase" &amp; tbl_SEIN[[#This Row],[Phase]])</f>
        <v>Phase1</v>
      </c>
      <c r="I23" s="21" t="str">
        <f>_xlfn.XLOOKUP(tbl_SEIN[[#This Row],[Topic]], tbl_TOPIC[Topic], tbl_TOPIC[TopicID], "")</f>
        <v>TOP1-1-09</v>
      </c>
      <c r="J23" s="21" t="s">
        <v>122</v>
      </c>
      <c r="K23" t="s">
        <v>87</v>
      </c>
      <c r="L23" s="41">
        <v>2.0833333333333332E-2</v>
      </c>
      <c r="P23" t="str">
        <f>_xlfn.XLOOKUP(tbl_SEIN[[#This Row],[Topic]], tbl_TOPIC[Topic], tbl_TOPIC[TopicPath], "")</f>
        <v>Absolute und Relative Homologie</v>
      </c>
      <c r="Q23">
        <f>_xlfn.XLOOKUP(tbl_SEIN[[#This Row],[Topic]], tbl_TOPIC[Topic], tbl_TOPIC[ParentTopic], "")</f>
        <v>0</v>
      </c>
    </row>
    <row r="24" spans="2:17" x14ac:dyDescent="0.2">
      <c r="B24" s="19">
        <v>44306</v>
      </c>
      <c r="C24" s="4" t="str">
        <f>TEXT(WEEKNUM(tbl_SEIN[[#This Row],[Date]], 2), "00") &amp; "-" &amp; YEAR(tbl_SEIN[[#This Row],[Date]])</f>
        <v>17-2025</v>
      </c>
      <c r="D24" s="20" t="s">
        <v>100</v>
      </c>
      <c r="E24" s="21" cm="1">
        <f t="array" ref="E24">SUM((tbl_SEIN[[#This Row],[Subject]]=INDEX(tbl_SEIN[Subject],1):tbl_SEIN[[#This Row],[Subject]])*1)</f>
        <v>8</v>
      </c>
      <c r="F24" s="21" t="str">
        <f t="shared" si="1"/>
        <v>TOP1-08</v>
      </c>
      <c r="G24" s="21">
        <v>1</v>
      </c>
      <c r="H24" s="21" t="str">
        <f>IF(tbl_SEIN[[#This Row],[Phase]]="", "", "Phase" &amp; tbl_SEIN[[#This Row],[Phase]])</f>
        <v>Phase1</v>
      </c>
      <c r="I24" s="21" t="str">
        <f>_xlfn.XLOOKUP(tbl_SEIN[[#This Row],[Topic]], tbl_TOPIC[Topic], tbl_TOPIC[TopicID], "")</f>
        <v>TOP1-1-02</v>
      </c>
      <c r="J24" s="21" t="s">
        <v>103</v>
      </c>
      <c r="K24" t="s">
        <v>87</v>
      </c>
      <c r="L24" s="7">
        <v>4.5138888888888888E-2</v>
      </c>
      <c r="P24" t="str">
        <f>_xlfn.XLOOKUP(tbl_SEIN[[#This Row],[Topic]], tbl_TOPIC[Topic], tbl_TOPIC[TopicPath], "")</f>
        <v>Singuläre Homologie (SHT)/Basics der SHT</v>
      </c>
      <c r="Q24" t="str">
        <f>_xlfn.XLOOKUP(tbl_SEIN[[#This Row],[Topic]], tbl_TOPIC[Topic], tbl_TOPIC[ParentTopic], "")</f>
        <v>Singuläre Homologie (SHT)</v>
      </c>
    </row>
    <row r="25" spans="2:17" x14ac:dyDescent="0.2">
      <c r="B25" s="19">
        <v>44306</v>
      </c>
      <c r="C25" s="4" t="str">
        <f>TEXT(WEEKNUM(tbl_SEIN[[#This Row],[Date]], 2), "00") &amp; "-" &amp; YEAR(tbl_SEIN[[#This Row],[Date]])</f>
        <v>17-2025</v>
      </c>
      <c r="D25" s="20" t="s">
        <v>100</v>
      </c>
      <c r="E25" s="21" cm="1">
        <f t="array" ref="E25">SUM((tbl_SEIN[[#This Row],[Subject]]=INDEX(tbl_SEIN[Subject],1):tbl_SEIN[[#This Row],[Subject]])*1)</f>
        <v>9</v>
      </c>
      <c r="F25" s="21" t="str">
        <f t="shared" si="1"/>
        <v>TOP1-09</v>
      </c>
      <c r="G25" s="21">
        <v>1</v>
      </c>
      <c r="H25" s="21" t="str">
        <f>IF(tbl_SEIN[[#This Row],[Phase]]="", "", "Phase" &amp; tbl_SEIN[[#This Row],[Phase]])</f>
        <v>Phase1</v>
      </c>
      <c r="I25" s="21" t="str">
        <f>_xlfn.XLOOKUP(tbl_SEIN[[#This Row],[Topic]], tbl_TOPIC[Topic], tbl_TOPIC[TopicID], "")</f>
        <v>TOP1-1-09</v>
      </c>
      <c r="J25" s="21" t="s">
        <v>124</v>
      </c>
      <c r="K25" t="s">
        <v>87</v>
      </c>
      <c r="L25" s="7">
        <v>1.7361111111111112E-2</v>
      </c>
      <c r="P25" t="str">
        <f>_xlfn.XLOOKUP(tbl_SEIN[[#This Row],[Topic]], tbl_TOPIC[Topic], tbl_TOPIC[TopicPath], "")</f>
        <v>Reduzierte Homologie</v>
      </c>
      <c r="Q25">
        <f>_xlfn.XLOOKUP(tbl_SEIN[[#This Row],[Topic]], tbl_TOPIC[Topic], tbl_TOPIC[ParentTopic], "")</f>
        <v>0</v>
      </c>
    </row>
    <row r="26" spans="2:17" x14ac:dyDescent="0.2">
      <c r="B26" s="19">
        <v>44306</v>
      </c>
      <c r="C26" s="4" t="str">
        <f>TEXT(WEEKNUM(tbl_SEIN[[#This Row],[Date]], 2), "00") &amp; "-" &amp; YEAR(tbl_SEIN[[#This Row],[Date]])</f>
        <v>17-2025</v>
      </c>
      <c r="D26" s="20" t="s">
        <v>100</v>
      </c>
      <c r="E26" s="21" cm="1">
        <f t="array" ref="E26">SUM((tbl_SEIN[[#This Row],[Subject]]=INDEX(tbl_SEIN[Subject],1):tbl_SEIN[[#This Row],[Subject]])*1)</f>
        <v>10</v>
      </c>
      <c r="F26" s="21" t="str">
        <f t="shared" si="1"/>
        <v>TOP1-10</v>
      </c>
      <c r="G26" s="21">
        <v>1</v>
      </c>
      <c r="H26" s="21" t="str">
        <f>IF(tbl_SEIN[[#This Row],[Phase]]="", "", "Phase" &amp; tbl_SEIN[[#This Row],[Phase]])</f>
        <v>Phase1</v>
      </c>
      <c r="I26" s="21" t="str">
        <f>_xlfn.XLOOKUP(tbl_SEIN[[#This Row],[Topic]], tbl_TOPIC[Topic], tbl_TOPIC[TopicID], "")</f>
        <v>TOP1-1-04</v>
      </c>
      <c r="J26" s="21" t="s">
        <v>102</v>
      </c>
      <c r="K26" t="s">
        <v>68</v>
      </c>
      <c r="L26" s="7">
        <v>3.8194444444444441E-2</v>
      </c>
      <c r="P26" t="str">
        <f>_xlfn.XLOOKUP(tbl_SEIN[[#This Row],[Topic]], tbl_TOPIC[Topic], tbl_TOPIC[TopicPath], "")</f>
        <v>Singuläre Homologie (SHT)/Unterteilung  und Ausschneidung in SHT</v>
      </c>
      <c r="Q26" t="str">
        <f>_xlfn.XLOOKUP(tbl_SEIN[[#This Row],[Topic]], tbl_TOPIC[Topic], tbl_TOPIC[ParentTopic], "")</f>
        <v>Singuläre Homologie (SHT)</v>
      </c>
    </row>
    <row r="27" spans="2:17" x14ac:dyDescent="0.2">
      <c r="B27" s="4">
        <v>44308</v>
      </c>
      <c r="C27" s="4" t="str">
        <f>TEXT(WEEKNUM(tbl_SEIN[[#This Row],[Date]], 2), "00") &amp; "-" &amp; YEAR(tbl_SEIN[[#This Row],[Date]])</f>
        <v>17-2025</v>
      </c>
      <c r="D27" t="s">
        <v>106</v>
      </c>
      <c r="E27" s="21" cm="1">
        <f t="array" ref="E27">SUM((tbl_SEIN[[#This Row],[Subject]]=INDEX(tbl_SEIN[Subject],1):tbl_SEIN[[#This Row],[Subject]])*1)</f>
        <v>1</v>
      </c>
      <c r="F27" s="21" t="str">
        <f t="shared" si="1"/>
        <v>GPDE-01</v>
      </c>
      <c r="G27" s="21">
        <v>1</v>
      </c>
      <c r="H27" s="21" t="str">
        <f>IF(tbl_SEIN[[#This Row],[Phase]]="", "", "Phase" &amp; tbl_SEIN[[#This Row],[Phase]])</f>
        <v>Phase1</v>
      </c>
      <c r="I27" s="21" t="str">
        <f>_xlfn.XLOOKUP(tbl_SEIN[[#This Row],[Topic]], tbl_TOPIC[Topic], tbl_TOPIC[TopicID], "")</f>
        <v>GPDE-1-01</v>
      </c>
      <c r="J27" s="21" t="s">
        <v>329</v>
      </c>
      <c r="K27" t="s">
        <v>87</v>
      </c>
      <c r="L27" s="7">
        <v>2.0833333333333332E-2</v>
      </c>
      <c r="P27" t="str">
        <f>_xlfn.XLOOKUP(tbl_SEIN[[#This Row],[Topic]], tbl_TOPIC[Topic], tbl_TOPIC[TopicPath], "")</f>
        <v>GPDE Basics</v>
      </c>
      <c r="Q27">
        <f>_xlfn.XLOOKUP(tbl_SEIN[[#This Row],[Topic]], tbl_TOPIC[Topic], tbl_TOPIC[ParentTopic], "")</f>
        <v>0</v>
      </c>
    </row>
    <row r="28" spans="2:17" x14ac:dyDescent="0.2">
      <c r="B28" s="4">
        <v>44308</v>
      </c>
      <c r="C28" s="4" t="str">
        <f>TEXT(WEEKNUM(tbl_SEIN[[#This Row],[Date]], 2), "00") &amp; "-" &amp; YEAR(tbl_SEIN[[#This Row],[Date]])</f>
        <v>17-2025</v>
      </c>
      <c r="D28" t="s">
        <v>106</v>
      </c>
      <c r="E28" s="21" cm="1">
        <f t="array" ref="E28">SUM((tbl_SEIN[[#This Row],[Subject]]=INDEX(tbl_SEIN[Subject],1):tbl_SEIN[[#This Row],[Subject]])*1)</f>
        <v>2</v>
      </c>
      <c r="F28" s="21" t="str">
        <f t="shared" si="1"/>
        <v>GPDE-02</v>
      </c>
      <c r="G28" s="21">
        <v>1</v>
      </c>
      <c r="H28" s="21" t="str">
        <f>IF(tbl_SEIN[[#This Row],[Phase]]="", "", "Phase" &amp; tbl_SEIN[[#This Row],[Phase]])</f>
        <v>Phase1</v>
      </c>
      <c r="I28" s="21" t="str">
        <f>_xlfn.XLOOKUP(tbl_SEIN[[#This Row],[Topic]], tbl_TOPIC[Topic], tbl_TOPIC[TopicID], "")</f>
        <v>GPDE-1-06</v>
      </c>
      <c r="J28" s="21" t="s">
        <v>332</v>
      </c>
      <c r="K28" t="s">
        <v>87</v>
      </c>
      <c r="L28" s="7">
        <v>7.6388888888888895E-2</v>
      </c>
      <c r="P28" t="str">
        <f>_xlfn.XLOOKUP(tbl_SEIN[[#This Row],[Topic]], tbl_TOPIC[Topic], tbl_TOPIC[TopicPath], "")</f>
        <v>Maximum Prinzipien/Schwache Maximum Prinzipien</v>
      </c>
      <c r="Q28" t="str">
        <f>_xlfn.XLOOKUP(tbl_SEIN[[#This Row],[Topic]], tbl_TOPIC[Topic], tbl_TOPIC[ParentTopic], "")</f>
        <v>Maximum Prinzipien</v>
      </c>
    </row>
    <row r="29" spans="2:17" x14ac:dyDescent="0.2">
      <c r="B29" s="4">
        <v>44308</v>
      </c>
      <c r="C29" s="4" t="str">
        <f>TEXT(WEEKNUM(tbl_SEIN[[#This Row],[Date]], 2), "00") &amp; "-" &amp; YEAR(tbl_SEIN[[#This Row],[Date]])</f>
        <v>17-2025</v>
      </c>
      <c r="D29" t="s">
        <v>106</v>
      </c>
      <c r="E29" s="21" cm="1">
        <f t="array" ref="E29">SUM((tbl_SEIN[[#This Row],[Subject]]=INDEX(tbl_SEIN[Subject],1):tbl_SEIN[[#This Row],[Subject]])*1)</f>
        <v>3</v>
      </c>
      <c r="F29" s="21" t="str">
        <f t="shared" si="1"/>
        <v>GPDE-03</v>
      </c>
      <c r="G29" s="21">
        <v>1</v>
      </c>
      <c r="H29" s="21" t="str">
        <f>IF(tbl_SEIN[[#This Row],[Phase]]="", "", "Phase" &amp; tbl_SEIN[[#This Row],[Phase]])</f>
        <v>Phase1</v>
      </c>
      <c r="I29" s="21" t="str">
        <f>_xlfn.XLOOKUP(tbl_SEIN[[#This Row],[Topic]], tbl_TOPIC[Topic], tbl_TOPIC[TopicID], "")</f>
        <v>GPDE-1-07</v>
      </c>
      <c r="J29" s="21" t="s">
        <v>333</v>
      </c>
      <c r="K29" t="s">
        <v>87</v>
      </c>
      <c r="L29" s="7">
        <v>3.8194444444444441E-2</v>
      </c>
      <c r="P29" t="str">
        <f>_xlfn.XLOOKUP(tbl_SEIN[[#This Row],[Topic]], tbl_TOPIC[Topic], tbl_TOPIC[TopicPath], "")</f>
        <v>Maximum Prinzipien/Starke Maximum Prinzipien</v>
      </c>
      <c r="Q29" t="str">
        <f>_xlfn.XLOOKUP(tbl_SEIN[[#This Row],[Topic]], tbl_TOPIC[Topic], tbl_TOPIC[ParentTopic], "")</f>
        <v>Maximum Prinzipien</v>
      </c>
    </row>
    <row r="30" spans="2:17" x14ac:dyDescent="0.2">
      <c r="B30" s="4">
        <v>44309</v>
      </c>
      <c r="C30" s="4" t="str">
        <f>TEXT(WEEKNUM(tbl_SEIN[[#This Row],[Date]], 2), "00") &amp; "-" &amp; YEAR(tbl_SEIN[[#This Row],[Date]])</f>
        <v>17-2025</v>
      </c>
      <c r="D30" t="s">
        <v>361</v>
      </c>
      <c r="E30" s="21" cm="1">
        <f t="array" ref="E30">SUM((tbl_SEIN[[#This Row],[Subject]]=INDEX(tbl_SEIN[Subject],1):tbl_SEIN[[#This Row],[Subject]])*1)</f>
        <v>1</v>
      </c>
      <c r="F30" s="21" t="str">
        <f t="shared" si="1"/>
        <v>QM-01</v>
      </c>
      <c r="G30" s="21">
        <v>1</v>
      </c>
      <c r="H30" s="21" t="str">
        <f>IF(tbl_SEIN[[#This Row],[Phase]]="", "", "Phase" &amp; tbl_SEIN[[#This Row],[Phase]])</f>
        <v>Phase1</v>
      </c>
      <c r="I30" s="21" t="str">
        <f>_xlfn.XLOOKUP(tbl_SEIN[[#This Row],[Topic]], tbl_TOPIC[Topic], tbl_TOPIC[TopicID], "")</f>
        <v>QM-1-01</v>
      </c>
      <c r="J30" s="21" t="s">
        <v>362</v>
      </c>
      <c r="K30" t="s">
        <v>207</v>
      </c>
      <c r="L30" s="7">
        <v>2.7777777777777776E-2</v>
      </c>
      <c r="P30" t="str">
        <f>_xlfn.XLOOKUP(tbl_SEIN[[#This Row],[Topic]], tbl_TOPIC[Topic], tbl_TOPIC[TopicPath], "")</f>
        <v>Quantenmechanik</v>
      </c>
      <c r="Q30">
        <f>_xlfn.XLOOKUP(tbl_SEIN[[#This Row],[Topic]], tbl_TOPIC[Topic], tbl_TOPIC[ParentTopic], "")</f>
        <v>0</v>
      </c>
    </row>
    <row r="31" spans="2:17" x14ac:dyDescent="0.2">
      <c r="B31" s="4">
        <v>44309</v>
      </c>
      <c r="C31" s="4" t="str">
        <f>TEXT(WEEKNUM(tbl_SEIN[[#This Row],[Date]], 2), "00") &amp; "-" &amp; YEAR(tbl_SEIN[[#This Row],[Date]])</f>
        <v>17-2025</v>
      </c>
      <c r="D31" t="s">
        <v>361</v>
      </c>
      <c r="E31" s="21" cm="1">
        <f t="array" ref="E31">SUM((tbl_SEIN[[#This Row],[Subject]]=INDEX(tbl_SEIN[Subject],1):tbl_SEIN[[#This Row],[Subject]])*1)</f>
        <v>2</v>
      </c>
      <c r="F31" s="21" t="str">
        <f t="shared" si="1"/>
        <v>QM-02</v>
      </c>
      <c r="G31" s="21">
        <v>1</v>
      </c>
      <c r="H31" s="21" t="str">
        <f>IF(tbl_SEIN[[#This Row],[Phase]]="", "", "Phase" &amp; tbl_SEIN[[#This Row],[Phase]])</f>
        <v>Phase1</v>
      </c>
      <c r="I31" s="21" t="str">
        <f>_xlfn.XLOOKUP(tbl_SEIN[[#This Row],[Topic]], tbl_TOPIC[Topic], tbl_TOPIC[TopicID], "")</f>
        <v>QM-1-02</v>
      </c>
      <c r="J31" s="21" t="s">
        <v>363</v>
      </c>
      <c r="K31" t="s">
        <v>87</v>
      </c>
      <c r="L31" s="7">
        <v>4.1666666666666664E-2</v>
      </c>
      <c r="P31" t="str">
        <f>_xlfn.XLOOKUP(tbl_SEIN[[#This Row],[Topic]], tbl_TOPIC[Topic], tbl_TOPIC[TopicPath], "")</f>
        <v>Schrödinger Gleichung</v>
      </c>
      <c r="Q31">
        <f>_xlfn.XLOOKUP(tbl_SEIN[[#This Row],[Topic]], tbl_TOPIC[Topic], tbl_TOPIC[ParentTopic], "")</f>
        <v>0</v>
      </c>
    </row>
    <row r="32" spans="2:17" x14ac:dyDescent="0.2">
      <c r="B32" s="4">
        <v>44309</v>
      </c>
      <c r="C32" s="4" t="str">
        <f>TEXT(WEEKNUM(tbl_SEIN[[#This Row],[Date]], 2), "00") &amp; "-" &amp; YEAR(tbl_SEIN[[#This Row],[Date]])</f>
        <v>17-2025</v>
      </c>
      <c r="D32" t="s">
        <v>24</v>
      </c>
      <c r="E32" s="21" cm="1">
        <f t="array" ref="E32">SUM((tbl_SEIN[[#This Row],[Subject]]=INDEX(tbl_SEIN[Subject],1):tbl_SEIN[[#This Row],[Subject]])*1)</f>
        <v>1</v>
      </c>
      <c r="F32" s="21" t="str">
        <f t="shared" si="1"/>
        <v>QMS-01</v>
      </c>
      <c r="G32" s="21">
        <v>1</v>
      </c>
      <c r="H32" s="21" t="str">
        <f>IF(tbl_SEIN[[#This Row],[Phase]]="", "", "Phase" &amp; tbl_SEIN[[#This Row],[Phase]])</f>
        <v>Phase1</v>
      </c>
      <c r="I32" s="21" t="str">
        <f>_xlfn.XLOOKUP(tbl_SEIN[[#This Row],[Topic]], tbl_TOPIC[Topic], tbl_TOPIC[TopicID], "")</f>
        <v>QMS-1-01</v>
      </c>
      <c r="J32" s="21" t="s">
        <v>398</v>
      </c>
      <c r="K32" t="s">
        <v>58</v>
      </c>
      <c r="L32" s="7">
        <v>7.2916666666666671E-2</v>
      </c>
      <c r="P32" t="str">
        <f>_xlfn.XLOOKUP(tbl_SEIN[[#This Row],[Topic]], tbl_TOPIC[Topic], tbl_TOPIC[TopicPath], "")</f>
        <v>Symmetrie in Quantenmechanik</v>
      </c>
      <c r="Q32">
        <f>_xlfn.XLOOKUP(tbl_SEIN[[#This Row],[Topic]], tbl_TOPIC[Topic], tbl_TOPIC[ParentTopic], "")</f>
        <v>0</v>
      </c>
    </row>
    <row r="33" spans="2:17" x14ac:dyDescent="0.2">
      <c r="B33" s="4">
        <v>44309</v>
      </c>
      <c r="C33" s="4" t="str">
        <f>TEXT(WEEKNUM(tbl_SEIN[[#This Row],[Date]], 2), "00") &amp; "-" &amp; YEAR(tbl_SEIN[[#This Row],[Date]])</f>
        <v>17-2025</v>
      </c>
      <c r="D33" t="s">
        <v>24</v>
      </c>
      <c r="E33" s="21" cm="1">
        <f t="array" ref="E33">SUM((tbl_SEIN[[#This Row],[Subject]]=INDEX(tbl_SEIN[Subject],1):tbl_SEIN[[#This Row],[Subject]])*1)</f>
        <v>2</v>
      </c>
      <c r="F33" s="21" t="str">
        <f t="shared" si="1"/>
        <v>QMS-02</v>
      </c>
      <c r="G33" s="21">
        <v>1</v>
      </c>
      <c r="H33" s="21" t="str">
        <f>IF(tbl_SEIN[[#This Row],[Phase]]="", "", "Phase" &amp; tbl_SEIN[[#This Row],[Phase]])</f>
        <v>Phase1</v>
      </c>
      <c r="I33" s="21" t="str">
        <f>_xlfn.XLOOKUP(tbl_SEIN[[#This Row],[Topic]], tbl_TOPIC[Topic], tbl_TOPIC[TopicID], "")</f>
        <v>QMS-1-02</v>
      </c>
      <c r="J33" s="21" t="s">
        <v>399</v>
      </c>
      <c r="K33" t="s">
        <v>87</v>
      </c>
      <c r="L33" s="7">
        <v>0</v>
      </c>
      <c r="P33" t="str">
        <f>_xlfn.XLOOKUP(tbl_SEIN[[#This Row],[Topic]], tbl_TOPIC[Topic], tbl_TOPIC[TopicPath], "")</f>
        <v>Symmetrie in Quantenmechanik/Raum Translation</v>
      </c>
      <c r="Q33" t="str">
        <f>_xlfn.XLOOKUP(tbl_SEIN[[#This Row],[Topic]], tbl_TOPIC[Topic], tbl_TOPIC[ParentTopic], "")</f>
        <v>Symmetrie in Quantenmechanik</v>
      </c>
    </row>
    <row r="34" spans="2:17" x14ac:dyDescent="0.2">
      <c r="B34" s="4">
        <v>44309</v>
      </c>
      <c r="C34" s="4" t="str">
        <f>TEXT(WEEKNUM(tbl_SEIN[[#This Row],[Date]], 2), "00") &amp; "-" &amp; YEAR(tbl_SEIN[[#This Row],[Date]])</f>
        <v>17-2025</v>
      </c>
      <c r="D34" t="s">
        <v>361</v>
      </c>
      <c r="E34" s="21" cm="1">
        <f t="array" ref="E34">SUM((tbl_SEIN[[#This Row],[Subject]]=INDEX(tbl_SEIN[Subject],1):tbl_SEIN[[#This Row],[Subject]])*1)</f>
        <v>3</v>
      </c>
      <c r="F34" s="21" t="str">
        <f t="shared" si="1"/>
        <v>QM-03</v>
      </c>
      <c r="G34" s="21">
        <v>1</v>
      </c>
      <c r="H34" s="21" t="str">
        <f>IF(tbl_SEIN[[#This Row],[Phase]]="", "", "Phase" &amp; tbl_SEIN[[#This Row],[Phase]])</f>
        <v>Phase1</v>
      </c>
      <c r="I34" s="21" t="str">
        <f>_xlfn.XLOOKUP(tbl_SEIN[[#This Row],[Topic]], tbl_TOPIC[Topic], tbl_TOPIC[TopicID], "")</f>
        <v>QM-1-20</v>
      </c>
      <c r="J34" s="21" t="s">
        <v>454</v>
      </c>
      <c r="K34" t="s">
        <v>71</v>
      </c>
      <c r="L34" s="7">
        <v>8.6805555555555566E-2</v>
      </c>
      <c r="P34" t="str">
        <f>_xlfn.XLOOKUP(tbl_SEIN[[#This Row],[Topic]], tbl_TOPIC[Topic], tbl_TOPIC[TopicPath], "")</f>
        <v>QM-ÜB/QM-ÜB-00: Hermitische Unitäre Matrizen</v>
      </c>
      <c r="Q34" t="str">
        <f>_xlfn.XLOOKUP(tbl_SEIN[[#This Row],[Topic]], tbl_TOPIC[Topic], tbl_TOPIC[ParentTopic], "")</f>
        <v>QM-ÜB</v>
      </c>
    </row>
    <row r="35" spans="2:17" x14ac:dyDescent="0.2">
      <c r="B35" s="4">
        <v>44310</v>
      </c>
      <c r="C35" s="4" t="str">
        <f>TEXT(WEEKNUM(tbl_SEIN[[#This Row],[Date]], 2), "00") &amp; "-" &amp; YEAR(tbl_SEIN[[#This Row],[Date]])</f>
        <v>17-2025</v>
      </c>
      <c r="D35" t="s">
        <v>106</v>
      </c>
      <c r="E35" s="21" cm="1">
        <f t="array" ref="E35">SUM((tbl_SEIN[[#This Row],[Subject]]=INDEX(tbl_SEIN[Subject],1):tbl_SEIN[[#This Row],[Subject]])*1)</f>
        <v>4</v>
      </c>
      <c r="F35" s="21" t="str">
        <f t="shared" si="1"/>
        <v>GPDE-04</v>
      </c>
      <c r="G35" s="21">
        <v>1</v>
      </c>
      <c r="H35" s="21" t="str">
        <f>IF(tbl_SEIN[[#This Row],[Phase]]="", "", "Phase" &amp; tbl_SEIN[[#This Row],[Phase]])</f>
        <v>Phase1</v>
      </c>
      <c r="I35" s="21" t="str">
        <f>_xlfn.XLOOKUP(tbl_SEIN[[#This Row],[Topic]], tbl_TOPIC[Topic], tbl_TOPIC[TopicID], "")</f>
        <v>GPDE-1-07</v>
      </c>
      <c r="J35" s="21" t="s">
        <v>333</v>
      </c>
      <c r="K35" t="s">
        <v>87</v>
      </c>
      <c r="L35" s="7">
        <v>4.8611111111111112E-2</v>
      </c>
      <c r="P35" t="str">
        <f>_xlfn.XLOOKUP(tbl_SEIN[[#This Row],[Topic]], tbl_TOPIC[Topic], tbl_TOPIC[TopicPath], "")</f>
        <v>Maximum Prinzipien/Starke Maximum Prinzipien</v>
      </c>
      <c r="Q35" t="str">
        <f>_xlfn.XLOOKUP(tbl_SEIN[[#This Row],[Topic]], tbl_TOPIC[Topic], tbl_TOPIC[ParentTopic], "")</f>
        <v>Maximum Prinzipien</v>
      </c>
    </row>
    <row r="36" spans="2:17" x14ac:dyDescent="0.2">
      <c r="B36" s="4">
        <v>44310</v>
      </c>
      <c r="C36" s="4" t="str">
        <f>TEXT(WEEKNUM(tbl_SEIN[[#This Row],[Date]], 2), "00") &amp; "-" &amp; YEAR(tbl_SEIN[[#This Row],[Date]])</f>
        <v>17-2025</v>
      </c>
      <c r="D36" t="s">
        <v>106</v>
      </c>
      <c r="E36" s="21" cm="1">
        <f t="array" ref="E36">SUM((tbl_SEIN[[#This Row],[Subject]]=INDEX(tbl_SEIN[Subject],1):tbl_SEIN[[#This Row],[Subject]])*1)</f>
        <v>5</v>
      </c>
      <c r="F36" s="21" t="str">
        <f t="shared" si="1"/>
        <v>GPDE-05</v>
      </c>
      <c r="G36" s="21">
        <v>1</v>
      </c>
      <c r="H36" s="21" t="str">
        <f>IF(tbl_SEIN[[#This Row],[Phase]]="", "", "Phase" &amp; tbl_SEIN[[#This Row],[Phase]])</f>
        <v>Phase1</v>
      </c>
      <c r="I36" s="21" t="str">
        <f>_xlfn.XLOOKUP(tbl_SEIN[[#This Row],[Topic]], tbl_TOPIC[Topic], tbl_TOPIC[TopicID], "")</f>
        <v>GPDE-1-05</v>
      </c>
      <c r="J36" s="21" t="s">
        <v>330</v>
      </c>
      <c r="K36" t="s">
        <v>51</v>
      </c>
      <c r="L36" s="7">
        <v>1.7361111111111112E-2</v>
      </c>
      <c r="P36" t="str">
        <f>_xlfn.XLOOKUP(tbl_SEIN[[#This Row],[Topic]], tbl_TOPIC[Topic], tbl_TOPIC[TopicPath], "")</f>
        <v>Maximum Prinzipien</v>
      </c>
      <c r="Q36">
        <f>_xlfn.XLOOKUP(tbl_SEIN[[#This Row],[Topic]], tbl_TOPIC[Topic], tbl_TOPIC[ParentTopic], "")</f>
        <v>0</v>
      </c>
    </row>
    <row r="37" spans="2:17" x14ac:dyDescent="0.2">
      <c r="B37" s="4">
        <v>44310</v>
      </c>
      <c r="C37" s="4" t="str">
        <f>TEXT(WEEKNUM(tbl_SEIN[[#This Row],[Date]], 2), "00") &amp; "-" &amp; YEAR(tbl_SEIN[[#This Row],[Date]])</f>
        <v>17-2025</v>
      </c>
      <c r="D37" t="s">
        <v>106</v>
      </c>
      <c r="E37" s="21" cm="1">
        <f t="array" ref="E37">SUM((tbl_SEIN[[#This Row],[Subject]]=INDEX(tbl_SEIN[Subject],1):tbl_SEIN[[#This Row],[Subject]])*1)</f>
        <v>6</v>
      </c>
      <c r="F37" s="21" t="str">
        <f t="shared" si="1"/>
        <v>GPDE-06</v>
      </c>
      <c r="G37" s="21">
        <v>1</v>
      </c>
      <c r="H37" s="21" t="str">
        <f>IF(tbl_SEIN[[#This Row],[Phase]]="", "", "Phase" &amp; tbl_SEIN[[#This Row],[Phase]])</f>
        <v>Phase1</v>
      </c>
      <c r="I37" s="21" t="str">
        <f>_xlfn.XLOOKUP(tbl_SEIN[[#This Row],[Topic]], tbl_TOPIC[Topic], tbl_TOPIC[TopicID], "")</f>
        <v>GPDE-1-05</v>
      </c>
      <c r="J37" s="21" t="s">
        <v>330</v>
      </c>
      <c r="K37" t="s">
        <v>58</v>
      </c>
      <c r="L37" s="7">
        <v>7.2916666666666671E-2</v>
      </c>
      <c r="P37" t="str">
        <f>_xlfn.XLOOKUP(tbl_SEIN[[#This Row],[Topic]], tbl_TOPIC[Topic], tbl_TOPIC[TopicPath], "")</f>
        <v>Maximum Prinzipien</v>
      </c>
      <c r="Q37">
        <f>_xlfn.XLOOKUP(tbl_SEIN[[#This Row],[Topic]], tbl_TOPIC[Topic], tbl_TOPIC[ParentTopic], "")</f>
        <v>0</v>
      </c>
    </row>
    <row r="38" spans="2:17" x14ac:dyDescent="0.2">
      <c r="B38" s="4">
        <v>44312</v>
      </c>
      <c r="C38" s="4" t="str">
        <f>TEXT(WEEKNUM(tbl_SEIN[[#This Row],[Date]], 2), "00") &amp; "-" &amp; YEAR(tbl_SEIN[[#This Row],[Date]])</f>
        <v>17-2025</v>
      </c>
      <c r="D38" t="s">
        <v>453</v>
      </c>
      <c r="E38" s="21" cm="1">
        <f t="array" ref="E38">SUM((tbl_SEIN[[#This Row],[Subject]]=INDEX(tbl_SEIN[Subject],1):tbl_SEIN[[#This Row],[Subject]])*1)</f>
        <v>1</v>
      </c>
      <c r="F38" s="21" t="str">
        <f t="shared" si="1"/>
        <v>CM-01</v>
      </c>
      <c r="G38" s="21">
        <v>1</v>
      </c>
      <c r="H38" s="21" t="str">
        <f>IF(tbl_SEIN[[#This Row],[Phase]]="", "", "Phase" &amp; tbl_SEIN[[#This Row],[Phase]])</f>
        <v>Phase1</v>
      </c>
      <c r="I38" s="21" t="str">
        <f>_xlfn.XLOOKUP(tbl_SEIN[[#This Row],[Topic]], tbl_TOPIC[Topic], tbl_TOPIC[TopicID], "")</f>
        <v>CM-1-01</v>
      </c>
      <c r="J38" s="21" t="s">
        <v>460</v>
      </c>
      <c r="K38" t="s">
        <v>87</v>
      </c>
      <c r="L38" s="7">
        <v>7.6388888888888895E-2</v>
      </c>
      <c r="P38" t="str">
        <f>_xlfn.XLOOKUP(tbl_SEIN[[#This Row],[Topic]], tbl_TOPIC[Topic], tbl_TOPIC[TopicPath], "")</f>
        <v>Klassische Streutheorie</v>
      </c>
      <c r="Q38">
        <f>_xlfn.XLOOKUP(tbl_SEIN[[#This Row],[Topic]], tbl_TOPIC[Topic], tbl_TOPIC[ParentTopic], "")</f>
        <v>0</v>
      </c>
    </row>
    <row r="39" spans="2:17" x14ac:dyDescent="0.2">
      <c r="B39" s="4">
        <v>44312</v>
      </c>
      <c r="C39" s="4" t="str">
        <f>TEXT(WEEKNUM(tbl_SEIN[[#This Row],[Date]], 2), "00") &amp; "-" &amp; YEAR(tbl_SEIN[[#This Row],[Date]])</f>
        <v>17-2025</v>
      </c>
      <c r="D39" t="s">
        <v>453</v>
      </c>
      <c r="E39" s="21" cm="1">
        <f t="array" ref="E39">SUM((tbl_SEIN[[#This Row],[Subject]]=INDEX(tbl_SEIN[Subject],1):tbl_SEIN[[#This Row],[Subject]])*1)</f>
        <v>2</v>
      </c>
      <c r="F39" s="21" t="str">
        <f t="shared" si="1"/>
        <v>CM-02</v>
      </c>
      <c r="G39" s="21">
        <v>1</v>
      </c>
      <c r="H39" s="21" t="str">
        <f>IF(tbl_SEIN[[#This Row],[Phase]]="", "", "Phase" &amp; tbl_SEIN[[#This Row],[Phase]])</f>
        <v>Phase1</v>
      </c>
      <c r="I39" s="21" t="str">
        <f>_xlfn.XLOOKUP(tbl_SEIN[[#This Row],[Topic]], tbl_TOPIC[Topic], tbl_TOPIC[TopicID], "")</f>
        <v>CM-1-01</v>
      </c>
      <c r="J39" s="21" t="s">
        <v>460</v>
      </c>
      <c r="K39" t="s">
        <v>71</v>
      </c>
      <c r="L39" s="7">
        <v>7.9861111111111105E-2</v>
      </c>
      <c r="P39" t="str">
        <f>_xlfn.XLOOKUP(tbl_SEIN[[#This Row],[Topic]], tbl_TOPIC[Topic], tbl_TOPIC[TopicPath], "")</f>
        <v>Klassische Streutheorie</v>
      </c>
      <c r="Q39">
        <f>_xlfn.XLOOKUP(tbl_SEIN[[#This Row],[Topic]], tbl_TOPIC[Topic], tbl_TOPIC[ParentTopic], "")</f>
        <v>0</v>
      </c>
    </row>
    <row r="40" spans="2:17" x14ac:dyDescent="0.2">
      <c r="B40" s="4">
        <v>44312</v>
      </c>
      <c r="C40" s="4" t="str">
        <f>TEXT(WEEKNUM(tbl_SEIN[[#This Row],[Date]], 2), "00") &amp; "-" &amp; YEAR(tbl_SEIN[[#This Row],[Date]])</f>
        <v>17-2025</v>
      </c>
      <c r="D40" t="s">
        <v>107</v>
      </c>
      <c r="E40" s="21" cm="1">
        <f t="array" ref="E40">SUM((tbl_SEIN[[#This Row],[Subject]]=INDEX(tbl_SEIN[Subject],1):tbl_SEIN[[#This Row],[Subject]])*1)</f>
        <v>1</v>
      </c>
      <c r="F40" s="21" t="str">
        <f t="shared" si="1"/>
        <v>RG-01</v>
      </c>
      <c r="G40" s="21">
        <v>1</v>
      </c>
      <c r="H40" s="21" t="str">
        <f>IF(tbl_SEIN[[#This Row],[Phase]]="", "", "Phase" &amp; tbl_SEIN[[#This Row],[Phase]])</f>
        <v>Phase1</v>
      </c>
      <c r="I40" s="21" t="str">
        <f>_xlfn.XLOOKUP(tbl_SEIN[[#This Row],[Topic]], tbl_TOPIC[Topic], tbl_TOPIC[TopicID], "")</f>
        <v>RG-1-14</v>
      </c>
      <c r="J40" s="21" t="s">
        <v>583</v>
      </c>
      <c r="K40" t="s">
        <v>207</v>
      </c>
      <c r="L40" s="7">
        <v>3.4722222222222224E-2</v>
      </c>
      <c r="P40" t="str">
        <f>_xlfn.XLOOKUP(tbl_SEIN[[#This Row],[Topic]], tbl_TOPIC[Topic], tbl_TOPIC[TopicPath], "")</f>
        <v>Riemannische Geometrie</v>
      </c>
      <c r="Q40">
        <f>_xlfn.XLOOKUP(tbl_SEIN[[#This Row],[Topic]], tbl_TOPIC[Topic], tbl_TOPIC[ParentTopic], "")</f>
        <v>0</v>
      </c>
    </row>
    <row r="41" spans="2:17" x14ac:dyDescent="0.2">
      <c r="B41" s="4">
        <v>44313</v>
      </c>
      <c r="C41" s="4" t="str">
        <f>TEXT(WEEKNUM(tbl_SEIN[[#This Row],[Date]], 2), "00") &amp; "-" &amp; YEAR(tbl_SEIN[[#This Row],[Date]])</f>
        <v>18-2025</v>
      </c>
      <c r="D41" t="s">
        <v>108</v>
      </c>
      <c r="E41" s="21" cm="1">
        <f t="array" ref="E41">SUM((tbl_SEIN[[#This Row],[Subject]]=INDEX(tbl_SEIN[Subject],1):tbl_SEIN[[#This Row],[Subject]])*1)</f>
        <v>1</v>
      </c>
      <c r="F41" s="21" t="str">
        <f t="shared" si="1"/>
        <v>TOP2-01</v>
      </c>
      <c r="G41" s="21">
        <v>1</v>
      </c>
      <c r="H41" s="21" t="str">
        <f>IF(tbl_SEIN[[#This Row],[Phase]]="", "", "Phase" &amp; tbl_SEIN[[#This Row],[Phase]])</f>
        <v>Phase1</v>
      </c>
      <c r="I41" s="21" t="str">
        <f>_xlfn.XLOOKUP(tbl_SEIN[[#This Row],[Topic]], tbl_TOPIC[Topic], tbl_TOPIC[TopicID], "")</f>
        <v>TOP2-1-01</v>
      </c>
      <c r="J41" s="21" t="s">
        <v>585</v>
      </c>
      <c r="K41" t="s">
        <v>207</v>
      </c>
      <c r="L41" s="7">
        <v>4.1666666666666664E-2</v>
      </c>
      <c r="P41" t="str">
        <f>_xlfn.XLOOKUP(tbl_SEIN[[#This Row],[Topic]], tbl_TOPIC[Topic], tbl_TOPIC[TopicPath], "")</f>
        <v>Topologie 2</v>
      </c>
      <c r="Q41">
        <f>_xlfn.XLOOKUP(tbl_SEIN[[#This Row],[Topic]], tbl_TOPIC[Topic], tbl_TOPIC[ParentTopic], "")</f>
        <v>0</v>
      </c>
    </row>
    <row r="42" spans="2:17" x14ac:dyDescent="0.2">
      <c r="B42" s="4">
        <v>44313</v>
      </c>
      <c r="C42" s="4" t="str">
        <f>TEXT(WEEKNUM(tbl_SEIN[[#This Row],[Date]], 2), "00") &amp; "-" &amp; YEAR(tbl_SEIN[[#This Row],[Date]])</f>
        <v>18-2025</v>
      </c>
      <c r="D42" t="s">
        <v>106</v>
      </c>
      <c r="E42" s="21" cm="1">
        <f t="array" ref="E42">SUM((tbl_SEIN[[#This Row],[Subject]]=INDEX(tbl_SEIN[Subject],1):tbl_SEIN[[#This Row],[Subject]])*1)</f>
        <v>7</v>
      </c>
      <c r="F42" s="21" t="str">
        <f t="shared" si="1"/>
        <v>GPDE-07</v>
      </c>
      <c r="G42" s="21">
        <v>1</v>
      </c>
      <c r="H42" s="21" t="str">
        <f>IF(tbl_SEIN[[#This Row],[Phase]]="", "", "Phase" &amp; tbl_SEIN[[#This Row],[Phase]])</f>
        <v>Phase1</v>
      </c>
      <c r="I42" s="21" t="str">
        <f>_xlfn.XLOOKUP(tbl_SEIN[[#This Row],[Topic]], tbl_TOPIC[Topic], tbl_TOPIC[TopicID], "")</f>
        <v>GPDE-1-07</v>
      </c>
      <c r="J42" s="21" t="s">
        <v>333</v>
      </c>
      <c r="K42" t="s">
        <v>87</v>
      </c>
      <c r="L42" s="7">
        <v>1.3888888888888888E-2</v>
      </c>
      <c r="P42" t="str">
        <f>_xlfn.XLOOKUP(tbl_SEIN[[#This Row],[Topic]], tbl_TOPIC[Topic], tbl_TOPIC[TopicPath], "")</f>
        <v>Maximum Prinzipien/Starke Maximum Prinzipien</v>
      </c>
      <c r="Q42" t="str">
        <f>_xlfn.XLOOKUP(tbl_SEIN[[#This Row],[Topic]], tbl_TOPIC[Topic], tbl_TOPIC[ParentTopic], "")</f>
        <v>Maximum Prinzipien</v>
      </c>
    </row>
    <row r="43" spans="2:17" x14ac:dyDescent="0.2">
      <c r="B43" s="4">
        <v>44313</v>
      </c>
      <c r="C43" s="4" t="str">
        <f>TEXT(WEEKNUM(tbl_SEIN[[#This Row],[Date]], 2), "00") &amp; "-" &amp; YEAR(tbl_SEIN[[#This Row],[Date]])</f>
        <v>18-2025</v>
      </c>
      <c r="D43" t="s">
        <v>106</v>
      </c>
      <c r="E43" s="21" cm="1">
        <f t="array" ref="E43">SUM((tbl_SEIN[[#This Row],[Subject]]=INDEX(tbl_SEIN[Subject],1):tbl_SEIN[[#This Row],[Subject]])*1)</f>
        <v>8</v>
      </c>
      <c r="F43" s="21" t="str">
        <f t="shared" si="1"/>
        <v>GPDE-08</v>
      </c>
      <c r="G43" s="21">
        <v>1</v>
      </c>
      <c r="H43" s="21" t="str">
        <f>IF(tbl_SEIN[[#This Row],[Phase]]="", "", "Phase" &amp; tbl_SEIN[[#This Row],[Phase]])</f>
        <v>Phase1</v>
      </c>
      <c r="I43" s="21" t="str">
        <f>_xlfn.XLOOKUP(tbl_SEIN[[#This Row],[Topic]], tbl_TOPIC[Topic], tbl_TOPIC[TopicID], "")</f>
        <v>GPDE-1-08</v>
      </c>
      <c r="J43" s="21" t="s">
        <v>456</v>
      </c>
      <c r="K43" t="s">
        <v>87</v>
      </c>
      <c r="L43" s="7">
        <v>0.11805555555555557</v>
      </c>
      <c r="P43" t="str">
        <f>_xlfn.XLOOKUP(tbl_SEIN[[#This Row],[Topic]], tbl_TOPIC[Topic], tbl_TOPIC[TopicPath], "")</f>
        <v>Maximum Prinzipien/Hopf Lemma</v>
      </c>
      <c r="Q43" t="str">
        <f>_xlfn.XLOOKUP(tbl_SEIN[[#This Row],[Topic]], tbl_TOPIC[Topic], tbl_TOPIC[ParentTopic], "")</f>
        <v>Maximum Prinzipien</v>
      </c>
    </row>
    <row r="44" spans="2:17" x14ac:dyDescent="0.2">
      <c r="B44" s="4">
        <v>44314</v>
      </c>
      <c r="C44" s="4" t="str">
        <f>TEXT(WEEKNUM(tbl_SEIN[[#This Row],[Date]], 2), "00") &amp; "-" &amp; YEAR(tbl_SEIN[[#This Row],[Date]])</f>
        <v>18-2025</v>
      </c>
      <c r="D44" t="s">
        <v>107</v>
      </c>
      <c r="E44" s="21" cm="1">
        <f t="array" ref="E44">SUM((tbl_SEIN[[#This Row],[Subject]]=INDEX(tbl_SEIN[Subject],1):tbl_SEIN[[#This Row],[Subject]])*1)</f>
        <v>2</v>
      </c>
      <c r="F44" s="21" t="str">
        <f t="shared" si="1"/>
        <v>RG-02</v>
      </c>
      <c r="G44" s="21">
        <v>1</v>
      </c>
      <c r="H44" s="21" t="str">
        <f>IF(tbl_SEIN[[#This Row],[Phase]]="", "", "Phase" &amp; tbl_SEIN[[#This Row],[Phase]])</f>
        <v>Phase1</v>
      </c>
      <c r="I44" s="21" t="str">
        <f>_xlfn.XLOOKUP(tbl_SEIN[[#This Row],[Topic]], tbl_TOPIC[Topic], tbl_TOPIC[TopicID], "")</f>
        <v>RG-1-16</v>
      </c>
      <c r="J44" s="21" t="s">
        <v>591</v>
      </c>
      <c r="K44" t="s">
        <v>71</v>
      </c>
      <c r="L44" s="7">
        <v>6.9444444444444434E-2</v>
      </c>
      <c r="P44" t="str">
        <f>_xlfn.XLOOKUP(tbl_SEIN[[#This Row],[Topic]], tbl_TOPIC[Topic], tbl_TOPIC[TopicPath], "")</f>
        <v>RG-ÜB/RG-ÜB-01: Glatte Mannigfaltigkeiten</v>
      </c>
      <c r="Q44" t="str">
        <f>_xlfn.XLOOKUP(tbl_SEIN[[#This Row],[Topic]], tbl_TOPIC[Topic], tbl_TOPIC[ParentTopic], "")</f>
        <v>RG-ÜB</v>
      </c>
    </row>
    <row r="45" spans="2:17" x14ac:dyDescent="0.2">
      <c r="B45" s="4">
        <v>44314</v>
      </c>
      <c r="C45" s="4" t="str">
        <f>TEXT(WEEKNUM(tbl_SEIN[[#This Row],[Date]], 2), "00") &amp; "-" &amp; YEAR(tbl_SEIN[[#This Row],[Date]])</f>
        <v>18-2025</v>
      </c>
      <c r="D45" t="s">
        <v>20</v>
      </c>
      <c r="E45" s="21" cm="1">
        <f t="array" ref="E45">SUM((tbl_SEIN[[#This Row],[Subject]]=INDEX(tbl_SEIN[Subject],1):tbl_SEIN[[#This Row],[Subject]])*1)</f>
        <v>1</v>
      </c>
      <c r="F45" s="21" t="str">
        <f t="shared" si="1"/>
        <v>EFT1-01</v>
      </c>
      <c r="G45" s="21">
        <v>1</v>
      </c>
      <c r="H45" s="21" t="str">
        <f>IF(tbl_SEIN[[#This Row],[Phase]]="", "", "Phase" &amp; tbl_SEIN[[#This Row],[Phase]])</f>
        <v>Phase1</v>
      </c>
      <c r="I45" s="21" t="str">
        <f>_xlfn.XLOOKUP(tbl_SEIN[[#This Row],[Topic]], tbl_TOPIC[Topic], tbl_TOPIC[TopicID], "")</f>
        <v>EFT1-1-01</v>
      </c>
      <c r="J45" s="21" t="s">
        <v>595</v>
      </c>
      <c r="K45" t="s">
        <v>207</v>
      </c>
      <c r="L45" s="7">
        <v>4.8611111111111112E-2</v>
      </c>
      <c r="P45" t="str">
        <f>_xlfn.XLOOKUP(tbl_SEIN[[#This Row],[Topic]], tbl_TOPIC[Topic], tbl_TOPIC[TopicPath], "")</f>
        <v>Eichfeldtheorie</v>
      </c>
      <c r="Q45">
        <f>_xlfn.XLOOKUP(tbl_SEIN[[#This Row],[Topic]], tbl_TOPIC[Topic], tbl_TOPIC[ParentTopic], "")</f>
        <v>0</v>
      </c>
    </row>
    <row r="46" spans="2:17" x14ac:dyDescent="0.2">
      <c r="B46" s="4">
        <v>44315</v>
      </c>
      <c r="C46" s="4" t="str">
        <f>TEXT(WEEKNUM(tbl_SEIN[[#This Row],[Date]], 2), "00") &amp; "-" &amp; YEAR(tbl_SEIN[[#This Row],[Date]])</f>
        <v>18-2025</v>
      </c>
      <c r="D46" t="s">
        <v>361</v>
      </c>
      <c r="E46" s="21" cm="1">
        <f t="array" ref="E46">SUM((tbl_SEIN[[#This Row],[Subject]]=INDEX(tbl_SEIN[Subject],1):tbl_SEIN[[#This Row],[Subject]])*1)</f>
        <v>4</v>
      </c>
      <c r="F46" s="21" t="str">
        <f t="shared" si="1"/>
        <v>QM-04</v>
      </c>
      <c r="G46" s="21">
        <v>1</v>
      </c>
      <c r="H46" s="21" t="str">
        <f>IF(tbl_SEIN[[#This Row],[Phase]]="", "", "Phase" &amp; tbl_SEIN[[#This Row],[Phase]])</f>
        <v>Phase1</v>
      </c>
      <c r="I46" s="21" t="str">
        <f>_xlfn.XLOOKUP(tbl_SEIN[[#This Row],[Topic]], tbl_TOPIC[Topic], tbl_TOPIC[TopicID], "")</f>
        <v>QM-1-21</v>
      </c>
      <c r="J46" s="21" t="s">
        <v>676</v>
      </c>
      <c r="K46" t="s">
        <v>207</v>
      </c>
      <c r="L46" s="7">
        <v>4.1666666666666664E-2</v>
      </c>
      <c r="P46" t="str">
        <f>_xlfn.XLOOKUP(tbl_SEIN[[#This Row],[Topic]], tbl_TOPIC[Topic], tbl_TOPIC[TopicPath], "")</f>
        <v>Eindimensionale Systeme</v>
      </c>
      <c r="Q46">
        <f>_xlfn.XLOOKUP(tbl_SEIN[[#This Row],[Topic]], tbl_TOPIC[Topic], tbl_TOPIC[ParentTopic], "")</f>
        <v>0</v>
      </c>
    </row>
    <row r="47" spans="2:17" x14ac:dyDescent="0.2">
      <c r="B47" s="4">
        <v>44315</v>
      </c>
      <c r="C47" s="4" t="str">
        <f>TEXT(WEEKNUM(tbl_SEIN[[#This Row],[Date]], 2), "00") &amp; "-" &amp; YEAR(tbl_SEIN[[#This Row],[Date]])</f>
        <v>18-2025</v>
      </c>
      <c r="D47" t="s">
        <v>361</v>
      </c>
      <c r="E47" s="21" cm="1">
        <f t="array" ref="E47">SUM((tbl_SEIN[[#This Row],[Subject]]=INDEX(tbl_SEIN[Subject],1):tbl_SEIN[[#This Row],[Subject]])*1)</f>
        <v>5</v>
      </c>
      <c r="F47" s="21" t="str">
        <f t="shared" si="1"/>
        <v>QM-05</v>
      </c>
      <c r="G47" s="21">
        <v>1</v>
      </c>
      <c r="H47" s="21" t="str">
        <f>IF(tbl_SEIN[[#This Row],[Phase]]="", "", "Phase" &amp; tbl_SEIN[[#This Row],[Phase]])</f>
        <v>Phase1</v>
      </c>
      <c r="I47" s="21" t="str">
        <f>_xlfn.XLOOKUP(tbl_SEIN[[#This Row],[Topic]], tbl_TOPIC[Topic], tbl_TOPIC[TopicID], "")</f>
        <v>QM-1-03</v>
      </c>
      <c r="J47" s="21" t="s">
        <v>364</v>
      </c>
      <c r="K47" t="s">
        <v>87</v>
      </c>
      <c r="L47" s="7">
        <v>3.8194444444444441E-2</v>
      </c>
      <c r="P47" t="str">
        <f>_xlfn.XLOOKUP(tbl_SEIN[[#This Row],[Topic]], tbl_TOPIC[Topic], tbl_TOPIC[TopicPath], "")</f>
        <v>Schrödinger Gleichung/Wellenpakete in QM</v>
      </c>
      <c r="Q47" t="str">
        <f>_xlfn.XLOOKUP(tbl_SEIN[[#This Row],[Topic]], tbl_TOPIC[Topic], tbl_TOPIC[ParentTopic], "")</f>
        <v>Schrödinger Gleichung</v>
      </c>
    </row>
    <row r="48" spans="2:17" x14ac:dyDescent="0.2">
      <c r="B48" s="4">
        <v>44315</v>
      </c>
      <c r="C48" s="4" t="str">
        <f>TEXT(WEEKNUM(tbl_SEIN[[#This Row],[Date]], 2), "00") &amp; "-" &amp; YEAR(tbl_SEIN[[#This Row],[Date]])</f>
        <v>18-2025</v>
      </c>
      <c r="D48" t="s">
        <v>361</v>
      </c>
      <c r="E48" s="21" cm="1">
        <f t="array" ref="E48">SUM((tbl_SEIN[[#This Row],[Subject]]=INDEX(tbl_SEIN[Subject],1):tbl_SEIN[[#This Row],[Subject]])*1)</f>
        <v>6</v>
      </c>
      <c r="F48" s="21" t="str">
        <f t="shared" si="1"/>
        <v>QM-06</v>
      </c>
      <c r="G48" s="21">
        <v>1</v>
      </c>
      <c r="H48" s="21" t="str">
        <f>IF(tbl_SEIN[[#This Row],[Phase]]="", "", "Phase" &amp; tbl_SEIN[[#This Row],[Phase]])</f>
        <v>Phase1</v>
      </c>
      <c r="I48" s="21" t="str">
        <f>_xlfn.XLOOKUP(tbl_SEIN[[#This Row],[Topic]], tbl_TOPIC[Topic], tbl_TOPIC[TopicID], "")</f>
        <v>QM-1-04</v>
      </c>
      <c r="J48" s="21" t="s">
        <v>365</v>
      </c>
      <c r="K48" t="s">
        <v>87</v>
      </c>
      <c r="L48" s="7">
        <v>3.8194444444444441E-2</v>
      </c>
      <c r="P48" t="str">
        <f>_xlfn.XLOOKUP(tbl_SEIN[[#This Row],[Topic]], tbl_TOPIC[Topic], tbl_TOPIC[TopicPath], "")</f>
        <v>Schrödinger Gleichung/Einführung der Schrödinger Gleichung</v>
      </c>
      <c r="Q48" t="str">
        <f>_xlfn.XLOOKUP(tbl_SEIN[[#This Row],[Topic]], tbl_TOPIC[Topic], tbl_TOPIC[ParentTopic], "")</f>
        <v>Schrödinger Gleichung</v>
      </c>
    </row>
    <row r="49" spans="2:17" x14ac:dyDescent="0.2">
      <c r="B49" s="4">
        <v>44315</v>
      </c>
      <c r="C49" s="4" t="str">
        <f>TEXT(WEEKNUM(tbl_SEIN[[#This Row],[Date]], 2), "00") &amp; "-" &amp; YEAR(tbl_SEIN[[#This Row],[Date]])</f>
        <v>18-2025</v>
      </c>
      <c r="D49" t="s">
        <v>361</v>
      </c>
      <c r="E49" s="21" cm="1">
        <f t="array" ref="E49">SUM((tbl_SEIN[[#This Row],[Subject]]=INDEX(tbl_SEIN[Subject],1):tbl_SEIN[[#This Row],[Subject]])*1)</f>
        <v>7</v>
      </c>
      <c r="F49" s="21" t="str">
        <f t="shared" si="1"/>
        <v>QM-07</v>
      </c>
      <c r="G49" s="21">
        <v>1</v>
      </c>
      <c r="H49" s="21" t="str">
        <f>IF(tbl_SEIN[[#This Row],[Phase]]="", "", "Phase" &amp; tbl_SEIN[[#This Row],[Phase]])</f>
        <v>Phase1</v>
      </c>
      <c r="I49" s="21" t="str">
        <f>_xlfn.XLOOKUP(tbl_SEIN[[#This Row],[Topic]], tbl_TOPIC[Topic], tbl_TOPIC[TopicID], "")</f>
        <v>QM-1-09</v>
      </c>
      <c r="J49" s="21" t="s">
        <v>370</v>
      </c>
      <c r="K49" t="s">
        <v>87</v>
      </c>
      <c r="L49" s="7">
        <v>3.125E-2</v>
      </c>
      <c r="P49" t="str">
        <f>_xlfn.XLOOKUP(tbl_SEIN[[#This Row],[Topic]], tbl_TOPIC[Topic], tbl_TOPIC[TopicPath], "")</f>
        <v>Schrödinger Gleichung/Interpretation der Wellenfunktion</v>
      </c>
      <c r="Q49" t="str">
        <f>_xlfn.XLOOKUP(tbl_SEIN[[#This Row],[Topic]], tbl_TOPIC[Topic], tbl_TOPIC[ParentTopic], "")</f>
        <v>Schrödinger Gleichung</v>
      </c>
    </row>
    <row r="50" spans="2:17" x14ac:dyDescent="0.2">
      <c r="B50" s="4">
        <v>44315</v>
      </c>
      <c r="C50" s="4" t="str">
        <f>TEXT(WEEKNUM(tbl_SEIN[[#This Row],[Date]], 2), "00") &amp; "-" &amp; YEAR(tbl_SEIN[[#This Row],[Date]])</f>
        <v>18-2025</v>
      </c>
      <c r="D50" t="s">
        <v>361</v>
      </c>
      <c r="E50" s="21" cm="1">
        <f t="array" ref="E50">SUM((tbl_SEIN[[#This Row],[Subject]]=INDEX(tbl_SEIN[Subject],1):tbl_SEIN[[#This Row],[Subject]])*1)</f>
        <v>8</v>
      </c>
      <c r="F50" s="21" t="str">
        <f t="shared" si="1"/>
        <v>QM-08</v>
      </c>
      <c r="G50" s="21">
        <v>1</v>
      </c>
      <c r="H50" s="21" t="str">
        <f>IF(tbl_SEIN[[#This Row],[Phase]]="", "", "Phase" &amp; tbl_SEIN[[#This Row],[Phase]])</f>
        <v>Phase1</v>
      </c>
      <c r="I50" s="21" t="str">
        <f>_xlfn.XLOOKUP(tbl_SEIN[[#This Row],[Topic]], tbl_TOPIC[Topic], tbl_TOPIC[TopicID], "")</f>
        <v>QM-1-31</v>
      </c>
      <c r="J50" s="21" t="s">
        <v>691</v>
      </c>
      <c r="K50" t="s">
        <v>71</v>
      </c>
      <c r="L50" s="7">
        <v>0.1111111111111111</v>
      </c>
      <c r="P50" t="str">
        <f>_xlfn.XLOOKUP(tbl_SEIN[[#This Row],[Topic]], tbl_TOPIC[Topic], tbl_TOPIC[TopicPath], "")</f>
        <v>QM-ÜB/QM-ÜB-01: Delta-Distribution, Kommutator und W-keit</v>
      </c>
      <c r="Q50" t="str">
        <f>_xlfn.XLOOKUP(tbl_SEIN[[#This Row],[Topic]], tbl_TOPIC[Topic], tbl_TOPIC[ParentTopic], "")</f>
        <v>QM-ÜB</v>
      </c>
    </row>
    <row r="51" spans="2:17" x14ac:dyDescent="0.2">
      <c r="B51" s="4">
        <v>44317</v>
      </c>
      <c r="C51" s="4" t="str">
        <f>TEXT(WEEKNUM(tbl_SEIN[[#This Row],[Date]], 2), "00") &amp; "-" &amp; YEAR(tbl_SEIN[[#This Row],[Date]])</f>
        <v>18-2025</v>
      </c>
      <c r="D51" t="s">
        <v>106</v>
      </c>
      <c r="E51" s="60" cm="1">
        <f t="array" ref="E51">SUM((tbl_SEIN[[#This Row],[Subject]]=INDEX(tbl_SEIN[Subject],1):tbl_SEIN[[#This Row],[Subject]])*1)</f>
        <v>9</v>
      </c>
      <c r="F51" s="60" t="str">
        <f>D51 &amp; "-" &amp; TEXT(E51, "00")</f>
        <v>GPDE-09</v>
      </c>
      <c r="G51" s="21">
        <v>1</v>
      </c>
      <c r="H51" s="60" t="str">
        <f>IF(tbl_SEIN[[#This Row],[Phase]]="", "", "Phase" &amp; tbl_SEIN[[#This Row],[Phase]])</f>
        <v>Phase1</v>
      </c>
      <c r="I51" s="60" t="str">
        <f>_xlfn.XLOOKUP(tbl_SEIN[[#This Row],[Topic]], tbl_TOPIC[Topic], tbl_TOPIC[TopicID], "")</f>
        <v>GPDE-1-07</v>
      </c>
      <c r="J51" s="21" t="s">
        <v>333</v>
      </c>
      <c r="K51" t="s">
        <v>68</v>
      </c>
      <c r="L51" s="7">
        <v>6.9444444444444434E-2</v>
      </c>
      <c r="M51" s="61"/>
      <c r="N51" s="61"/>
      <c r="O51" s="61"/>
      <c r="P51" s="61" t="str">
        <f>_xlfn.XLOOKUP(tbl_SEIN[[#This Row],[Topic]], tbl_TOPIC[Topic], tbl_TOPIC[TopicPath], "")</f>
        <v>Maximum Prinzipien/Starke Maximum Prinzipien</v>
      </c>
      <c r="Q51" s="61" t="str">
        <f>_xlfn.XLOOKUP(tbl_SEIN[[#This Row],[Topic]], tbl_TOPIC[Topic], tbl_TOPIC[ParentTopic], "")</f>
        <v>Maximum Prinzipien</v>
      </c>
    </row>
    <row r="52" spans="2:17" x14ac:dyDescent="0.2">
      <c r="B52" s="4">
        <v>44317</v>
      </c>
      <c r="C52" s="4" t="str">
        <f>TEXT(WEEKNUM(tbl_SEIN[[#This Row],[Date]], 2), "00") &amp; "-" &amp; YEAR(tbl_SEIN[[#This Row],[Date]])</f>
        <v>18-2025</v>
      </c>
      <c r="D52" t="s">
        <v>361</v>
      </c>
      <c r="E52" s="60" cm="1">
        <f t="array" ref="E52">SUM((tbl_SEIN[[#This Row],[Subject]]=INDEX(tbl_SEIN[Subject],1):tbl_SEIN[[#This Row],[Subject]])*1)</f>
        <v>9</v>
      </c>
      <c r="F52" s="60" t="str">
        <f>D52 &amp; "-" &amp; TEXT(E52, "00")</f>
        <v>QM-09</v>
      </c>
      <c r="G52" s="21">
        <v>1</v>
      </c>
      <c r="H52" s="60" t="str">
        <f>IF(tbl_SEIN[[#This Row],[Phase]]="", "", "Phase" &amp; tbl_SEIN[[#This Row],[Phase]])</f>
        <v>Phase1</v>
      </c>
      <c r="I52" s="60" t="str">
        <f>_xlfn.XLOOKUP(tbl_SEIN[[#This Row],[Topic]], tbl_TOPIC[Topic], tbl_TOPIC[TopicID], "")</f>
        <v>QM-1-33</v>
      </c>
      <c r="J52" s="21" t="s">
        <v>693</v>
      </c>
      <c r="K52" t="s">
        <v>63</v>
      </c>
      <c r="L52" s="7">
        <v>6.25E-2</v>
      </c>
      <c r="M52" s="61"/>
      <c r="N52" s="61"/>
      <c r="O52" s="61"/>
      <c r="P52" s="61" t="str">
        <f>_xlfn.XLOOKUP(tbl_SEIN[[#This Row],[Topic]], tbl_TOPIC[Topic], tbl_TOPIC[TopicPath], "")</f>
        <v>QM-Ex-ÜB 00</v>
      </c>
      <c r="Q52" s="61">
        <f>_xlfn.XLOOKUP(tbl_SEIN[[#This Row],[Topic]], tbl_TOPIC[Topic], tbl_TOPIC[ParentTopic], "")</f>
        <v>0</v>
      </c>
    </row>
    <row r="53" spans="2:17" x14ac:dyDescent="0.2">
      <c r="B53" s="4">
        <v>44317</v>
      </c>
      <c r="C53" s="4" t="str">
        <f>TEXT(WEEKNUM(tbl_SEIN[[#This Row],[Date]], 2), "00") &amp; "-" &amp; YEAR(tbl_SEIN[[#This Row],[Date]])</f>
        <v>18-2025</v>
      </c>
      <c r="D53" t="s">
        <v>106</v>
      </c>
      <c r="E53" s="60" cm="1">
        <f t="array" ref="E53">SUM((tbl_SEIN[[#This Row],[Subject]]=INDEX(tbl_SEIN[Subject],1):tbl_SEIN[[#This Row],[Subject]])*1)</f>
        <v>10</v>
      </c>
      <c r="F53" s="60" t="str">
        <f>D53 &amp; "-" &amp; TEXT(E53, "00")</f>
        <v>GPDE-10</v>
      </c>
      <c r="G53" s="21">
        <v>1</v>
      </c>
      <c r="H53" s="60" t="str">
        <f>IF(tbl_SEIN[[#This Row],[Phase]]="", "", "Phase" &amp; tbl_SEIN[[#This Row],[Phase]])</f>
        <v>Phase1</v>
      </c>
      <c r="I53" s="60" t="str">
        <f>_xlfn.XLOOKUP(tbl_SEIN[[#This Row],[Topic]], tbl_TOPIC[Topic], tbl_TOPIC[TopicID], "")</f>
        <v>GPDE-1-08</v>
      </c>
      <c r="J53" s="21" t="s">
        <v>456</v>
      </c>
      <c r="K53" t="s">
        <v>68</v>
      </c>
      <c r="L53" s="7">
        <v>6.25E-2</v>
      </c>
      <c r="M53" s="61"/>
      <c r="N53" s="61"/>
      <c r="O53" s="61"/>
      <c r="P53" s="61" t="str">
        <f>_xlfn.XLOOKUP(tbl_SEIN[[#This Row],[Topic]], tbl_TOPIC[Topic], tbl_TOPIC[TopicPath], "")</f>
        <v>Maximum Prinzipien/Hopf Lemma</v>
      </c>
      <c r="Q53" s="61" t="str">
        <f>_xlfn.XLOOKUP(tbl_SEIN[[#This Row],[Topic]], tbl_TOPIC[Topic], tbl_TOPIC[ParentTopic], "")</f>
        <v>Maximum Prinzipien</v>
      </c>
    </row>
    <row r="54" spans="2:17" x14ac:dyDescent="0.2">
      <c r="B54" s="63">
        <v>44317</v>
      </c>
      <c r="C54" s="64" t="str">
        <f>TEXT(WEEKNUM(tbl_SEIN[[#This Row],[Date]], 2), "00") &amp; "-" &amp; YEAR(tbl_SEIN[[#This Row],[Date]])</f>
        <v>18-2025</v>
      </c>
      <c r="D54" s="65" t="s">
        <v>106</v>
      </c>
      <c r="E54" s="66" cm="1">
        <f t="array" ref="E54">SUM((tbl_SEIN[[#This Row],[Subject]]=INDEX(tbl_SEIN[Subject],1):tbl_SEIN[[#This Row],[Subject]])*1)</f>
        <v>11</v>
      </c>
      <c r="F54" s="66" t="str">
        <f>D54 &amp; "-" &amp; TEXT(E54, "00")</f>
        <v>GPDE-11</v>
      </c>
      <c r="G54" s="67">
        <v>1</v>
      </c>
      <c r="H54" s="66" t="str">
        <f>IF(tbl_SEIN[[#This Row],[Phase]]="", "", "Phase" &amp; tbl_SEIN[[#This Row],[Phase]])</f>
        <v>Phase1</v>
      </c>
      <c r="I54" s="66" t="str">
        <f>_xlfn.XLOOKUP(tbl_SEIN[[#This Row],[Topic]], tbl_TOPIC[Topic], tbl_TOPIC[TopicID], "")</f>
        <v>GPDE-1-08</v>
      </c>
      <c r="J54" s="67" t="s">
        <v>456</v>
      </c>
      <c r="K54" s="68" t="s">
        <v>58</v>
      </c>
      <c r="L54" s="69">
        <v>6.25E-2</v>
      </c>
      <c r="M54" s="70"/>
      <c r="N54" s="70"/>
      <c r="O54" s="70"/>
      <c r="P54" s="70" t="str">
        <f>_xlfn.XLOOKUP(tbl_SEIN[[#This Row],[Topic]], tbl_TOPIC[Topic], tbl_TOPIC[TopicPath], "")</f>
        <v>Maximum Prinzipien/Hopf Lemma</v>
      </c>
      <c r="Q54" s="70" t="str">
        <f>_xlfn.XLOOKUP(tbl_SEIN[[#This Row],[Topic]], tbl_TOPIC[Topic], tbl_TOPIC[ParentTopic], "")</f>
        <v>Maximum Prinzipien</v>
      </c>
    </row>
    <row r="55" spans="2:17" x14ac:dyDescent="0.2">
      <c r="B55" s="4">
        <v>44319</v>
      </c>
      <c r="C55" s="4" t="str">
        <f>TEXT(WEEKNUM(tbl_SEIN[[#This Row],[Date]], 2), "00") &amp; "-" &amp; YEAR(tbl_SEIN[[#This Row],[Date]])</f>
        <v>18-2025</v>
      </c>
      <c r="D55" t="s">
        <v>453</v>
      </c>
      <c r="E55" s="60" cm="1">
        <f t="array" ref="E55">SUM((tbl_SEIN[[#This Row],[Subject]]=INDEX(tbl_SEIN[Subject],1):tbl_SEIN[[#This Row],[Subject]])*1)</f>
        <v>3</v>
      </c>
      <c r="F55" s="60" t="str">
        <f>D55 &amp; "-" &amp; TEXT(E55, "00")</f>
        <v>CM-03</v>
      </c>
      <c r="G55" s="21">
        <v>1</v>
      </c>
      <c r="H55" s="60" t="str">
        <f>IF(tbl_SEIN[[#This Row],[Phase]]="", "", "Phase" &amp; tbl_SEIN[[#This Row],[Phase]])</f>
        <v>Phase1</v>
      </c>
      <c r="I55" s="60" t="str">
        <f>_xlfn.XLOOKUP(tbl_SEIN[[#This Row],[Topic]], tbl_TOPIC[Topic], tbl_TOPIC[TopicID], "")</f>
        <v>CM-1-01</v>
      </c>
      <c r="J55" s="21" t="s">
        <v>460</v>
      </c>
      <c r="K55" t="s">
        <v>87</v>
      </c>
      <c r="L55" s="7">
        <v>1.7361111111111112E-2</v>
      </c>
      <c r="M55" s="61"/>
      <c r="N55" s="61"/>
      <c r="O55" s="61"/>
      <c r="P55" s="61" t="str">
        <f>_xlfn.XLOOKUP(tbl_SEIN[[#This Row],[Topic]], tbl_TOPIC[Topic], tbl_TOPIC[TopicPath], "")</f>
        <v>Klassische Streutheorie</v>
      </c>
      <c r="Q55" s="61">
        <f>_xlfn.XLOOKUP(tbl_SEIN[[#This Row],[Topic]], tbl_TOPIC[Topic], tbl_TOPIC[ParentTopic], "")</f>
        <v>0</v>
      </c>
    </row>
    <row r="56" spans="2:17" x14ac:dyDescent="0.2">
      <c r="B56" s="4">
        <v>44319</v>
      </c>
      <c r="C56" s="4" t="str">
        <f>TEXT(WEEKNUM(tbl_SEIN[[#This Row],[Date]], 2), "00") &amp; "-" &amp; YEAR(tbl_SEIN[[#This Row],[Date]])</f>
        <v>18-2025</v>
      </c>
      <c r="D56" t="s">
        <v>453</v>
      </c>
      <c r="E56" s="60" cm="1">
        <f t="array" ref="E56">SUM((tbl_SEIN[[#This Row],[Subject]]=INDEX(tbl_SEIN[Subject],1):tbl_SEIN[[#This Row],[Subject]])*1)</f>
        <v>4</v>
      </c>
      <c r="F56" s="60" t="str">
        <f>D56 &amp; "-" &amp; TEXT(E56, "00")</f>
        <v>CM-04</v>
      </c>
      <c r="G56" s="21">
        <v>1</v>
      </c>
      <c r="H56" s="60" t="str">
        <f>IF(tbl_SEIN[[#This Row],[Phase]]="", "", "Phase" &amp; tbl_SEIN[[#This Row],[Phase]])</f>
        <v>Phase1</v>
      </c>
      <c r="I56" s="60" t="str">
        <f>_xlfn.XLOOKUP(tbl_SEIN[[#This Row],[Topic]], tbl_TOPIC[Topic], tbl_TOPIC[TopicID], "")</f>
        <v>CM-1-08</v>
      </c>
      <c r="J56" s="21" t="s">
        <v>809</v>
      </c>
      <c r="K56" t="s">
        <v>71</v>
      </c>
      <c r="L56" s="7">
        <v>0.11458333333333333</v>
      </c>
      <c r="M56" s="61"/>
      <c r="N56" s="61"/>
      <c r="O56" s="61"/>
      <c r="P56" s="61" t="str">
        <f>_xlfn.XLOOKUP(tbl_SEIN[[#This Row],[Topic]], tbl_TOPIC[Topic], tbl_TOPIC[TopicPath], "")</f>
        <v>CM-ÜB/CM-ÜB-02: Runge-Lenz-Vektor, 1KP und Zwangsbedingungen</v>
      </c>
      <c r="Q56" s="61" t="str">
        <f>_xlfn.XLOOKUP(tbl_SEIN[[#This Row],[Topic]], tbl_TOPIC[Topic], tbl_TOPIC[ParentTopic], "")</f>
        <v>CM-ÜB</v>
      </c>
    </row>
    <row r="57" spans="2:17" x14ac:dyDescent="0.2">
      <c r="B57" s="4">
        <v>44320</v>
      </c>
      <c r="C57" s="4" t="str">
        <f>TEXT(WEEKNUM(tbl_SEIN[[#This Row],[Date]], 2), "00") &amp; "-" &amp; YEAR(tbl_SEIN[[#This Row],[Date]])</f>
        <v>19-2025</v>
      </c>
      <c r="D57" t="s">
        <v>106</v>
      </c>
      <c r="E57" s="60" cm="1">
        <f t="array" ref="E57">SUM((tbl_SEIN[[#This Row],[Subject]]=INDEX(tbl_SEIN[Subject],1):tbl_SEIN[[#This Row],[Subject]])*1)</f>
        <v>12</v>
      </c>
      <c r="F57" s="60" t="str">
        <f>D57 &amp; "-" &amp; TEXT(E57, "00")</f>
        <v>GPDE-12</v>
      </c>
      <c r="G57" s="21">
        <v>1</v>
      </c>
      <c r="H57" s="60" t="str">
        <f>IF(tbl_SEIN[[#This Row],[Phase]]="", "", "Phase" &amp; tbl_SEIN[[#This Row],[Phase]])</f>
        <v>Phase1</v>
      </c>
      <c r="I57" s="60" t="str">
        <f>_xlfn.XLOOKUP(tbl_SEIN[[#This Row],[Topic]], tbl_TOPIC[Topic], tbl_TOPIC[TopicID], "")</f>
        <v>GPDE-1-02</v>
      </c>
      <c r="J57" s="21" t="s">
        <v>331</v>
      </c>
      <c r="K57" t="s">
        <v>87</v>
      </c>
      <c r="L57" s="7">
        <v>0.1111111111111111</v>
      </c>
      <c r="M57" s="61"/>
      <c r="N57" s="61"/>
      <c r="O57" s="61"/>
      <c r="P57" s="61" t="str">
        <f>_xlfn.XLOOKUP(tbl_SEIN[[#This Row],[Topic]], tbl_TOPIC[Topic], tbl_TOPIC[TopicPath], "")</f>
        <v>GPDE Basics/Differentialoperatoren</v>
      </c>
      <c r="Q57" s="61" t="str">
        <f>_xlfn.XLOOKUP(tbl_SEIN[[#This Row],[Topic]], tbl_TOPIC[Topic], tbl_TOPIC[ParentTopic], "")</f>
        <v>GPDE Basics</v>
      </c>
    </row>
    <row r="58" spans="2:17" x14ac:dyDescent="0.2">
      <c r="B58" s="4">
        <v>44320</v>
      </c>
      <c r="C58" s="4" t="str">
        <f>TEXT(WEEKNUM(tbl_SEIN[[#This Row],[Date]], 2), "00") &amp; "-" &amp; YEAR(tbl_SEIN[[#This Row],[Date]])</f>
        <v>19-2025</v>
      </c>
      <c r="D58" t="s">
        <v>108</v>
      </c>
      <c r="E58" s="60" cm="1">
        <f t="array" ref="E58">SUM((tbl_SEIN[[#This Row],[Subject]]=INDEX(tbl_SEIN[Subject],1):tbl_SEIN[[#This Row],[Subject]])*1)</f>
        <v>2</v>
      </c>
      <c r="F58" s="60" t="str">
        <f>D58 &amp; "-" &amp; TEXT(E58, "00")</f>
        <v>TOP2-02</v>
      </c>
      <c r="G58" s="21">
        <v>1</v>
      </c>
      <c r="H58" s="60" t="str">
        <f>IF(tbl_SEIN[[#This Row],[Phase]]="", "", "Phase" &amp; tbl_SEIN[[#This Row],[Phase]])</f>
        <v>Phase1</v>
      </c>
      <c r="I58" s="60" t="str">
        <f>_xlfn.XLOOKUP(tbl_SEIN[[#This Row],[Topic]], tbl_TOPIC[Topic], tbl_TOPIC[TopicID], "")</f>
        <v>TOP2-1-01</v>
      </c>
      <c r="J58" s="21" t="s">
        <v>585</v>
      </c>
      <c r="K58" t="s">
        <v>58</v>
      </c>
      <c r="L58" s="7">
        <v>6.25E-2</v>
      </c>
      <c r="M58" s="61"/>
      <c r="N58" s="61"/>
      <c r="O58" s="61"/>
      <c r="P58" s="61" t="str">
        <f>_xlfn.XLOOKUP(tbl_SEIN[[#This Row],[Topic]], tbl_TOPIC[Topic], tbl_TOPIC[TopicPath], "")</f>
        <v>Topologie 2</v>
      </c>
      <c r="Q58" s="61">
        <f>_xlfn.XLOOKUP(tbl_SEIN[[#This Row],[Topic]], tbl_TOPIC[Topic], tbl_TOPIC[ParentTopic], "")</f>
        <v>0</v>
      </c>
    </row>
    <row r="59" spans="2:17" x14ac:dyDescent="0.2">
      <c r="B59" s="4">
        <v>44321</v>
      </c>
      <c r="C59" s="4" t="str">
        <f>TEXT(WEEKNUM(tbl_SEIN[[#This Row],[Date]], 2), "00") &amp; "-" &amp; YEAR(tbl_SEIN[[#This Row],[Date]])</f>
        <v>19-2025</v>
      </c>
      <c r="D59" t="s">
        <v>106</v>
      </c>
      <c r="E59" s="60" cm="1">
        <f t="array" ref="E59">SUM((tbl_SEIN[[#This Row],[Subject]]=INDEX(tbl_SEIN[Subject],1):tbl_SEIN[[#This Row],[Subject]])*1)</f>
        <v>13</v>
      </c>
      <c r="F59" s="60" t="str">
        <f>D59 &amp; "-" &amp; TEXT(E59, "00")</f>
        <v>GPDE-13</v>
      </c>
      <c r="G59" s="21">
        <v>1</v>
      </c>
      <c r="H59" s="60" t="str">
        <f>IF(tbl_SEIN[[#This Row],[Phase]]="", "", "Phase" &amp; tbl_SEIN[[#This Row],[Phase]])</f>
        <v>Phase1</v>
      </c>
      <c r="I59" s="60" t="str">
        <f>_xlfn.XLOOKUP(tbl_SEIN[[#This Row],[Topic]], tbl_TOPIC[Topic], tbl_TOPIC[TopicID], "")</f>
        <v>GPDE-1-09</v>
      </c>
      <c r="J59" s="21" t="s">
        <v>457</v>
      </c>
      <c r="K59" t="s">
        <v>87</v>
      </c>
      <c r="L59" s="7">
        <v>6.25E-2</v>
      </c>
      <c r="M59" s="61"/>
      <c r="N59" s="61"/>
      <c r="O59" s="61"/>
      <c r="P59" s="61" t="str">
        <f>_xlfn.XLOOKUP(tbl_SEIN[[#This Row],[Topic]], tbl_TOPIC[Topic], tbl_TOPIC[TopicPath], "")</f>
        <v>Maximum Prinzipien/Vergleichsprinzipien für voll nicht-lineare Differentialoperatoren</v>
      </c>
      <c r="Q59" s="61" t="str">
        <f>_xlfn.XLOOKUP(tbl_SEIN[[#This Row],[Topic]], tbl_TOPIC[Topic], tbl_TOPIC[ParentTopic], "")</f>
        <v>Maximum Prinzipien</v>
      </c>
    </row>
    <row r="60" spans="2:17" x14ac:dyDescent="0.2">
      <c r="B60" s="4">
        <v>44321</v>
      </c>
      <c r="C60" s="4" t="str">
        <f>TEXT(WEEKNUM(tbl_SEIN[[#This Row],[Date]], 2), "00") &amp; "-" &amp; YEAR(tbl_SEIN[[#This Row],[Date]])</f>
        <v>19-2025</v>
      </c>
      <c r="D60" t="s">
        <v>107</v>
      </c>
      <c r="E60" s="60" cm="1">
        <f t="array" ref="E60">SUM((tbl_SEIN[[#This Row],[Subject]]=INDEX(tbl_SEIN[Subject],1):tbl_SEIN[[#This Row],[Subject]])*1)</f>
        <v>3</v>
      </c>
      <c r="F60" s="60" t="str">
        <f>D60 &amp; "-" &amp; TEXT(E60, "00")</f>
        <v>RG-03</v>
      </c>
      <c r="G60" s="21">
        <v>1</v>
      </c>
      <c r="H60" s="60" t="str">
        <f>IF(tbl_SEIN[[#This Row],[Phase]]="", "", "Phase" &amp; tbl_SEIN[[#This Row],[Phase]])</f>
        <v>Phase1</v>
      </c>
      <c r="I60" s="60" t="str">
        <f>_xlfn.XLOOKUP(tbl_SEIN[[#This Row],[Topic]], tbl_TOPIC[Topic], tbl_TOPIC[TopicID], "")</f>
        <v>RG-1-17</v>
      </c>
      <c r="J60" s="21" t="s">
        <v>825</v>
      </c>
      <c r="K60" t="s">
        <v>71</v>
      </c>
      <c r="L60" s="7">
        <v>7.2916666666666671E-2</v>
      </c>
      <c r="M60" s="61"/>
      <c r="N60" s="61"/>
      <c r="O60" s="61"/>
      <c r="P60" s="61" t="str">
        <f>_xlfn.XLOOKUP(tbl_SEIN[[#This Row],[Topic]], tbl_TOPIC[Topic], tbl_TOPIC[TopicPath], "")</f>
        <v>RG-ÜB/RG-ÜB-02: Tangentialbündel und Hyperbolischer Raum</v>
      </c>
      <c r="Q60" s="61" t="str">
        <f>_xlfn.XLOOKUP(tbl_SEIN[[#This Row],[Topic]], tbl_TOPIC[Topic], tbl_TOPIC[ParentTopic], "")</f>
        <v>RG-ÜB</v>
      </c>
    </row>
    <row r="61" spans="2:17" x14ac:dyDescent="0.2">
      <c r="B61" s="4">
        <v>44321</v>
      </c>
      <c r="C61" s="4" t="str">
        <f>TEXT(WEEKNUM(tbl_SEIN[[#This Row],[Date]], 2), "00") &amp; "-" &amp; YEAR(tbl_SEIN[[#This Row],[Date]])</f>
        <v>19-2025</v>
      </c>
      <c r="D61" t="s">
        <v>880</v>
      </c>
      <c r="E61" s="60" cm="1">
        <f t="array" ref="E61">SUM((tbl_SEIN[[#This Row],[Subject]]=INDEX(tbl_SEIN[Subject],1):tbl_SEIN[[#This Row],[Subject]])*1)</f>
        <v>1</v>
      </c>
      <c r="F61" s="60" t="str">
        <f>D61 &amp; "-" &amp; TEXT(E61, "00")</f>
        <v>A-01</v>
      </c>
      <c r="G61" s="21">
        <v>1</v>
      </c>
      <c r="H61" s="60" t="str">
        <f>IF(tbl_SEIN[[#This Row],[Phase]]="", "", "Phase" &amp; tbl_SEIN[[#This Row],[Phase]])</f>
        <v>Phase1</v>
      </c>
      <c r="I61" s="60" t="str">
        <f>_xlfn.XLOOKUP(tbl_SEIN[[#This Row],[Topic]], tbl_TOPIC[Topic], tbl_TOPIC[TopicID], "")</f>
        <v>A-1-03</v>
      </c>
      <c r="J61" s="21" t="s">
        <v>832</v>
      </c>
      <c r="K61" t="s">
        <v>87</v>
      </c>
      <c r="L61" s="89">
        <v>2.4305555555555556E-2</v>
      </c>
      <c r="M61" s="61"/>
      <c r="N61" s="61"/>
      <c r="O61" s="61"/>
      <c r="P61" s="61" t="str">
        <f>_xlfn.XLOOKUP(tbl_SEIN[[#This Row],[Topic]], tbl_TOPIC[Topic], tbl_TOPIC[TopicPath], "")</f>
        <v>Ringe/Ringe Basics</v>
      </c>
      <c r="Q61" s="61" t="str">
        <f>_xlfn.XLOOKUP(tbl_SEIN[[#This Row],[Topic]], tbl_TOPIC[Topic], tbl_TOPIC[ParentTopic], "")</f>
        <v>Ringe</v>
      </c>
    </row>
    <row r="62" spans="2:17" x14ac:dyDescent="0.2">
      <c r="B62" s="4">
        <v>44321</v>
      </c>
      <c r="C62" s="4" t="str">
        <f>TEXT(WEEKNUM(tbl_SEIN[[#This Row],[Date]], 2), "00") &amp; "-" &amp; YEAR(tbl_SEIN[[#This Row],[Date]])</f>
        <v>19-2025</v>
      </c>
      <c r="D62" t="s">
        <v>880</v>
      </c>
      <c r="E62" s="60" cm="1">
        <f t="array" ref="E62">SUM((tbl_SEIN[[#This Row],[Subject]]=INDEX(tbl_SEIN[Subject],1):tbl_SEIN[[#This Row],[Subject]])*1)</f>
        <v>2</v>
      </c>
      <c r="F62" s="60" t="str">
        <f>D62 &amp; "-" &amp; TEXT(E62, "00")</f>
        <v>A-02</v>
      </c>
      <c r="G62" s="21">
        <v>1</v>
      </c>
      <c r="H62" s="60" t="str">
        <f>IF(tbl_SEIN[[#This Row],[Phase]]="", "", "Phase" &amp; tbl_SEIN[[#This Row],[Phase]])</f>
        <v>Phase1</v>
      </c>
      <c r="I62" s="60" t="str">
        <f>_xlfn.XLOOKUP(tbl_SEIN[[#This Row],[Topic]], tbl_TOPIC[Topic], tbl_TOPIC[TopicID], "")</f>
        <v>A-1-04</v>
      </c>
      <c r="J62" s="21" t="s">
        <v>851</v>
      </c>
      <c r="K62" t="s">
        <v>87</v>
      </c>
      <c r="L62" s="7">
        <v>3.125E-2</v>
      </c>
      <c r="M62" s="61"/>
      <c r="N62" s="61"/>
      <c r="O62" s="61"/>
      <c r="P62" s="61" t="str">
        <f>_xlfn.XLOOKUP(tbl_SEIN[[#This Row],[Topic]], tbl_TOPIC[Topic], tbl_TOPIC[TopicPath], "")</f>
        <v>Ringe/Potenzreihenringe und Polynomringe</v>
      </c>
      <c r="Q62" s="61" t="str">
        <f>_xlfn.XLOOKUP(tbl_SEIN[[#This Row],[Topic]], tbl_TOPIC[Topic], tbl_TOPIC[ParentTopic], "")</f>
        <v>Ringe</v>
      </c>
    </row>
    <row r="63" spans="2:17" x14ac:dyDescent="0.2">
      <c r="B63" s="4">
        <v>44321</v>
      </c>
      <c r="C63" s="4" t="str">
        <f>TEXT(WEEKNUM(tbl_SEIN[[#This Row],[Date]], 2), "00") &amp; "-" &amp; YEAR(tbl_SEIN[[#This Row],[Date]])</f>
        <v>19-2025</v>
      </c>
      <c r="D63" t="s">
        <v>880</v>
      </c>
      <c r="E63" s="60" cm="1">
        <f t="array" ref="E63">SUM((tbl_SEIN[[#This Row],[Subject]]=INDEX(tbl_SEIN[Subject],1):tbl_SEIN[[#This Row],[Subject]])*1)</f>
        <v>3</v>
      </c>
      <c r="F63" s="60" t="str">
        <f>D63 &amp; "-" &amp; TEXT(E63, "00")</f>
        <v>A-03</v>
      </c>
      <c r="G63" s="21">
        <v>1</v>
      </c>
      <c r="H63" s="60" t="str">
        <f>IF(tbl_SEIN[[#This Row],[Phase]]="", "", "Phase" &amp; tbl_SEIN[[#This Row],[Phase]])</f>
        <v>Phase1</v>
      </c>
      <c r="I63" s="60" t="str">
        <f>_xlfn.XLOOKUP(tbl_SEIN[[#This Row],[Topic]], tbl_TOPIC[Topic], tbl_TOPIC[TopicID], "")</f>
        <v>A-1-05</v>
      </c>
      <c r="J63" s="21" t="s">
        <v>879</v>
      </c>
      <c r="K63" t="s">
        <v>87</v>
      </c>
      <c r="L63" s="7">
        <v>3.4722222222222224E-2</v>
      </c>
      <c r="M63" s="61"/>
      <c r="N63" s="61"/>
      <c r="O63" s="61"/>
      <c r="P63" s="61" t="str">
        <f>_xlfn.XLOOKUP(tbl_SEIN[[#This Row],[Topic]], tbl_TOPIC[Topic], tbl_TOPIC[TopicPath], "")</f>
        <v>Ringe/Ideale und Quotienten</v>
      </c>
      <c r="Q63" s="61" t="str">
        <f>_xlfn.XLOOKUP(tbl_SEIN[[#This Row],[Topic]], tbl_TOPIC[Topic], tbl_TOPIC[ParentTopic], "")</f>
        <v>Ringe</v>
      </c>
    </row>
    <row r="64" spans="2:17" x14ac:dyDescent="0.2">
      <c r="B64" s="4">
        <v>44321</v>
      </c>
      <c r="C64" s="4" t="str">
        <f>TEXT(WEEKNUM(tbl_SEIN[[#This Row],[Date]], 2), "00") &amp; "-" &amp; YEAR(tbl_SEIN[[#This Row],[Date]])</f>
        <v>19-2025</v>
      </c>
      <c r="D64" t="s">
        <v>24</v>
      </c>
      <c r="E64" s="60" cm="1">
        <f t="array" ref="E64">SUM((tbl_SEIN[[#This Row],[Subject]]=INDEX(tbl_SEIN[Subject],1):tbl_SEIN[[#This Row],[Subject]])*1)</f>
        <v>3</v>
      </c>
      <c r="F64" s="60" t="str">
        <f>D64 &amp; "-" &amp; TEXT(E64, "00")</f>
        <v>QMS-03</v>
      </c>
      <c r="G64" s="21">
        <v>1</v>
      </c>
      <c r="H64" s="60" t="str">
        <f>IF(tbl_SEIN[[#This Row],[Phase]]="", "", "Phase" &amp; tbl_SEIN[[#This Row],[Phase]])</f>
        <v>Phase1</v>
      </c>
      <c r="I64" s="60" t="str">
        <f>_xlfn.XLOOKUP(tbl_SEIN[[#This Row],[Topic]], tbl_TOPIC[Topic], tbl_TOPIC[TopicID], "")</f>
        <v>QMS-1-19</v>
      </c>
      <c r="J64" s="21" t="s">
        <v>903</v>
      </c>
      <c r="K64" t="s">
        <v>71</v>
      </c>
      <c r="L64" s="7">
        <v>4.1666666666666664E-2</v>
      </c>
      <c r="M64" s="61"/>
      <c r="N64" s="61"/>
      <c r="O64" s="61"/>
      <c r="P64" s="61" t="str">
        <f>_xlfn.XLOOKUP(tbl_SEIN[[#This Row],[Topic]], tbl_TOPIC[Topic], tbl_TOPIC[TopicPath], "")</f>
        <v>QMS-ÜB/QMS-ÜB-01</v>
      </c>
      <c r="Q64" s="61" t="str">
        <f>_xlfn.XLOOKUP(tbl_SEIN[[#This Row],[Topic]], tbl_TOPIC[Topic], tbl_TOPIC[ParentTopic], "")</f>
        <v>QMS-ÜB</v>
      </c>
    </row>
    <row r="65" spans="2:17" x14ac:dyDescent="0.2">
      <c r="B65" s="4">
        <v>44322</v>
      </c>
      <c r="C65" s="4" t="str">
        <f>TEXT(WEEKNUM(tbl_SEIN[[#This Row],[Date]], 2), "00") &amp; "-" &amp; YEAR(tbl_SEIN[[#This Row],[Date]])</f>
        <v>19-2025</v>
      </c>
      <c r="D65" t="s">
        <v>361</v>
      </c>
      <c r="E65" s="60" cm="1">
        <f t="array" ref="E65">SUM((tbl_SEIN[[#This Row],[Subject]]=INDEX(tbl_SEIN[Subject],1):tbl_SEIN[[#This Row],[Subject]])*1)</f>
        <v>10</v>
      </c>
      <c r="F65" s="60" t="str">
        <f>D65 &amp; "-" &amp; TEXT(E65, "00")</f>
        <v>QM-10</v>
      </c>
      <c r="G65" s="21">
        <v>1</v>
      </c>
      <c r="H65" s="60" t="str">
        <f>IF(tbl_SEIN[[#This Row],[Phase]]="", "", "Phase" &amp; tbl_SEIN[[#This Row],[Phase]])</f>
        <v>Phase1</v>
      </c>
      <c r="I65" s="60" t="str">
        <f>_xlfn.XLOOKUP(tbl_SEIN[[#This Row],[Topic]], tbl_TOPIC[Topic], tbl_TOPIC[TopicID], "")</f>
        <v>QM-1-09</v>
      </c>
      <c r="J65" s="21" t="s">
        <v>370</v>
      </c>
      <c r="K65" t="s">
        <v>87</v>
      </c>
      <c r="L65" s="7">
        <v>2.4305555555555556E-2</v>
      </c>
      <c r="M65" s="61"/>
      <c r="N65" s="61"/>
      <c r="O65" s="61"/>
      <c r="P65" s="61" t="str">
        <f>_xlfn.XLOOKUP(tbl_SEIN[[#This Row],[Topic]], tbl_TOPIC[Topic], tbl_TOPIC[TopicPath], "")</f>
        <v>Schrödinger Gleichung/Interpretation der Wellenfunktion</v>
      </c>
      <c r="Q65" s="61" t="str">
        <f>_xlfn.XLOOKUP(tbl_SEIN[[#This Row],[Topic]], tbl_TOPIC[Topic], tbl_TOPIC[ParentTopic], "")</f>
        <v>Schrödinger Gleichung</v>
      </c>
    </row>
    <row r="66" spans="2:17" x14ac:dyDescent="0.2">
      <c r="B66" s="4">
        <v>44322</v>
      </c>
      <c r="C66" s="4" t="str">
        <f>TEXT(WEEKNUM(tbl_SEIN[[#This Row],[Date]], 2), "00") &amp; "-" &amp; YEAR(tbl_SEIN[[#This Row],[Date]])</f>
        <v>19-2025</v>
      </c>
      <c r="D66" t="s">
        <v>361</v>
      </c>
      <c r="E66" s="60" cm="1">
        <f t="array" ref="E66">SUM((tbl_SEIN[[#This Row],[Subject]]=INDEX(tbl_SEIN[Subject],1):tbl_SEIN[[#This Row],[Subject]])*1)</f>
        <v>11</v>
      </c>
      <c r="F66" s="60" t="str">
        <f>D66 &amp; "-" &amp; TEXT(E66, "00")</f>
        <v>QM-11</v>
      </c>
      <c r="G66" s="21">
        <v>1</v>
      </c>
      <c r="H66" s="60" t="str">
        <f>IF(tbl_SEIN[[#This Row],[Phase]]="", "", "Phase" &amp; tbl_SEIN[[#This Row],[Phase]])</f>
        <v>Phase1</v>
      </c>
      <c r="I66" s="60" t="str">
        <f>_xlfn.XLOOKUP(tbl_SEIN[[#This Row],[Topic]], tbl_TOPIC[Topic], tbl_TOPIC[TopicID], "")</f>
        <v>QM-1-15</v>
      </c>
      <c r="J66" s="21" t="s">
        <v>376</v>
      </c>
      <c r="K66" t="s">
        <v>87</v>
      </c>
      <c r="L66" s="7">
        <v>1.3888888888888888E-2</v>
      </c>
      <c r="M66" s="61"/>
      <c r="N66" s="61"/>
      <c r="O66" s="61"/>
      <c r="P66" s="61" t="str">
        <f>_xlfn.XLOOKUP(tbl_SEIN[[#This Row],[Topic]], tbl_TOPIC[Topic], tbl_TOPIC[TopicPath], "")</f>
        <v>Schrödinger Gleichung/Ehrenfest Theorem</v>
      </c>
      <c r="Q66" s="61" t="str">
        <f>_xlfn.XLOOKUP(tbl_SEIN[[#This Row],[Topic]], tbl_TOPIC[Topic], tbl_TOPIC[ParentTopic], "")</f>
        <v>Schrödinger Gleichung</v>
      </c>
    </row>
    <row r="67" spans="2:17" x14ac:dyDescent="0.2">
      <c r="B67" s="4">
        <v>44322</v>
      </c>
      <c r="C67" s="4" t="str">
        <f>TEXT(WEEKNUM(tbl_SEIN[[#This Row],[Date]], 2), "00") &amp; "-" &amp; YEAR(tbl_SEIN[[#This Row],[Date]])</f>
        <v>19-2025</v>
      </c>
      <c r="D67" t="s">
        <v>361</v>
      </c>
      <c r="E67" s="60" cm="1">
        <f t="array" ref="E67">SUM((tbl_SEIN[[#This Row],[Subject]]=INDEX(tbl_SEIN[Subject],1):tbl_SEIN[[#This Row],[Subject]])*1)</f>
        <v>12</v>
      </c>
      <c r="F67" s="60" t="str">
        <f>D67 &amp; "-" &amp; TEXT(E67, "00")</f>
        <v>QM-12</v>
      </c>
      <c r="G67" s="21">
        <v>1</v>
      </c>
      <c r="H67" s="60" t="str">
        <f>IF(tbl_SEIN[[#This Row],[Phase]]="", "", "Phase" &amp; tbl_SEIN[[#This Row],[Phase]])</f>
        <v>Phase1</v>
      </c>
      <c r="I67" s="60" t="str">
        <f>_xlfn.XLOOKUP(tbl_SEIN[[#This Row],[Topic]], tbl_TOPIC[Topic], tbl_TOPIC[TopicID], "")</f>
        <v>QM-1-21</v>
      </c>
      <c r="J67" s="21" t="s">
        <v>676</v>
      </c>
      <c r="K67" t="s">
        <v>87</v>
      </c>
      <c r="L67" s="7">
        <v>1.7361111111111112E-2</v>
      </c>
      <c r="M67" s="61"/>
      <c r="N67" s="61"/>
      <c r="O67" s="61"/>
      <c r="P67" s="61" t="str">
        <f>_xlfn.XLOOKUP(tbl_SEIN[[#This Row],[Topic]], tbl_TOPIC[Topic], tbl_TOPIC[TopicPath], "")</f>
        <v>Eindimensionale Systeme</v>
      </c>
      <c r="Q67" s="61">
        <f>_xlfn.XLOOKUP(tbl_SEIN[[#This Row],[Topic]], tbl_TOPIC[Topic], tbl_TOPIC[ParentTopic], "")</f>
        <v>0</v>
      </c>
    </row>
    <row r="68" spans="2:17" x14ac:dyDescent="0.2">
      <c r="B68" s="4">
        <v>44322</v>
      </c>
      <c r="C68" s="4" t="str">
        <f>TEXT(WEEKNUM(tbl_SEIN[[#This Row],[Date]], 2), "00") &amp; "-" &amp; YEAR(tbl_SEIN[[#This Row],[Date]])</f>
        <v>19-2025</v>
      </c>
      <c r="D68" t="s">
        <v>361</v>
      </c>
      <c r="E68" s="60" cm="1">
        <f t="array" ref="E68">SUM((tbl_SEIN[[#This Row],[Subject]]=INDEX(tbl_SEIN[Subject],1):tbl_SEIN[[#This Row],[Subject]])*1)</f>
        <v>13</v>
      </c>
      <c r="F68" s="60" t="str">
        <f>D68 &amp; "-" &amp; TEXT(E68, "00")</f>
        <v>QM-13</v>
      </c>
      <c r="G68" s="21">
        <v>1</v>
      </c>
      <c r="H68" s="60" t="str">
        <f>IF(tbl_SEIN[[#This Row],[Phase]]="", "", "Phase" &amp; tbl_SEIN[[#This Row],[Phase]])</f>
        <v>Phase1</v>
      </c>
      <c r="I68" s="60" t="str">
        <f>_xlfn.XLOOKUP(tbl_SEIN[[#This Row],[Topic]], tbl_TOPIC[Topic], tbl_TOPIC[TopicID], "")</f>
        <v>QM-1-34</v>
      </c>
      <c r="J68" s="21" t="s">
        <v>906</v>
      </c>
      <c r="K68" t="s">
        <v>71</v>
      </c>
      <c r="L68" s="7">
        <v>0.10416666666666667</v>
      </c>
      <c r="M68" s="61"/>
      <c r="N68" s="61"/>
      <c r="O68" s="61"/>
      <c r="P68" s="61" t="str">
        <f>_xlfn.XLOOKUP(tbl_SEIN[[#This Row],[Topic]], tbl_TOPIC[Topic], tbl_TOPIC[TopicPath], "")</f>
        <v>QM-ÜB/QM-ÜB-02:</v>
      </c>
      <c r="Q68" s="61" t="str">
        <f>_xlfn.XLOOKUP(tbl_SEIN[[#This Row],[Topic]], tbl_TOPIC[Topic], tbl_TOPIC[ParentTopic], "")</f>
        <v>QM-ÜB</v>
      </c>
    </row>
    <row r="69" spans="2:17" x14ac:dyDescent="0.2">
      <c r="B69" s="4">
        <v>44323</v>
      </c>
      <c r="C69" s="4" t="str">
        <f>TEXT(WEEKNUM(tbl_SEIN[[#This Row],[Date]], 2), "00") &amp; "-" &amp; YEAR(tbl_SEIN[[#This Row],[Date]])</f>
        <v>19-2025</v>
      </c>
      <c r="D69" t="s">
        <v>24</v>
      </c>
      <c r="E69" s="60" cm="1">
        <f t="array" ref="E69">SUM((tbl_SEIN[[#This Row],[Subject]]=INDEX(tbl_SEIN[Subject],1):tbl_SEIN[[#This Row],[Subject]])*1)</f>
        <v>4</v>
      </c>
      <c r="F69" s="60" t="str">
        <f>D69 &amp; "-" &amp; TEXT(E69, "00")</f>
        <v>QMS-04</v>
      </c>
      <c r="G69" s="21">
        <v>1</v>
      </c>
      <c r="H69" s="60" t="str">
        <f>IF(tbl_SEIN[[#This Row],[Phase]]="", "", "Phase" &amp; tbl_SEIN[[#This Row],[Phase]])</f>
        <v>Phase1</v>
      </c>
      <c r="I69" s="60" t="str">
        <f>_xlfn.XLOOKUP(tbl_SEIN[[#This Row],[Topic]], tbl_TOPIC[Topic], tbl_TOPIC[TopicID], "")</f>
        <v>QMS-1-20</v>
      </c>
      <c r="J69" s="21" t="s">
        <v>933</v>
      </c>
      <c r="K69" t="s">
        <v>58</v>
      </c>
      <c r="L69" s="7">
        <v>6.25E-2</v>
      </c>
      <c r="M69" s="61"/>
      <c r="N69" s="61"/>
      <c r="O69" s="61"/>
      <c r="P69" s="61" t="str">
        <f>_xlfn.XLOOKUP(tbl_SEIN[[#This Row],[Topic]], tbl_TOPIC[Topic], tbl_TOPIC[TopicPath], "")</f>
        <v>QMS-VL</v>
      </c>
      <c r="Q69" s="61">
        <f>_xlfn.XLOOKUP(tbl_SEIN[[#This Row],[Topic]], tbl_TOPIC[Topic], tbl_TOPIC[ParentTopic], "")</f>
        <v>0</v>
      </c>
    </row>
    <row r="70" spans="2:17" x14ac:dyDescent="0.2">
      <c r="B70" s="4">
        <v>44323</v>
      </c>
      <c r="C70" s="4" t="str">
        <f>TEXT(WEEKNUM(tbl_SEIN[[#This Row],[Date]], 2), "00") &amp; "-" &amp; YEAR(tbl_SEIN[[#This Row],[Date]])</f>
        <v>19-2025</v>
      </c>
      <c r="D70" t="s">
        <v>453</v>
      </c>
      <c r="E70" s="60" cm="1">
        <f t="array" ref="E70">SUM((tbl_SEIN[[#This Row],[Subject]]=INDEX(tbl_SEIN[Subject],1):tbl_SEIN[[#This Row],[Subject]])*1)</f>
        <v>5</v>
      </c>
      <c r="F70" s="60" t="str">
        <f>D70 &amp; "-" &amp; TEXT(E70, "00")</f>
        <v>CM-05</v>
      </c>
      <c r="G70" s="21">
        <v>1</v>
      </c>
      <c r="H70" s="60" t="str">
        <f>IF(tbl_SEIN[[#This Row],[Phase]]="", "", "Phase" &amp; tbl_SEIN[[#This Row],[Phase]])</f>
        <v>Phase1</v>
      </c>
      <c r="I70" s="60" t="str">
        <f>_xlfn.XLOOKUP(tbl_SEIN[[#This Row],[Topic]], tbl_TOPIC[Topic], tbl_TOPIC[TopicID], "")</f>
        <v>CM-1-09</v>
      </c>
      <c r="J70" s="21" t="s">
        <v>932</v>
      </c>
      <c r="K70" t="s">
        <v>63</v>
      </c>
      <c r="L70" s="7">
        <v>6.25E-2</v>
      </c>
      <c r="M70" s="61"/>
      <c r="N70" s="61"/>
      <c r="O70" s="61"/>
      <c r="P70" s="61" t="str">
        <f>_xlfn.XLOOKUP(tbl_SEIN[[#This Row],[Topic]], tbl_TOPIC[Topic], tbl_TOPIC[TopicPath], "")</f>
        <v>CM-Ex</v>
      </c>
      <c r="Q70" s="61">
        <f>_xlfn.XLOOKUP(tbl_SEIN[[#This Row],[Topic]], tbl_TOPIC[Topic], tbl_TOPIC[ParentTopic], "")</f>
        <v>0</v>
      </c>
    </row>
    <row r="71" spans="2:17" x14ac:dyDescent="0.2">
      <c r="B71" s="4">
        <v>44324</v>
      </c>
      <c r="C71" s="4" t="str">
        <f>TEXT(WEEKNUM(tbl_SEIN[[#This Row],[Date]], 2), "00") &amp; "-" &amp; YEAR(tbl_SEIN[[#This Row],[Date]])</f>
        <v>19-2025</v>
      </c>
      <c r="D71" t="s">
        <v>106</v>
      </c>
      <c r="E71" s="60" cm="1">
        <f t="array" ref="E71">SUM((tbl_SEIN[[#This Row],[Subject]]=INDEX(tbl_SEIN[Subject],1):tbl_SEIN[[#This Row],[Subject]])*1)</f>
        <v>14</v>
      </c>
      <c r="F71" s="60" t="str">
        <f>D71 &amp; "-" &amp; TEXT(E71, "00")</f>
        <v>GPDE-14</v>
      </c>
      <c r="G71" s="21">
        <v>1</v>
      </c>
      <c r="H71" s="60" t="str">
        <f>IF(tbl_SEIN[[#This Row],[Phase]]="", "", "Phase" &amp; tbl_SEIN[[#This Row],[Phase]])</f>
        <v>Phase1</v>
      </c>
      <c r="I71" s="60" t="str">
        <f>_xlfn.XLOOKUP(tbl_SEIN[[#This Row],[Topic]], tbl_TOPIC[Topic], tbl_TOPIC[TopicID], "")</f>
        <v>GPDE-1-02</v>
      </c>
      <c r="J71" s="21" t="s">
        <v>331</v>
      </c>
      <c r="K71" t="s">
        <v>68</v>
      </c>
      <c r="L71" s="7">
        <v>7.6388888888888895E-2</v>
      </c>
      <c r="M71" s="61"/>
      <c r="N71" s="61"/>
      <c r="O71" s="61"/>
      <c r="P71" s="61" t="str">
        <f>_xlfn.XLOOKUP(tbl_SEIN[[#This Row],[Topic]], tbl_TOPIC[Topic], tbl_TOPIC[TopicPath], "")</f>
        <v>GPDE Basics/Differentialoperatoren</v>
      </c>
      <c r="Q71" s="61" t="str">
        <f>_xlfn.XLOOKUP(tbl_SEIN[[#This Row],[Topic]], tbl_TOPIC[Topic], tbl_TOPIC[ParentTopic], "")</f>
        <v>GPDE Basics</v>
      </c>
    </row>
    <row r="72" spans="2:17" x14ac:dyDescent="0.2">
      <c r="B72" s="4">
        <v>44324</v>
      </c>
      <c r="C72" s="4" t="str">
        <f>TEXT(WEEKNUM(tbl_SEIN[[#This Row],[Date]], 2), "00") &amp; "-" &amp; YEAR(tbl_SEIN[[#This Row],[Date]])</f>
        <v>19-2025</v>
      </c>
      <c r="D72" t="s">
        <v>106</v>
      </c>
      <c r="E72" s="60" cm="1">
        <f t="array" ref="E72">SUM((tbl_SEIN[[#This Row],[Subject]]=INDEX(tbl_SEIN[Subject],1):tbl_SEIN[[#This Row],[Subject]])*1)</f>
        <v>15</v>
      </c>
      <c r="F72" s="60" t="str">
        <f>D72 &amp; "-" &amp; TEXT(E72, "00")</f>
        <v>GPDE-15</v>
      </c>
      <c r="G72" s="21">
        <v>1</v>
      </c>
      <c r="H72" s="60" t="str">
        <f>IF(tbl_SEIN[[#This Row],[Phase]]="", "", "Phase" &amp; tbl_SEIN[[#This Row],[Phase]])</f>
        <v>Phase1</v>
      </c>
      <c r="I72" s="60" t="str">
        <f>_xlfn.XLOOKUP(tbl_SEIN[[#This Row],[Topic]], tbl_TOPIC[Topic], tbl_TOPIC[TopicID], "")</f>
        <v/>
      </c>
      <c r="J72" s="21"/>
      <c r="K72" t="s">
        <v>58</v>
      </c>
      <c r="L72" s="7">
        <v>6.25E-2</v>
      </c>
      <c r="M72" s="61"/>
      <c r="N72" s="61"/>
      <c r="O72" s="61"/>
      <c r="P72" s="61" t="str">
        <f>_xlfn.XLOOKUP(tbl_SEIN[[#This Row],[Topic]], tbl_TOPIC[Topic], tbl_TOPIC[TopicPath], "")</f>
        <v/>
      </c>
      <c r="Q72" s="61" t="str">
        <f>_xlfn.XLOOKUP(tbl_SEIN[[#This Row],[Topic]], tbl_TOPIC[Topic], tbl_TOPIC[ParentTopic], "")</f>
        <v/>
      </c>
    </row>
    <row r="73" spans="2:17" x14ac:dyDescent="0.2">
      <c r="B73" s="4">
        <v>44325</v>
      </c>
      <c r="C73" s="4" t="str">
        <f>TEXT(WEEKNUM(tbl_SEIN[[#This Row],[Date]], 2), "00") &amp; "-" &amp; YEAR(tbl_SEIN[[#This Row],[Date]])</f>
        <v>19-2025</v>
      </c>
      <c r="D73" t="s">
        <v>24</v>
      </c>
      <c r="E73" s="60" cm="1">
        <f t="array" ref="E73">SUM((tbl_SEIN[[#This Row],[Subject]]=INDEX(tbl_SEIN[Subject],1):tbl_SEIN[[#This Row],[Subject]])*1)</f>
        <v>5</v>
      </c>
      <c r="F73" s="60" t="str">
        <f>D73 &amp; "-" &amp; TEXT(E73, "00")</f>
        <v>QMS-05</v>
      </c>
      <c r="G73" s="21">
        <v>1</v>
      </c>
      <c r="H73" s="60" t="str">
        <f>IF(tbl_SEIN[[#This Row],[Phase]]="", "", "Phase" &amp; tbl_SEIN[[#This Row],[Phase]])</f>
        <v>Phase1</v>
      </c>
      <c r="I73" s="60" t="str">
        <f>_xlfn.XLOOKUP(tbl_SEIN[[#This Row],[Topic]], tbl_TOPIC[Topic], tbl_TOPIC[TopicID], "")</f>
        <v/>
      </c>
      <c r="J73" s="21"/>
      <c r="K73" t="s">
        <v>71</v>
      </c>
      <c r="L73" s="7">
        <v>3.125E-2</v>
      </c>
      <c r="M73" s="61"/>
      <c r="N73" s="61"/>
      <c r="O73" s="61"/>
      <c r="P73" s="61" t="str">
        <f>_xlfn.XLOOKUP(tbl_SEIN[[#This Row],[Topic]], tbl_TOPIC[Topic], tbl_TOPIC[TopicPath], "")</f>
        <v/>
      </c>
      <c r="Q73" s="61" t="str">
        <f>_xlfn.XLOOKUP(tbl_SEIN[[#This Row],[Topic]], tbl_TOPIC[Topic], tbl_TOPIC[ParentTopic], "")</f>
        <v/>
      </c>
    </row>
    <row r="74" spans="2:17" x14ac:dyDescent="0.2">
      <c r="B74" s="4">
        <v>44325</v>
      </c>
      <c r="C74" s="4" t="str">
        <f>TEXT(WEEKNUM(tbl_SEIN[[#This Row],[Date]], 2), "00") &amp; "-" &amp; YEAR(tbl_SEIN[[#This Row],[Date]])</f>
        <v>19-2025</v>
      </c>
      <c r="D74" t="s">
        <v>880</v>
      </c>
      <c r="E74" s="60" cm="1">
        <f t="array" ref="E74">SUM((tbl_SEIN[[#This Row],[Subject]]=INDEX(tbl_SEIN[Subject],1):tbl_SEIN[[#This Row],[Subject]])*1)</f>
        <v>4</v>
      </c>
      <c r="F74" s="60" t="str">
        <f>D74 &amp; "-" &amp; TEXT(E74, "00")</f>
        <v>A-04</v>
      </c>
      <c r="G74" s="21">
        <v>1</v>
      </c>
      <c r="H74" s="60" t="str">
        <f>IF(tbl_SEIN[[#This Row],[Phase]]="", "", "Phase" &amp; tbl_SEIN[[#This Row],[Phase]])</f>
        <v>Phase1</v>
      </c>
      <c r="I74" s="60" t="str">
        <f>_xlfn.XLOOKUP(tbl_SEIN[[#This Row],[Topic]], tbl_TOPIC[Topic], tbl_TOPIC[TopicID], "")</f>
        <v>A-1-07</v>
      </c>
      <c r="J74" s="21" t="s">
        <v>936</v>
      </c>
      <c r="K74" t="s">
        <v>87</v>
      </c>
      <c r="L74" s="7">
        <v>2.4305555555555556E-2</v>
      </c>
      <c r="M74" s="61"/>
      <c r="N74" s="61"/>
      <c r="O74" s="61"/>
      <c r="P74" s="61" t="str">
        <f>_xlfn.XLOOKUP(tbl_SEIN[[#This Row],[Topic]], tbl_TOPIC[Topic], tbl_TOPIC[TopicPath], "")</f>
        <v>Moduln/Moduln Grundlagen</v>
      </c>
      <c r="Q74" s="61" t="str">
        <f>_xlfn.XLOOKUP(tbl_SEIN[[#This Row],[Topic]], tbl_TOPIC[Topic], tbl_TOPIC[ParentTopic], "")</f>
        <v>Moduln</v>
      </c>
    </row>
    <row r="75" spans="2:17" x14ac:dyDescent="0.2">
      <c r="B75" s="4">
        <v>44325</v>
      </c>
      <c r="C75" s="4" t="str">
        <f>TEXT(WEEKNUM(tbl_SEIN[[#This Row],[Date]], 2), "00") &amp; "-" &amp; YEAR(tbl_SEIN[[#This Row],[Date]])</f>
        <v>19-2025</v>
      </c>
      <c r="D75" t="s">
        <v>108</v>
      </c>
      <c r="E75" s="60" cm="1">
        <f t="array" ref="E75">SUM((tbl_SEIN[[#This Row],[Subject]]=INDEX(tbl_SEIN[Subject],1):tbl_SEIN[[#This Row],[Subject]])*1)</f>
        <v>3</v>
      </c>
      <c r="F75" s="60" t="str">
        <f>D75 &amp; "-" &amp; TEXT(E75, "00")</f>
        <v>TOP2-03</v>
      </c>
      <c r="G75" s="21">
        <v>1</v>
      </c>
      <c r="H75" s="60" t="str">
        <f>IF(tbl_SEIN[[#This Row],[Phase]]="", "", "Phase" &amp; tbl_SEIN[[#This Row],[Phase]])</f>
        <v>Phase1</v>
      </c>
      <c r="I75" s="60" t="str">
        <f>_xlfn.XLOOKUP(tbl_SEIN[[#This Row],[Topic]], tbl_TOPIC[Topic], tbl_TOPIC[TopicID], "")</f>
        <v/>
      </c>
      <c r="J75" s="21"/>
      <c r="K75" t="s">
        <v>71</v>
      </c>
      <c r="L75" s="7">
        <v>4.1666666666666664E-2</v>
      </c>
      <c r="M75" s="61"/>
      <c r="N75" s="61"/>
      <c r="O75" s="61"/>
      <c r="P75" s="61" t="str">
        <f>_xlfn.XLOOKUP(tbl_SEIN[[#This Row],[Topic]], tbl_TOPIC[Topic], tbl_TOPIC[TopicPath], "")</f>
        <v/>
      </c>
      <c r="Q75" s="61" t="str">
        <f>_xlfn.XLOOKUP(tbl_SEIN[[#This Row],[Topic]], tbl_TOPIC[Topic], tbl_TOPIC[ParentTopic], "")</f>
        <v/>
      </c>
    </row>
    <row r="76" spans="2:17" x14ac:dyDescent="0.2">
      <c r="B76" s="4">
        <v>44327</v>
      </c>
      <c r="C76" s="4" t="str">
        <f>TEXT(WEEKNUM(tbl_SEIN[[#This Row],[Date]], 2), "00") &amp; "-" &amp; YEAR(tbl_SEIN[[#This Row],[Date]])</f>
        <v>20-2025</v>
      </c>
      <c r="D76" t="s">
        <v>108</v>
      </c>
      <c r="E76" s="60" cm="1">
        <f t="array" ref="E76">SUM((tbl_SEIN[[#This Row],[Subject]]=INDEX(tbl_SEIN[Subject],1):tbl_SEIN[[#This Row],[Subject]])*1)</f>
        <v>4</v>
      </c>
      <c r="F76" s="60" t="str">
        <f>D76 &amp; "-" &amp; TEXT(E76, "00")</f>
        <v>TOP2-04</v>
      </c>
      <c r="G76" s="21">
        <v>1</v>
      </c>
      <c r="H76" s="60" t="str">
        <f>IF(tbl_SEIN[[#This Row],[Phase]]="", "", "Phase" &amp; tbl_SEIN[[#This Row],[Phase]])</f>
        <v>Phase1</v>
      </c>
      <c r="I76" s="60" t="str">
        <f>_xlfn.XLOOKUP(tbl_SEIN[[#This Row],[Topic]], tbl_TOPIC[Topic], tbl_TOPIC[TopicID], "")</f>
        <v/>
      </c>
      <c r="J76" s="21"/>
      <c r="K76" t="s">
        <v>58</v>
      </c>
      <c r="L76" s="7">
        <v>6.25E-2</v>
      </c>
      <c r="M76" s="61"/>
      <c r="N76" s="61"/>
      <c r="O76" s="61"/>
      <c r="P76" s="61" t="str">
        <f>_xlfn.XLOOKUP(tbl_SEIN[[#This Row],[Topic]], tbl_TOPIC[Topic], tbl_TOPIC[TopicPath], "")</f>
        <v/>
      </c>
      <c r="Q76" s="61" t="str">
        <f>_xlfn.XLOOKUP(tbl_SEIN[[#This Row],[Topic]], tbl_TOPIC[Topic], tbl_TOPIC[ParentTopic], "")</f>
        <v/>
      </c>
    </row>
    <row r="77" spans="2:17" x14ac:dyDescent="0.2">
      <c r="B77" s="4">
        <v>44327</v>
      </c>
      <c r="C77" s="4" t="str">
        <f>TEXT(WEEKNUM(tbl_SEIN[[#This Row],[Date]], 2), "00") &amp; "-" &amp; YEAR(tbl_SEIN[[#This Row],[Date]])</f>
        <v>20-2025</v>
      </c>
      <c r="D77" t="s">
        <v>107</v>
      </c>
      <c r="E77" s="60" cm="1">
        <f t="array" ref="E77">SUM((tbl_SEIN[[#This Row],[Subject]]=INDEX(tbl_SEIN[Subject],1):tbl_SEIN[[#This Row],[Subject]])*1)</f>
        <v>4</v>
      </c>
      <c r="F77" s="60" t="str">
        <f>D77 &amp; "-" &amp; TEXT(E77, "00")</f>
        <v>RG-04</v>
      </c>
      <c r="G77" s="21">
        <v>1</v>
      </c>
      <c r="H77" s="60" t="str">
        <f>IF(tbl_SEIN[[#This Row],[Phase]]="", "", "Phase" &amp; tbl_SEIN[[#This Row],[Phase]])</f>
        <v>Phase1</v>
      </c>
      <c r="I77" s="60" t="str">
        <f>_xlfn.XLOOKUP(tbl_SEIN[[#This Row],[Topic]], tbl_TOPIC[Topic], tbl_TOPIC[TopicID], "")</f>
        <v>RG-1-18</v>
      </c>
      <c r="J77" s="21" t="s">
        <v>955</v>
      </c>
      <c r="K77" t="s">
        <v>71</v>
      </c>
      <c r="L77" s="7">
        <v>3.4722222222222224E-2</v>
      </c>
      <c r="M77" s="61"/>
      <c r="N77" s="61"/>
      <c r="O77" s="61"/>
      <c r="P77" s="61" t="str">
        <f>_xlfn.XLOOKUP(tbl_SEIN[[#This Row],[Topic]], tbl_TOPIC[Topic], tbl_TOPIC[TopicPath], "")</f>
        <v>RG-ÜB/RG_ÜB_03: Christoffelsymbole und Kovariante Ableitung entlang Kurven</v>
      </c>
      <c r="Q77" s="61" t="str">
        <f>_xlfn.XLOOKUP(tbl_SEIN[[#This Row],[Topic]], tbl_TOPIC[Topic], tbl_TOPIC[ParentTopic], "")</f>
        <v>RG-ÜB</v>
      </c>
    </row>
    <row r="78" spans="2:17" x14ac:dyDescent="0.2">
      <c r="B78" s="4">
        <v>44327</v>
      </c>
      <c r="C78" s="4" t="str">
        <f>TEXT(WEEKNUM(tbl_SEIN[[#This Row],[Date]], 2), "00") &amp; "-" &amp; YEAR(tbl_SEIN[[#This Row],[Date]])</f>
        <v>20-2025</v>
      </c>
      <c r="D78" t="s">
        <v>453</v>
      </c>
      <c r="E78" s="60" cm="1">
        <f t="array" ref="E78">SUM((tbl_SEIN[[#This Row],[Subject]]=INDEX(tbl_SEIN[Subject],1):tbl_SEIN[[#This Row],[Subject]])*1)</f>
        <v>6</v>
      </c>
      <c r="F78" s="60" t="str">
        <f>D78 &amp; "-" &amp; TEXT(E78, "00")</f>
        <v>CM-06</v>
      </c>
      <c r="G78" s="21">
        <v>1</v>
      </c>
      <c r="H78" s="60" t="str">
        <f>IF(tbl_SEIN[[#This Row],[Phase]]="", "", "Phase" &amp; tbl_SEIN[[#This Row],[Phase]])</f>
        <v>Phase1</v>
      </c>
      <c r="I78" s="60" t="str">
        <f>_xlfn.XLOOKUP(tbl_SEIN[[#This Row],[Topic]], tbl_TOPIC[Topic], tbl_TOPIC[TopicID], "")</f>
        <v>CM-1-10</v>
      </c>
      <c r="J78" s="21" t="s">
        <v>956</v>
      </c>
      <c r="K78" t="s">
        <v>71</v>
      </c>
      <c r="L78" s="7">
        <v>4.1666666666666664E-2</v>
      </c>
      <c r="M78" s="61"/>
      <c r="N78" s="61"/>
      <c r="O78" s="61"/>
      <c r="P78" s="61" t="str">
        <f>_xlfn.XLOOKUP(tbl_SEIN[[#This Row],[Topic]], tbl_TOPIC[Topic], tbl_TOPIC[TopicPath], "")</f>
        <v>CM-ÜB/CM_ÜB_03: Kinetische Energie in Lagrange, Rollpendel, Trafo von Kart. Koord, Alembert</v>
      </c>
      <c r="Q78" s="61" t="str">
        <f>_xlfn.XLOOKUP(tbl_SEIN[[#This Row],[Topic]], tbl_TOPIC[Topic], tbl_TOPIC[ParentTopic], "")</f>
        <v>CM-ÜB</v>
      </c>
    </row>
    <row r="79" spans="2:17" x14ac:dyDescent="0.2">
      <c r="B79" s="4">
        <v>44327</v>
      </c>
      <c r="C79" s="4" t="str">
        <f>TEXT(WEEKNUM(tbl_SEIN[[#This Row],[Date]], 2), "00") &amp; "-" &amp; YEAR(tbl_SEIN[[#This Row],[Date]])</f>
        <v>20-2025</v>
      </c>
      <c r="D79" t="s">
        <v>20</v>
      </c>
      <c r="E79" s="60" cm="1">
        <f t="array" ref="E79">SUM((tbl_SEIN[[#This Row],[Subject]]=INDEX(tbl_SEIN[Subject],1):tbl_SEIN[[#This Row],[Subject]])*1)</f>
        <v>2</v>
      </c>
      <c r="F79" s="60" t="str">
        <f>D79 &amp; "-" &amp; TEXT(E79, "00")</f>
        <v>EFT1-02</v>
      </c>
      <c r="G79" s="21">
        <v>1</v>
      </c>
      <c r="H79" s="60" t="str">
        <f>IF(tbl_SEIN[[#This Row],[Phase]]="", "", "Phase" &amp; tbl_SEIN[[#This Row],[Phase]])</f>
        <v>Phase1</v>
      </c>
      <c r="I79" s="60" t="str">
        <f>_xlfn.XLOOKUP(tbl_SEIN[[#This Row],[Topic]], tbl_TOPIC[Topic], tbl_TOPIC[TopicID], "")</f>
        <v>EFT1-1-01</v>
      </c>
      <c r="J79" s="21" t="s">
        <v>595</v>
      </c>
      <c r="K79" t="s">
        <v>87</v>
      </c>
      <c r="L79" s="7">
        <v>1.3888888888888888E-2</v>
      </c>
      <c r="M79" s="61"/>
      <c r="N79" s="61"/>
      <c r="O79" s="61"/>
      <c r="P79" s="61" t="str">
        <f>_xlfn.XLOOKUP(tbl_SEIN[[#This Row],[Topic]], tbl_TOPIC[Topic], tbl_TOPIC[TopicPath], "")</f>
        <v>Eichfeldtheorie</v>
      </c>
      <c r="Q79" s="61">
        <f>_xlfn.XLOOKUP(tbl_SEIN[[#This Row],[Topic]], tbl_TOPIC[Topic], tbl_TOPIC[ParentTopic], "")</f>
        <v>0</v>
      </c>
    </row>
    <row r="80" spans="2:17" x14ac:dyDescent="0.2">
      <c r="B80" s="4">
        <v>44328</v>
      </c>
      <c r="C80" s="4" t="str">
        <f>TEXT(WEEKNUM(tbl_SEIN[[#This Row],[Date]], 2), "00") &amp; "-" &amp; YEAR(tbl_SEIN[[#This Row],[Date]])</f>
        <v>20-2025</v>
      </c>
      <c r="D80" t="s">
        <v>107</v>
      </c>
      <c r="E80" s="60" cm="1">
        <f t="array" ref="E80">SUM((tbl_SEIN[[#This Row],[Subject]]=INDEX(tbl_SEIN[Subject],1):tbl_SEIN[[#This Row],[Subject]])*1)</f>
        <v>5</v>
      </c>
      <c r="F80" s="60" t="str">
        <f>D80 &amp; "-" &amp; TEXT(E80, "00")</f>
        <v>RG-05</v>
      </c>
      <c r="G80" s="21">
        <v>1</v>
      </c>
      <c r="H80" s="60" t="str">
        <f>IF(tbl_SEIN[[#This Row],[Phase]]="", "", "Phase" &amp; tbl_SEIN[[#This Row],[Phase]])</f>
        <v>Phase1</v>
      </c>
      <c r="I80" s="60" t="str">
        <f>_xlfn.XLOOKUP(tbl_SEIN[[#This Row],[Topic]], tbl_TOPIC[Topic], tbl_TOPIC[TopicID], "")</f>
        <v/>
      </c>
      <c r="J80" s="21"/>
      <c r="K80" t="s">
        <v>63</v>
      </c>
      <c r="L80" s="7">
        <v>7.2916666666666671E-2</v>
      </c>
      <c r="M80" s="61"/>
      <c r="N80" s="61"/>
      <c r="O80" s="61"/>
      <c r="P80" s="61" t="str">
        <f>_xlfn.XLOOKUP(tbl_SEIN[[#This Row],[Topic]], tbl_TOPIC[Topic], tbl_TOPIC[TopicPath], "")</f>
        <v/>
      </c>
      <c r="Q80" s="61" t="str">
        <f>_xlfn.XLOOKUP(tbl_SEIN[[#This Row],[Topic]], tbl_TOPIC[Topic], tbl_TOPIC[ParentTopic], "")</f>
        <v/>
      </c>
    </row>
    <row r="81" spans="2:17" x14ac:dyDescent="0.2">
      <c r="B81" s="4">
        <v>44331</v>
      </c>
      <c r="C81" s="4" t="str">
        <f>TEXT(WEEKNUM(tbl_SEIN[[#This Row],[Date]], 2), "00") &amp; "-" &amp; YEAR(tbl_SEIN[[#This Row],[Date]])</f>
        <v>20-2025</v>
      </c>
      <c r="D81" t="s">
        <v>361</v>
      </c>
      <c r="E81" s="60" cm="1">
        <f t="array" ref="E81">SUM((tbl_SEIN[[#This Row],[Subject]]=INDEX(tbl_SEIN[Subject],1):tbl_SEIN[[#This Row],[Subject]])*1)</f>
        <v>14</v>
      </c>
      <c r="F81" s="60" t="str">
        <f>D81 &amp; "-" &amp; TEXT(E81, "00")</f>
        <v>QM-14</v>
      </c>
      <c r="G81" s="21">
        <v>1</v>
      </c>
      <c r="H81" s="60" t="str">
        <f>IF(tbl_SEIN[[#This Row],[Phase]]="", "", "Phase" &amp; tbl_SEIN[[#This Row],[Phase]])</f>
        <v>Phase1</v>
      </c>
      <c r="I81" s="60" t="str">
        <f>_xlfn.XLOOKUP(tbl_SEIN[[#This Row],[Topic]], tbl_TOPIC[Topic], tbl_TOPIC[TopicID], "")</f>
        <v/>
      </c>
      <c r="J81" s="21"/>
      <c r="K81" t="s">
        <v>63</v>
      </c>
      <c r="L81" s="7">
        <v>7.2916666666666671E-2</v>
      </c>
      <c r="M81" s="61"/>
      <c r="N81" s="61"/>
      <c r="O81" s="61"/>
      <c r="P81" s="61" t="str">
        <f>_xlfn.XLOOKUP(tbl_SEIN[[#This Row],[Topic]], tbl_TOPIC[Topic], tbl_TOPIC[TopicPath], "")</f>
        <v/>
      </c>
      <c r="Q81" s="61" t="str">
        <f>_xlfn.XLOOKUP(tbl_SEIN[[#This Row],[Topic]], tbl_TOPIC[Topic], tbl_TOPIC[ParentTopic], "")</f>
        <v/>
      </c>
    </row>
    <row r="82" spans="2:17" x14ac:dyDescent="0.2">
      <c r="B82" s="4">
        <v>44331</v>
      </c>
      <c r="C82" s="4" t="str">
        <f>TEXT(WEEKNUM(tbl_SEIN[[#This Row],[Date]], 2), "00") &amp; "-" &amp; YEAR(tbl_SEIN[[#This Row],[Date]])</f>
        <v>20-2025</v>
      </c>
      <c r="D82" t="s">
        <v>106</v>
      </c>
      <c r="E82" s="60" cm="1">
        <f t="array" ref="E82">SUM((tbl_SEIN[[#This Row],[Subject]]=INDEX(tbl_SEIN[Subject],1):tbl_SEIN[[#This Row],[Subject]])*1)</f>
        <v>16</v>
      </c>
      <c r="F82" s="60" t="str">
        <f>D82 &amp; "-" &amp; TEXT(E82, "00")</f>
        <v>GPDE-16</v>
      </c>
      <c r="G82" s="21">
        <v>1</v>
      </c>
      <c r="H82" s="60" t="str">
        <f>IF(tbl_SEIN[[#This Row],[Phase]]="", "", "Phase" &amp; tbl_SEIN[[#This Row],[Phase]])</f>
        <v>Phase1</v>
      </c>
      <c r="I82" s="60" t="str">
        <f>_xlfn.XLOOKUP(tbl_SEIN[[#This Row],[Topic]], tbl_TOPIC[Topic], tbl_TOPIC[TopicID], "")</f>
        <v/>
      </c>
      <c r="J82" s="21"/>
      <c r="K82" t="s">
        <v>58</v>
      </c>
      <c r="L82" s="7">
        <v>7.2916666666666671E-2</v>
      </c>
      <c r="M82" s="61"/>
      <c r="N82" s="61"/>
      <c r="O82" s="61"/>
      <c r="P82" s="61" t="str">
        <f>_xlfn.XLOOKUP(tbl_SEIN[[#This Row],[Topic]], tbl_TOPIC[Topic], tbl_TOPIC[TopicPath], "")</f>
        <v/>
      </c>
      <c r="Q82" s="61" t="str">
        <f>_xlfn.XLOOKUP(tbl_SEIN[[#This Row],[Topic]], tbl_TOPIC[Topic], tbl_TOPIC[ParentTopic], "")</f>
        <v/>
      </c>
    </row>
  </sheetData>
  <phoneticPr fontId="10" type="noConversion"/>
  <dataValidations count="2">
    <dataValidation type="list" allowBlank="1" showInputMessage="1" showErrorMessage="1" sqref="J2" xr:uid="{5BE308F5-6589-7F4C-91E1-2010DF22CCEC}">
      <formula1>AlleTopics</formula1>
    </dataValidation>
    <dataValidation type="list" allowBlank="1" showInputMessage="1" showErrorMessage="1" sqref="J3:J82" xr:uid="{4A0E4EE7-DCBA-9F48-AD75-91549C4BDFCA}">
      <formula1>INDIRECT(H3)</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A27F1-C147-BD41-8D6E-1EE7FA48FFAB}">
  <dimension ref="C1:X598"/>
  <sheetViews>
    <sheetView topLeftCell="A185" zoomScale="90" zoomScaleNormal="90" workbookViewId="0">
      <selection activeCell="F17" sqref="F17"/>
    </sheetView>
    <sheetView tabSelected="1" zoomScaleNormal="110" workbookViewId="1">
      <selection activeCell="D5" sqref="D5"/>
    </sheetView>
  </sheetViews>
  <sheetFormatPr baseColWidth="10" defaultRowHeight="16" x14ac:dyDescent="0.2"/>
  <cols>
    <col min="1" max="2" width="10.83203125" style="22"/>
    <col min="3" max="3" width="7.83203125" style="22" customWidth="1"/>
    <col min="4" max="4" width="13.5" style="22" customWidth="1"/>
    <col min="5" max="5" width="13.5" style="22" hidden="1" customWidth="1"/>
    <col min="6" max="6" width="10.83203125" style="22"/>
    <col min="7" max="7" width="11.6640625" style="22" customWidth="1"/>
    <col min="8" max="8" width="9.33203125" style="22" hidden="1" customWidth="1"/>
    <col min="9" max="9" width="9.33203125" style="22" customWidth="1"/>
    <col min="10" max="10" width="28.33203125" style="22" customWidth="1"/>
    <col min="11" max="11" width="33.33203125" style="22" customWidth="1"/>
    <col min="12" max="12" width="9" style="22" customWidth="1"/>
    <col min="13" max="13" width="7.33203125" style="22" customWidth="1"/>
    <col min="14" max="21" width="10" style="22" customWidth="1"/>
    <col min="22" max="22" width="24.1640625" style="22" customWidth="1"/>
    <col min="23" max="23" width="16.1640625" style="22" customWidth="1"/>
    <col min="24" max="24" width="46.83203125" style="22" customWidth="1"/>
    <col min="25" max="16384" width="10.83203125" style="22"/>
  </cols>
  <sheetData>
    <row r="1" spans="3:24" customFormat="1" x14ac:dyDescent="0.2"/>
    <row r="2" spans="3:24" customFormat="1" x14ac:dyDescent="0.2"/>
    <row r="3" spans="3:24" customFormat="1" x14ac:dyDescent="0.2"/>
    <row r="4" spans="3:24" customFormat="1" x14ac:dyDescent="0.2">
      <c r="C4" t="s">
        <v>6</v>
      </c>
      <c r="D4" t="s">
        <v>157</v>
      </c>
      <c r="E4" t="s">
        <v>1668</v>
      </c>
      <c r="F4" t="s">
        <v>1053</v>
      </c>
      <c r="G4" t="s">
        <v>155</v>
      </c>
      <c r="H4" t="s">
        <v>159</v>
      </c>
      <c r="I4" t="s">
        <v>1052</v>
      </c>
      <c r="J4" t="s">
        <v>93</v>
      </c>
      <c r="K4" t="s">
        <v>142</v>
      </c>
      <c r="L4" t="s">
        <v>143</v>
      </c>
      <c r="M4" t="s">
        <v>144</v>
      </c>
      <c r="N4" t="s">
        <v>145</v>
      </c>
      <c r="O4" t="s">
        <v>160</v>
      </c>
      <c r="P4" t="s">
        <v>161</v>
      </c>
      <c r="Q4" t="s">
        <v>162</v>
      </c>
      <c r="R4" t="s">
        <v>163</v>
      </c>
      <c r="S4" t="s">
        <v>164</v>
      </c>
      <c r="T4" t="s">
        <v>165</v>
      </c>
      <c r="U4" t="s">
        <v>154</v>
      </c>
      <c r="V4" t="s">
        <v>166</v>
      </c>
      <c r="W4" t="s">
        <v>94</v>
      </c>
      <c r="X4" t="s">
        <v>95</v>
      </c>
    </row>
    <row r="5" spans="3:24" ht="34" x14ac:dyDescent="0.2">
      <c r="C5" s="22" t="str">
        <f>_xlfn.XLOOKUP(tbl_CONTENT[[#This Row],[TopicID]], tbl_TOPIC[TopicID], tbl_TOPIC[Subject], "")</f>
        <v>HA</v>
      </c>
      <c r="D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HA-T12-12-01</v>
      </c>
      <c r="E5" s="22">
        <f>ROW()</f>
        <v>5</v>
      </c>
      <c r="F5" s="22" t="s">
        <v>1051</v>
      </c>
      <c r="G5" s="22" t="str">
        <f>_xlfn.XLOOKUP(tbl_CONTENT[[#This Row],[Topic]], tbl_TOPIC[Topic], tbl_TOPIC[TopicID], "")</f>
        <v>HA-1-12</v>
      </c>
      <c r="H5" s="22" cm="1">
        <f t="array" ref="H5">SUM((tbl_CONTENT[[#This Row],[TopicID]]=INDEX(tbl_CONTENT[TopicID],1):tbl_CONTENT[[#This Row],[TopicID]])*1)</f>
        <v>1</v>
      </c>
      <c r="I5" s="22" t="str">
        <f>_xlfn.XLOOKUP(tbl_CONTENT[[#This Row],[Topic]], tbl_TOPIC[Topic], tbl_TOPIC[TopicIndex], "")</f>
        <v>12</v>
      </c>
      <c r="J5" s="22" t="s">
        <v>123</v>
      </c>
      <c r="K5" s="22" t="s">
        <v>168</v>
      </c>
      <c r="L5" s="22" t="s">
        <v>152</v>
      </c>
      <c r="M5" s="22">
        <v>1</v>
      </c>
      <c r="N5" s="22">
        <v>1</v>
      </c>
      <c r="O5" s="22">
        <v>1</v>
      </c>
      <c r="P5" s="22">
        <v>5</v>
      </c>
      <c r="Q5" s="22">
        <v>5</v>
      </c>
      <c r="S5" s="35">
        <f>IFERROR(
 (1.907*EXP(1)^(-0.5*tbl_CONTENT[[#This Row],[Layer]])) *
 ((tbl_CONTENT[[#This Row],[RelInt]]-1)^(2.5)*4^(1-2.5)+1) +
 ((tbl_CONTENT[[#This Row],[Comp]]-1)^(2.5)*4^(1-2.5)+1)*(0.5*((tbl_CONTENT[[#This Row],[RelInt]]-1)/4)^(2.5)+1),
 0
)</f>
        <v>7.2832698403599609</v>
      </c>
      <c r="T5" s="35">
        <f>IFERROR(
 (1.907*EXP(1)^(-0.5*VALUE(tbl_CONTENT[[#This Row],[Layer]]))) *
 ((VALUE(tbl_CONTENT[[#This Row],[RelId]])-1)^(2.5)*4^(1-2.5)+1) +
 ((VALUE(tbl_CONTENT[[#This Row],[Comp]])-1)^(2.5)*4^(1-2.5)+1)*(0.5*((VALUE(tbl_CONTENT[[#This Row],[RelId]])-1)/4)^(2.5)+1),
 0
)</f>
        <v>7.2832698403599609</v>
      </c>
      <c r="W5" s="22" t="str">
        <f>IFERROR(
  IF(_xlfn.XLOOKUP(tbl_CONTENT[[#This Row],[Topic]], tbl_TOPIC[Topic], tbl_TOPIC[ParentTopic])="", "",
       _xlfn.XLOOKUP(tbl_CONTENT[[#This Row],[Topic]], tbl_TOPIC[Topic], tbl_TOPIC[ParentTopic])),
  ""
)</f>
        <v/>
      </c>
      <c r="X5" s="22" t="str">
        <f>IFERROR(
  IF(_xlfn.XLOOKUP(tbl_CONTENT[[#This Row],[Topic]], tbl_TOPIC[Topic], tbl_TOPIC[TopicPath])="", "",
       _xlfn.XLOOKUP(tbl_CONTENT[[#This Row],[Topic]], tbl_TOPIC[Topic], tbl_TOPIC[TopicPath])),
  ""
)</f>
        <v>Kategorische Formulierung der Homologietheorie</v>
      </c>
    </row>
    <row r="6" spans="3:24" ht="34" x14ac:dyDescent="0.2">
      <c r="C6" s="22" t="str">
        <f>_xlfn.XLOOKUP(tbl_CONTENT[[#This Row],[TopicID]], tbl_TOPIC[TopicID], tbl_TOPIC[Subject], "")</f>
        <v>HA</v>
      </c>
      <c r="D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HA-T12-07-01</v>
      </c>
      <c r="E6" s="22">
        <f>ROW()</f>
        <v>6</v>
      </c>
      <c r="F6" s="22" t="s">
        <v>1051</v>
      </c>
      <c r="G6" s="22" t="str">
        <f>_xlfn.XLOOKUP(tbl_CONTENT[[#This Row],[Topic]], tbl_TOPIC[Topic], tbl_TOPIC[TopicID], "")</f>
        <v>HA-1-07</v>
      </c>
      <c r="H6" s="22" cm="1">
        <f t="array" ref="H6">SUM((tbl_CONTENT[[#This Row],[TopicID]]=INDEX(tbl_CONTENT[TopicID],1):tbl_CONTENT[[#This Row],[TopicID]])*1)</f>
        <v>1</v>
      </c>
      <c r="I6" s="22" t="str">
        <f>_xlfn.XLOOKUP(tbl_CONTENT[[#This Row],[Topic]], tbl_TOPIC[Topic], tbl_TOPIC[TopicIndex], "")</f>
        <v>07</v>
      </c>
      <c r="J6" s="22" t="s">
        <v>169</v>
      </c>
      <c r="K6" s="22" t="s">
        <v>171</v>
      </c>
      <c r="L6" s="22" t="s">
        <v>149</v>
      </c>
      <c r="M6" s="22">
        <v>1</v>
      </c>
      <c r="N6" s="22">
        <v>1</v>
      </c>
      <c r="O6" s="22">
        <v>2</v>
      </c>
      <c r="P6" s="22">
        <v>5</v>
      </c>
      <c r="Q6" s="22">
        <v>5</v>
      </c>
      <c r="S6" s="35">
        <f>IFERROR(
 (1.907*EXP(1)^(-0.5*tbl_CONTENT[[#This Row],[Layer]])) *
 ((tbl_CONTENT[[#This Row],[RelInt]]-1)^(2.5)*4^(1-2.5)+1) +
 ((tbl_CONTENT[[#This Row],[Comp]]-1)^(2.5)*4^(1-2.5)+1)*(0.5*((tbl_CONTENT[[#This Row],[RelInt]]-1)/4)^(2.5)+1),
 0
)</f>
        <v>7.4707698403599609</v>
      </c>
      <c r="T6" s="35">
        <f>IFERROR(
 (1.907*EXP(1)^(-0.5*VALUE(tbl_CONTENT[[#This Row],[Layer]]))) *
 ((VALUE(tbl_CONTENT[[#This Row],[RelId]])-1)^(2.5)*4^(1-2.5)+1) +
 ((VALUE(tbl_CONTENT[[#This Row],[Comp]])-1)^(2.5)*4^(1-2.5)+1)*(0.5*((VALUE(tbl_CONTENT[[#This Row],[RelId]])-1)/4)^(2.5)+1),
 0
)</f>
        <v>7.4707698403599609</v>
      </c>
      <c r="W6" s="22" t="str">
        <f>IFERROR(
  IF(_xlfn.XLOOKUP(tbl_CONTENT[[#This Row],[Topic]], tbl_TOPIC[Topic], tbl_TOPIC[ParentTopic])="", "",
       _xlfn.XLOOKUP(tbl_CONTENT[[#This Row],[Topic]], tbl_TOPIC[Topic], tbl_TOPIC[ParentTopic])),
  ""
)</f>
        <v/>
      </c>
      <c r="X6" s="22" t="str">
        <f>IFERROR(
  IF(_xlfn.XLOOKUP(tbl_CONTENT[[#This Row],[Topic]], tbl_TOPIC[Topic], tbl_TOPIC[TopicPath])="", "",
       _xlfn.XLOOKUP(tbl_CONTENT[[#This Row],[Topic]], tbl_TOPIC[Topic], tbl_TOPIC[TopicPath])),
  ""
)</f>
        <v>Hilftslemma für Diagramme der HA</v>
      </c>
    </row>
    <row r="7" spans="3:24" ht="34" x14ac:dyDescent="0.2">
      <c r="C7" s="22" t="str">
        <f>_xlfn.XLOOKUP(tbl_CONTENT[[#This Row],[TopicID]], tbl_TOPIC[TopicID], tbl_TOPIC[Subject], "")</f>
        <v>HA</v>
      </c>
      <c r="D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HA-T12-07-02</v>
      </c>
      <c r="E7" s="22">
        <f>ROW()</f>
        <v>7</v>
      </c>
      <c r="F7" s="22" t="s">
        <v>1051</v>
      </c>
      <c r="G7" s="22" t="str">
        <f>_xlfn.XLOOKUP(tbl_CONTENT[[#This Row],[Topic]], tbl_TOPIC[Topic], tbl_TOPIC[TopicID], "")</f>
        <v>HA-1-07</v>
      </c>
      <c r="H7" s="22" cm="1">
        <f t="array" ref="H7">SUM((tbl_CONTENT[[#This Row],[TopicID]]=INDEX(tbl_CONTENT[TopicID],1):tbl_CONTENT[[#This Row],[TopicID]])*1)</f>
        <v>2</v>
      </c>
      <c r="I7" s="22" t="str">
        <f>_xlfn.XLOOKUP(tbl_CONTENT[[#This Row],[Topic]], tbl_TOPIC[Topic], tbl_TOPIC[TopicIndex], "")</f>
        <v>07</v>
      </c>
      <c r="J7" s="22" t="s">
        <v>169</v>
      </c>
      <c r="K7" s="22" t="s">
        <v>172</v>
      </c>
      <c r="L7" s="22" t="s">
        <v>149</v>
      </c>
      <c r="M7" s="36">
        <v>1</v>
      </c>
      <c r="N7" s="22">
        <v>1</v>
      </c>
      <c r="O7" s="22">
        <v>2</v>
      </c>
      <c r="P7" s="22">
        <v>5</v>
      </c>
      <c r="Q7" s="22">
        <v>5</v>
      </c>
      <c r="S7" s="35">
        <f>IFERROR(
 (1.907*EXP(1)^(-0.5*tbl_CONTENT[[#This Row],[Layer]])) *
 ((tbl_CONTENT[[#This Row],[RelInt]]-1)^(2.5)*4^(1-2.5)+1) +
 ((tbl_CONTENT[[#This Row],[Comp]]-1)^(2.5)*4^(1-2.5)+1)*(0.5*((tbl_CONTENT[[#This Row],[RelInt]]-1)/4)^(2.5)+1),
 0
)</f>
        <v>7.4707698403599609</v>
      </c>
      <c r="T7" s="35">
        <f>IFERROR(
 (1.907*EXP(1)^(-0.5*VALUE(tbl_CONTENT[[#This Row],[Layer]]))) *
 ((VALUE(tbl_CONTENT[[#This Row],[RelId]])-1)^(2.5)*4^(1-2.5)+1) +
 ((VALUE(tbl_CONTENT[[#This Row],[Comp]])-1)^(2.5)*4^(1-2.5)+1)*(0.5*((VALUE(tbl_CONTENT[[#This Row],[RelId]])-1)/4)^(2.5)+1),
 0
)</f>
        <v>7.4707698403599609</v>
      </c>
      <c r="W7" s="22" t="str">
        <f>IFERROR(
  IF(_xlfn.XLOOKUP(tbl_CONTENT[[#This Row],[Topic]], tbl_TOPIC[Topic], tbl_TOPIC[ParentTopic])="", "",
       _xlfn.XLOOKUP(tbl_CONTENT[[#This Row],[Topic]], tbl_TOPIC[Topic], tbl_TOPIC[ParentTopic])),
  ""
)</f>
        <v/>
      </c>
      <c r="X7" s="22" t="str">
        <f>IFERROR(
  IF(_xlfn.XLOOKUP(tbl_CONTENT[[#This Row],[Topic]], tbl_TOPIC[Topic], tbl_TOPIC[TopicPath])="", "",
       _xlfn.XLOOKUP(tbl_CONTENT[[#This Row],[Topic]], tbl_TOPIC[Topic], tbl_TOPIC[TopicPath])),
  ""
)</f>
        <v>Hilftslemma für Diagramme der HA</v>
      </c>
    </row>
    <row r="8" spans="3:24" ht="34" x14ac:dyDescent="0.2">
      <c r="C8" s="22" t="str">
        <f>_xlfn.XLOOKUP(tbl_CONTENT[[#This Row],[TopicID]], tbl_TOPIC[TopicID], tbl_TOPIC[Subject], "")</f>
        <v>HA</v>
      </c>
      <c r="D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HA-T12-07-03</v>
      </c>
      <c r="E8" s="22">
        <f>ROW()</f>
        <v>8</v>
      </c>
      <c r="F8" s="22" t="s">
        <v>1051</v>
      </c>
      <c r="G8" s="22" t="str">
        <f>_xlfn.XLOOKUP(tbl_CONTENT[[#This Row],[Topic]], tbl_TOPIC[Topic], tbl_TOPIC[TopicID], "")</f>
        <v>HA-1-07</v>
      </c>
      <c r="H8" s="22" cm="1">
        <f t="array" ref="H8">SUM((tbl_CONTENT[[#This Row],[TopicID]]=INDEX(tbl_CONTENT[TopicID],1):tbl_CONTENT[[#This Row],[TopicID]])*1)</f>
        <v>3</v>
      </c>
      <c r="I8" s="22" t="str">
        <f>_xlfn.XLOOKUP(tbl_CONTENT[[#This Row],[Topic]], tbl_TOPIC[Topic], tbl_TOPIC[TopicIndex], "")</f>
        <v>07</v>
      </c>
      <c r="J8" s="22" t="s">
        <v>169</v>
      </c>
      <c r="K8" s="22" t="s">
        <v>1034</v>
      </c>
      <c r="L8" s="22" t="s">
        <v>149</v>
      </c>
      <c r="M8" s="36">
        <v>1</v>
      </c>
      <c r="N8" s="22">
        <v>1</v>
      </c>
      <c r="O8" s="22">
        <v>3</v>
      </c>
      <c r="P8" s="22">
        <v>3</v>
      </c>
      <c r="Q8" s="22">
        <v>3</v>
      </c>
      <c r="S8" s="35">
        <f>IFERROR(
 (1.907*EXP(1)^(-0.5*tbl_CONTENT[[#This Row],[Layer]])) *
 ((tbl_CONTENT[[#This Row],[RelInt]]-1)^(2.5)*4^(1-2.5)+1) +
 ((tbl_CONTENT[[#This Row],[Comp]]-1)^(2.5)*4^(1-2.5)+1)*(0.5*((tbl_CONTENT[[#This Row],[RelInt]]-1)/4)^(2.5)+1),
 0
)</f>
        <v>3.8325269612168924</v>
      </c>
      <c r="T8" s="35">
        <f>IFERROR(
 (1.907*EXP(1)^(-0.5*VALUE(tbl_CONTENT[[#This Row],[Layer]]))) *
 ((VALUE(tbl_CONTENT[[#This Row],[RelId]])-1)^(2.5)*4^(1-2.5)+1) +
 ((VALUE(tbl_CONTENT[[#This Row],[Comp]])-1)^(2.5)*4^(1-2.5)+1)*(0.5*((VALUE(tbl_CONTENT[[#This Row],[RelId]])-1)/4)^(2.5)+1),
 0
)</f>
        <v>3.8325269612168924</v>
      </c>
      <c r="W8" s="22" t="str">
        <f>IFERROR(
  IF(_xlfn.XLOOKUP(tbl_CONTENT[[#This Row],[Topic]], tbl_TOPIC[Topic], tbl_TOPIC[ParentTopic])="", "",
       _xlfn.XLOOKUP(tbl_CONTENT[[#This Row],[Topic]], tbl_TOPIC[Topic], tbl_TOPIC[ParentTopic])),
  ""
)</f>
        <v/>
      </c>
      <c r="X8" s="22" t="str">
        <f>IFERROR(
  IF(_xlfn.XLOOKUP(tbl_CONTENT[[#This Row],[Topic]], tbl_TOPIC[Topic], tbl_TOPIC[TopicPath])="", "",
       _xlfn.XLOOKUP(tbl_CONTENT[[#This Row],[Topic]], tbl_TOPIC[Topic], tbl_TOPIC[TopicPath])),
  ""
)</f>
        <v>Hilftslemma für Diagramme der HA</v>
      </c>
    </row>
    <row r="9" spans="3:24" ht="34" x14ac:dyDescent="0.2">
      <c r="C9" s="22" t="str">
        <f>_xlfn.XLOOKUP(tbl_CONTENT[[#This Row],[TopicID]], tbl_TOPIC[TopicID], tbl_TOPIC[Subject], "")</f>
        <v>HA</v>
      </c>
      <c r="D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HA-T12-07-04</v>
      </c>
      <c r="E9" s="22">
        <f>ROW()</f>
        <v>9</v>
      </c>
      <c r="F9" s="22" t="s">
        <v>1051</v>
      </c>
      <c r="G9" s="22" t="str">
        <f>_xlfn.XLOOKUP(tbl_CONTENT[[#This Row],[Topic]], tbl_TOPIC[Topic], tbl_TOPIC[TopicID], "")</f>
        <v>HA-1-07</v>
      </c>
      <c r="H9" s="22" cm="1">
        <f t="array" ref="H9">SUM((tbl_CONTENT[[#This Row],[TopicID]]=INDEX(tbl_CONTENT[TopicID],1):tbl_CONTENT[[#This Row],[TopicID]])*1)</f>
        <v>4</v>
      </c>
      <c r="I9" s="22" t="str">
        <f>_xlfn.XLOOKUP(tbl_CONTENT[[#This Row],[Topic]], tbl_TOPIC[Topic], tbl_TOPIC[TopicIndex], "")</f>
        <v>07</v>
      </c>
      <c r="J9" s="22" t="s">
        <v>169</v>
      </c>
      <c r="K9" s="22" t="s">
        <v>173</v>
      </c>
      <c r="L9" s="22" t="s">
        <v>149</v>
      </c>
      <c r="M9" s="36">
        <v>1</v>
      </c>
      <c r="N9" s="22">
        <v>1</v>
      </c>
      <c r="O9" s="22">
        <v>3</v>
      </c>
      <c r="P9" s="22">
        <v>4</v>
      </c>
      <c r="Q9" s="22">
        <v>4</v>
      </c>
      <c r="S9" s="35">
        <f>IFERROR(
 (1.907*EXP(1)^(-0.5*tbl_CONTENT[[#This Row],[Layer]])) *
 ((tbl_CONTENT[[#This Row],[RelInt]]-1)^(2.5)*4^(1-2.5)+1) +
 ((tbl_CONTENT[[#This Row],[Comp]]-1)^(2.5)*4^(1-2.5)+1)*(0.5*((tbl_CONTENT[[#This Row],[RelInt]]-1)/4)^(2.5)+1),
 0
)</f>
        <v>5.5333665110238019</v>
      </c>
      <c r="T9" s="35">
        <f>IFERROR(
 (1.907*EXP(1)^(-0.5*VALUE(tbl_CONTENT[[#This Row],[Layer]]))) *
 ((VALUE(tbl_CONTENT[[#This Row],[RelId]])-1)^(2.5)*4^(1-2.5)+1) +
 ((VALUE(tbl_CONTENT[[#This Row],[Comp]])-1)^(2.5)*4^(1-2.5)+1)*(0.5*((VALUE(tbl_CONTENT[[#This Row],[RelId]])-1)/4)^(2.5)+1),
 0
)</f>
        <v>5.5333665110238019</v>
      </c>
      <c r="W9" s="22" t="str">
        <f>IFERROR(
  IF(_xlfn.XLOOKUP(tbl_CONTENT[[#This Row],[Topic]], tbl_TOPIC[Topic], tbl_TOPIC[ParentTopic])="", "",
       _xlfn.XLOOKUP(tbl_CONTENT[[#This Row],[Topic]], tbl_TOPIC[Topic], tbl_TOPIC[ParentTopic])),
  ""
)</f>
        <v/>
      </c>
      <c r="X9" s="22" t="str">
        <f>IFERROR(
  IF(_xlfn.XLOOKUP(tbl_CONTENT[[#This Row],[Topic]], tbl_TOPIC[Topic], tbl_TOPIC[TopicPath])="", "",
       _xlfn.XLOOKUP(tbl_CONTENT[[#This Row],[Topic]], tbl_TOPIC[Topic], tbl_TOPIC[TopicPath])),
  ""
)</f>
        <v>Hilftslemma für Diagramme der HA</v>
      </c>
    </row>
    <row r="10" spans="3:24" ht="34" x14ac:dyDescent="0.2">
      <c r="C10" s="22" t="str">
        <f>_xlfn.XLOOKUP(tbl_CONTENT[[#This Row],[TopicID]], tbl_TOPIC[TopicID], tbl_TOPIC[Subject], "")</f>
        <v>HA</v>
      </c>
      <c r="D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HA-T12-07-05</v>
      </c>
      <c r="E10" s="22">
        <f>ROW()</f>
        <v>10</v>
      </c>
      <c r="F10" s="22" t="s">
        <v>1051</v>
      </c>
      <c r="G10" s="22" t="str">
        <f>_xlfn.XLOOKUP(tbl_CONTENT[[#This Row],[Topic]], tbl_TOPIC[Topic], tbl_TOPIC[TopicID], "")</f>
        <v>HA-1-07</v>
      </c>
      <c r="H10" s="22" cm="1">
        <f t="array" ref="H10">SUM((tbl_CONTENT[[#This Row],[TopicID]]=INDEX(tbl_CONTENT[TopicID],1):tbl_CONTENT[[#This Row],[TopicID]])*1)</f>
        <v>5</v>
      </c>
      <c r="I10" s="22" t="str">
        <f>_xlfn.XLOOKUP(tbl_CONTENT[[#This Row],[Topic]], tbl_TOPIC[Topic], tbl_TOPIC[TopicIndex], "")</f>
        <v>07</v>
      </c>
      <c r="J10" s="22" t="s">
        <v>169</v>
      </c>
      <c r="K10" s="22" t="s">
        <v>988</v>
      </c>
      <c r="L10" s="22" t="s">
        <v>149</v>
      </c>
      <c r="M10" s="36">
        <v>1</v>
      </c>
      <c r="N10" s="22">
        <v>1</v>
      </c>
      <c r="O10" s="22">
        <v>3</v>
      </c>
      <c r="P10" s="22">
        <v>3</v>
      </c>
      <c r="Q10" s="22">
        <v>3</v>
      </c>
      <c r="S10" s="35">
        <f>IFERROR(
 (1.907*EXP(1)^(-0.5*tbl_CONTENT[[#This Row],[Layer]])) *
 ((tbl_CONTENT[[#This Row],[RelInt]]-1)^(2.5)*4^(1-2.5)+1) +
 ((tbl_CONTENT[[#This Row],[Comp]]-1)^(2.5)*4^(1-2.5)+1)*(0.5*((tbl_CONTENT[[#This Row],[RelInt]]-1)/4)^(2.5)+1),
 0
)</f>
        <v>3.8325269612168924</v>
      </c>
      <c r="T10" s="35">
        <f>IFERROR(
 (1.907*EXP(1)^(-0.5*VALUE(tbl_CONTENT[[#This Row],[Layer]]))) *
 ((VALUE(tbl_CONTENT[[#This Row],[RelId]])-1)^(2.5)*4^(1-2.5)+1) +
 ((VALUE(tbl_CONTENT[[#This Row],[Comp]])-1)^(2.5)*4^(1-2.5)+1)*(0.5*((VALUE(tbl_CONTENT[[#This Row],[RelId]])-1)/4)^(2.5)+1),
 0
)</f>
        <v>3.8325269612168924</v>
      </c>
      <c r="W10" s="22" t="str">
        <f>IFERROR(
  IF(_xlfn.XLOOKUP(tbl_CONTENT[[#This Row],[Topic]], tbl_TOPIC[Topic], tbl_TOPIC[ParentTopic])="", "",
       _xlfn.XLOOKUP(tbl_CONTENT[[#This Row],[Topic]], tbl_TOPIC[Topic], tbl_TOPIC[ParentTopic])),
  ""
)</f>
        <v/>
      </c>
      <c r="X10" s="22" t="str">
        <f>IFERROR(
  IF(_xlfn.XLOOKUP(tbl_CONTENT[[#This Row],[Topic]], tbl_TOPIC[Topic], tbl_TOPIC[TopicPath])="", "",
       _xlfn.XLOOKUP(tbl_CONTENT[[#This Row],[Topic]], tbl_TOPIC[Topic], tbl_TOPIC[TopicPath])),
  ""
)</f>
        <v>Hilftslemma für Diagramme der HA</v>
      </c>
    </row>
    <row r="11" spans="3:24" ht="34" x14ac:dyDescent="0.2">
      <c r="C11" s="22" t="str">
        <f>_xlfn.XLOOKUP(tbl_CONTENT[[#This Row],[TopicID]], tbl_TOPIC[TopicID], tbl_TOPIC[Subject], "")</f>
        <v>HA</v>
      </c>
      <c r="D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HA-T12-07-06</v>
      </c>
      <c r="E11" s="22">
        <f>ROW()</f>
        <v>11</v>
      </c>
      <c r="F11" s="22" t="s">
        <v>1051</v>
      </c>
      <c r="G11" s="22" t="str">
        <f>_xlfn.XLOOKUP(tbl_CONTENT[[#This Row],[Topic]], tbl_TOPIC[Topic], tbl_TOPIC[TopicID], "")</f>
        <v>HA-1-07</v>
      </c>
      <c r="H11" s="22" cm="1">
        <f t="array" ref="H11">SUM((tbl_CONTENT[[#This Row],[TopicID]]=INDEX(tbl_CONTENT[TopicID],1):tbl_CONTENT[[#This Row],[TopicID]])*1)</f>
        <v>6</v>
      </c>
      <c r="I11" s="22" t="str">
        <f>_xlfn.XLOOKUP(tbl_CONTENT[[#This Row],[Topic]], tbl_TOPIC[Topic], tbl_TOPIC[TopicIndex], "")</f>
        <v>07</v>
      </c>
      <c r="J11" s="22" t="s">
        <v>169</v>
      </c>
      <c r="K11" s="22" t="s">
        <v>1035</v>
      </c>
      <c r="L11" s="22" t="s">
        <v>149</v>
      </c>
      <c r="M11" s="36">
        <v>1</v>
      </c>
      <c r="N11" s="22">
        <v>1</v>
      </c>
      <c r="O11" s="22">
        <v>3</v>
      </c>
      <c r="P11" s="22">
        <v>4</v>
      </c>
      <c r="Q11" s="22">
        <v>4</v>
      </c>
      <c r="S11" s="35">
        <f>IFERROR(
 (1.907*EXP(1)^(-0.5*tbl_CONTENT[[#This Row],[Layer]])) *
 ((tbl_CONTENT[[#This Row],[RelInt]]-1)^(2.5)*4^(1-2.5)+1) +
 ((tbl_CONTENT[[#This Row],[Comp]]-1)^(2.5)*4^(1-2.5)+1)*(0.5*((tbl_CONTENT[[#This Row],[RelInt]]-1)/4)^(2.5)+1),
 0
)</f>
        <v>5.5333665110238019</v>
      </c>
      <c r="T11" s="35">
        <f>IFERROR(
 (1.907*EXP(1)^(-0.5*VALUE(tbl_CONTENT[[#This Row],[Layer]]))) *
 ((VALUE(tbl_CONTENT[[#This Row],[RelId]])-1)^(2.5)*4^(1-2.5)+1) +
 ((VALUE(tbl_CONTENT[[#This Row],[Comp]])-1)^(2.5)*4^(1-2.5)+1)*(0.5*((VALUE(tbl_CONTENT[[#This Row],[RelId]])-1)/4)^(2.5)+1),
 0
)</f>
        <v>5.5333665110238019</v>
      </c>
      <c r="W11" s="22" t="str">
        <f>IFERROR(
  IF(_xlfn.XLOOKUP(tbl_CONTENT[[#This Row],[Topic]], tbl_TOPIC[Topic], tbl_TOPIC[ParentTopic])="", "",
       _xlfn.XLOOKUP(tbl_CONTENT[[#This Row],[Topic]], tbl_TOPIC[Topic], tbl_TOPIC[ParentTopic])),
  ""
)</f>
        <v/>
      </c>
      <c r="X11" s="22" t="str">
        <f>IFERROR(
  IF(_xlfn.XLOOKUP(tbl_CONTENT[[#This Row],[Topic]], tbl_TOPIC[Topic], tbl_TOPIC[TopicPath])="", "",
       _xlfn.XLOOKUP(tbl_CONTENT[[#This Row],[Topic]], tbl_TOPIC[Topic], tbl_TOPIC[TopicPath])),
  ""
)</f>
        <v>Hilftslemma für Diagramme der HA</v>
      </c>
    </row>
    <row r="12" spans="3:24" ht="34" x14ac:dyDescent="0.2">
      <c r="C12" s="22" t="str">
        <f>_xlfn.XLOOKUP(tbl_CONTENT[[#This Row],[TopicID]], tbl_TOPIC[TopicID], tbl_TOPIC[Subject], "")</f>
        <v>HA</v>
      </c>
      <c r="D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HA-T12-07-07</v>
      </c>
      <c r="E12" s="22">
        <f>ROW()</f>
        <v>12</v>
      </c>
      <c r="F12" s="22" t="s">
        <v>1051</v>
      </c>
      <c r="G12" s="22" t="str">
        <f>_xlfn.XLOOKUP(tbl_CONTENT[[#This Row],[Topic]], tbl_TOPIC[Topic], tbl_TOPIC[TopicID], "")</f>
        <v>HA-1-07</v>
      </c>
      <c r="H12" s="22" cm="1">
        <f t="array" ref="H12">SUM((tbl_CONTENT[[#This Row],[TopicID]]=INDEX(tbl_CONTENT[TopicID],1):tbl_CONTENT[[#This Row],[TopicID]])*1)</f>
        <v>7</v>
      </c>
      <c r="I12" s="22" t="str">
        <f>_xlfn.XLOOKUP(tbl_CONTENT[[#This Row],[Topic]], tbl_TOPIC[Topic], tbl_TOPIC[TopicIndex], "")</f>
        <v>07</v>
      </c>
      <c r="J12" s="22" t="s">
        <v>169</v>
      </c>
      <c r="K12" s="22" t="s">
        <v>175</v>
      </c>
      <c r="L12" s="22" t="s">
        <v>149</v>
      </c>
      <c r="M12" s="36">
        <v>1</v>
      </c>
      <c r="N12" s="22">
        <v>2</v>
      </c>
      <c r="O12" s="22">
        <v>3</v>
      </c>
      <c r="P12" s="22">
        <v>2</v>
      </c>
      <c r="Q12" s="22">
        <v>2</v>
      </c>
      <c r="S12" s="35">
        <f>IFERROR(
 (1.907*EXP(1)^(-0.5*tbl_CONTENT[[#This Row],[Layer]])) *
 ((tbl_CONTENT[[#This Row],[RelInt]]-1)^(2.5)*4^(1-2.5)+1) +
 ((tbl_CONTENT[[#This Row],[Comp]]-1)^(2.5)*4^(1-2.5)+1)*(0.5*((tbl_CONTENT[[#This Row],[RelInt]]-1)/4)^(2.5)+1),
 0
)</f>
        <v>2.5230196807457705</v>
      </c>
      <c r="T12" s="35">
        <f>IFERROR(
 (1.907*EXP(1)^(-0.5*VALUE(tbl_CONTENT[[#This Row],[Layer]]))) *
 ((VALUE(tbl_CONTENT[[#This Row],[RelId]])-1)^(2.5)*4^(1-2.5)+1) +
 ((VALUE(tbl_CONTENT[[#This Row],[Comp]])-1)^(2.5)*4^(1-2.5)+1)*(0.5*((VALUE(tbl_CONTENT[[#This Row],[RelId]])-1)/4)^(2.5)+1),
 0
)</f>
        <v>2.5230196807457705</v>
      </c>
      <c r="W12" s="22" t="str">
        <f>IFERROR(
  IF(_xlfn.XLOOKUP(tbl_CONTENT[[#This Row],[Topic]], tbl_TOPIC[Topic], tbl_TOPIC[ParentTopic])="", "",
       _xlfn.XLOOKUP(tbl_CONTENT[[#This Row],[Topic]], tbl_TOPIC[Topic], tbl_TOPIC[ParentTopic])),
  ""
)</f>
        <v/>
      </c>
      <c r="X12" s="22" t="str">
        <f>IFERROR(
  IF(_xlfn.XLOOKUP(tbl_CONTENT[[#This Row],[Topic]], tbl_TOPIC[Topic], tbl_TOPIC[TopicPath])="", "",
       _xlfn.XLOOKUP(tbl_CONTENT[[#This Row],[Topic]], tbl_TOPIC[Topic], tbl_TOPIC[TopicPath])),
  ""
)</f>
        <v>Hilftslemma für Diagramme der HA</v>
      </c>
    </row>
    <row r="13" spans="3:24" ht="34" x14ac:dyDescent="0.2">
      <c r="C13" s="22" t="str">
        <f>_xlfn.XLOOKUP(tbl_CONTENT[[#This Row],[TopicID]], tbl_TOPIC[TopicID], tbl_TOPIC[Subject], "")</f>
        <v>HA</v>
      </c>
      <c r="D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HA-T12-07-08</v>
      </c>
      <c r="E13" s="22">
        <f>ROW()</f>
        <v>13</v>
      </c>
      <c r="F13" s="22" t="s">
        <v>1051</v>
      </c>
      <c r="G13" s="22" t="str">
        <f>_xlfn.XLOOKUP(tbl_CONTENT[[#This Row],[Topic]], tbl_TOPIC[Topic], tbl_TOPIC[TopicID], "")</f>
        <v>HA-1-07</v>
      </c>
      <c r="H13" s="22" cm="1">
        <f t="array" ref="H13">SUM((tbl_CONTENT[[#This Row],[TopicID]]=INDEX(tbl_CONTENT[TopicID],1):tbl_CONTENT[[#This Row],[TopicID]])*1)</f>
        <v>8</v>
      </c>
      <c r="I13" s="22" t="str">
        <f>_xlfn.XLOOKUP(tbl_CONTENT[[#This Row],[Topic]], tbl_TOPIC[Topic], tbl_TOPIC[TopicIndex], "")</f>
        <v>07</v>
      </c>
      <c r="J13" s="22" t="s">
        <v>169</v>
      </c>
      <c r="K13" s="22" t="s">
        <v>174</v>
      </c>
      <c r="L13" s="22" t="s">
        <v>149</v>
      </c>
      <c r="M13" s="36">
        <v>1</v>
      </c>
      <c r="N13" s="22">
        <v>1</v>
      </c>
      <c r="O13" s="22">
        <v>3</v>
      </c>
      <c r="P13" s="22">
        <v>4</v>
      </c>
      <c r="Q13" s="22">
        <v>4</v>
      </c>
      <c r="S13" s="35">
        <f>IFERROR(
 (1.907*EXP(1)^(-0.5*tbl_CONTENT[[#This Row],[Layer]])) *
 ((tbl_CONTENT[[#This Row],[RelInt]]-1)^(2.5)*4^(1-2.5)+1) +
 ((tbl_CONTENT[[#This Row],[Comp]]-1)^(2.5)*4^(1-2.5)+1)*(0.5*((tbl_CONTENT[[#This Row],[RelInt]]-1)/4)^(2.5)+1),
 0
)</f>
        <v>5.5333665110238019</v>
      </c>
      <c r="T13" s="35">
        <f>IFERROR(
 (1.907*EXP(1)^(-0.5*VALUE(tbl_CONTENT[[#This Row],[Layer]]))) *
 ((VALUE(tbl_CONTENT[[#This Row],[RelId]])-1)^(2.5)*4^(1-2.5)+1) +
 ((VALUE(tbl_CONTENT[[#This Row],[Comp]])-1)^(2.5)*4^(1-2.5)+1)*(0.5*((VALUE(tbl_CONTENT[[#This Row],[RelId]])-1)/4)^(2.5)+1),
 0
)</f>
        <v>5.5333665110238019</v>
      </c>
      <c r="W13" s="22" t="str">
        <f>IFERROR(
  IF(_xlfn.XLOOKUP(tbl_CONTENT[[#This Row],[Topic]], tbl_TOPIC[Topic], tbl_TOPIC[ParentTopic])="", "",
       _xlfn.XLOOKUP(tbl_CONTENT[[#This Row],[Topic]], tbl_TOPIC[Topic], tbl_TOPIC[ParentTopic])),
  ""
)</f>
        <v/>
      </c>
      <c r="X13" s="22" t="str">
        <f>IFERROR(
  IF(_xlfn.XLOOKUP(tbl_CONTENT[[#This Row],[Topic]], tbl_TOPIC[Topic], tbl_TOPIC[TopicPath])="", "",
       _xlfn.XLOOKUP(tbl_CONTENT[[#This Row],[Topic]], tbl_TOPIC[Topic], tbl_TOPIC[TopicPath])),
  ""
)</f>
        <v>Hilftslemma für Diagramme der HA</v>
      </c>
    </row>
    <row r="14" spans="3:24" ht="17" x14ac:dyDescent="0.2">
      <c r="C14" s="22" t="str">
        <f>_xlfn.XLOOKUP(tbl_CONTENT[[#This Row],[TopicID]], tbl_TOPIC[TopicID], tbl_TOPIC[Subject], "")</f>
        <v>HA</v>
      </c>
      <c r="D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HA-T12-10-01</v>
      </c>
      <c r="E14" s="22">
        <f>ROW()</f>
        <v>14</v>
      </c>
      <c r="F14" s="22" t="s">
        <v>1051</v>
      </c>
      <c r="G14" s="22" t="str">
        <f>_xlfn.XLOOKUP(tbl_CONTENT[[#This Row],[Topic]], tbl_TOPIC[Topic], tbl_TOPIC[TopicID], "")</f>
        <v>HA-1-10</v>
      </c>
      <c r="H14" s="22" cm="1">
        <f t="array" ref="H14">SUM((tbl_CONTENT[[#This Row],[TopicID]]=INDEX(tbl_CONTENT[TopicID],1):tbl_CONTENT[[#This Row],[TopicID]])*1)</f>
        <v>1</v>
      </c>
      <c r="I14" s="22" t="str">
        <f>_xlfn.XLOOKUP(tbl_CONTENT[[#This Row],[Topic]], tbl_TOPIC[Topic], tbl_TOPIC[TopicIndex], "")</f>
        <v>10</v>
      </c>
      <c r="J14" s="22" t="s">
        <v>121</v>
      </c>
      <c r="K14" s="22" t="s">
        <v>176</v>
      </c>
      <c r="L14" s="22" t="s">
        <v>152</v>
      </c>
      <c r="M14" s="22">
        <v>1</v>
      </c>
      <c r="N14" s="22">
        <v>1</v>
      </c>
      <c r="O14" s="22">
        <v>3</v>
      </c>
      <c r="P14" s="22">
        <v>5</v>
      </c>
      <c r="Q14" s="22">
        <v>5</v>
      </c>
      <c r="S14" s="35">
        <f>IFERROR(
 (1.907*EXP(1)^(-0.5*tbl_CONTENT[[#This Row],[Layer]])) *
 ((tbl_CONTENT[[#This Row],[RelInt]]-1)^(2.5)*4^(1-2.5)+1) +
 ((tbl_CONTENT[[#This Row],[Comp]]-1)^(2.5)*4^(1-2.5)+1)*(0.5*((tbl_CONTENT[[#This Row],[RelInt]]-1)/4)^(2.5)+1),
 0
)</f>
        <v>8.3439300121397828</v>
      </c>
      <c r="T14" s="35">
        <f>IFERROR(
 (1.907*EXP(1)^(-0.5*VALUE(tbl_CONTENT[[#This Row],[Layer]]))) *
 ((VALUE(tbl_CONTENT[[#This Row],[RelId]])-1)^(2.5)*4^(1-2.5)+1) +
 ((VALUE(tbl_CONTENT[[#This Row],[Comp]])-1)^(2.5)*4^(1-2.5)+1)*(0.5*((VALUE(tbl_CONTENT[[#This Row],[RelId]])-1)/4)^(2.5)+1),
 0
)</f>
        <v>8.3439300121397828</v>
      </c>
      <c r="W14" s="22" t="str">
        <f>IFERROR(
  IF(_xlfn.XLOOKUP(tbl_CONTENT[[#This Row],[Topic]], tbl_TOPIC[Topic], tbl_TOPIC[ParentTopic])="", "",
       _xlfn.XLOOKUP(tbl_CONTENT[[#This Row],[Topic]], tbl_TOPIC[Topic], tbl_TOPIC[ParentTopic])),
  ""
)</f>
        <v/>
      </c>
      <c r="X14" s="22" t="str">
        <f>IFERROR(
  IF(_xlfn.XLOOKUP(tbl_CONTENT[[#This Row],[Topic]], tbl_TOPIC[Topic], tbl_TOPIC[TopicPath])="", "",
       _xlfn.XLOOKUP(tbl_CONTENT[[#This Row],[Topic]], tbl_TOPIC[Topic], tbl_TOPIC[TopicPath])),
  ""
)</f>
        <v>Splitting</v>
      </c>
    </row>
    <row r="15" spans="3:24" ht="17" x14ac:dyDescent="0.2">
      <c r="C15" s="22" t="str">
        <f>_xlfn.XLOOKUP(tbl_CONTENT[[#This Row],[TopicID]], tbl_TOPIC[TopicID], tbl_TOPIC[Subject], "")</f>
        <v>HA</v>
      </c>
      <c r="D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HA-T12-10-02</v>
      </c>
      <c r="E15" s="22">
        <f>ROW()</f>
        <v>15</v>
      </c>
      <c r="F15" s="22" t="s">
        <v>1051</v>
      </c>
      <c r="G15" s="22" t="str">
        <f>_xlfn.XLOOKUP(tbl_CONTENT[[#This Row],[Topic]], tbl_TOPIC[Topic], tbl_TOPIC[TopicID], "")</f>
        <v>HA-1-10</v>
      </c>
      <c r="H15" s="22" cm="1">
        <f t="array" ref="H15">SUM((tbl_CONTENT[[#This Row],[TopicID]]=INDEX(tbl_CONTENT[TopicID],1):tbl_CONTENT[[#This Row],[TopicID]])*1)</f>
        <v>2</v>
      </c>
      <c r="I15" s="22" t="str">
        <f>_xlfn.XLOOKUP(tbl_CONTENT[[#This Row],[Topic]], tbl_TOPIC[Topic], tbl_TOPIC[TopicIndex], "")</f>
        <v>10</v>
      </c>
      <c r="J15" s="22" t="s">
        <v>121</v>
      </c>
      <c r="K15" s="22" t="s">
        <v>177</v>
      </c>
      <c r="L15" s="22" t="s">
        <v>149</v>
      </c>
      <c r="M15" s="22">
        <v>1</v>
      </c>
      <c r="N15" s="22">
        <v>1</v>
      </c>
      <c r="O15" s="22">
        <v>3</v>
      </c>
      <c r="P15" s="22">
        <v>5</v>
      </c>
      <c r="Q15" s="22">
        <v>5</v>
      </c>
      <c r="S15" s="35">
        <f>IFERROR(
 (1.907*EXP(1)^(-0.5*tbl_CONTENT[[#This Row],[Layer]])) *
 ((tbl_CONTENT[[#This Row],[RelInt]]-1)^(2.5)*4^(1-2.5)+1) +
 ((tbl_CONTENT[[#This Row],[Comp]]-1)^(2.5)*4^(1-2.5)+1)*(0.5*((tbl_CONTENT[[#This Row],[RelInt]]-1)/4)^(2.5)+1),
 0
)</f>
        <v>8.3439300121397828</v>
      </c>
      <c r="T15" s="35">
        <f>IFERROR(
 (1.907*EXP(1)^(-0.5*VALUE(tbl_CONTENT[[#This Row],[Layer]]))) *
 ((VALUE(tbl_CONTENT[[#This Row],[RelId]])-1)^(2.5)*4^(1-2.5)+1) +
 ((VALUE(tbl_CONTENT[[#This Row],[Comp]])-1)^(2.5)*4^(1-2.5)+1)*(0.5*((VALUE(tbl_CONTENT[[#This Row],[RelId]])-1)/4)^(2.5)+1),
 0
)</f>
        <v>8.3439300121397828</v>
      </c>
      <c r="W15" s="22" t="str">
        <f>IFERROR(
  IF(_xlfn.XLOOKUP(tbl_CONTENT[[#This Row],[Topic]], tbl_TOPIC[Topic], tbl_TOPIC[ParentTopic])="", "",
       _xlfn.XLOOKUP(tbl_CONTENT[[#This Row],[Topic]], tbl_TOPIC[Topic], tbl_TOPIC[ParentTopic])),
  ""
)</f>
        <v/>
      </c>
      <c r="X15" s="22" t="str">
        <f>IFERROR(
  IF(_xlfn.XLOOKUP(tbl_CONTENT[[#This Row],[Topic]], tbl_TOPIC[Topic], tbl_TOPIC[TopicPath])="", "",
       _xlfn.XLOOKUP(tbl_CONTENT[[#This Row],[Topic]], tbl_TOPIC[Topic], tbl_TOPIC[TopicPath])),
  ""
)</f>
        <v>Splitting</v>
      </c>
    </row>
    <row r="16" spans="3:24" ht="17" x14ac:dyDescent="0.2">
      <c r="C16" s="22" t="str">
        <f>_xlfn.XLOOKUP(tbl_CONTENT[[#This Row],[TopicID]], tbl_TOPIC[TopicID], tbl_TOPIC[Subject], "")</f>
        <v>HA</v>
      </c>
      <c r="D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HA-T12-01-01</v>
      </c>
      <c r="E16" s="22">
        <f>ROW()</f>
        <v>16</v>
      </c>
      <c r="F16" s="22" t="s">
        <v>1051</v>
      </c>
      <c r="G16" s="22" t="str">
        <f>_xlfn.XLOOKUP(tbl_CONTENT[[#This Row],[Topic]], tbl_TOPIC[Topic], tbl_TOPIC[TopicID], "")</f>
        <v>HA-1-01</v>
      </c>
      <c r="H16" s="22" cm="1">
        <f t="array" ref="H16">SUM((tbl_CONTENT[[#This Row],[TopicID]]=INDEX(tbl_CONTENT[TopicID],1):tbl_CONTENT[[#This Row],[TopicID]])*1)</f>
        <v>1</v>
      </c>
      <c r="I16" s="22" t="str">
        <f>_xlfn.XLOOKUP(tbl_CONTENT[[#This Row],[Topic]], tbl_TOPIC[Topic], tbl_TOPIC[TopicIndex], "")</f>
        <v>01</v>
      </c>
      <c r="J16" s="22" t="s">
        <v>158</v>
      </c>
      <c r="K16" s="37" t="s">
        <v>186</v>
      </c>
      <c r="L16" s="22" t="s">
        <v>152</v>
      </c>
      <c r="M16" s="22">
        <v>1</v>
      </c>
      <c r="N16" s="22">
        <v>1</v>
      </c>
      <c r="O16" s="22">
        <v>2</v>
      </c>
      <c r="P16" s="22">
        <v>5</v>
      </c>
      <c r="Q16" s="22">
        <v>5</v>
      </c>
      <c r="S16" s="35">
        <f>IFERROR(
 (1.907*EXP(1)^(-0.5*tbl_CONTENT[[#This Row],[Layer]])) *
 ((tbl_CONTENT[[#This Row],[RelInt]]-1)^(2.5)*4^(1-2.5)+1) +
 ((tbl_CONTENT[[#This Row],[Comp]]-1)^(2.5)*4^(1-2.5)+1)*(0.5*((tbl_CONTENT[[#This Row],[RelInt]]-1)/4)^(2.5)+1),
 0
)</f>
        <v>7.4707698403599609</v>
      </c>
      <c r="T16" s="35">
        <f>IFERROR(
 (1.907*EXP(1)^(-0.5*VALUE(tbl_CONTENT[[#This Row],[Layer]]))) *
 ((VALUE(tbl_CONTENT[[#This Row],[RelId]])-1)^(2.5)*4^(1-2.5)+1) +
 ((VALUE(tbl_CONTENT[[#This Row],[Comp]])-1)^(2.5)*4^(1-2.5)+1)*(0.5*((VALUE(tbl_CONTENT[[#This Row],[RelId]])-1)/4)^(2.5)+1),
 0
)</f>
        <v>7.4707698403599609</v>
      </c>
      <c r="W16" s="22" t="str">
        <f>IFERROR(
  IF(_xlfn.XLOOKUP(tbl_CONTENT[[#This Row],[Topic]], tbl_TOPIC[Topic], tbl_TOPIC[ParentTopic])="", "",
       _xlfn.XLOOKUP(tbl_CONTENT[[#This Row],[Topic]], tbl_TOPIC[Topic], tbl_TOPIC[ParentTopic])),
  ""
)</f>
        <v/>
      </c>
      <c r="X16" s="22" t="str">
        <f>IFERROR(
  IF(_xlfn.XLOOKUP(tbl_CONTENT[[#This Row],[Topic]], tbl_TOPIC[Topic], tbl_TOPIC[TopicPath])="", "",
       _xlfn.XLOOKUP(tbl_CONTENT[[#This Row],[Topic]], tbl_TOPIC[Topic], tbl_TOPIC[TopicPath])),
  ""
)</f>
        <v>Kategorien und Funktoren in HA</v>
      </c>
    </row>
    <row r="17" spans="3:24" ht="17" x14ac:dyDescent="0.2">
      <c r="C17" s="22" t="str">
        <f>_xlfn.XLOOKUP(tbl_CONTENT[[#This Row],[TopicID]], tbl_TOPIC[TopicID], tbl_TOPIC[Subject], "")</f>
        <v>HA</v>
      </c>
      <c r="D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HA-T12-01-02</v>
      </c>
      <c r="E17" s="22">
        <f>ROW()</f>
        <v>17</v>
      </c>
      <c r="F17" s="22" t="s">
        <v>1051</v>
      </c>
      <c r="G17" s="22" t="str">
        <f>_xlfn.XLOOKUP(tbl_CONTENT[[#This Row],[Topic]], tbl_TOPIC[Topic], tbl_TOPIC[TopicID], "")</f>
        <v>HA-1-01</v>
      </c>
      <c r="H17" s="22" cm="1">
        <f t="array" ref="H17">SUM((tbl_CONTENT[[#This Row],[TopicID]]=INDEX(tbl_CONTENT[TopicID],1):tbl_CONTENT[[#This Row],[TopicID]])*1)</f>
        <v>2</v>
      </c>
      <c r="I17" s="22" t="str">
        <f>_xlfn.XLOOKUP(tbl_CONTENT[[#This Row],[Topic]], tbl_TOPIC[Topic], tbl_TOPIC[TopicIndex], "")</f>
        <v>01</v>
      </c>
      <c r="J17" s="22" t="s">
        <v>158</v>
      </c>
      <c r="K17" s="22" t="s">
        <v>178</v>
      </c>
      <c r="L17" s="22" t="s">
        <v>179</v>
      </c>
      <c r="M17" s="22">
        <v>1</v>
      </c>
      <c r="N17" s="22">
        <v>1</v>
      </c>
      <c r="O17" s="22">
        <v>2</v>
      </c>
      <c r="P17" s="22">
        <v>4</v>
      </c>
      <c r="Q17" s="22">
        <v>5</v>
      </c>
      <c r="S17" s="35">
        <f>IFERROR(
 (1.907*EXP(1)^(-0.5*tbl_CONTENT[[#This Row],[Layer]])) *
 ((tbl_CONTENT[[#This Row],[RelInt]]-1)^(2.5)*4^(1-2.5)+1) +
 ((tbl_CONTENT[[#This Row],[Comp]]-1)^(2.5)*4^(1-2.5)+1)*(0.5*((tbl_CONTENT[[#This Row],[RelInt]]-1)/4)^(2.5)+1),
 0
)</f>
        <v>4.8094761878996088</v>
      </c>
      <c r="T17" s="35">
        <f>IFERROR(
 (1.907*EXP(1)^(-0.5*VALUE(tbl_CONTENT[[#This Row],[Layer]]))) *
 ((VALUE(tbl_CONTENT[[#This Row],[RelId]])-1)^(2.5)*4^(1-2.5)+1) +
 ((VALUE(tbl_CONTENT[[#This Row],[Comp]])-1)^(2.5)*4^(1-2.5)+1)*(0.5*((VALUE(tbl_CONTENT[[#This Row],[RelId]])-1)/4)^(2.5)+1),
 0
)</f>
        <v>7.4707698403599609</v>
      </c>
      <c r="W17" s="22" t="str">
        <f>IFERROR(
  IF(_xlfn.XLOOKUP(tbl_CONTENT[[#This Row],[Topic]], tbl_TOPIC[Topic], tbl_TOPIC[ParentTopic])="", "",
       _xlfn.XLOOKUP(tbl_CONTENT[[#This Row],[Topic]], tbl_TOPIC[Topic], tbl_TOPIC[ParentTopic])),
  ""
)</f>
        <v/>
      </c>
      <c r="X17" s="22" t="str">
        <f>IFERROR(
  IF(_xlfn.XLOOKUP(tbl_CONTENT[[#This Row],[Topic]], tbl_TOPIC[Topic], tbl_TOPIC[TopicPath])="", "",
       _xlfn.XLOOKUP(tbl_CONTENT[[#This Row],[Topic]], tbl_TOPIC[Topic], tbl_TOPIC[TopicPath])),
  ""
)</f>
        <v>Kategorien und Funktoren in HA</v>
      </c>
    </row>
    <row r="18" spans="3:24" ht="17" x14ac:dyDescent="0.2">
      <c r="C18" s="22" t="str">
        <f>_xlfn.XLOOKUP(tbl_CONTENT[[#This Row],[TopicID]], tbl_TOPIC[TopicID], tbl_TOPIC[Subject], "")</f>
        <v>HA</v>
      </c>
      <c r="D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HA-T12-01-03</v>
      </c>
      <c r="E18" s="22">
        <f>ROW()</f>
        <v>18</v>
      </c>
      <c r="F18" s="22" t="s">
        <v>1051</v>
      </c>
      <c r="G18" s="22" t="str">
        <f>_xlfn.XLOOKUP(tbl_CONTENT[[#This Row],[Topic]], tbl_TOPIC[Topic], tbl_TOPIC[TopicID], "")</f>
        <v>HA-1-01</v>
      </c>
      <c r="H18" s="22" cm="1">
        <f t="array" ref="H18">SUM((tbl_CONTENT[[#This Row],[TopicID]]=INDEX(tbl_CONTENT[TopicID],1):tbl_CONTENT[[#This Row],[TopicID]])*1)</f>
        <v>3</v>
      </c>
      <c r="I18" s="22" t="str">
        <f>_xlfn.XLOOKUP(tbl_CONTENT[[#This Row],[Topic]], tbl_TOPIC[Topic], tbl_TOPIC[TopicIndex], "")</f>
        <v>01</v>
      </c>
      <c r="J18" s="22" t="s">
        <v>158</v>
      </c>
      <c r="K18" s="22" t="s">
        <v>185</v>
      </c>
      <c r="L18" s="22" t="s">
        <v>152</v>
      </c>
      <c r="M18" s="22">
        <v>1</v>
      </c>
      <c r="N18" s="22">
        <v>2</v>
      </c>
      <c r="O18" s="22">
        <v>2</v>
      </c>
      <c r="P18" s="22">
        <v>4</v>
      </c>
      <c r="Q18" s="22">
        <v>5</v>
      </c>
      <c r="S18" s="35">
        <f>IFERROR(
 (1.907*EXP(1)^(-0.5*tbl_CONTENT[[#This Row],[Layer]])) *
 ((tbl_CONTENT[[#This Row],[RelInt]]-1)^(2.5)*4^(1-2.5)+1) +
 ((tbl_CONTENT[[#This Row],[Comp]]-1)^(2.5)*4^(1-2.5)+1)*(0.5*((tbl_CONTENT[[#This Row],[RelInt]]-1)/4)^(2.5)+1),
 0
)</f>
        <v>3.4675646088337704</v>
      </c>
      <c r="T18" s="35">
        <f>IFERROR(
 (1.907*EXP(1)^(-0.5*VALUE(tbl_CONTENT[[#This Row],[Layer]]))) *
 ((VALUE(tbl_CONTENT[[#This Row],[RelId]])-1)^(2.5)*4^(1-2.5)+1) +
 ((VALUE(tbl_CONTENT[[#This Row],[Comp]])-1)^(2.5)*4^(1-2.5)+1)*(0.5*((VALUE(tbl_CONTENT[[#This Row],[RelId]])-1)/4)^(2.5)+1),
 0
)</f>
        <v>5.1952304715697029</v>
      </c>
      <c r="W18" s="22" t="str">
        <f>IFERROR(
  IF(_xlfn.XLOOKUP(tbl_CONTENT[[#This Row],[Topic]], tbl_TOPIC[Topic], tbl_TOPIC[ParentTopic])="", "",
       _xlfn.XLOOKUP(tbl_CONTENT[[#This Row],[Topic]], tbl_TOPIC[Topic], tbl_TOPIC[ParentTopic])),
  ""
)</f>
        <v/>
      </c>
      <c r="X18" s="22" t="str">
        <f>IFERROR(
  IF(_xlfn.XLOOKUP(tbl_CONTENT[[#This Row],[Topic]], tbl_TOPIC[Topic], tbl_TOPIC[TopicPath])="", "",
       _xlfn.XLOOKUP(tbl_CONTENT[[#This Row],[Topic]], tbl_TOPIC[Topic], tbl_TOPIC[TopicPath])),
  ""
)</f>
        <v>Kategorien und Funktoren in HA</v>
      </c>
    </row>
    <row r="19" spans="3:24" ht="17" x14ac:dyDescent="0.2">
      <c r="C19" s="22" t="str">
        <f>_xlfn.XLOOKUP(tbl_CONTENT[[#This Row],[TopicID]], tbl_TOPIC[TopicID], tbl_TOPIC[Subject], "")</f>
        <v>HA</v>
      </c>
      <c r="D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HA-T12-01-04</v>
      </c>
      <c r="E19" s="22">
        <f>ROW()</f>
        <v>19</v>
      </c>
      <c r="F19" s="22" t="s">
        <v>1051</v>
      </c>
      <c r="G19" s="22" t="str">
        <f>_xlfn.XLOOKUP(tbl_CONTENT[[#This Row],[Topic]], tbl_TOPIC[Topic], tbl_TOPIC[TopicID], "")</f>
        <v>HA-1-01</v>
      </c>
      <c r="H19" s="22" cm="1">
        <f t="array" ref="H19">SUM((tbl_CONTENT[[#This Row],[TopicID]]=INDEX(tbl_CONTENT[TopicID],1):tbl_CONTENT[[#This Row],[TopicID]])*1)</f>
        <v>4</v>
      </c>
      <c r="I19" s="22" t="str">
        <f>_xlfn.XLOOKUP(tbl_CONTENT[[#This Row],[Topic]], tbl_TOPIC[Topic], tbl_TOPIC[TopicIndex], "")</f>
        <v>01</v>
      </c>
      <c r="J19" s="22" t="s">
        <v>158</v>
      </c>
      <c r="K19" s="22" t="s">
        <v>184</v>
      </c>
      <c r="L19" s="22" t="s">
        <v>152</v>
      </c>
      <c r="M19" s="22">
        <v>1</v>
      </c>
      <c r="N19" s="22">
        <v>2</v>
      </c>
      <c r="O19" s="22">
        <v>2</v>
      </c>
      <c r="P19" s="22">
        <v>4</v>
      </c>
      <c r="Q19" s="22">
        <v>5</v>
      </c>
      <c r="S19" s="35">
        <f>IFERROR(
 (1.907*EXP(1)^(-0.5*tbl_CONTENT[[#This Row],[Layer]])) *
 ((tbl_CONTENT[[#This Row],[RelInt]]-1)^(2.5)*4^(1-2.5)+1) +
 ((tbl_CONTENT[[#This Row],[Comp]]-1)^(2.5)*4^(1-2.5)+1)*(0.5*((tbl_CONTENT[[#This Row],[RelInt]]-1)/4)^(2.5)+1),
 0
)</f>
        <v>3.4675646088337704</v>
      </c>
      <c r="T19" s="35">
        <f>IFERROR(
 (1.907*EXP(1)^(-0.5*VALUE(tbl_CONTENT[[#This Row],[Layer]]))) *
 ((VALUE(tbl_CONTENT[[#This Row],[RelId]])-1)^(2.5)*4^(1-2.5)+1) +
 ((VALUE(tbl_CONTENT[[#This Row],[Comp]])-1)^(2.5)*4^(1-2.5)+1)*(0.5*((VALUE(tbl_CONTENT[[#This Row],[RelId]])-1)/4)^(2.5)+1),
 0
)</f>
        <v>5.1952304715697029</v>
      </c>
      <c r="W19" s="22" t="str">
        <f>IFERROR(
  IF(_xlfn.XLOOKUP(tbl_CONTENT[[#This Row],[Topic]], tbl_TOPIC[Topic], tbl_TOPIC[ParentTopic])="", "",
       _xlfn.XLOOKUP(tbl_CONTENT[[#This Row],[Topic]], tbl_TOPIC[Topic], tbl_TOPIC[ParentTopic])),
  ""
)</f>
        <v/>
      </c>
      <c r="X19" s="22" t="str">
        <f>IFERROR(
  IF(_xlfn.XLOOKUP(tbl_CONTENT[[#This Row],[Topic]], tbl_TOPIC[Topic], tbl_TOPIC[TopicPath])="", "",
       _xlfn.XLOOKUP(tbl_CONTENT[[#This Row],[Topic]], tbl_TOPIC[Topic], tbl_TOPIC[TopicPath])),
  ""
)</f>
        <v>Kategorien und Funktoren in HA</v>
      </c>
    </row>
    <row r="20" spans="3:24" ht="17" x14ac:dyDescent="0.2">
      <c r="C20" s="22" t="str">
        <f>_xlfn.XLOOKUP(tbl_CONTENT[[#This Row],[TopicID]], tbl_TOPIC[TopicID], tbl_TOPIC[Subject], "")</f>
        <v>HA</v>
      </c>
      <c r="D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HA-T12-01-05</v>
      </c>
      <c r="E20" s="22">
        <f>ROW()</f>
        <v>20</v>
      </c>
      <c r="F20" s="22" t="s">
        <v>1051</v>
      </c>
      <c r="G20" s="22" t="str">
        <f>_xlfn.XLOOKUP(tbl_CONTENT[[#This Row],[Topic]], tbl_TOPIC[Topic], tbl_TOPIC[TopicID], "")</f>
        <v>HA-1-01</v>
      </c>
      <c r="H20" s="22" cm="1">
        <f t="array" ref="H20">SUM((tbl_CONTENT[[#This Row],[TopicID]]=INDEX(tbl_CONTENT[TopicID],1):tbl_CONTENT[[#This Row],[TopicID]])*1)</f>
        <v>5</v>
      </c>
      <c r="I20" s="22" t="str">
        <f>_xlfn.XLOOKUP(tbl_CONTENT[[#This Row],[Topic]], tbl_TOPIC[Topic], tbl_TOPIC[TopicIndex], "")</f>
        <v>01</v>
      </c>
      <c r="J20" s="22" t="s">
        <v>158</v>
      </c>
      <c r="K20" s="22" t="s">
        <v>180</v>
      </c>
      <c r="L20" s="22" t="s">
        <v>179</v>
      </c>
      <c r="M20" s="22">
        <v>1</v>
      </c>
      <c r="N20" s="22">
        <v>3</v>
      </c>
      <c r="O20" s="22">
        <v>2</v>
      </c>
      <c r="P20" s="22">
        <v>3</v>
      </c>
      <c r="Q20" s="22">
        <v>5</v>
      </c>
      <c r="S20" s="35">
        <f>IFERROR(
 (1.907*EXP(1)^(-0.5*tbl_CONTENT[[#This Row],[Layer]])) *
 ((tbl_CONTENT[[#This Row],[RelInt]]-1)^(2.5)*4^(1-2.5)+1) +
 ((tbl_CONTENT[[#This Row],[Comp]]-1)^(2.5)*4^(1-2.5)+1)*(0.5*((tbl_CONTENT[[#This Row],[RelInt]]-1)/4)^(2.5)+1),
 0
)</f>
        <v>1.9508265581762823</v>
      </c>
      <c r="T20" s="35">
        <f>IFERROR(
 (1.907*EXP(1)^(-0.5*VALUE(tbl_CONTENT[[#This Row],[Layer]]))) *
 ((VALUE(tbl_CONTENT[[#This Row],[RelId]])-1)^(2.5)*4^(1-2.5)+1) +
 ((VALUE(tbl_CONTENT[[#This Row],[Comp]])-1)^(2.5)*4^(1-2.5)+1)*(0.5*((VALUE(tbl_CONTENT[[#This Row],[RelId]])-1)/4)^(2.5)+1),
 0
)</f>
        <v>3.8150460770152788</v>
      </c>
      <c r="W20" s="22" t="str">
        <f>IFERROR(
  IF(_xlfn.XLOOKUP(tbl_CONTENT[[#This Row],[Topic]], tbl_TOPIC[Topic], tbl_TOPIC[ParentTopic])="", "",
       _xlfn.XLOOKUP(tbl_CONTENT[[#This Row],[Topic]], tbl_TOPIC[Topic], tbl_TOPIC[ParentTopic])),
  ""
)</f>
        <v/>
      </c>
      <c r="X20" s="22" t="str">
        <f>IFERROR(
  IF(_xlfn.XLOOKUP(tbl_CONTENT[[#This Row],[Topic]], tbl_TOPIC[Topic], tbl_TOPIC[TopicPath])="", "",
       _xlfn.XLOOKUP(tbl_CONTENT[[#This Row],[Topic]], tbl_TOPIC[Topic], tbl_TOPIC[TopicPath])),
  ""
)</f>
        <v>Kategorien und Funktoren in HA</v>
      </c>
    </row>
    <row r="21" spans="3:24" ht="17" x14ac:dyDescent="0.2">
      <c r="C21" s="22" t="str">
        <f>_xlfn.XLOOKUP(tbl_CONTENT[[#This Row],[TopicID]], tbl_TOPIC[TopicID], tbl_TOPIC[Subject], "")</f>
        <v>HA</v>
      </c>
      <c r="D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HA-T12-01-06</v>
      </c>
      <c r="E21" s="22">
        <f>ROW()</f>
        <v>21</v>
      </c>
      <c r="F21" s="22" t="s">
        <v>1051</v>
      </c>
      <c r="G21" s="22" t="str">
        <f>_xlfn.XLOOKUP(tbl_CONTENT[[#This Row],[Topic]], tbl_TOPIC[Topic], tbl_TOPIC[TopicID], "")</f>
        <v>HA-1-01</v>
      </c>
      <c r="H21" s="22" cm="1">
        <f t="array" ref="H21">SUM((tbl_CONTENT[[#This Row],[TopicID]]=INDEX(tbl_CONTENT[TopicID],1):tbl_CONTENT[[#This Row],[TopicID]])*1)</f>
        <v>6</v>
      </c>
      <c r="I21" s="22" t="str">
        <f>_xlfn.XLOOKUP(tbl_CONTENT[[#This Row],[Topic]], tbl_TOPIC[Topic], tbl_TOPIC[TopicIndex], "")</f>
        <v>01</v>
      </c>
      <c r="J21" s="22" t="s">
        <v>158</v>
      </c>
      <c r="K21" s="37" t="s">
        <v>181</v>
      </c>
      <c r="L21" s="22" t="s">
        <v>152</v>
      </c>
      <c r="M21" s="22">
        <v>1</v>
      </c>
      <c r="N21" s="22">
        <v>1</v>
      </c>
      <c r="O21" s="22">
        <v>3</v>
      </c>
      <c r="P21" s="22">
        <v>5</v>
      </c>
      <c r="Q21" s="22">
        <v>5</v>
      </c>
      <c r="S21" s="35">
        <f>IFERROR(
 (1.907*EXP(1)^(-0.5*tbl_CONTENT[[#This Row],[Layer]])) *
 ((tbl_CONTENT[[#This Row],[RelInt]]-1)^(2.5)*4^(1-2.5)+1) +
 ((tbl_CONTENT[[#This Row],[Comp]]-1)^(2.5)*4^(1-2.5)+1)*(0.5*((tbl_CONTENT[[#This Row],[RelInt]]-1)/4)^(2.5)+1),
 0
)</f>
        <v>8.3439300121397828</v>
      </c>
      <c r="T21" s="35">
        <f>IFERROR(
 (1.907*EXP(1)^(-0.5*VALUE(tbl_CONTENT[[#This Row],[Layer]]))) *
 ((VALUE(tbl_CONTENT[[#This Row],[RelId]])-1)^(2.5)*4^(1-2.5)+1) +
 ((VALUE(tbl_CONTENT[[#This Row],[Comp]])-1)^(2.5)*4^(1-2.5)+1)*(0.5*((VALUE(tbl_CONTENT[[#This Row],[RelId]])-1)/4)^(2.5)+1),
 0
)</f>
        <v>8.3439300121397828</v>
      </c>
      <c r="W21" s="22" t="str">
        <f>IFERROR(
  IF(_xlfn.XLOOKUP(tbl_CONTENT[[#This Row],[Topic]], tbl_TOPIC[Topic], tbl_TOPIC[ParentTopic])="", "",
       _xlfn.XLOOKUP(tbl_CONTENT[[#This Row],[Topic]], tbl_TOPIC[Topic], tbl_TOPIC[ParentTopic])),
  ""
)</f>
        <v/>
      </c>
      <c r="X21" s="22" t="str">
        <f>IFERROR(
  IF(_xlfn.XLOOKUP(tbl_CONTENT[[#This Row],[Topic]], tbl_TOPIC[Topic], tbl_TOPIC[TopicPath])="", "",
       _xlfn.XLOOKUP(tbl_CONTENT[[#This Row],[Topic]], tbl_TOPIC[Topic], tbl_TOPIC[TopicPath])),
  ""
)</f>
        <v>Kategorien und Funktoren in HA</v>
      </c>
    </row>
    <row r="22" spans="3:24" ht="17" x14ac:dyDescent="0.2">
      <c r="C22" s="22" t="str">
        <f>_xlfn.XLOOKUP(tbl_CONTENT[[#This Row],[TopicID]], tbl_TOPIC[TopicID], tbl_TOPIC[Subject], "")</f>
        <v>HA</v>
      </c>
      <c r="D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HA-T12-01-07</v>
      </c>
      <c r="E22" s="22">
        <f>ROW()</f>
        <v>22</v>
      </c>
      <c r="F22" s="22" t="s">
        <v>1051</v>
      </c>
      <c r="G22" s="22" t="str">
        <f>_xlfn.XLOOKUP(tbl_CONTENT[[#This Row],[Topic]], tbl_TOPIC[Topic], tbl_TOPIC[TopicID], "")</f>
        <v>HA-1-01</v>
      </c>
      <c r="H22" s="22" cm="1">
        <f t="array" ref="H22">SUM((tbl_CONTENT[[#This Row],[TopicID]]=INDEX(tbl_CONTENT[TopicID],1):tbl_CONTENT[[#This Row],[TopicID]])*1)</f>
        <v>7</v>
      </c>
      <c r="I22" s="22" t="str">
        <f>_xlfn.XLOOKUP(tbl_CONTENT[[#This Row],[Topic]], tbl_TOPIC[Topic], tbl_TOPIC[TopicIndex], "")</f>
        <v>01</v>
      </c>
      <c r="J22" s="22" t="s">
        <v>158</v>
      </c>
      <c r="K22" s="22" t="s">
        <v>182</v>
      </c>
      <c r="L22" s="22" t="s">
        <v>179</v>
      </c>
      <c r="M22" s="22">
        <v>1</v>
      </c>
      <c r="N22" s="22">
        <v>2</v>
      </c>
      <c r="O22" s="22">
        <v>4</v>
      </c>
      <c r="P22" s="22">
        <v>4</v>
      </c>
      <c r="Q22" s="22">
        <v>5</v>
      </c>
      <c r="S22" s="35">
        <f>IFERROR(
 (1.907*EXP(1)^(-0.5*tbl_CONTENT[[#This Row],[Layer]])) *
 ((tbl_CONTENT[[#This Row],[RelInt]]-1)^(2.5)*4^(1-2.5)+1) +
 ((tbl_CONTENT[[#This Row],[Comp]]-1)^(2.5)*4^(1-2.5)+1)*(0.5*((tbl_CONTENT[[#This Row],[RelInt]]-1)/4)^(2.5)+1),
 0
)</f>
        <v>5.7352849367469618</v>
      </c>
      <c r="T22" s="35">
        <f>IFERROR(
 (1.907*EXP(1)^(-0.5*VALUE(tbl_CONTENT[[#This Row],[Layer]]))) *
 ((VALUE(tbl_CONTENT[[#This Row],[RelId]])-1)^(2.5)*4^(1-2.5)+1) +
 ((VALUE(tbl_CONTENT[[#This Row],[Comp]])-1)^(2.5)*4^(1-2.5)+1)*(0.5*((VALUE(tbl_CONTENT[[#This Row],[RelId]])-1)/4)^(2.5)+1),
 0
)</f>
        <v>7.9305662093421851</v>
      </c>
      <c r="W22" s="22" t="str">
        <f>IFERROR(
  IF(_xlfn.XLOOKUP(tbl_CONTENT[[#This Row],[Topic]], tbl_TOPIC[Topic], tbl_TOPIC[ParentTopic])="", "",
       _xlfn.XLOOKUP(tbl_CONTENT[[#This Row],[Topic]], tbl_TOPIC[Topic], tbl_TOPIC[ParentTopic])),
  ""
)</f>
        <v/>
      </c>
      <c r="X22" s="22" t="str">
        <f>IFERROR(
  IF(_xlfn.XLOOKUP(tbl_CONTENT[[#This Row],[Topic]], tbl_TOPIC[Topic], tbl_TOPIC[TopicPath])="", "",
       _xlfn.XLOOKUP(tbl_CONTENT[[#This Row],[Topic]], tbl_TOPIC[Topic], tbl_TOPIC[TopicPath])),
  ""
)</f>
        <v>Kategorien und Funktoren in HA</v>
      </c>
    </row>
    <row r="23" spans="3:24" ht="17" x14ac:dyDescent="0.2">
      <c r="C23" s="22" t="str">
        <f>_xlfn.XLOOKUP(tbl_CONTENT[[#This Row],[TopicID]], tbl_TOPIC[TopicID], tbl_TOPIC[Subject], "")</f>
        <v>HA</v>
      </c>
      <c r="D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HA-T12-01-08</v>
      </c>
      <c r="E23" s="22">
        <f>ROW()</f>
        <v>23</v>
      </c>
      <c r="F23" s="22" t="s">
        <v>1051</v>
      </c>
      <c r="G23" s="22" t="str">
        <f>_xlfn.XLOOKUP(tbl_CONTENT[[#This Row],[Topic]], tbl_TOPIC[Topic], tbl_TOPIC[TopicID], "")</f>
        <v>HA-1-01</v>
      </c>
      <c r="H23" s="22" cm="1">
        <f t="array" ref="H23">SUM((tbl_CONTENT[[#This Row],[TopicID]]=INDEX(tbl_CONTENT[TopicID],1):tbl_CONTENT[[#This Row],[TopicID]])*1)</f>
        <v>8</v>
      </c>
      <c r="I23" s="22" t="str">
        <f>_xlfn.XLOOKUP(tbl_CONTENT[[#This Row],[Topic]], tbl_TOPIC[Topic], tbl_TOPIC[TopicIndex], "")</f>
        <v>01</v>
      </c>
      <c r="J23" s="22" t="s">
        <v>158</v>
      </c>
      <c r="K23" s="37" t="s">
        <v>183</v>
      </c>
      <c r="L23" s="22" t="s">
        <v>152</v>
      </c>
      <c r="M23" s="22">
        <v>1</v>
      </c>
      <c r="N23" s="22">
        <v>1</v>
      </c>
      <c r="O23" s="22">
        <v>2</v>
      </c>
      <c r="P23" s="22">
        <v>5</v>
      </c>
      <c r="Q23" s="22">
        <v>5</v>
      </c>
      <c r="S23" s="35">
        <f>IFERROR(
 (1.907*EXP(1)^(-0.5*tbl_CONTENT[[#This Row],[Layer]])) *
 ((tbl_CONTENT[[#This Row],[RelInt]]-1)^(2.5)*4^(1-2.5)+1) +
 ((tbl_CONTENT[[#This Row],[Comp]]-1)^(2.5)*4^(1-2.5)+1)*(0.5*((tbl_CONTENT[[#This Row],[RelInt]]-1)/4)^(2.5)+1),
 0
)</f>
        <v>7.4707698403599609</v>
      </c>
      <c r="T23" s="35">
        <f>IFERROR(
 (1.907*EXP(1)^(-0.5*VALUE(tbl_CONTENT[[#This Row],[Layer]]))) *
 ((VALUE(tbl_CONTENT[[#This Row],[RelId]])-1)^(2.5)*4^(1-2.5)+1) +
 ((VALUE(tbl_CONTENT[[#This Row],[Comp]])-1)^(2.5)*4^(1-2.5)+1)*(0.5*((VALUE(tbl_CONTENT[[#This Row],[RelId]])-1)/4)^(2.5)+1),
 0
)</f>
        <v>7.4707698403599609</v>
      </c>
      <c r="W23" s="22" t="str">
        <f>IFERROR(
  IF(_xlfn.XLOOKUP(tbl_CONTENT[[#This Row],[Topic]], tbl_TOPIC[Topic], tbl_TOPIC[ParentTopic])="", "",
       _xlfn.XLOOKUP(tbl_CONTENT[[#This Row],[Topic]], tbl_TOPIC[Topic], tbl_TOPIC[ParentTopic])),
  ""
)</f>
        <v/>
      </c>
      <c r="X23" s="22" t="str">
        <f>IFERROR(
  IF(_xlfn.XLOOKUP(tbl_CONTENT[[#This Row],[Topic]], tbl_TOPIC[Topic], tbl_TOPIC[TopicPath])="", "",
       _xlfn.XLOOKUP(tbl_CONTENT[[#This Row],[Topic]], tbl_TOPIC[Topic], tbl_TOPIC[TopicPath])),
  ""
)</f>
        <v>Kategorien und Funktoren in HA</v>
      </c>
    </row>
    <row r="24" spans="3:24" ht="17" x14ac:dyDescent="0.2">
      <c r="C24" s="22" t="str">
        <f>_xlfn.XLOOKUP(tbl_CONTENT[[#This Row],[TopicID]], tbl_TOPIC[TopicID], tbl_TOPIC[Subject], "")</f>
        <v>HA</v>
      </c>
      <c r="D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HA-T12-01-09</v>
      </c>
      <c r="E24" s="22">
        <f>ROW()</f>
        <v>24</v>
      </c>
      <c r="F24" s="22" t="s">
        <v>1051</v>
      </c>
      <c r="G24" s="22" t="str">
        <f>_xlfn.XLOOKUP(tbl_CONTENT[[#This Row],[Topic]], tbl_TOPIC[Topic], tbl_TOPIC[TopicID], "")</f>
        <v>HA-1-01</v>
      </c>
      <c r="H24" s="22" cm="1">
        <f t="array" ref="H24">SUM((tbl_CONTENT[[#This Row],[TopicID]]=INDEX(tbl_CONTENT[TopicID],1):tbl_CONTENT[[#This Row],[TopicID]])*1)</f>
        <v>9</v>
      </c>
      <c r="I24" s="22" t="str">
        <f>_xlfn.XLOOKUP(tbl_CONTENT[[#This Row],[Topic]], tbl_TOPIC[Topic], tbl_TOPIC[TopicIndex], "")</f>
        <v>01</v>
      </c>
      <c r="J24" s="22" t="s">
        <v>158</v>
      </c>
      <c r="K24" s="22" t="s">
        <v>187</v>
      </c>
      <c r="L24" s="22" t="s">
        <v>152</v>
      </c>
      <c r="M24" s="22">
        <v>1</v>
      </c>
      <c r="N24" s="22">
        <v>1</v>
      </c>
      <c r="O24" s="22">
        <v>2</v>
      </c>
      <c r="P24" s="22">
        <v>5</v>
      </c>
      <c r="Q24" s="22">
        <v>5</v>
      </c>
      <c r="S24" s="35">
        <f>IFERROR(
 (1.907*EXP(1)^(-0.5*tbl_CONTENT[[#This Row],[Layer]])) *
 ((tbl_CONTENT[[#This Row],[RelInt]]-1)^(2.5)*4^(1-2.5)+1) +
 ((tbl_CONTENT[[#This Row],[Comp]]-1)^(2.5)*4^(1-2.5)+1)*(0.5*((tbl_CONTENT[[#This Row],[RelInt]]-1)/4)^(2.5)+1),
 0
)</f>
        <v>7.4707698403599609</v>
      </c>
      <c r="T24" s="35">
        <f>IFERROR(
 (1.907*EXP(1)^(-0.5*VALUE(tbl_CONTENT[[#This Row],[Layer]]))) *
 ((VALUE(tbl_CONTENT[[#This Row],[RelId]])-1)^(2.5)*4^(1-2.5)+1) +
 ((VALUE(tbl_CONTENT[[#This Row],[Comp]])-1)^(2.5)*4^(1-2.5)+1)*(0.5*((VALUE(tbl_CONTENT[[#This Row],[RelId]])-1)/4)^(2.5)+1),
 0
)</f>
        <v>7.4707698403599609</v>
      </c>
      <c r="W24" s="22" t="str">
        <f>IFERROR(
  IF(_xlfn.XLOOKUP(tbl_CONTENT[[#This Row],[Topic]], tbl_TOPIC[Topic], tbl_TOPIC[ParentTopic])="", "",
       _xlfn.XLOOKUP(tbl_CONTENT[[#This Row],[Topic]], tbl_TOPIC[Topic], tbl_TOPIC[ParentTopic])),
  ""
)</f>
        <v/>
      </c>
      <c r="X24" s="22" t="str">
        <f>IFERROR(
  IF(_xlfn.XLOOKUP(tbl_CONTENT[[#This Row],[Topic]], tbl_TOPIC[Topic], tbl_TOPIC[TopicPath])="", "",
       _xlfn.XLOOKUP(tbl_CONTENT[[#This Row],[Topic]], tbl_TOPIC[Topic], tbl_TOPIC[TopicPath])),
  ""
)</f>
        <v>Kategorien und Funktoren in HA</v>
      </c>
    </row>
    <row r="25" spans="3:24" ht="17" x14ac:dyDescent="0.2">
      <c r="C25" s="22" t="str">
        <f>_xlfn.XLOOKUP(tbl_CONTENT[[#This Row],[TopicID]], tbl_TOPIC[TopicID], tbl_TOPIC[Subject], "")</f>
        <v>HA</v>
      </c>
      <c r="D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HA-T12-01-10</v>
      </c>
      <c r="E25" s="22">
        <f>ROW()</f>
        <v>25</v>
      </c>
      <c r="F25" s="22" t="s">
        <v>1051</v>
      </c>
      <c r="G25" s="22" t="str">
        <f>_xlfn.XLOOKUP(tbl_CONTENT[[#This Row],[Topic]], tbl_TOPIC[Topic], tbl_TOPIC[TopicID], "")</f>
        <v>HA-1-01</v>
      </c>
      <c r="H25" s="22" cm="1">
        <f t="array" ref="H25">SUM((tbl_CONTENT[[#This Row],[TopicID]]=INDEX(tbl_CONTENT[TopicID],1):tbl_CONTENT[[#This Row],[TopicID]])*1)</f>
        <v>10</v>
      </c>
      <c r="I25" s="22" t="str">
        <f>_xlfn.XLOOKUP(tbl_CONTENT[[#This Row],[Topic]], tbl_TOPIC[Topic], tbl_TOPIC[TopicIndex], "")</f>
        <v>01</v>
      </c>
      <c r="J25" s="22" t="s">
        <v>158</v>
      </c>
      <c r="K25" s="22" t="s">
        <v>188</v>
      </c>
      <c r="L25" s="22" t="s">
        <v>152</v>
      </c>
      <c r="M25" s="22">
        <v>1</v>
      </c>
      <c r="N25" s="22">
        <v>2</v>
      </c>
      <c r="O25" s="22">
        <v>2</v>
      </c>
      <c r="P25" s="22">
        <v>4</v>
      </c>
      <c r="Q25" s="22">
        <v>5</v>
      </c>
      <c r="S25" s="35">
        <f>IFERROR(
 (1.907*EXP(1)^(-0.5*tbl_CONTENT[[#This Row],[Layer]])) *
 ((tbl_CONTENT[[#This Row],[RelInt]]-1)^(2.5)*4^(1-2.5)+1) +
 ((tbl_CONTENT[[#This Row],[Comp]]-1)^(2.5)*4^(1-2.5)+1)*(0.5*((tbl_CONTENT[[#This Row],[RelInt]]-1)/4)^(2.5)+1),
 0
)</f>
        <v>3.4675646088337704</v>
      </c>
      <c r="T25" s="35">
        <f>IFERROR(
 (1.907*EXP(1)^(-0.5*VALUE(tbl_CONTENT[[#This Row],[Layer]]))) *
 ((VALUE(tbl_CONTENT[[#This Row],[RelId]])-1)^(2.5)*4^(1-2.5)+1) +
 ((VALUE(tbl_CONTENT[[#This Row],[Comp]])-1)^(2.5)*4^(1-2.5)+1)*(0.5*((VALUE(tbl_CONTENT[[#This Row],[RelId]])-1)/4)^(2.5)+1),
 0
)</f>
        <v>5.1952304715697029</v>
      </c>
      <c r="W25" s="22" t="str">
        <f>IFERROR(
  IF(_xlfn.XLOOKUP(tbl_CONTENT[[#This Row],[Topic]], tbl_TOPIC[Topic], tbl_TOPIC[ParentTopic])="", "",
       _xlfn.XLOOKUP(tbl_CONTENT[[#This Row],[Topic]], tbl_TOPIC[Topic], tbl_TOPIC[ParentTopic])),
  ""
)</f>
        <v/>
      </c>
      <c r="X25" s="22" t="str">
        <f>IFERROR(
  IF(_xlfn.XLOOKUP(tbl_CONTENT[[#This Row],[Topic]], tbl_TOPIC[Topic], tbl_TOPIC[TopicPath])="", "",
       _xlfn.XLOOKUP(tbl_CONTENT[[#This Row],[Topic]], tbl_TOPIC[Topic], tbl_TOPIC[TopicPath])),
  ""
)</f>
        <v>Kategorien und Funktoren in HA</v>
      </c>
    </row>
    <row r="26" spans="3:24" ht="17" x14ac:dyDescent="0.2">
      <c r="C26" s="22" t="str">
        <f>_xlfn.XLOOKUP(tbl_CONTENT[[#This Row],[TopicID]], tbl_TOPIC[TopicID], tbl_TOPIC[Subject], "")</f>
        <v>HA</v>
      </c>
      <c r="D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HA-T12-01-11</v>
      </c>
      <c r="E26" s="22">
        <f>ROW()</f>
        <v>26</v>
      </c>
      <c r="F26" s="22" t="s">
        <v>1051</v>
      </c>
      <c r="G26" s="22" t="str">
        <f>_xlfn.XLOOKUP(tbl_CONTENT[[#This Row],[Topic]], tbl_TOPIC[Topic], tbl_TOPIC[TopicID], "")</f>
        <v>HA-1-01</v>
      </c>
      <c r="H26" s="22" cm="1">
        <f t="array" ref="H26">SUM((tbl_CONTENT[[#This Row],[TopicID]]=INDEX(tbl_CONTENT[TopicID],1):tbl_CONTENT[[#This Row],[TopicID]])*1)</f>
        <v>11</v>
      </c>
      <c r="I26" s="22" t="str">
        <f>_xlfn.XLOOKUP(tbl_CONTENT[[#This Row],[Topic]], tbl_TOPIC[Topic], tbl_TOPIC[TopicIndex], "")</f>
        <v>01</v>
      </c>
      <c r="J26" s="22" t="s">
        <v>158</v>
      </c>
      <c r="K26" s="22" t="s">
        <v>189</v>
      </c>
      <c r="L26" s="22" t="s">
        <v>152</v>
      </c>
      <c r="M26" s="22">
        <v>1</v>
      </c>
      <c r="N26" s="22">
        <v>2</v>
      </c>
      <c r="O26" s="22">
        <v>2</v>
      </c>
      <c r="P26" s="22">
        <v>4</v>
      </c>
      <c r="Q26" s="22">
        <v>5</v>
      </c>
      <c r="S26" s="35">
        <f>IFERROR(
 (1.907*EXP(1)^(-0.5*tbl_CONTENT[[#This Row],[Layer]])) *
 ((tbl_CONTENT[[#This Row],[RelInt]]-1)^(2.5)*4^(1-2.5)+1) +
 ((tbl_CONTENT[[#This Row],[Comp]]-1)^(2.5)*4^(1-2.5)+1)*(0.5*((tbl_CONTENT[[#This Row],[RelInt]]-1)/4)^(2.5)+1),
 0
)</f>
        <v>3.4675646088337704</v>
      </c>
      <c r="T26" s="35">
        <f>IFERROR(
 (1.907*EXP(1)^(-0.5*VALUE(tbl_CONTENT[[#This Row],[Layer]]))) *
 ((VALUE(tbl_CONTENT[[#This Row],[RelId]])-1)^(2.5)*4^(1-2.5)+1) +
 ((VALUE(tbl_CONTENT[[#This Row],[Comp]])-1)^(2.5)*4^(1-2.5)+1)*(0.5*((VALUE(tbl_CONTENT[[#This Row],[RelId]])-1)/4)^(2.5)+1),
 0
)</f>
        <v>5.1952304715697029</v>
      </c>
      <c r="W26" s="22" t="str">
        <f>IFERROR(
  IF(_xlfn.XLOOKUP(tbl_CONTENT[[#This Row],[Topic]], tbl_TOPIC[Topic], tbl_TOPIC[ParentTopic])="", "",
       _xlfn.XLOOKUP(tbl_CONTENT[[#This Row],[Topic]], tbl_TOPIC[Topic], tbl_TOPIC[ParentTopic])),
  ""
)</f>
        <v/>
      </c>
      <c r="X26" s="22" t="str">
        <f>IFERROR(
  IF(_xlfn.XLOOKUP(tbl_CONTENT[[#This Row],[Topic]], tbl_TOPIC[Topic], tbl_TOPIC[TopicPath])="", "",
       _xlfn.XLOOKUP(tbl_CONTENT[[#This Row],[Topic]], tbl_TOPIC[Topic], tbl_TOPIC[TopicPath])),
  ""
)</f>
        <v>Kategorien und Funktoren in HA</v>
      </c>
    </row>
    <row r="27" spans="3:24" ht="17" x14ac:dyDescent="0.2">
      <c r="C27" s="22" t="str">
        <f>_xlfn.XLOOKUP(tbl_CONTENT[[#This Row],[TopicID]], tbl_TOPIC[TopicID], tbl_TOPIC[Subject], "")</f>
        <v>HA</v>
      </c>
      <c r="D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HA-T12-01-12</v>
      </c>
      <c r="E27" s="22">
        <f>ROW()</f>
        <v>27</v>
      </c>
      <c r="F27" s="22" t="s">
        <v>1051</v>
      </c>
      <c r="G27" s="22" t="str">
        <f>_xlfn.XLOOKUP(tbl_CONTENT[[#This Row],[Topic]], tbl_TOPIC[Topic], tbl_TOPIC[TopicID], "")</f>
        <v>HA-1-01</v>
      </c>
      <c r="H27" s="22" cm="1">
        <f t="array" ref="H27">SUM((tbl_CONTENT[[#This Row],[TopicID]]=INDEX(tbl_CONTENT[TopicID],1):tbl_CONTENT[[#This Row],[TopicID]])*1)</f>
        <v>12</v>
      </c>
      <c r="I27" s="22" t="str">
        <f>_xlfn.XLOOKUP(tbl_CONTENT[[#This Row],[Topic]], tbl_TOPIC[Topic], tbl_TOPIC[TopicIndex], "")</f>
        <v>01</v>
      </c>
      <c r="J27" s="22" t="s">
        <v>158</v>
      </c>
      <c r="K27" s="22" t="s">
        <v>190</v>
      </c>
      <c r="L27" s="22" t="s">
        <v>152</v>
      </c>
      <c r="M27" s="22">
        <v>1</v>
      </c>
      <c r="N27" s="22">
        <v>2</v>
      </c>
      <c r="O27" s="22">
        <v>2</v>
      </c>
      <c r="P27" s="22">
        <v>4</v>
      </c>
      <c r="Q27" s="22">
        <v>5</v>
      </c>
      <c r="S27" s="35">
        <f>IFERROR(
 (1.907*EXP(1)^(-0.5*tbl_CONTENT[[#This Row],[Layer]])) *
 ((tbl_CONTENT[[#This Row],[RelInt]]-1)^(2.5)*4^(1-2.5)+1) +
 ((tbl_CONTENT[[#This Row],[Comp]]-1)^(2.5)*4^(1-2.5)+1)*(0.5*((tbl_CONTENT[[#This Row],[RelInt]]-1)/4)^(2.5)+1),
 0
)</f>
        <v>3.4675646088337704</v>
      </c>
      <c r="T27" s="35">
        <f>IFERROR(
 (1.907*EXP(1)^(-0.5*VALUE(tbl_CONTENT[[#This Row],[Layer]]))) *
 ((VALUE(tbl_CONTENT[[#This Row],[RelId]])-1)^(2.5)*4^(1-2.5)+1) +
 ((VALUE(tbl_CONTENT[[#This Row],[Comp]])-1)^(2.5)*4^(1-2.5)+1)*(0.5*((VALUE(tbl_CONTENT[[#This Row],[RelId]])-1)/4)^(2.5)+1),
 0
)</f>
        <v>5.1952304715697029</v>
      </c>
      <c r="W27" s="22" t="str">
        <f>IFERROR(
  IF(_xlfn.XLOOKUP(tbl_CONTENT[[#This Row],[Topic]], tbl_TOPIC[Topic], tbl_TOPIC[ParentTopic])="", "",
       _xlfn.XLOOKUP(tbl_CONTENT[[#This Row],[Topic]], tbl_TOPIC[Topic], tbl_TOPIC[ParentTopic])),
  ""
)</f>
        <v/>
      </c>
      <c r="X27" s="22" t="str">
        <f>IFERROR(
  IF(_xlfn.XLOOKUP(tbl_CONTENT[[#This Row],[Topic]], tbl_TOPIC[Topic], tbl_TOPIC[TopicPath])="", "",
       _xlfn.XLOOKUP(tbl_CONTENT[[#This Row],[Topic]], tbl_TOPIC[Topic], tbl_TOPIC[TopicPath])),
  ""
)</f>
        <v>Kategorien und Funktoren in HA</v>
      </c>
    </row>
    <row r="28" spans="3:24" ht="17" x14ac:dyDescent="0.2">
      <c r="C28" s="22" t="str">
        <f>_xlfn.XLOOKUP(tbl_CONTENT[[#This Row],[TopicID]], tbl_TOPIC[TopicID], tbl_TOPIC[Subject], "")</f>
        <v>HA</v>
      </c>
      <c r="D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HA-T12-01-13</v>
      </c>
      <c r="E28" s="22">
        <f>ROW()</f>
        <v>28</v>
      </c>
      <c r="F28" s="22" t="s">
        <v>1051</v>
      </c>
      <c r="G28" s="22" t="str">
        <f>_xlfn.XLOOKUP(tbl_CONTENT[[#This Row],[Topic]], tbl_TOPIC[Topic], tbl_TOPIC[TopicID], "")</f>
        <v>HA-1-01</v>
      </c>
      <c r="H28" s="22" cm="1">
        <f t="array" ref="H28">SUM((tbl_CONTENT[[#This Row],[TopicID]]=INDEX(tbl_CONTENT[TopicID],1):tbl_CONTENT[[#This Row],[TopicID]])*1)</f>
        <v>13</v>
      </c>
      <c r="I28" s="22" t="str">
        <f>_xlfn.XLOOKUP(tbl_CONTENT[[#This Row],[Topic]], tbl_TOPIC[Topic], tbl_TOPIC[TopicIndex], "")</f>
        <v>01</v>
      </c>
      <c r="J28" s="22" t="s">
        <v>158</v>
      </c>
      <c r="K28" s="22" t="s">
        <v>191</v>
      </c>
      <c r="L28" s="22" t="s">
        <v>152</v>
      </c>
      <c r="M28" s="22">
        <v>1</v>
      </c>
      <c r="N28" s="22">
        <v>1</v>
      </c>
      <c r="O28" s="22">
        <v>2</v>
      </c>
      <c r="P28" s="22">
        <v>5</v>
      </c>
      <c r="Q28" s="22">
        <v>5</v>
      </c>
      <c r="S28" s="35">
        <f>IFERROR(
 (1.907*EXP(1)^(-0.5*tbl_CONTENT[[#This Row],[Layer]])) *
 ((tbl_CONTENT[[#This Row],[RelInt]]-1)^(2.5)*4^(1-2.5)+1) +
 ((tbl_CONTENT[[#This Row],[Comp]]-1)^(2.5)*4^(1-2.5)+1)*(0.5*((tbl_CONTENT[[#This Row],[RelInt]]-1)/4)^(2.5)+1),
 0
)</f>
        <v>7.4707698403599609</v>
      </c>
      <c r="T28" s="35">
        <f>IFERROR(
 (1.907*EXP(1)^(-0.5*VALUE(tbl_CONTENT[[#This Row],[Layer]]))) *
 ((VALUE(tbl_CONTENT[[#This Row],[RelId]])-1)^(2.5)*4^(1-2.5)+1) +
 ((VALUE(tbl_CONTENT[[#This Row],[Comp]])-1)^(2.5)*4^(1-2.5)+1)*(0.5*((VALUE(tbl_CONTENT[[#This Row],[RelId]])-1)/4)^(2.5)+1),
 0
)</f>
        <v>7.4707698403599609</v>
      </c>
      <c r="W28" s="22" t="str">
        <f>IFERROR(
  IF(_xlfn.XLOOKUP(tbl_CONTENT[[#This Row],[Topic]], tbl_TOPIC[Topic], tbl_TOPIC[ParentTopic])="", "",
       _xlfn.XLOOKUP(tbl_CONTENT[[#This Row],[Topic]], tbl_TOPIC[Topic], tbl_TOPIC[ParentTopic])),
  ""
)</f>
        <v/>
      </c>
      <c r="X28" s="22" t="str">
        <f>IFERROR(
  IF(_xlfn.XLOOKUP(tbl_CONTENT[[#This Row],[Topic]], tbl_TOPIC[Topic], tbl_TOPIC[TopicPath])="", "",
       _xlfn.XLOOKUP(tbl_CONTENT[[#This Row],[Topic]], tbl_TOPIC[Topic], tbl_TOPIC[TopicPath])),
  ""
)</f>
        <v>Kategorien und Funktoren in HA</v>
      </c>
    </row>
    <row r="29" spans="3:24" ht="17" x14ac:dyDescent="0.2">
      <c r="C29" s="22" t="str">
        <f>_xlfn.XLOOKUP(tbl_CONTENT[[#This Row],[TopicID]], tbl_TOPIC[TopicID], tbl_TOPIC[Subject], "")</f>
        <v>HA</v>
      </c>
      <c r="D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HA-T12-01-14</v>
      </c>
      <c r="E29" s="22">
        <f>ROW()</f>
        <v>29</v>
      </c>
      <c r="F29" s="22" t="s">
        <v>1051</v>
      </c>
      <c r="G29" s="22" t="str">
        <f>_xlfn.XLOOKUP(tbl_CONTENT[[#This Row],[Topic]], tbl_TOPIC[Topic], tbl_TOPIC[TopicID], "")</f>
        <v>HA-1-01</v>
      </c>
      <c r="H29" s="22" cm="1">
        <f t="array" ref="H29">SUM((tbl_CONTENT[[#This Row],[TopicID]]=INDEX(tbl_CONTENT[TopicID],1):tbl_CONTENT[[#This Row],[TopicID]])*1)</f>
        <v>14</v>
      </c>
      <c r="I29" s="22" t="str">
        <f>_xlfn.XLOOKUP(tbl_CONTENT[[#This Row],[Topic]], tbl_TOPIC[Topic], tbl_TOPIC[TopicIndex], "")</f>
        <v>01</v>
      </c>
      <c r="J29" s="22" t="s">
        <v>158</v>
      </c>
      <c r="K29" s="22" t="s">
        <v>192</v>
      </c>
      <c r="L29" s="22" t="s">
        <v>152</v>
      </c>
      <c r="M29" s="22">
        <v>1</v>
      </c>
      <c r="N29" s="22">
        <v>1</v>
      </c>
      <c r="O29" s="22">
        <v>3</v>
      </c>
      <c r="P29" s="22">
        <v>2</v>
      </c>
      <c r="Q29" s="22">
        <v>5</v>
      </c>
      <c r="S29" s="35">
        <f>IFERROR(
 (1.907*EXP(1)^(-0.5*tbl_CONTENT[[#This Row],[Layer]])) *
 ((tbl_CONTENT[[#This Row],[RelInt]]-1)^(2.5)*4^(1-2.5)+1) +
 ((tbl_CONTENT[[#This Row],[Comp]]-1)^(2.5)*4^(1-2.5)+1)*(0.5*((tbl_CONTENT[[#This Row],[RelInt]]-1)/4)^(2.5)+1),
 0
)</f>
        <v>3.0350160387235787</v>
      </c>
      <c r="T29" s="35">
        <f>IFERROR(
 (1.907*EXP(1)^(-0.5*VALUE(tbl_CONTENT[[#This Row],[Layer]]))) *
 ((VALUE(tbl_CONTENT[[#This Row],[RelId]])-1)^(2.5)*4^(1-2.5)+1) +
 ((VALUE(tbl_CONTENT[[#This Row],[Comp]])-1)^(2.5)*4^(1-2.5)+1)*(0.5*((VALUE(tbl_CONTENT[[#This Row],[RelId]])-1)/4)^(2.5)+1),
 0
)</f>
        <v>8.3439300121397828</v>
      </c>
      <c r="W29" s="22" t="str">
        <f>IFERROR(
  IF(_xlfn.XLOOKUP(tbl_CONTENT[[#This Row],[Topic]], tbl_TOPIC[Topic], tbl_TOPIC[ParentTopic])="", "",
       _xlfn.XLOOKUP(tbl_CONTENT[[#This Row],[Topic]], tbl_TOPIC[Topic], tbl_TOPIC[ParentTopic])),
  ""
)</f>
        <v/>
      </c>
      <c r="X29" s="22" t="str">
        <f>IFERROR(
  IF(_xlfn.XLOOKUP(tbl_CONTENT[[#This Row],[Topic]], tbl_TOPIC[Topic], tbl_TOPIC[TopicPath])="", "",
       _xlfn.XLOOKUP(tbl_CONTENT[[#This Row],[Topic]], tbl_TOPIC[Topic], tbl_TOPIC[TopicPath])),
  ""
)</f>
        <v>Kategorien und Funktoren in HA</v>
      </c>
    </row>
    <row r="30" spans="3:24" ht="17" x14ac:dyDescent="0.2">
      <c r="C30" s="22" t="str">
        <f>_xlfn.XLOOKUP(tbl_CONTENT[[#This Row],[TopicID]], tbl_TOPIC[TopicID], tbl_TOPIC[Subject], "")</f>
        <v>HA</v>
      </c>
      <c r="D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HA-T12-01-15</v>
      </c>
      <c r="E30" s="22">
        <f>ROW()</f>
        <v>30</v>
      </c>
      <c r="F30" s="22" t="s">
        <v>1051</v>
      </c>
      <c r="G30" s="22" t="str">
        <f>_xlfn.XLOOKUP(tbl_CONTENT[[#This Row],[Topic]], tbl_TOPIC[Topic], tbl_TOPIC[TopicID], "")</f>
        <v>HA-1-01</v>
      </c>
      <c r="H30" s="22" cm="1">
        <f t="array" ref="H30">SUM((tbl_CONTENT[[#This Row],[TopicID]]=INDEX(tbl_CONTENT[TopicID],1):tbl_CONTENT[[#This Row],[TopicID]])*1)</f>
        <v>15</v>
      </c>
      <c r="I30" s="22" t="str">
        <f>_xlfn.XLOOKUP(tbl_CONTENT[[#This Row],[Topic]], tbl_TOPIC[Topic], tbl_TOPIC[TopicIndex], "")</f>
        <v>01</v>
      </c>
      <c r="J30" s="22" t="s">
        <v>158</v>
      </c>
      <c r="K30" s="22" t="s">
        <v>193</v>
      </c>
      <c r="L30" s="22" t="s">
        <v>152</v>
      </c>
      <c r="M30" s="22">
        <v>1</v>
      </c>
      <c r="N30" s="22">
        <v>2</v>
      </c>
      <c r="O30" s="22">
        <v>2</v>
      </c>
      <c r="P30" s="22">
        <v>4</v>
      </c>
      <c r="Q30" s="22">
        <v>5</v>
      </c>
      <c r="S30" s="35">
        <f>IFERROR(
 (1.907*EXP(1)^(-0.5*tbl_CONTENT[[#This Row],[Layer]])) *
 ((tbl_CONTENT[[#This Row],[RelInt]]-1)^(2.5)*4^(1-2.5)+1) +
 ((tbl_CONTENT[[#This Row],[Comp]]-1)^(2.5)*4^(1-2.5)+1)*(0.5*((tbl_CONTENT[[#This Row],[RelInt]]-1)/4)^(2.5)+1),
 0
)</f>
        <v>3.4675646088337704</v>
      </c>
      <c r="T30" s="35">
        <f>IFERROR(
 (1.907*EXP(1)^(-0.5*VALUE(tbl_CONTENT[[#This Row],[Layer]]))) *
 ((VALUE(tbl_CONTENT[[#This Row],[RelId]])-1)^(2.5)*4^(1-2.5)+1) +
 ((VALUE(tbl_CONTENT[[#This Row],[Comp]])-1)^(2.5)*4^(1-2.5)+1)*(0.5*((VALUE(tbl_CONTENT[[#This Row],[RelId]])-1)/4)^(2.5)+1),
 0
)</f>
        <v>5.1952304715697029</v>
      </c>
      <c r="W30" s="22" t="str">
        <f>IFERROR(
  IF(_xlfn.XLOOKUP(tbl_CONTENT[[#This Row],[Topic]], tbl_TOPIC[Topic], tbl_TOPIC[ParentTopic])="", "",
       _xlfn.XLOOKUP(tbl_CONTENT[[#This Row],[Topic]], tbl_TOPIC[Topic], tbl_TOPIC[ParentTopic])),
  ""
)</f>
        <v/>
      </c>
      <c r="X30" s="22" t="str">
        <f>IFERROR(
  IF(_xlfn.XLOOKUP(tbl_CONTENT[[#This Row],[Topic]], tbl_TOPIC[Topic], tbl_TOPIC[TopicPath])="", "",
       _xlfn.XLOOKUP(tbl_CONTENT[[#This Row],[Topic]], tbl_TOPIC[Topic], tbl_TOPIC[TopicPath])),
  ""
)</f>
        <v>Kategorien und Funktoren in HA</v>
      </c>
    </row>
    <row r="31" spans="3:24" ht="17" x14ac:dyDescent="0.2">
      <c r="C31" s="22" t="str">
        <f>_xlfn.XLOOKUP(tbl_CONTENT[[#This Row],[TopicID]], tbl_TOPIC[TopicID], tbl_TOPIC[Subject], "")</f>
        <v>HA</v>
      </c>
      <c r="D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HA-T12-01-16</v>
      </c>
      <c r="E31" s="22">
        <f>ROW()</f>
        <v>31</v>
      </c>
      <c r="F31" s="22" t="s">
        <v>1051</v>
      </c>
      <c r="G31" s="22" t="str">
        <f>_xlfn.XLOOKUP(tbl_CONTENT[[#This Row],[Topic]], tbl_TOPIC[Topic], tbl_TOPIC[TopicID], "")</f>
        <v>HA-1-01</v>
      </c>
      <c r="H31" s="22" cm="1">
        <f t="array" ref="H31">SUM((tbl_CONTENT[[#This Row],[TopicID]]=INDEX(tbl_CONTENT[TopicID],1):tbl_CONTENT[[#This Row],[TopicID]])*1)</f>
        <v>16</v>
      </c>
      <c r="I31" s="22" t="str">
        <f>_xlfn.XLOOKUP(tbl_CONTENT[[#This Row],[Topic]], tbl_TOPIC[Topic], tbl_TOPIC[TopicIndex], "")</f>
        <v>01</v>
      </c>
      <c r="J31" s="22" t="s">
        <v>158</v>
      </c>
      <c r="K31" s="37" t="s">
        <v>194</v>
      </c>
      <c r="L31" s="22" t="s">
        <v>152</v>
      </c>
      <c r="M31" s="22">
        <v>1</v>
      </c>
      <c r="N31" s="22">
        <v>1</v>
      </c>
      <c r="O31" s="22">
        <v>3</v>
      </c>
      <c r="P31" s="22">
        <v>5</v>
      </c>
      <c r="Q31" s="22">
        <v>5</v>
      </c>
      <c r="S31" s="35">
        <f>IFERROR(
 (1.907*EXP(1)^(-0.5*tbl_CONTENT[[#This Row],[Layer]])) *
 ((tbl_CONTENT[[#This Row],[RelInt]]-1)^(2.5)*4^(1-2.5)+1) +
 ((tbl_CONTENT[[#This Row],[Comp]]-1)^(2.5)*4^(1-2.5)+1)*(0.5*((tbl_CONTENT[[#This Row],[RelInt]]-1)/4)^(2.5)+1),
 0
)</f>
        <v>8.3439300121397828</v>
      </c>
      <c r="T31" s="35">
        <f>IFERROR(
 (1.907*EXP(1)^(-0.5*VALUE(tbl_CONTENT[[#This Row],[Layer]]))) *
 ((VALUE(tbl_CONTENT[[#This Row],[RelId]])-1)^(2.5)*4^(1-2.5)+1) +
 ((VALUE(tbl_CONTENT[[#This Row],[Comp]])-1)^(2.5)*4^(1-2.5)+1)*(0.5*((VALUE(tbl_CONTENT[[#This Row],[RelId]])-1)/4)^(2.5)+1),
 0
)</f>
        <v>8.3439300121397828</v>
      </c>
      <c r="W31" s="22" t="str">
        <f>IFERROR(
  IF(_xlfn.XLOOKUP(tbl_CONTENT[[#This Row],[Topic]], tbl_TOPIC[Topic], tbl_TOPIC[ParentTopic])="", "",
       _xlfn.XLOOKUP(tbl_CONTENT[[#This Row],[Topic]], tbl_TOPIC[Topic], tbl_TOPIC[ParentTopic])),
  ""
)</f>
        <v/>
      </c>
      <c r="X31" s="22" t="str">
        <f>IFERROR(
  IF(_xlfn.XLOOKUP(tbl_CONTENT[[#This Row],[Topic]], tbl_TOPIC[Topic], tbl_TOPIC[TopicPath])="", "",
       _xlfn.XLOOKUP(tbl_CONTENT[[#This Row],[Topic]], tbl_TOPIC[Topic], tbl_TOPIC[TopicPath])),
  ""
)</f>
        <v>Kategorien und Funktoren in HA</v>
      </c>
    </row>
    <row r="32" spans="3:24" ht="17" x14ac:dyDescent="0.2">
      <c r="C32" s="22" t="str">
        <f>_xlfn.XLOOKUP(tbl_CONTENT[[#This Row],[TopicID]], tbl_TOPIC[TopicID], tbl_TOPIC[Subject], "")</f>
        <v>HA</v>
      </c>
      <c r="D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HA-T12-01-17</v>
      </c>
      <c r="E32" s="22">
        <f>ROW()</f>
        <v>32</v>
      </c>
      <c r="F32" s="22" t="s">
        <v>1051</v>
      </c>
      <c r="G32" s="22" t="str">
        <f>_xlfn.XLOOKUP(tbl_CONTENT[[#This Row],[Topic]], tbl_TOPIC[Topic], tbl_TOPIC[TopicID], "")</f>
        <v>HA-1-01</v>
      </c>
      <c r="H32" s="22" cm="1">
        <f t="array" ref="H32">SUM((tbl_CONTENT[[#This Row],[TopicID]]=INDEX(tbl_CONTENT[TopicID],1):tbl_CONTENT[[#This Row],[TopicID]])*1)</f>
        <v>17</v>
      </c>
      <c r="I32" s="22" t="str">
        <f>_xlfn.XLOOKUP(tbl_CONTENT[[#This Row],[Topic]], tbl_TOPIC[Topic], tbl_TOPIC[TopicIndex], "")</f>
        <v>01</v>
      </c>
      <c r="J32" s="22" t="s">
        <v>158</v>
      </c>
      <c r="K32" s="22" t="s">
        <v>195</v>
      </c>
      <c r="L32" s="22" t="s">
        <v>152</v>
      </c>
      <c r="M32" s="22">
        <v>1</v>
      </c>
      <c r="N32" s="22">
        <v>2</v>
      </c>
      <c r="O32" s="22">
        <v>2</v>
      </c>
      <c r="P32" s="22">
        <v>4</v>
      </c>
      <c r="Q32" s="22">
        <v>5</v>
      </c>
      <c r="S32" s="35">
        <f>IFERROR(
 (1.907*EXP(1)^(-0.5*tbl_CONTENT[[#This Row],[Layer]])) *
 ((tbl_CONTENT[[#This Row],[RelInt]]-1)^(2.5)*4^(1-2.5)+1) +
 ((tbl_CONTENT[[#This Row],[Comp]]-1)^(2.5)*4^(1-2.5)+1)*(0.5*((tbl_CONTENT[[#This Row],[RelInt]]-1)/4)^(2.5)+1),
 0
)</f>
        <v>3.4675646088337704</v>
      </c>
      <c r="T32" s="35">
        <f>IFERROR(
 (1.907*EXP(1)^(-0.5*VALUE(tbl_CONTENT[[#This Row],[Layer]]))) *
 ((VALUE(tbl_CONTENT[[#This Row],[RelId]])-1)^(2.5)*4^(1-2.5)+1) +
 ((VALUE(tbl_CONTENT[[#This Row],[Comp]])-1)^(2.5)*4^(1-2.5)+1)*(0.5*((VALUE(tbl_CONTENT[[#This Row],[RelId]])-1)/4)^(2.5)+1),
 0
)</f>
        <v>5.1952304715697029</v>
      </c>
      <c r="W32" s="22" t="str">
        <f>IFERROR(
  IF(_xlfn.XLOOKUP(tbl_CONTENT[[#This Row],[Topic]], tbl_TOPIC[Topic], tbl_TOPIC[ParentTopic])="", "",
       _xlfn.XLOOKUP(tbl_CONTENT[[#This Row],[Topic]], tbl_TOPIC[Topic], tbl_TOPIC[ParentTopic])),
  ""
)</f>
        <v/>
      </c>
      <c r="X32" s="22" t="str">
        <f>IFERROR(
  IF(_xlfn.XLOOKUP(tbl_CONTENT[[#This Row],[Topic]], tbl_TOPIC[Topic], tbl_TOPIC[TopicPath])="", "",
       _xlfn.XLOOKUP(tbl_CONTENT[[#This Row],[Topic]], tbl_TOPIC[Topic], tbl_TOPIC[TopicPath])),
  ""
)</f>
        <v>Kategorien und Funktoren in HA</v>
      </c>
    </row>
    <row r="33" spans="3:24" ht="34" x14ac:dyDescent="0.2">
      <c r="C33" s="22" t="str">
        <f>_xlfn.XLOOKUP(tbl_CONTENT[[#This Row],[TopicID]], tbl_TOPIC[TopicID], tbl_TOPIC[Subject], "")</f>
        <v>HA</v>
      </c>
      <c r="D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HA-T12-01-18</v>
      </c>
      <c r="E33" s="22">
        <f>ROW()</f>
        <v>33</v>
      </c>
      <c r="F33" s="22" t="s">
        <v>1051</v>
      </c>
      <c r="G33" s="22" t="str">
        <f>_xlfn.XLOOKUP(tbl_CONTENT[[#This Row],[Topic]], tbl_TOPIC[Topic], tbl_TOPIC[TopicID], "")</f>
        <v>HA-1-01</v>
      </c>
      <c r="H33" s="22" cm="1">
        <f t="array" ref="H33">SUM((tbl_CONTENT[[#This Row],[TopicID]]=INDEX(tbl_CONTENT[TopicID],1):tbl_CONTENT[[#This Row],[TopicID]])*1)</f>
        <v>18</v>
      </c>
      <c r="I33" s="22" t="str">
        <f>_xlfn.XLOOKUP(tbl_CONTENT[[#This Row],[Topic]], tbl_TOPIC[Topic], tbl_TOPIC[TopicIndex], "")</f>
        <v>01</v>
      </c>
      <c r="J33" s="22" t="s">
        <v>158</v>
      </c>
      <c r="K33" s="22" t="s">
        <v>196</v>
      </c>
      <c r="L33" s="22" t="s">
        <v>152</v>
      </c>
      <c r="M33" s="22">
        <v>1</v>
      </c>
      <c r="N33" s="22">
        <v>2</v>
      </c>
      <c r="O33" s="22">
        <v>2</v>
      </c>
      <c r="P33" s="22">
        <v>4</v>
      </c>
      <c r="Q33" s="22">
        <v>5</v>
      </c>
      <c r="S33" s="35">
        <f>IFERROR(
 (1.907*EXP(1)^(-0.5*tbl_CONTENT[[#This Row],[Layer]])) *
 ((tbl_CONTENT[[#This Row],[RelInt]]-1)^(2.5)*4^(1-2.5)+1) +
 ((tbl_CONTENT[[#This Row],[Comp]]-1)^(2.5)*4^(1-2.5)+1)*(0.5*((tbl_CONTENT[[#This Row],[RelInt]]-1)/4)^(2.5)+1),
 0
)</f>
        <v>3.4675646088337704</v>
      </c>
      <c r="T33" s="35">
        <f>IFERROR(
 (1.907*EXP(1)^(-0.5*VALUE(tbl_CONTENT[[#This Row],[Layer]]))) *
 ((VALUE(tbl_CONTENT[[#This Row],[RelId]])-1)^(2.5)*4^(1-2.5)+1) +
 ((VALUE(tbl_CONTENT[[#This Row],[Comp]])-1)^(2.5)*4^(1-2.5)+1)*(0.5*((VALUE(tbl_CONTENT[[#This Row],[RelId]])-1)/4)^(2.5)+1),
 0
)</f>
        <v>5.1952304715697029</v>
      </c>
      <c r="W33" s="22" t="str">
        <f>IFERROR(
  IF(_xlfn.XLOOKUP(tbl_CONTENT[[#This Row],[Topic]], tbl_TOPIC[Topic], tbl_TOPIC[ParentTopic])="", "",
       _xlfn.XLOOKUP(tbl_CONTENT[[#This Row],[Topic]], tbl_TOPIC[Topic], tbl_TOPIC[ParentTopic])),
  ""
)</f>
        <v/>
      </c>
      <c r="X33" s="22" t="str">
        <f>IFERROR(
  IF(_xlfn.XLOOKUP(tbl_CONTENT[[#This Row],[Topic]], tbl_TOPIC[Topic], tbl_TOPIC[TopicPath])="", "",
       _xlfn.XLOOKUP(tbl_CONTENT[[#This Row],[Topic]], tbl_TOPIC[Topic], tbl_TOPIC[TopicPath])),
  ""
)</f>
        <v>Kategorien und Funktoren in HA</v>
      </c>
    </row>
    <row r="34" spans="3:24" ht="17" x14ac:dyDescent="0.2">
      <c r="C34" s="22" t="str">
        <f>_xlfn.XLOOKUP(tbl_CONTENT[[#This Row],[TopicID]], tbl_TOPIC[TopicID], tbl_TOPIC[Subject], "")</f>
        <v>HA</v>
      </c>
      <c r="D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HA-T12-01-19</v>
      </c>
      <c r="E34" s="22">
        <f>ROW()</f>
        <v>34</v>
      </c>
      <c r="F34" s="22" t="s">
        <v>1051</v>
      </c>
      <c r="G34" s="22" t="str">
        <f>_xlfn.XLOOKUP(tbl_CONTENT[[#This Row],[Topic]], tbl_TOPIC[Topic], tbl_TOPIC[TopicID], "")</f>
        <v>HA-1-01</v>
      </c>
      <c r="H34" s="22" cm="1">
        <f t="array" ref="H34">SUM((tbl_CONTENT[[#This Row],[TopicID]]=INDEX(tbl_CONTENT[TopicID],1):tbl_CONTENT[[#This Row],[TopicID]])*1)</f>
        <v>19</v>
      </c>
      <c r="I34" s="22" t="str">
        <f>_xlfn.XLOOKUP(tbl_CONTENT[[#This Row],[Topic]], tbl_TOPIC[Topic], tbl_TOPIC[TopicIndex], "")</f>
        <v>01</v>
      </c>
      <c r="J34" s="22" t="s">
        <v>158</v>
      </c>
      <c r="K34" s="37" t="s">
        <v>197</v>
      </c>
      <c r="L34" s="22" t="s">
        <v>152</v>
      </c>
      <c r="M34" s="22">
        <v>1</v>
      </c>
      <c r="N34" s="22">
        <v>1</v>
      </c>
      <c r="O34" s="22">
        <v>3</v>
      </c>
      <c r="P34" s="22">
        <v>5</v>
      </c>
      <c r="Q34" s="22">
        <v>5</v>
      </c>
      <c r="S34" s="35">
        <f>IFERROR(
 (1.907*EXP(1)^(-0.5*tbl_CONTENT[[#This Row],[Layer]])) *
 ((tbl_CONTENT[[#This Row],[RelInt]]-1)^(2.5)*4^(1-2.5)+1) +
 ((tbl_CONTENT[[#This Row],[Comp]]-1)^(2.5)*4^(1-2.5)+1)*(0.5*((tbl_CONTENT[[#This Row],[RelInt]]-1)/4)^(2.5)+1),
 0
)</f>
        <v>8.3439300121397828</v>
      </c>
      <c r="T34" s="35">
        <f>IFERROR(
 (1.907*EXP(1)^(-0.5*VALUE(tbl_CONTENT[[#This Row],[Layer]]))) *
 ((VALUE(tbl_CONTENT[[#This Row],[RelId]])-1)^(2.5)*4^(1-2.5)+1) +
 ((VALUE(tbl_CONTENT[[#This Row],[Comp]])-1)^(2.5)*4^(1-2.5)+1)*(0.5*((VALUE(tbl_CONTENT[[#This Row],[RelId]])-1)/4)^(2.5)+1),
 0
)</f>
        <v>8.3439300121397828</v>
      </c>
      <c r="W34" s="22" t="str">
        <f>IFERROR(
  IF(_xlfn.XLOOKUP(tbl_CONTENT[[#This Row],[Topic]], tbl_TOPIC[Topic], tbl_TOPIC[ParentTopic])="", "",
       _xlfn.XLOOKUP(tbl_CONTENT[[#This Row],[Topic]], tbl_TOPIC[Topic], tbl_TOPIC[ParentTopic])),
  ""
)</f>
        <v/>
      </c>
      <c r="X34" s="22" t="str">
        <f>IFERROR(
  IF(_xlfn.XLOOKUP(tbl_CONTENT[[#This Row],[Topic]], tbl_TOPIC[Topic], tbl_TOPIC[TopicPath])="", "",
       _xlfn.XLOOKUP(tbl_CONTENT[[#This Row],[Topic]], tbl_TOPIC[Topic], tbl_TOPIC[TopicPath])),
  ""
)</f>
        <v>Kategorien und Funktoren in HA</v>
      </c>
    </row>
    <row r="35" spans="3:24" ht="34" x14ac:dyDescent="0.2">
      <c r="C35" s="22" t="str">
        <f>_xlfn.XLOOKUP(tbl_CONTENT[[#This Row],[TopicID]], tbl_TOPIC[TopicID], tbl_TOPIC[Subject], "")</f>
        <v>HA</v>
      </c>
      <c r="D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HA-T12-01-20</v>
      </c>
      <c r="E35" s="22">
        <f>ROW()</f>
        <v>35</v>
      </c>
      <c r="F35" s="22" t="s">
        <v>1051</v>
      </c>
      <c r="G35" s="22" t="str">
        <f>_xlfn.XLOOKUP(tbl_CONTENT[[#This Row],[Topic]], tbl_TOPIC[Topic], tbl_TOPIC[TopicID], "")</f>
        <v>HA-1-01</v>
      </c>
      <c r="H35" s="22" cm="1">
        <f t="array" ref="H35">SUM((tbl_CONTENT[[#This Row],[TopicID]]=INDEX(tbl_CONTENT[TopicID],1):tbl_CONTENT[[#This Row],[TopicID]])*1)</f>
        <v>20</v>
      </c>
      <c r="I35" s="22" t="str">
        <f>_xlfn.XLOOKUP(tbl_CONTENT[[#This Row],[Topic]], tbl_TOPIC[Topic], tbl_TOPIC[TopicIndex], "")</f>
        <v>01</v>
      </c>
      <c r="J35" s="22" t="s">
        <v>158</v>
      </c>
      <c r="K35" s="22" t="s">
        <v>198</v>
      </c>
      <c r="L35" s="22" t="s">
        <v>179</v>
      </c>
      <c r="M35" s="22">
        <v>1</v>
      </c>
      <c r="N35" s="22">
        <v>2</v>
      </c>
      <c r="O35" s="22">
        <v>3</v>
      </c>
      <c r="P35" s="22">
        <v>5</v>
      </c>
      <c r="Q35" s="22">
        <v>5</v>
      </c>
      <c r="S35" s="35">
        <f>IFERROR(
 (1.907*EXP(1)^(-0.5*tbl_CONTENT[[#This Row],[Layer]])) *
 ((tbl_CONTENT[[#This Row],[RelInt]]-1)^(2.5)*4^(1-2.5)+1) +
 ((tbl_CONTENT[[#This Row],[Comp]]-1)^(2.5)*4^(1-2.5)+1)*(0.5*((tbl_CONTENT[[#This Row],[RelInt]]-1)/4)^(2.5)+1),
 0
)</f>
        <v>6.0683906433495247</v>
      </c>
      <c r="T35" s="35">
        <f>IFERROR(
 (1.907*EXP(1)^(-0.5*VALUE(tbl_CONTENT[[#This Row],[Layer]]))) *
 ((VALUE(tbl_CONTENT[[#This Row],[RelId]])-1)^(2.5)*4^(1-2.5)+1) +
 ((VALUE(tbl_CONTENT[[#This Row],[Comp]])-1)^(2.5)*4^(1-2.5)+1)*(0.5*((VALUE(tbl_CONTENT[[#This Row],[RelId]])-1)/4)^(2.5)+1),
 0
)</f>
        <v>6.0683906433495247</v>
      </c>
      <c r="W35" s="22" t="str">
        <f>IFERROR(
  IF(_xlfn.XLOOKUP(tbl_CONTENT[[#This Row],[Topic]], tbl_TOPIC[Topic], tbl_TOPIC[ParentTopic])="", "",
       _xlfn.XLOOKUP(tbl_CONTENT[[#This Row],[Topic]], tbl_TOPIC[Topic], tbl_TOPIC[ParentTopic])),
  ""
)</f>
        <v/>
      </c>
      <c r="X35" s="22" t="str">
        <f>IFERROR(
  IF(_xlfn.XLOOKUP(tbl_CONTENT[[#This Row],[Topic]], tbl_TOPIC[Topic], tbl_TOPIC[TopicPath])="", "",
       _xlfn.XLOOKUP(tbl_CONTENT[[#This Row],[Topic]], tbl_TOPIC[Topic], tbl_TOPIC[TopicPath])),
  ""
)</f>
        <v>Kategorien und Funktoren in HA</v>
      </c>
    </row>
    <row r="36" spans="3:24" ht="17" x14ac:dyDescent="0.2">
      <c r="C36" s="22" t="str">
        <f>_xlfn.XLOOKUP(tbl_CONTENT[[#This Row],[TopicID]], tbl_TOPIC[TopicID], tbl_TOPIC[Subject], "")</f>
        <v>HA</v>
      </c>
      <c r="D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HA-T12-01-21</v>
      </c>
      <c r="E36" s="22">
        <f>ROW()</f>
        <v>36</v>
      </c>
      <c r="F36" s="22" t="s">
        <v>1051</v>
      </c>
      <c r="G36" s="22" t="str">
        <f>_xlfn.XLOOKUP(tbl_CONTENT[[#This Row],[Topic]], tbl_TOPIC[Topic], tbl_TOPIC[TopicID], "")</f>
        <v>HA-1-01</v>
      </c>
      <c r="H36" s="22" cm="1">
        <f t="array" ref="H36">SUM((tbl_CONTENT[[#This Row],[TopicID]]=INDEX(tbl_CONTENT[TopicID],1):tbl_CONTENT[[#This Row],[TopicID]])*1)</f>
        <v>21</v>
      </c>
      <c r="I36" s="22" t="str">
        <f>_xlfn.XLOOKUP(tbl_CONTENT[[#This Row],[Topic]], tbl_TOPIC[Topic], tbl_TOPIC[TopicIndex], "")</f>
        <v>01</v>
      </c>
      <c r="J36" s="22" t="s">
        <v>158</v>
      </c>
      <c r="K36" s="37" t="s">
        <v>199</v>
      </c>
      <c r="L36" s="22" t="s">
        <v>152</v>
      </c>
      <c r="M36" s="22">
        <v>1</v>
      </c>
      <c r="N36" s="22">
        <v>1</v>
      </c>
      <c r="O36" s="22">
        <v>2</v>
      </c>
      <c r="P36" s="22">
        <v>5</v>
      </c>
      <c r="Q36" s="22">
        <v>5</v>
      </c>
      <c r="S36" s="35">
        <f>IFERROR(
 (1.907*EXP(1)^(-0.5*tbl_CONTENT[[#This Row],[Layer]])) *
 ((tbl_CONTENT[[#This Row],[RelInt]]-1)^(2.5)*4^(1-2.5)+1) +
 ((tbl_CONTENT[[#This Row],[Comp]]-1)^(2.5)*4^(1-2.5)+1)*(0.5*((tbl_CONTENT[[#This Row],[RelInt]]-1)/4)^(2.5)+1),
 0
)</f>
        <v>7.4707698403599609</v>
      </c>
      <c r="T36" s="35">
        <f>IFERROR(
 (1.907*EXP(1)^(-0.5*VALUE(tbl_CONTENT[[#This Row],[Layer]]))) *
 ((VALUE(tbl_CONTENT[[#This Row],[RelId]])-1)^(2.5)*4^(1-2.5)+1) +
 ((VALUE(tbl_CONTENT[[#This Row],[Comp]])-1)^(2.5)*4^(1-2.5)+1)*(0.5*((VALUE(tbl_CONTENT[[#This Row],[RelId]])-1)/4)^(2.5)+1),
 0
)</f>
        <v>7.4707698403599609</v>
      </c>
      <c r="W36" s="22" t="str">
        <f>IFERROR(
  IF(_xlfn.XLOOKUP(tbl_CONTENT[[#This Row],[Topic]], tbl_TOPIC[Topic], tbl_TOPIC[ParentTopic])="", "",
       _xlfn.XLOOKUP(tbl_CONTENT[[#This Row],[Topic]], tbl_TOPIC[Topic], tbl_TOPIC[ParentTopic])),
  ""
)</f>
        <v/>
      </c>
      <c r="X36" s="22" t="str">
        <f>IFERROR(
  IF(_xlfn.XLOOKUP(tbl_CONTENT[[#This Row],[Topic]], tbl_TOPIC[Topic], tbl_TOPIC[TopicPath])="", "",
       _xlfn.XLOOKUP(tbl_CONTENT[[#This Row],[Topic]], tbl_TOPIC[Topic], tbl_TOPIC[TopicPath])),
  ""
)</f>
        <v>Kategorien und Funktoren in HA</v>
      </c>
    </row>
    <row r="37" spans="3:24" ht="17" x14ac:dyDescent="0.2">
      <c r="C37" s="22" t="str">
        <f>_xlfn.XLOOKUP(tbl_CONTENT[[#This Row],[TopicID]], tbl_TOPIC[TopicID], tbl_TOPIC[Subject], "")</f>
        <v>HA</v>
      </c>
      <c r="D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HA-T12-02-01</v>
      </c>
      <c r="E37" s="22">
        <f>ROW()</f>
        <v>37</v>
      </c>
      <c r="F37" s="22" t="s">
        <v>1051</v>
      </c>
      <c r="G37" s="22" t="str">
        <f>_xlfn.XLOOKUP(tbl_CONTENT[[#This Row],[Topic]], tbl_TOPIC[Topic], tbl_TOPIC[TopicID], "")</f>
        <v>HA-1-02</v>
      </c>
      <c r="H37" s="22" cm="1">
        <f t="array" ref="H37">SUM((tbl_CONTENT[[#This Row],[TopicID]]=INDEX(tbl_CONTENT[TopicID],1):tbl_CONTENT[[#This Row],[TopicID]])*1)</f>
        <v>1</v>
      </c>
      <c r="I37" s="22" t="str">
        <f>_xlfn.XLOOKUP(tbl_CONTENT[[#This Row],[Topic]], tbl_TOPIC[Topic], tbl_TOPIC[TopicIndex], "")</f>
        <v>02</v>
      </c>
      <c r="J37" s="22" t="s">
        <v>132</v>
      </c>
      <c r="K37" s="22" t="s">
        <v>200</v>
      </c>
      <c r="L37" s="22" t="s">
        <v>152</v>
      </c>
      <c r="M37" s="22">
        <v>1</v>
      </c>
      <c r="N37" s="22">
        <v>1</v>
      </c>
      <c r="O37" s="22">
        <v>3</v>
      </c>
      <c r="P37" s="22">
        <v>2</v>
      </c>
      <c r="Q37" s="22">
        <v>5</v>
      </c>
      <c r="S37" s="35">
        <f>IFERROR(
 (1.907*EXP(1)^(-0.5*tbl_CONTENT[[#This Row],[Layer]])) *
 ((tbl_CONTENT[[#This Row],[RelInt]]-1)^(2.5)*4^(1-2.5)+1) +
 ((tbl_CONTENT[[#This Row],[Comp]]-1)^(2.5)*4^(1-2.5)+1)*(0.5*((tbl_CONTENT[[#This Row],[RelInt]]-1)/4)^(2.5)+1),
 0
)</f>
        <v>3.0350160387235787</v>
      </c>
      <c r="T37" s="35">
        <f>IFERROR(
 (1.907*EXP(1)^(-0.5*VALUE(tbl_CONTENT[[#This Row],[Layer]]))) *
 ((VALUE(tbl_CONTENT[[#This Row],[RelId]])-1)^(2.5)*4^(1-2.5)+1) +
 ((VALUE(tbl_CONTENT[[#This Row],[Comp]])-1)^(2.5)*4^(1-2.5)+1)*(0.5*((VALUE(tbl_CONTENT[[#This Row],[RelId]])-1)/4)^(2.5)+1),
 0
)</f>
        <v>8.3439300121397828</v>
      </c>
      <c r="W37" s="22" t="str">
        <f>IFERROR(
  IF(_xlfn.XLOOKUP(tbl_CONTENT[[#This Row],[Topic]], tbl_TOPIC[Topic], tbl_TOPIC[ParentTopic])="", "",
       _xlfn.XLOOKUP(tbl_CONTENT[[#This Row],[Topic]], tbl_TOPIC[Topic], tbl_TOPIC[ParentTopic])),
  ""
)</f>
        <v/>
      </c>
      <c r="X37" s="22" t="str">
        <f>IFERROR(
  IF(_xlfn.XLOOKUP(tbl_CONTENT[[#This Row],[Topic]], tbl_TOPIC[Topic], tbl_TOPIC[TopicPath])="", "",
       _xlfn.XLOOKUP(tbl_CONTENT[[#This Row],[Topic]], tbl_TOPIC[Topic], tbl_TOPIC[TopicPath])),
  ""
)</f>
        <v>Moduln in HA</v>
      </c>
    </row>
    <row r="38" spans="3:24" ht="17" x14ac:dyDescent="0.2">
      <c r="C38" s="22" t="str">
        <f>_xlfn.XLOOKUP(tbl_CONTENT[[#This Row],[TopicID]], tbl_TOPIC[TopicID], tbl_TOPIC[Subject], "")</f>
        <v>HA</v>
      </c>
      <c r="D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HA-T12-02-02</v>
      </c>
      <c r="E38" s="22">
        <f>ROW()</f>
        <v>38</v>
      </c>
      <c r="F38" s="22" t="s">
        <v>1051</v>
      </c>
      <c r="G38" s="22" t="str">
        <f>_xlfn.XLOOKUP(tbl_CONTENT[[#This Row],[Topic]], tbl_TOPIC[Topic], tbl_TOPIC[TopicID], "")</f>
        <v>HA-1-02</v>
      </c>
      <c r="H38" s="22" cm="1">
        <f t="array" ref="H38">SUM((tbl_CONTENT[[#This Row],[TopicID]]=INDEX(tbl_CONTENT[TopicID],1):tbl_CONTENT[[#This Row],[TopicID]])*1)</f>
        <v>2</v>
      </c>
      <c r="I38" s="22" t="str">
        <f>_xlfn.XLOOKUP(tbl_CONTENT[[#This Row],[Topic]], tbl_TOPIC[Topic], tbl_TOPIC[TopicIndex], "")</f>
        <v>02</v>
      </c>
      <c r="J38" s="22" t="s">
        <v>132</v>
      </c>
      <c r="K38" s="22" t="s">
        <v>201</v>
      </c>
      <c r="L38" s="22" t="s">
        <v>152</v>
      </c>
      <c r="M38" s="22">
        <v>1</v>
      </c>
      <c r="N38" s="22">
        <v>1</v>
      </c>
      <c r="O38" s="22">
        <v>2</v>
      </c>
      <c r="P38" s="22">
        <v>5</v>
      </c>
      <c r="Q38" s="22">
        <v>5</v>
      </c>
      <c r="S38" s="35">
        <f>IFERROR(
 (1.907*EXP(1)^(-0.5*tbl_CONTENT[[#This Row],[Layer]])) *
 ((tbl_CONTENT[[#This Row],[RelInt]]-1)^(2.5)*4^(1-2.5)+1) +
 ((tbl_CONTENT[[#This Row],[Comp]]-1)^(2.5)*4^(1-2.5)+1)*(0.5*((tbl_CONTENT[[#This Row],[RelInt]]-1)/4)^(2.5)+1),
 0
)</f>
        <v>7.4707698403599609</v>
      </c>
      <c r="T38" s="35">
        <f>IFERROR(
 (1.907*EXP(1)^(-0.5*VALUE(tbl_CONTENT[[#This Row],[Layer]]))) *
 ((VALUE(tbl_CONTENT[[#This Row],[RelId]])-1)^(2.5)*4^(1-2.5)+1) +
 ((VALUE(tbl_CONTENT[[#This Row],[Comp]])-1)^(2.5)*4^(1-2.5)+1)*(0.5*((VALUE(tbl_CONTENT[[#This Row],[RelId]])-1)/4)^(2.5)+1),
 0
)</f>
        <v>7.4707698403599609</v>
      </c>
      <c r="W38" s="22" t="str">
        <f>IFERROR(
  IF(_xlfn.XLOOKUP(tbl_CONTENT[[#This Row],[Topic]], tbl_TOPIC[Topic], tbl_TOPIC[ParentTopic])="", "",
       _xlfn.XLOOKUP(tbl_CONTENT[[#This Row],[Topic]], tbl_TOPIC[Topic], tbl_TOPIC[ParentTopic])),
  ""
)</f>
        <v/>
      </c>
      <c r="X38" s="22" t="str">
        <f>IFERROR(
  IF(_xlfn.XLOOKUP(tbl_CONTENT[[#This Row],[Topic]], tbl_TOPIC[Topic], tbl_TOPIC[TopicPath])="", "",
       _xlfn.XLOOKUP(tbl_CONTENT[[#This Row],[Topic]], tbl_TOPIC[Topic], tbl_TOPIC[TopicPath])),
  ""
)</f>
        <v>Moduln in HA</v>
      </c>
    </row>
    <row r="39" spans="3:24" ht="17" x14ac:dyDescent="0.2">
      <c r="C39" s="22" t="str">
        <f>_xlfn.XLOOKUP(tbl_CONTENT[[#This Row],[TopicID]], tbl_TOPIC[TopicID], tbl_TOPIC[Subject], "")</f>
        <v>HA</v>
      </c>
      <c r="D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HA-T12-02-03</v>
      </c>
      <c r="E39" s="22">
        <f>ROW()</f>
        <v>39</v>
      </c>
      <c r="F39" s="22" t="s">
        <v>1051</v>
      </c>
      <c r="G39" s="22" t="str">
        <f>_xlfn.XLOOKUP(tbl_CONTENT[[#This Row],[Topic]], tbl_TOPIC[Topic], tbl_TOPIC[TopicID], "")</f>
        <v>HA-1-02</v>
      </c>
      <c r="H39" s="22" cm="1">
        <f t="array" ref="H39">SUM((tbl_CONTENT[[#This Row],[TopicID]]=INDEX(tbl_CONTENT[TopicID],1):tbl_CONTENT[[#This Row],[TopicID]])*1)</f>
        <v>3</v>
      </c>
      <c r="I39" s="22" t="str">
        <f>_xlfn.XLOOKUP(tbl_CONTENT[[#This Row],[Topic]], tbl_TOPIC[Topic], tbl_TOPIC[TopicIndex], "")</f>
        <v>02</v>
      </c>
      <c r="J39" s="22" t="s">
        <v>132</v>
      </c>
      <c r="K39" s="22" t="s">
        <v>202</v>
      </c>
      <c r="M39" s="22">
        <v>1</v>
      </c>
      <c r="N39" s="22">
        <v>1</v>
      </c>
      <c r="O39" s="22">
        <v>2</v>
      </c>
      <c r="P39" s="22">
        <v>5</v>
      </c>
      <c r="Q39" s="22">
        <v>5</v>
      </c>
      <c r="S39" s="35">
        <f>IFERROR(
 (1.907*EXP(1)^(-0.5*tbl_CONTENT[[#This Row],[Layer]])) *
 ((tbl_CONTENT[[#This Row],[RelInt]]-1)^(2.5)*4^(1-2.5)+1) +
 ((tbl_CONTENT[[#This Row],[Comp]]-1)^(2.5)*4^(1-2.5)+1)*(0.5*((tbl_CONTENT[[#This Row],[RelInt]]-1)/4)^(2.5)+1),
 0
)</f>
        <v>7.4707698403599609</v>
      </c>
      <c r="T39" s="35">
        <f>IFERROR(
 (1.907*EXP(1)^(-0.5*VALUE(tbl_CONTENT[[#This Row],[Layer]]))) *
 ((VALUE(tbl_CONTENT[[#This Row],[RelId]])-1)^(2.5)*4^(1-2.5)+1) +
 ((VALUE(tbl_CONTENT[[#This Row],[Comp]])-1)^(2.5)*4^(1-2.5)+1)*(0.5*((VALUE(tbl_CONTENT[[#This Row],[RelId]])-1)/4)^(2.5)+1),
 0
)</f>
        <v>7.4707698403599609</v>
      </c>
      <c r="W39" s="22" t="str">
        <f>IFERROR(
  IF(_xlfn.XLOOKUP(tbl_CONTENT[[#This Row],[Topic]], tbl_TOPIC[Topic], tbl_TOPIC[ParentTopic])="", "",
       _xlfn.XLOOKUP(tbl_CONTENT[[#This Row],[Topic]], tbl_TOPIC[Topic], tbl_TOPIC[ParentTopic])),
  ""
)</f>
        <v/>
      </c>
      <c r="X39" s="22" t="str">
        <f>IFERROR(
  IF(_xlfn.XLOOKUP(tbl_CONTENT[[#This Row],[Topic]], tbl_TOPIC[Topic], tbl_TOPIC[TopicPath])="", "",
       _xlfn.XLOOKUP(tbl_CONTENT[[#This Row],[Topic]], tbl_TOPIC[Topic], tbl_TOPIC[TopicPath])),
  ""
)</f>
        <v>Moduln in HA</v>
      </c>
    </row>
    <row r="40" spans="3:24" ht="17" x14ac:dyDescent="0.2">
      <c r="C40" s="22" t="str">
        <f>_xlfn.XLOOKUP(tbl_CONTENT[[#This Row],[TopicID]], tbl_TOPIC[TopicID], tbl_TOPIC[Subject], "")</f>
        <v>HA</v>
      </c>
      <c r="D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HA-T12-02-04</v>
      </c>
      <c r="E40" s="22">
        <f>ROW()</f>
        <v>40</v>
      </c>
      <c r="F40" s="22" t="s">
        <v>1051</v>
      </c>
      <c r="G40" s="22" t="str">
        <f>_xlfn.XLOOKUP(tbl_CONTENT[[#This Row],[Topic]], tbl_TOPIC[Topic], tbl_TOPIC[TopicID], "")</f>
        <v>HA-1-02</v>
      </c>
      <c r="H40" s="22" cm="1">
        <f t="array" ref="H40">SUM((tbl_CONTENT[[#This Row],[TopicID]]=INDEX(tbl_CONTENT[TopicID],1):tbl_CONTENT[[#This Row],[TopicID]])*1)</f>
        <v>4</v>
      </c>
      <c r="I40" s="22" t="str">
        <f>_xlfn.XLOOKUP(tbl_CONTENT[[#This Row],[Topic]], tbl_TOPIC[Topic], tbl_TOPIC[TopicIndex], "")</f>
        <v>02</v>
      </c>
      <c r="J40" s="22" t="s">
        <v>132</v>
      </c>
      <c r="K40" s="22" t="s">
        <v>203</v>
      </c>
      <c r="L40" s="22" t="s">
        <v>152</v>
      </c>
      <c r="M40" s="22">
        <v>1</v>
      </c>
      <c r="N40" s="22">
        <v>2</v>
      </c>
      <c r="O40" s="22">
        <v>1</v>
      </c>
      <c r="P40" s="22">
        <v>4</v>
      </c>
      <c r="Q40" s="22">
        <v>5</v>
      </c>
      <c r="S40" s="35">
        <f>IFERROR(
 (1.907*EXP(1)^(-0.5*tbl_CONTENT[[#This Row],[Layer]])) *
 ((tbl_CONTENT[[#This Row],[RelInt]]-1)^(2.5)*4^(1-2.5)+1) +
 ((tbl_CONTENT[[#This Row],[Comp]]-1)^(2.5)*4^(1-2.5)+1)*(0.5*((tbl_CONTENT[[#This Row],[RelInt]]-1)/4)^(2.5)+1),
 0
)</f>
        <v>3.3121184032319735</v>
      </c>
      <c r="T40" s="35">
        <f>IFERROR(
 (1.907*EXP(1)^(-0.5*VALUE(tbl_CONTENT[[#This Row],[Layer]]))) *
 ((VALUE(tbl_CONTENT[[#This Row],[RelId]])-1)^(2.5)*4^(1-2.5)+1) +
 ((VALUE(tbl_CONTENT[[#This Row],[Comp]])-1)^(2.5)*4^(1-2.5)+1)*(0.5*((VALUE(tbl_CONTENT[[#This Row],[RelId]])-1)/4)^(2.5)+1),
 0
)</f>
        <v>5.0077304715697029</v>
      </c>
      <c r="W40" s="22" t="str">
        <f>IFERROR(
  IF(_xlfn.XLOOKUP(tbl_CONTENT[[#This Row],[Topic]], tbl_TOPIC[Topic], tbl_TOPIC[ParentTopic])="", "",
       _xlfn.XLOOKUP(tbl_CONTENT[[#This Row],[Topic]], tbl_TOPIC[Topic], tbl_TOPIC[ParentTopic])),
  ""
)</f>
        <v/>
      </c>
      <c r="X40" s="22" t="str">
        <f>IFERROR(
  IF(_xlfn.XLOOKUP(tbl_CONTENT[[#This Row],[Topic]], tbl_TOPIC[Topic], tbl_TOPIC[TopicPath])="", "",
       _xlfn.XLOOKUP(tbl_CONTENT[[#This Row],[Topic]], tbl_TOPIC[Topic], tbl_TOPIC[TopicPath])),
  ""
)</f>
        <v>Moduln in HA</v>
      </c>
    </row>
    <row r="41" spans="3:24" ht="17" x14ac:dyDescent="0.2">
      <c r="C41" s="22" t="str">
        <f>_xlfn.XLOOKUP(tbl_CONTENT[[#This Row],[TopicID]], tbl_TOPIC[TopicID], tbl_TOPIC[Subject], "")</f>
        <v>HA</v>
      </c>
      <c r="D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HA-T12-02-05</v>
      </c>
      <c r="E41" s="22">
        <f>ROW()</f>
        <v>41</v>
      </c>
      <c r="F41" s="22" t="s">
        <v>1051</v>
      </c>
      <c r="G41" s="22" t="str">
        <f>_xlfn.XLOOKUP(tbl_CONTENT[[#This Row],[Topic]], tbl_TOPIC[Topic], tbl_TOPIC[TopicID], "")</f>
        <v>HA-1-02</v>
      </c>
      <c r="H41" s="22" cm="1">
        <f t="array" ref="H41">SUM((tbl_CONTENT[[#This Row],[TopicID]]=INDEX(tbl_CONTENT[TopicID],1):tbl_CONTENT[[#This Row],[TopicID]])*1)</f>
        <v>5</v>
      </c>
      <c r="I41" s="22" t="str">
        <f>_xlfn.XLOOKUP(tbl_CONTENT[[#This Row],[Topic]], tbl_TOPIC[Topic], tbl_TOPIC[TopicIndex], "")</f>
        <v>02</v>
      </c>
      <c r="J41" s="22" t="s">
        <v>132</v>
      </c>
      <c r="K41" s="22" t="s">
        <v>204</v>
      </c>
      <c r="L41" s="22" t="s">
        <v>150</v>
      </c>
      <c r="M41" s="22">
        <v>1</v>
      </c>
      <c r="N41" s="22">
        <v>2</v>
      </c>
      <c r="O41" s="22">
        <v>3</v>
      </c>
      <c r="P41" s="22">
        <v>2</v>
      </c>
      <c r="Q41" s="22">
        <v>5</v>
      </c>
      <c r="S41" s="35">
        <f>IFERROR(
 (1.907*EXP(1)^(-0.5*tbl_CONTENT[[#This Row],[Layer]])) *
 ((tbl_CONTENT[[#This Row],[RelInt]]-1)^(2.5)*4^(1-2.5)+1) +
 ((tbl_CONTENT[[#This Row],[Comp]]-1)^(2.5)*4^(1-2.5)+1)*(0.5*((tbl_CONTENT[[#This Row],[RelInt]]-1)/4)^(2.5)+1),
 0
)</f>
        <v>2.5230196807457705</v>
      </c>
      <c r="T41" s="35">
        <f>IFERROR(
 (1.907*EXP(1)^(-0.5*VALUE(tbl_CONTENT[[#This Row],[Layer]]))) *
 ((VALUE(tbl_CONTENT[[#This Row],[RelId]])-1)^(2.5)*4^(1-2.5)+1) +
 ((VALUE(tbl_CONTENT[[#This Row],[Comp]])-1)^(2.5)*4^(1-2.5)+1)*(0.5*((VALUE(tbl_CONTENT[[#This Row],[RelId]])-1)/4)^(2.5)+1),
 0
)</f>
        <v>6.0683906433495247</v>
      </c>
      <c r="W41" s="22" t="str">
        <f>IFERROR(
  IF(_xlfn.XLOOKUP(tbl_CONTENT[[#This Row],[Topic]], tbl_TOPIC[Topic], tbl_TOPIC[ParentTopic])="", "",
       _xlfn.XLOOKUP(tbl_CONTENT[[#This Row],[Topic]], tbl_TOPIC[Topic], tbl_TOPIC[ParentTopic])),
  ""
)</f>
        <v/>
      </c>
      <c r="X41" s="22" t="str">
        <f>IFERROR(
  IF(_xlfn.XLOOKUP(tbl_CONTENT[[#This Row],[Topic]], tbl_TOPIC[Topic], tbl_TOPIC[TopicPath])="", "",
       _xlfn.XLOOKUP(tbl_CONTENT[[#This Row],[Topic]], tbl_TOPIC[Topic], tbl_TOPIC[TopicPath])),
  ""
)</f>
        <v>Moduln in HA</v>
      </c>
    </row>
    <row r="42" spans="3:24" ht="17" x14ac:dyDescent="0.2">
      <c r="C42" s="22" t="str">
        <f>_xlfn.XLOOKUP(tbl_CONTENT[[#This Row],[TopicID]], tbl_TOPIC[TopicID], tbl_TOPIC[Subject], "")</f>
        <v>HA</v>
      </c>
      <c r="D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HA-T12-02-06</v>
      </c>
      <c r="E42" s="22">
        <f>ROW()</f>
        <v>42</v>
      </c>
      <c r="F42" s="22" t="s">
        <v>1051</v>
      </c>
      <c r="G42" s="22" t="str">
        <f>_xlfn.XLOOKUP(tbl_CONTENT[[#This Row],[Topic]], tbl_TOPIC[Topic], tbl_TOPIC[TopicID], "")</f>
        <v>HA-1-02</v>
      </c>
      <c r="H42" s="22" cm="1">
        <f t="array" ref="H42">SUM((tbl_CONTENT[[#This Row],[TopicID]]=INDEX(tbl_CONTENT[TopicID],1):tbl_CONTENT[[#This Row],[TopicID]])*1)</f>
        <v>6</v>
      </c>
      <c r="I42" s="22" t="str">
        <f>_xlfn.XLOOKUP(tbl_CONTENT[[#This Row],[Topic]], tbl_TOPIC[Topic], tbl_TOPIC[TopicIndex], "")</f>
        <v>02</v>
      </c>
      <c r="J42" s="22" t="s">
        <v>132</v>
      </c>
      <c r="K42" s="22" t="s">
        <v>206</v>
      </c>
      <c r="L42" s="22" t="s">
        <v>152</v>
      </c>
      <c r="M42" s="22">
        <v>1</v>
      </c>
      <c r="N42" s="22">
        <v>2</v>
      </c>
      <c r="O42" s="22">
        <v>3</v>
      </c>
      <c r="P42" s="22">
        <v>4</v>
      </c>
      <c r="Q42" s="22">
        <v>5</v>
      </c>
      <c r="S42" s="35">
        <f>IFERROR(
 (1.907*EXP(1)^(-0.5*tbl_CONTENT[[#This Row],[Layer]])) *
 ((tbl_CONTENT[[#This Row],[RelInt]]-1)^(2.5)*4^(1-2.5)+1) +
 ((tbl_CONTENT[[#This Row],[Comp]]-1)^(2.5)*4^(1-2.5)+1)*(0.5*((tbl_CONTENT[[#This Row],[RelInt]]-1)/4)^(2.5)+1),
 0
)</f>
        <v>4.1914549319579635</v>
      </c>
      <c r="T42" s="35">
        <f>IFERROR(
 (1.907*EXP(1)^(-0.5*VALUE(tbl_CONTENT[[#This Row],[Layer]]))) *
 ((VALUE(tbl_CONTENT[[#This Row],[RelId]])-1)^(2.5)*4^(1-2.5)+1) +
 ((VALUE(tbl_CONTENT[[#This Row],[Comp]])-1)^(2.5)*4^(1-2.5)+1)*(0.5*((VALUE(tbl_CONTENT[[#This Row],[RelId]])-1)/4)^(2.5)+1),
 0
)</f>
        <v>6.0683906433495247</v>
      </c>
      <c r="W42" s="22" t="str">
        <f>IFERROR(
  IF(_xlfn.XLOOKUP(tbl_CONTENT[[#This Row],[Topic]], tbl_TOPIC[Topic], tbl_TOPIC[ParentTopic])="", "",
       _xlfn.XLOOKUP(tbl_CONTENT[[#This Row],[Topic]], tbl_TOPIC[Topic], tbl_TOPIC[ParentTopic])),
  ""
)</f>
        <v/>
      </c>
      <c r="X42" s="22" t="str">
        <f>IFERROR(
  IF(_xlfn.XLOOKUP(tbl_CONTENT[[#This Row],[Topic]], tbl_TOPIC[Topic], tbl_TOPIC[TopicPath])="", "",
       _xlfn.XLOOKUP(tbl_CONTENT[[#This Row],[Topic]], tbl_TOPIC[Topic], tbl_TOPIC[TopicPath])),
  ""
)</f>
        <v>Moduln in HA</v>
      </c>
    </row>
    <row r="43" spans="3:24" ht="17" x14ac:dyDescent="0.2">
      <c r="C43" s="22" t="str">
        <f>_xlfn.XLOOKUP(tbl_CONTENT[[#This Row],[TopicID]], tbl_TOPIC[TopicID], tbl_TOPIC[Subject], "")</f>
        <v>HA</v>
      </c>
      <c r="D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HA-T12-02-07</v>
      </c>
      <c r="E43" s="22">
        <f>ROW()</f>
        <v>43</v>
      </c>
      <c r="F43" s="22" t="s">
        <v>1051</v>
      </c>
      <c r="G43" s="22" t="str">
        <f>_xlfn.XLOOKUP(tbl_CONTENT[[#This Row],[Topic]], tbl_TOPIC[Topic], tbl_TOPIC[TopicID], "")</f>
        <v>HA-1-02</v>
      </c>
      <c r="H43" s="22" cm="1">
        <f t="array" ref="H43">SUM((tbl_CONTENT[[#This Row],[TopicID]]=INDEX(tbl_CONTENT[TopicID],1):tbl_CONTENT[[#This Row],[TopicID]])*1)</f>
        <v>7</v>
      </c>
      <c r="I43" s="22" t="str">
        <f>_xlfn.XLOOKUP(tbl_CONTENT[[#This Row],[Topic]], tbl_TOPIC[Topic], tbl_TOPIC[TopicIndex], "")</f>
        <v>02</v>
      </c>
      <c r="J43" s="22" t="s">
        <v>132</v>
      </c>
      <c r="K43" s="22" t="s">
        <v>205</v>
      </c>
      <c r="L43" s="22" t="s">
        <v>152</v>
      </c>
      <c r="M43" s="22">
        <v>1</v>
      </c>
      <c r="N43" s="22">
        <v>2</v>
      </c>
      <c r="O43" s="22">
        <v>3</v>
      </c>
      <c r="P43" s="22">
        <v>4</v>
      </c>
      <c r="Q43" s="22">
        <v>5</v>
      </c>
      <c r="S43" s="35">
        <f>IFERROR(
 (1.907*EXP(1)^(-0.5*tbl_CONTENT[[#This Row],[Layer]])) *
 ((tbl_CONTENT[[#This Row],[RelInt]]-1)^(2.5)*4^(1-2.5)+1) +
 ((tbl_CONTENT[[#This Row],[Comp]]-1)^(2.5)*4^(1-2.5)+1)*(0.5*((tbl_CONTENT[[#This Row],[RelInt]]-1)/4)^(2.5)+1),
 0
)</f>
        <v>4.1914549319579635</v>
      </c>
      <c r="T43" s="35">
        <f>IFERROR(
 (1.907*EXP(1)^(-0.5*VALUE(tbl_CONTENT[[#This Row],[Layer]]))) *
 ((VALUE(tbl_CONTENT[[#This Row],[RelId]])-1)^(2.5)*4^(1-2.5)+1) +
 ((VALUE(tbl_CONTENT[[#This Row],[Comp]])-1)^(2.5)*4^(1-2.5)+1)*(0.5*((VALUE(tbl_CONTENT[[#This Row],[RelId]])-1)/4)^(2.5)+1),
 0
)</f>
        <v>6.0683906433495247</v>
      </c>
      <c r="W43" s="22" t="str">
        <f>IFERROR(
  IF(_xlfn.XLOOKUP(tbl_CONTENT[[#This Row],[Topic]], tbl_TOPIC[Topic], tbl_TOPIC[ParentTopic])="", "",
       _xlfn.XLOOKUP(tbl_CONTENT[[#This Row],[Topic]], tbl_TOPIC[Topic], tbl_TOPIC[ParentTopic])),
  ""
)</f>
        <v/>
      </c>
      <c r="X43" s="22" t="str">
        <f>IFERROR(
  IF(_xlfn.XLOOKUP(tbl_CONTENT[[#This Row],[Topic]], tbl_TOPIC[Topic], tbl_TOPIC[TopicPath])="", "",
       _xlfn.XLOOKUP(tbl_CONTENT[[#This Row],[Topic]], tbl_TOPIC[Topic], tbl_TOPIC[TopicPath])),
  ""
)</f>
        <v>Moduln in HA</v>
      </c>
    </row>
    <row r="44" spans="3:24" ht="17" x14ac:dyDescent="0.2">
      <c r="C44" s="22" t="str">
        <f>_xlfn.XLOOKUP(tbl_CONTENT[[#This Row],[TopicID]], tbl_TOPIC[TopicID], tbl_TOPIC[Subject], "")</f>
        <v>HA</v>
      </c>
      <c r="D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HA-T12-04-01</v>
      </c>
      <c r="E44" s="22">
        <f>ROW()</f>
        <v>44</v>
      </c>
      <c r="F44" s="22" t="s">
        <v>1051</v>
      </c>
      <c r="G44" s="22" t="str">
        <f>_xlfn.XLOOKUP(tbl_CONTENT[[#This Row],[Topic]], tbl_TOPIC[Topic], tbl_TOPIC[TopicID], "")</f>
        <v>HA-1-04</v>
      </c>
      <c r="H44" s="22" cm="1">
        <f t="array" ref="H44">SUM((tbl_CONTENT[[#This Row],[TopicID]]=INDEX(tbl_CONTENT[TopicID],1):tbl_CONTENT[[#This Row],[TopicID]])*1)</f>
        <v>1</v>
      </c>
      <c r="I44" s="22" t="str">
        <f>_xlfn.XLOOKUP(tbl_CONTENT[[#This Row],[Topic]], tbl_TOPIC[Topic], tbl_TOPIC[TopicIndex], "")</f>
        <v>04</v>
      </c>
      <c r="J44" s="22" t="s">
        <v>134</v>
      </c>
      <c r="K44" s="22" t="s">
        <v>210</v>
      </c>
      <c r="L44" s="22" t="s">
        <v>152</v>
      </c>
      <c r="M44" s="22">
        <v>1</v>
      </c>
      <c r="N44" s="22">
        <v>1</v>
      </c>
      <c r="O44" s="22">
        <v>3</v>
      </c>
      <c r="P44" s="22">
        <v>5</v>
      </c>
      <c r="Q44" s="22">
        <v>5</v>
      </c>
      <c r="S44" s="35">
        <f>IFERROR(
 (1.907*EXP(1)^(-0.5*tbl_CONTENT[[#This Row],[Layer]])) *
 ((tbl_CONTENT[[#This Row],[RelInt]]-1)^(2.5)*4^(1-2.5)+1) +
 ((tbl_CONTENT[[#This Row],[Comp]]-1)^(2.5)*4^(1-2.5)+1)*(0.5*((tbl_CONTENT[[#This Row],[RelInt]]-1)/4)^(2.5)+1),
 0
)</f>
        <v>8.3439300121397828</v>
      </c>
      <c r="T44" s="35">
        <f>IFERROR(
 (1.907*EXP(1)^(-0.5*VALUE(tbl_CONTENT[[#This Row],[Layer]]))) *
 ((VALUE(tbl_CONTENT[[#This Row],[RelId]])-1)^(2.5)*4^(1-2.5)+1) +
 ((VALUE(tbl_CONTENT[[#This Row],[Comp]])-1)^(2.5)*4^(1-2.5)+1)*(0.5*((VALUE(tbl_CONTENT[[#This Row],[RelId]])-1)/4)^(2.5)+1),
 0
)</f>
        <v>8.3439300121397828</v>
      </c>
      <c r="W44" s="22" t="str">
        <f>IFERROR(
  IF(_xlfn.XLOOKUP(tbl_CONTENT[[#This Row],[Topic]], tbl_TOPIC[Topic], tbl_TOPIC[ParentTopic])="", "",
       _xlfn.XLOOKUP(tbl_CONTENT[[#This Row],[Topic]], tbl_TOPIC[Topic], tbl_TOPIC[ParentTopic])),
  ""
)</f>
        <v/>
      </c>
      <c r="X44" s="22" t="str">
        <f>IFERROR(
  IF(_xlfn.XLOOKUP(tbl_CONTENT[[#This Row],[Topic]], tbl_TOPIC[Topic], tbl_TOPIC[TopicPath])="", "",
       _xlfn.XLOOKUP(tbl_CONTENT[[#This Row],[Topic]], tbl_TOPIC[Topic], tbl_TOPIC[TopicPath])),
  ""
)</f>
        <v>Abelsche Kategorien</v>
      </c>
    </row>
    <row r="45" spans="3:24" ht="34" x14ac:dyDescent="0.2">
      <c r="C45" s="22" t="str">
        <f>_xlfn.XLOOKUP(tbl_CONTENT[[#This Row],[TopicID]], tbl_TOPIC[TopicID], tbl_TOPIC[Subject], "")</f>
        <v>HA</v>
      </c>
      <c r="D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HA-T12-04-02</v>
      </c>
      <c r="E45" s="22">
        <f>ROW()</f>
        <v>45</v>
      </c>
      <c r="F45" s="22" t="s">
        <v>1051</v>
      </c>
      <c r="G45" s="22" t="str">
        <f>_xlfn.XLOOKUP(tbl_CONTENT[[#This Row],[Topic]], tbl_TOPIC[Topic], tbl_TOPIC[TopicID], "")</f>
        <v>HA-1-04</v>
      </c>
      <c r="H45" s="22" cm="1">
        <f t="array" ref="H45">SUM((tbl_CONTENT[[#This Row],[TopicID]]=INDEX(tbl_CONTENT[TopicID],1):tbl_CONTENT[[#This Row],[TopicID]])*1)</f>
        <v>2</v>
      </c>
      <c r="I45" s="22" t="str">
        <f>_xlfn.XLOOKUP(tbl_CONTENT[[#This Row],[Topic]], tbl_TOPIC[Topic], tbl_TOPIC[TopicIndex], "")</f>
        <v>04</v>
      </c>
      <c r="J45" s="22" t="s">
        <v>134</v>
      </c>
      <c r="K45" s="22" t="s">
        <v>211</v>
      </c>
      <c r="L45" s="22" t="s">
        <v>152</v>
      </c>
      <c r="M45" s="22">
        <v>1</v>
      </c>
      <c r="N45" s="22">
        <v>1</v>
      </c>
      <c r="O45" s="22">
        <v>3</v>
      </c>
      <c r="P45" s="22">
        <v>5</v>
      </c>
      <c r="Q45" s="22">
        <v>5</v>
      </c>
      <c r="S45" s="35">
        <f>IFERROR(
 (1.907*EXP(1)^(-0.5*tbl_CONTENT[[#This Row],[Layer]])) *
 ((tbl_CONTENT[[#This Row],[RelInt]]-1)^(2.5)*4^(1-2.5)+1) +
 ((tbl_CONTENT[[#This Row],[Comp]]-1)^(2.5)*4^(1-2.5)+1)*(0.5*((tbl_CONTENT[[#This Row],[RelInt]]-1)/4)^(2.5)+1),
 0
)</f>
        <v>8.3439300121397828</v>
      </c>
      <c r="T45" s="35">
        <f>IFERROR(
 (1.907*EXP(1)^(-0.5*VALUE(tbl_CONTENT[[#This Row],[Layer]]))) *
 ((VALUE(tbl_CONTENT[[#This Row],[RelId]])-1)^(2.5)*4^(1-2.5)+1) +
 ((VALUE(tbl_CONTENT[[#This Row],[Comp]])-1)^(2.5)*4^(1-2.5)+1)*(0.5*((VALUE(tbl_CONTENT[[#This Row],[RelId]])-1)/4)^(2.5)+1),
 0
)</f>
        <v>8.3439300121397828</v>
      </c>
      <c r="W45" s="22" t="str">
        <f>IFERROR(
  IF(_xlfn.XLOOKUP(tbl_CONTENT[[#This Row],[Topic]], tbl_TOPIC[Topic], tbl_TOPIC[ParentTopic])="", "",
       _xlfn.XLOOKUP(tbl_CONTENT[[#This Row],[Topic]], tbl_TOPIC[Topic], tbl_TOPIC[ParentTopic])),
  ""
)</f>
        <v/>
      </c>
      <c r="X45" s="22" t="str">
        <f>IFERROR(
  IF(_xlfn.XLOOKUP(tbl_CONTENT[[#This Row],[Topic]], tbl_TOPIC[Topic], tbl_TOPIC[TopicPath])="", "",
       _xlfn.XLOOKUP(tbl_CONTENT[[#This Row],[Topic]], tbl_TOPIC[Topic], tbl_TOPIC[TopicPath])),
  ""
)</f>
        <v>Abelsche Kategorien</v>
      </c>
    </row>
    <row r="46" spans="3:24" ht="17" x14ac:dyDescent="0.2">
      <c r="C46" s="22" t="str">
        <f>_xlfn.XLOOKUP(tbl_CONTENT[[#This Row],[TopicID]], tbl_TOPIC[TopicID], tbl_TOPIC[Subject], "")</f>
        <v>HA</v>
      </c>
      <c r="D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HA-T12-04-03</v>
      </c>
      <c r="E46" s="22">
        <f>ROW()</f>
        <v>46</v>
      </c>
      <c r="F46" s="22" t="s">
        <v>1051</v>
      </c>
      <c r="G46" s="22" t="str">
        <f>_xlfn.XLOOKUP(tbl_CONTENT[[#This Row],[Topic]], tbl_TOPIC[Topic], tbl_TOPIC[TopicID], "")</f>
        <v>HA-1-04</v>
      </c>
      <c r="H46" s="22" cm="1">
        <f t="array" ref="H46">SUM((tbl_CONTENT[[#This Row],[TopicID]]=INDEX(tbl_CONTENT[TopicID],1):tbl_CONTENT[[#This Row],[TopicID]])*1)</f>
        <v>3</v>
      </c>
      <c r="I46" s="22" t="str">
        <f>_xlfn.XLOOKUP(tbl_CONTENT[[#This Row],[Topic]], tbl_TOPIC[Topic], tbl_TOPIC[TopicIndex], "")</f>
        <v>04</v>
      </c>
      <c r="J46" s="22" t="s">
        <v>134</v>
      </c>
      <c r="K46" s="22" t="s">
        <v>212</v>
      </c>
      <c r="L46" s="22" t="s">
        <v>152</v>
      </c>
      <c r="M46" s="22">
        <v>1</v>
      </c>
      <c r="N46" s="22">
        <v>2</v>
      </c>
      <c r="O46" s="22">
        <v>2</v>
      </c>
      <c r="P46" s="22">
        <v>2</v>
      </c>
      <c r="Q46" s="22">
        <v>4</v>
      </c>
      <c r="S46" s="35">
        <f>IFERROR(
 (1.907*EXP(1)^(-0.5*tbl_CONTENT[[#This Row],[Layer]])) *
 ((tbl_CONTENT[[#This Row],[RelInt]]-1)^(2.5)*4^(1-2.5)+1) +
 ((tbl_CONTENT[[#This Row],[Comp]]-1)^(2.5)*4^(1-2.5)+1)*(0.5*((tbl_CONTENT[[#This Row],[RelInt]]-1)/4)^(2.5)+1),
 0
)</f>
        <v>1.9318174811031832</v>
      </c>
      <c r="T46" s="35">
        <f>IFERROR(
 (1.907*EXP(1)^(-0.5*VALUE(tbl_CONTENT[[#This Row],[Layer]]))) *
 ((VALUE(tbl_CONTENT[[#This Row],[RelId]])-1)^(2.5)*4^(1-2.5)+1) +
 ((VALUE(tbl_CONTENT[[#This Row],[Comp]])-1)^(2.5)*4^(1-2.5)+1)*(0.5*((VALUE(tbl_CONTENT[[#This Row],[RelId]])-1)/4)^(2.5)+1),
 0
)</f>
        <v>3.4675646088337704</v>
      </c>
      <c r="W46" s="22" t="str">
        <f>IFERROR(
  IF(_xlfn.XLOOKUP(tbl_CONTENT[[#This Row],[Topic]], tbl_TOPIC[Topic], tbl_TOPIC[ParentTopic])="", "",
       _xlfn.XLOOKUP(tbl_CONTENT[[#This Row],[Topic]], tbl_TOPIC[Topic], tbl_TOPIC[ParentTopic])),
  ""
)</f>
        <v/>
      </c>
      <c r="X46" s="22" t="str">
        <f>IFERROR(
  IF(_xlfn.XLOOKUP(tbl_CONTENT[[#This Row],[Topic]], tbl_TOPIC[Topic], tbl_TOPIC[TopicPath])="", "",
       _xlfn.XLOOKUP(tbl_CONTENT[[#This Row],[Topic]], tbl_TOPIC[Topic], tbl_TOPIC[TopicPath])),
  ""
)</f>
        <v>Abelsche Kategorien</v>
      </c>
    </row>
    <row r="47" spans="3:24" ht="17" x14ac:dyDescent="0.2">
      <c r="C47" s="22" t="str">
        <f>_xlfn.XLOOKUP(tbl_CONTENT[[#This Row],[TopicID]], tbl_TOPIC[TopicID], tbl_TOPIC[Subject], "")</f>
        <v>HA</v>
      </c>
      <c r="D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HA-T12-04-04</v>
      </c>
      <c r="E47" s="22">
        <f>ROW()</f>
        <v>47</v>
      </c>
      <c r="F47" s="22" t="s">
        <v>1051</v>
      </c>
      <c r="G47" s="22" t="str">
        <f>_xlfn.XLOOKUP(tbl_CONTENT[[#This Row],[Topic]], tbl_TOPIC[Topic], tbl_TOPIC[TopicID], "")</f>
        <v>HA-1-04</v>
      </c>
      <c r="H47" s="22" cm="1">
        <f t="array" ref="H47">SUM((tbl_CONTENT[[#This Row],[TopicID]]=INDEX(tbl_CONTENT[TopicID],1):tbl_CONTENT[[#This Row],[TopicID]])*1)</f>
        <v>4</v>
      </c>
      <c r="I47" s="22" t="str">
        <f>_xlfn.XLOOKUP(tbl_CONTENT[[#This Row],[Topic]], tbl_TOPIC[Topic], tbl_TOPIC[TopicIndex], "")</f>
        <v>04</v>
      </c>
      <c r="J47" s="22" t="s">
        <v>134</v>
      </c>
      <c r="K47" s="22" t="s">
        <v>213</v>
      </c>
      <c r="L47" s="22" t="s">
        <v>152</v>
      </c>
      <c r="M47" s="22">
        <v>1</v>
      </c>
      <c r="N47" s="22">
        <v>2</v>
      </c>
      <c r="O47" s="22">
        <v>4</v>
      </c>
      <c r="P47" s="22">
        <v>4</v>
      </c>
      <c r="Q47" s="22">
        <v>5</v>
      </c>
      <c r="S47" s="35">
        <f>IFERROR(
 (1.907*EXP(1)^(-0.5*tbl_CONTENT[[#This Row],[Layer]])) *
 ((tbl_CONTENT[[#This Row],[RelInt]]-1)^(2.5)*4^(1-2.5)+1) +
 ((tbl_CONTENT[[#This Row],[Comp]]-1)^(2.5)*4^(1-2.5)+1)*(0.5*((tbl_CONTENT[[#This Row],[RelInt]]-1)/4)^(2.5)+1),
 0
)</f>
        <v>5.7352849367469618</v>
      </c>
      <c r="T47" s="35">
        <f>IFERROR(
 (1.907*EXP(1)^(-0.5*VALUE(tbl_CONTENT[[#This Row],[Layer]]))) *
 ((VALUE(tbl_CONTENT[[#This Row],[RelId]])-1)^(2.5)*4^(1-2.5)+1) +
 ((VALUE(tbl_CONTENT[[#This Row],[Comp]])-1)^(2.5)*4^(1-2.5)+1)*(0.5*((VALUE(tbl_CONTENT[[#This Row],[RelId]])-1)/4)^(2.5)+1),
 0
)</f>
        <v>7.9305662093421851</v>
      </c>
      <c r="W47" s="22" t="str">
        <f>IFERROR(
  IF(_xlfn.XLOOKUP(tbl_CONTENT[[#This Row],[Topic]], tbl_TOPIC[Topic], tbl_TOPIC[ParentTopic])="", "",
       _xlfn.XLOOKUP(tbl_CONTENT[[#This Row],[Topic]], tbl_TOPIC[Topic], tbl_TOPIC[ParentTopic])),
  ""
)</f>
        <v/>
      </c>
      <c r="X47" s="22" t="str">
        <f>IFERROR(
  IF(_xlfn.XLOOKUP(tbl_CONTENT[[#This Row],[Topic]], tbl_TOPIC[Topic], tbl_TOPIC[TopicPath])="", "",
       _xlfn.XLOOKUP(tbl_CONTENT[[#This Row],[Topic]], tbl_TOPIC[Topic], tbl_TOPIC[TopicPath])),
  ""
)</f>
        <v>Abelsche Kategorien</v>
      </c>
    </row>
    <row r="48" spans="3:24" ht="17" x14ac:dyDescent="0.2">
      <c r="C48" s="22" t="str">
        <f>_xlfn.XLOOKUP(tbl_CONTENT[[#This Row],[TopicID]], tbl_TOPIC[TopicID], tbl_TOPIC[Subject], "")</f>
        <v>HA</v>
      </c>
      <c r="D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HA-T12-04-05</v>
      </c>
      <c r="E48" s="22">
        <f>ROW()</f>
        <v>48</v>
      </c>
      <c r="F48" s="22" t="s">
        <v>1051</v>
      </c>
      <c r="G48" s="22" t="str">
        <f>_xlfn.XLOOKUP(tbl_CONTENT[[#This Row],[Topic]], tbl_TOPIC[Topic], tbl_TOPIC[TopicID], "")</f>
        <v>HA-1-04</v>
      </c>
      <c r="H48" s="22" cm="1">
        <f t="array" ref="H48">SUM((tbl_CONTENT[[#This Row],[TopicID]]=INDEX(tbl_CONTENT[TopicID],1):tbl_CONTENT[[#This Row],[TopicID]])*1)</f>
        <v>5</v>
      </c>
      <c r="I48" s="22" t="str">
        <f>_xlfn.XLOOKUP(tbl_CONTENT[[#This Row],[Topic]], tbl_TOPIC[Topic], tbl_TOPIC[TopicIndex], "")</f>
        <v>04</v>
      </c>
      <c r="J48" s="22" t="s">
        <v>134</v>
      </c>
      <c r="K48" s="22" t="s">
        <v>214</v>
      </c>
      <c r="L48" s="22" t="s">
        <v>152</v>
      </c>
      <c r="M48" s="22">
        <v>1</v>
      </c>
      <c r="N48" s="22">
        <v>2</v>
      </c>
      <c r="O48" s="22">
        <v>4</v>
      </c>
      <c r="P48" s="22">
        <v>4</v>
      </c>
      <c r="Q48" s="22">
        <v>5</v>
      </c>
      <c r="S48" s="35">
        <f>IFERROR(
 (1.907*EXP(1)^(-0.5*tbl_CONTENT[[#This Row],[Layer]])) *
 ((tbl_CONTENT[[#This Row],[RelInt]]-1)^(2.5)*4^(1-2.5)+1) +
 ((tbl_CONTENT[[#This Row],[Comp]]-1)^(2.5)*4^(1-2.5)+1)*(0.5*((tbl_CONTENT[[#This Row],[RelInt]]-1)/4)^(2.5)+1),
 0
)</f>
        <v>5.7352849367469618</v>
      </c>
      <c r="T48" s="35">
        <f>IFERROR(
 (1.907*EXP(1)^(-0.5*VALUE(tbl_CONTENT[[#This Row],[Layer]]))) *
 ((VALUE(tbl_CONTENT[[#This Row],[RelId]])-1)^(2.5)*4^(1-2.5)+1) +
 ((VALUE(tbl_CONTENT[[#This Row],[Comp]])-1)^(2.5)*4^(1-2.5)+1)*(0.5*((VALUE(tbl_CONTENT[[#This Row],[RelId]])-1)/4)^(2.5)+1),
 0
)</f>
        <v>7.9305662093421851</v>
      </c>
      <c r="W48" s="22" t="str">
        <f>IFERROR(
  IF(_xlfn.XLOOKUP(tbl_CONTENT[[#This Row],[Topic]], tbl_TOPIC[Topic], tbl_TOPIC[ParentTopic])="", "",
       _xlfn.XLOOKUP(tbl_CONTENT[[#This Row],[Topic]], tbl_TOPIC[Topic], tbl_TOPIC[ParentTopic])),
  ""
)</f>
        <v/>
      </c>
      <c r="X48" s="22" t="str">
        <f>IFERROR(
  IF(_xlfn.XLOOKUP(tbl_CONTENT[[#This Row],[Topic]], tbl_TOPIC[Topic], tbl_TOPIC[TopicPath])="", "",
       _xlfn.XLOOKUP(tbl_CONTENT[[#This Row],[Topic]], tbl_TOPIC[Topic], tbl_TOPIC[TopicPath])),
  ""
)</f>
        <v>Abelsche Kategorien</v>
      </c>
    </row>
    <row r="49" spans="3:24" ht="17" x14ac:dyDescent="0.2">
      <c r="C49" s="22" t="str">
        <f>_xlfn.XLOOKUP(tbl_CONTENT[[#This Row],[TopicID]], tbl_TOPIC[TopicID], tbl_TOPIC[Subject], "")</f>
        <v>HA</v>
      </c>
      <c r="D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HA-T12-04-06</v>
      </c>
      <c r="E49" s="22">
        <f>ROW()</f>
        <v>49</v>
      </c>
      <c r="F49" s="22" t="s">
        <v>1051</v>
      </c>
      <c r="G49" s="22" t="str">
        <f>_xlfn.XLOOKUP(tbl_CONTENT[[#This Row],[Topic]], tbl_TOPIC[Topic], tbl_TOPIC[TopicID], "")</f>
        <v>HA-1-04</v>
      </c>
      <c r="H49" s="22" cm="1">
        <f t="array" ref="H49">SUM((tbl_CONTENT[[#This Row],[TopicID]]=INDEX(tbl_CONTENT[TopicID],1):tbl_CONTENT[[#This Row],[TopicID]])*1)</f>
        <v>6</v>
      </c>
      <c r="I49" s="22" t="str">
        <f>_xlfn.XLOOKUP(tbl_CONTENT[[#This Row],[Topic]], tbl_TOPIC[Topic], tbl_TOPIC[TopicIndex], "")</f>
        <v>04</v>
      </c>
      <c r="J49" s="22" t="s">
        <v>134</v>
      </c>
      <c r="K49" s="22" t="s">
        <v>215</v>
      </c>
      <c r="L49" s="22" t="s">
        <v>152</v>
      </c>
      <c r="M49" s="22">
        <v>1</v>
      </c>
      <c r="N49" s="22">
        <v>2</v>
      </c>
      <c r="O49" s="22">
        <v>3</v>
      </c>
      <c r="P49" s="22">
        <v>4</v>
      </c>
      <c r="Q49" s="22">
        <v>5</v>
      </c>
      <c r="S49" s="35">
        <f>IFERROR(
 (1.907*EXP(1)^(-0.5*tbl_CONTENT[[#This Row],[Layer]])) *
 ((tbl_CONTENT[[#This Row],[RelInt]]-1)^(2.5)*4^(1-2.5)+1) +
 ((tbl_CONTENT[[#This Row],[Comp]]-1)^(2.5)*4^(1-2.5)+1)*(0.5*((tbl_CONTENT[[#This Row],[RelInt]]-1)/4)^(2.5)+1),
 0
)</f>
        <v>4.1914549319579635</v>
      </c>
      <c r="T49" s="35">
        <f>IFERROR(
 (1.907*EXP(1)^(-0.5*VALUE(tbl_CONTENT[[#This Row],[Layer]]))) *
 ((VALUE(tbl_CONTENT[[#This Row],[RelId]])-1)^(2.5)*4^(1-2.5)+1) +
 ((VALUE(tbl_CONTENT[[#This Row],[Comp]])-1)^(2.5)*4^(1-2.5)+1)*(0.5*((VALUE(tbl_CONTENT[[#This Row],[RelId]])-1)/4)^(2.5)+1),
 0
)</f>
        <v>6.0683906433495247</v>
      </c>
      <c r="W49" s="22" t="str">
        <f>IFERROR(
  IF(_xlfn.XLOOKUP(tbl_CONTENT[[#This Row],[Topic]], tbl_TOPIC[Topic], tbl_TOPIC[ParentTopic])="", "",
       _xlfn.XLOOKUP(tbl_CONTENT[[#This Row],[Topic]], tbl_TOPIC[Topic], tbl_TOPIC[ParentTopic])),
  ""
)</f>
        <v/>
      </c>
      <c r="X49" s="22" t="str">
        <f>IFERROR(
  IF(_xlfn.XLOOKUP(tbl_CONTENT[[#This Row],[Topic]], tbl_TOPIC[Topic], tbl_TOPIC[TopicPath])="", "",
       _xlfn.XLOOKUP(tbl_CONTENT[[#This Row],[Topic]], tbl_TOPIC[Topic], tbl_TOPIC[TopicPath])),
  ""
)</f>
        <v>Abelsche Kategorien</v>
      </c>
    </row>
    <row r="50" spans="3:24" ht="17" x14ac:dyDescent="0.2">
      <c r="C50" s="22" t="str">
        <f>_xlfn.XLOOKUP(tbl_CONTENT[[#This Row],[TopicID]], tbl_TOPIC[TopicID], tbl_TOPIC[Subject], "")</f>
        <v>HA</v>
      </c>
      <c r="D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HA-T12-04-07</v>
      </c>
      <c r="E50" s="22">
        <f>ROW()</f>
        <v>50</v>
      </c>
      <c r="F50" s="22" t="s">
        <v>1051</v>
      </c>
      <c r="G50" s="22" t="str">
        <f>_xlfn.XLOOKUP(tbl_CONTENT[[#This Row],[Topic]], tbl_TOPIC[Topic], tbl_TOPIC[TopicID], "")</f>
        <v>HA-1-04</v>
      </c>
      <c r="H50" s="22" cm="1">
        <f t="array" ref="H50">SUM((tbl_CONTENT[[#This Row],[TopicID]]=INDEX(tbl_CONTENT[TopicID],1):tbl_CONTENT[[#This Row],[TopicID]])*1)</f>
        <v>7</v>
      </c>
      <c r="I50" s="22" t="str">
        <f>_xlfn.XLOOKUP(tbl_CONTENT[[#This Row],[Topic]], tbl_TOPIC[Topic], tbl_TOPIC[TopicIndex], "")</f>
        <v>04</v>
      </c>
      <c r="J50" s="22" t="s">
        <v>134</v>
      </c>
      <c r="K50" s="22" t="s">
        <v>216</v>
      </c>
      <c r="L50" s="22" t="s">
        <v>152</v>
      </c>
      <c r="M50" s="22">
        <v>1</v>
      </c>
      <c r="N50" s="22">
        <v>2</v>
      </c>
      <c r="O50" s="22">
        <v>4</v>
      </c>
      <c r="P50" s="22">
        <v>4</v>
      </c>
      <c r="Q50" s="22">
        <v>5</v>
      </c>
      <c r="S50" s="35">
        <f>IFERROR(
 (1.907*EXP(1)^(-0.5*tbl_CONTENT[[#This Row],[Layer]])) *
 ((tbl_CONTENT[[#This Row],[RelInt]]-1)^(2.5)*4^(1-2.5)+1) +
 ((tbl_CONTENT[[#This Row],[Comp]]-1)^(2.5)*4^(1-2.5)+1)*(0.5*((tbl_CONTENT[[#This Row],[RelInt]]-1)/4)^(2.5)+1),
 0
)</f>
        <v>5.7352849367469618</v>
      </c>
      <c r="T50" s="35">
        <f>IFERROR(
 (1.907*EXP(1)^(-0.5*VALUE(tbl_CONTENT[[#This Row],[Layer]]))) *
 ((VALUE(tbl_CONTENT[[#This Row],[RelId]])-1)^(2.5)*4^(1-2.5)+1) +
 ((VALUE(tbl_CONTENT[[#This Row],[Comp]])-1)^(2.5)*4^(1-2.5)+1)*(0.5*((VALUE(tbl_CONTENT[[#This Row],[RelId]])-1)/4)^(2.5)+1),
 0
)</f>
        <v>7.9305662093421851</v>
      </c>
      <c r="W50" s="22" t="str">
        <f>IFERROR(
  IF(_xlfn.XLOOKUP(tbl_CONTENT[[#This Row],[Topic]], tbl_TOPIC[Topic], tbl_TOPIC[ParentTopic])="", "",
       _xlfn.XLOOKUP(tbl_CONTENT[[#This Row],[Topic]], tbl_TOPIC[Topic], tbl_TOPIC[ParentTopic])),
  ""
)</f>
        <v/>
      </c>
      <c r="X50" s="22" t="str">
        <f>IFERROR(
  IF(_xlfn.XLOOKUP(tbl_CONTENT[[#This Row],[Topic]], tbl_TOPIC[Topic], tbl_TOPIC[TopicPath])="", "",
       _xlfn.XLOOKUP(tbl_CONTENT[[#This Row],[Topic]], tbl_TOPIC[Topic], tbl_TOPIC[TopicPath])),
  ""
)</f>
        <v>Abelsche Kategorien</v>
      </c>
    </row>
    <row r="51" spans="3:24" ht="34" x14ac:dyDescent="0.2">
      <c r="C51" s="22" t="str">
        <f>_xlfn.XLOOKUP(tbl_CONTENT[[#This Row],[TopicID]], tbl_TOPIC[TopicID], tbl_TOPIC[Subject], "")</f>
        <v>HA</v>
      </c>
      <c r="D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HA-T12-04-08</v>
      </c>
      <c r="E51" s="22">
        <f>ROW()</f>
        <v>51</v>
      </c>
      <c r="F51" s="22" t="s">
        <v>1051</v>
      </c>
      <c r="G51" s="22" t="str">
        <f>_xlfn.XLOOKUP(tbl_CONTENT[[#This Row],[Topic]], tbl_TOPIC[Topic], tbl_TOPIC[TopicID], "")</f>
        <v>HA-1-04</v>
      </c>
      <c r="H51" s="22" cm="1">
        <f t="array" ref="H51">SUM((tbl_CONTENT[[#This Row],[TopicID]]=INDEX(tbl_CONTENT[TopicID],1):tbl_CONTENT[[#This Row],[TopicID]])*1)</f>
        <v>8</v>
      </c>
      <c r="I51" s="22" t="str">
        <f>_xlfn.XLOOKUP(tbl_CONTENT[[#This Row],[Topic]], tbl_TOPIC[Topic], tbl_TOPIC[TopicIndex], "")</f>
        <v>04</v>
      </c>
      <c r="J51" s="22" t="s">
        <v>134</v>
      </c>
      <c r="K51" s="22" t="s">
        <v>217</v>
      </c>
      <c r="L51" s="22" t="s">
        <v>151</v>
      </c>
      <c r="M51" s="22">
        <v>1</v>
      </c>
      <c r="N51" s="22">
        <v>2</v>
      </c>
      <c r="O51" s="22">
        <v>2</v>
      </c>
      <c r="P51" s="22">
        <v>4</v>
      </c>
      <c r="Q51" s="22">
        <v>5</v>
      </c>
      <c r="S51" s="35">
        <f>IFERROR(
 (1.907*EXP(1)^(-0.5*tbl_CONTENT[[#This Row],[Layer]])) *
 ((tbl_CONTENT[[#This Row],[RelInt]]-1)^(2.5)*4^(1-2.5)+1) +
 ((tbl_CONTENT[[#This Row],[Comp]]-1)^(2.5)*4^(1-2.5)+1)*(0.5*((tbl_CONTENT[[#This Row],[RelInt]]-1)/4)^(2.5)+1),
 0
)</f>
        <v>3.4675646088337704</v>
      </c>
      <c r="T51" s="35">
        <f>IFERROR(
 (1.907*EXP(1)^(-0.5*VALUE(tbl_CONTENT[[#This Row],[Layer]]))) *
 ((VALUE(tbl_CONTENT[[#This Row],[RelId]])-1)^(2.5)*4^(1-2.5)+1) +
 ((VALUE(tbl_CONTENT[[#This Row],[Comp]])-1)^(2.5)*4^(1-2.5)+1)*(0.5*((VALUE(tbl_CONTENT[[#This Row],[RelId]])-1)/4)^(2.5)+1),
 0
)</f>
        <v>5.1952304715697029</v>
      </c>
      <c r="W51" s="22" t="str">
        <f>IFERROR(
  IF(_xlfn.XLOOKUP(tbl_CONTENT[[#This Row],[Topic]], tbl_TOPIC[Topic], tbl_TOPIC[ParentTopic])="", "",
       _xlfn.XLOOKUP(tbl_CONTENT[[#This Row],[Topic]], tbl_TOPIC[Topic], tbl_TOPIC[ParentTopic])),
  ""
)</f>
        <v/>
      </c>
      <c r="X51" s="22" t="str">
        <f>IFERROR(
  IF(_xlfn.XLOOKUP(tbl_CONTENT[[#This Row],[Topic]], tbl_TOPIC[Topic], tbl_TOPIC[TopicPath])="", "",
       _xlfn.XLOOKUP(tbl_CONTENT[[#This Row],[Topic]], tbl_TOPIC[Topic], tbl_TOPIC[TopicPath])),
  ""
)</f>
        <v>Abelsche Kategorien</v>
      </c>
    </row>
    <row r="52" spans="3:24" ht="34" x14ac:dyDescent="0.2">
      <c r="C52" s="22" t="str">
        <f>_xlfn.XLOOKUP(tbl_CONTENT[[#This Row],[TopicID]], tbl_TOPIC[TopicID], tbl_TOPIC[Subject], "")</f>
        <v>HA</v>
      </c>
      <c r="D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HA-T12-04-09</v>
      </c>
      <c r="E52" s="22">
        <f>ROW()</f>
        <v>52</v>
      </c>
      <c r="F52" s="22" t="s">
        <v>1051</v>
      </c>
      <c r="G52" s="22" t="str">
        <f>_xlfn.XLOOKUP(tbl_CONTENT[[#This Row],[Topic]], tbl_TOPIC[Topic], tbl_TOPIC[TopicID], "")</f>
        <v>HA-1-04</v>
      </c>
      <c r="H52" s="22" cm="1">
        <f t="array" ref="H52">SUM((tbl_CONTENT[[#This Row],[TopicID]]=INDEX(tbl_CONTENT[TopicID],1):tbl_CONTENT[[#This Row],[TopicID]])*1)</f>
        <v>9</v>
      </c>
      <c r="I52" s="22" t="str">
        <f>_xlfn.XLOOKUP(tbl_CONTENT[[#This Row],[Topic]], tbl_TOPIC[Topic], tbl_TOPIC[TopicIndex], "")</f>
        <v>04</v>
      </c>
      <c r="J52" s="22" t="s">
        <v>134</v>
      </c>
      <c r="K52" s="22" t="s">
        <v>218</v>
      </c>
      <c r="L52" s="22" t="s">
        <v>152</v>
      </c>
      <c r="M52" s="22">
        <v>1</v>
      </c>
      <c r="N52" s="22">
        <v>2</v>
      </c>
      <c r="O52" s="22">
        <v>4</v>
      </c>
      <c r="P52" s="22">
        <v>4</v>
      </c>
      <c r="Q52" s="22">
        <v>5</v>
      </c>
      <c r="S52" s="35">
        <f>IFERROR(
 (1.907*EXP(1)^(-0.5*tbl_CONTENT[[#This Row],[Layer]])) *
 ((tbl_CONTENT[[#This Row],[RelInt]]-1)^(2.5)*4^(1-2.5)+1) +
 ((tbl_CONTENT[[#This Row],[Comp]]-1)^(2.5)*4^(1-2.5)+1)*(0.5*((tbl_CONTENT[[#This Row],[RelInt]]-1)/4)^(2.5)+1),
 0
)</f>
        <v>5.7352849367469618</v>
      </c>
      <c r="T52" s="35">
        <f>IFERROR(
 (1.907*EXP(1)^(-0.5*VALUE(tbl_CONTENT[[#This Row],[Layer]]))) *
 ((VALUE(tbl_CONTENT[[#This Row],[RelId]])-1)^(2.5)*4^(1-2.5)+1) +
 ((VALUE(tbl_CONTENT[[#This Row],[Comp]])-1)^(2.5)*4^(1-2.5)+1)*(0.5*((VALUE(tbl_CONTENT[[#This Row],[RelId]])-1)/4)^(2.5)+1),
 0
)</f>
        <v>7.9305662093421851</v>
      </c>
      <c r="W52" s="22" t="str">
        <f>IFERROR(
  IF(_xlfn.XLOOKUP(tbl_CONTENT[[#This Row],[Topic]], tbl_TOPIC[Topic], tbl_TOPIC[ParentTopic])="", "",
       _xlfn.XLOOKUP(tbl_CONTENT[[#This Row],[Topic]], tbl_TOPIC[Topic], tbl_TOPIC[ParentTopic])),
  ""
)</f>
        <v/>
      </c>
      <c r="X52" s="22" t="str">
        <f>IFERROR(
  IF(_xlfn.XLOOKUP(tbl_CONTENT[[#This Row],[Topic]], tbl_TOPIC[Topic], tbl_TOPIC[TopicPath])="", "",
       _xlfn.XLOOKUP(tbl_CONTENT[[#This Row],[Topic]], tbl_TOPIC[Topic], tbl_TOPIC[TopicPath])),
  ""
)</f>
        <v>Abelsche Kategorien</v>
      </c>
    </row>
    <row r="53" spans="3:24" ht="34" x14ac:dyDescent="0.2">
      <c r="C53" s="22" t="str">
        <f>_xlfn.XLOOKUP(tbl_CONTENT[[#This Row],[TopicID]], tbl_TOPIC[TopicID], tbl_TOPIC[Subject], "")</f>
        <v>HA</v>
      </c>
      <c r="D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HA-T12-04-10</v>
      </c>
      <c r="E53" s="22">
        <f>ROW()</f>
        <v>53</v>
      </c>
      <c r="F53" s="22" t="s">
        <v>1051</v>
      </c>
      <c r="G53" s="22" t="str">
        <f>_xlfn.XLOOKUP(tbl_CONTENT[[#This Row],[Topic]], tbl_TOPIC[Topic], tbl_TOPIC[TopicID], "")</f>
        <v>HA-1-04</v>
      </c>
      <c r="H53" s="22" cm="1">
        <f t="array" ref="H53">SUM((tbl_CONTENT[[#This Row],[TopicID]]=INDEX(tbl_CONTENT[TopicID],1):tbl_CONTENT[[#This Row],[TopicID]])*1)</f>
        <v>10</v>
      </c>
      <c r="I53" s="22" t="str">
        <f>_xlfn.XLOOKUP(tbl_CONTENT[[#This Row],[Topic]], tbl_TOPIC[Topic], tbl_TOPIC[TopicIndex], "")</f>
        <v>04</v>
      </c>
      <c r="J53" s="22" t="s">
        <v>134</v>
      </c>
      <c r="K53" s="22" t="s">
        <v>219</v>
      </c>
      <c r="L53" s="22" t="s">
        <v>152</v>
      </c>
      <c r="M53" s="22">
        <v>1</v>
      </c>
      <c r="N53" s="22">
        <v>2</v>
      </c>
      <c r="O53" s="22">
        <v>3</v>
      </c>
      <c r="P53" s="22">
        <v>2</v>
      </c>
      <c r="Q53" s="22">
        <v>4</v>
      </c>
      <c r="S53" s="35">
        <f>IFERROR(
 (1.907*EXP(1)^(-0.5*tbl_CONTENT[[#This Row],[Layer]])) *
 ((tbl_CONTENT[[#This Row],[RelInt]]-1)^(2.5)*4^(1-2.5)+1) +
 ((tbl_CONTENT[[#This Row],[Comp]]-1)^(2.5)*4^(1-2.5)+1)*(0.5*((tbl_CONTENT[[#This Row],[RelInt]]-1)/4)^(2.5)+1),
 0
)</f>
        <v>2.5230196807457705</v>
      </c>
      <c r="T53" s="35">
        <f>IFERROR(
 (1.907*EXP(1)^(-0.5*VALUE(tbl_CONTENT[[#This Row],[Layer]]))) *
 ((VALUE(tbl_CONTENT[[#This Row],[RelId]])-1)^(2.5)*4^(1-2.5)+1) +
 ((VALUE(tbl_CONTENT[[#This Row],[Comp]])-1)^(2.5)*4^(1-2.5)+1)*(0.5*((VALUE(tbl_CONTENT[[#This Row],[RelId]])-1)/4)^(2.5)+1),
 0
)</f>
        <v>4.1914549319579635</v>
      </c>
      <c r="W53" s="22" t="str">
        <f>IFERROR(
  IF(_xlfn.XLOOKUP(tbl_CONTENT[[#This Row],[Topic]], tbl_TOPIC[Topic], tbl_TOPIC[ParentTopic])="", "",
       _xlfn.XLOOKUP(tbl_CONTENT[[#This Row],[Topic]], tbl_TOPIC[Topic], tbl_TOPIC[ParentTopic])),
  ""
)</f>
        <v/>
      </c>
      <c r="X53" s="22" t="str">
        <f>IFERROR(
  IF(_xlfn.XLOOKUP(tbl_CONTENT[[#This Row],[Topic]], tbl_TOPIC[Topic], tbl_TOPIC[TopicPath])="", "",
       _xlfn.XLOOKUP(tbl_CONTENT[[#This Row],[Topic]], tbl_TOPIC[Topic], tbl_TOPIC[TopicPath])),
  ""
)</f>
        <v>Abelsche Kategorien</v>
      </c>
    </row>
    <row r="54" spans="3:24" ht="17" x14ac:dyDescent="0.2">
      <c r="C54" s="22" t="str">
        <f>_xlfn.XLOOKUP(tbl_CONTENT[[#This Row],[TopicID]], tbl_TOPIC[TopicID], tbl_TOPIC[Subject], "")</f>
        <v>HA</v>
      </c>
      <c r="D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HA-T12-04-11</v>
      </c>
      <c r="E54" s="22">
        <f>ROW()</f>
        <v>54</v>
      </c>
      <c r="F54" s="22" t="s">
        <v>1051</v>
      </c>
      <c r="G54" s="22" t="str">
        <f>_xlfn.XLOOKUP(tbl_CONTENT[[#This Row],[Topic]], tbl_TOPIC[Topic], tbl_TOPIC[TopicID], "")</f>
        <v>HA-1-04</v>
      </c>
      <c r="H54" s="22" cm="1">
        <f t="array" ref="H54">SUM((tbl_CONTENT[[#This Row],[TopicID]]=INDEX(tbl_CONTENT[TopicID],1):tbl_CONTENT[[#This Row],[TopicID]])*1)</f>
        <v>11</v>
      </c>
      <c r="I54" s="22" t="str">
        <f>_xlfn.XLOOKUP(tbl_CONTENT[[#This Row],[Topic]], tbl_TOPIC[Topic], tbl_TOPIC[TopicIndex], "")</f>
        <v>04</v>
      </c>
      <c r="J54" s="22" t="s">
        <v>134</v>
      </c>
      <c r="K54" s="22" t="s">
        <v>220</v>
      </c>
      <c r="L54" s="22" t="s">
        <v>152</v>
      </c>
      <c r="M54" s="22">
        <v>1</v>
      </c>
      <c r="N54" s="22">
        <v>1</v>
      </c>
      <c r="O54" s="22">
        <v>4</v>
      </c>
      <c r="P54" s="22">
        <v>5</v>
      </c>
      <c r="Q54" s="22">
        <v>5</v>
      </c>
      <c r="S54" s="35">
        <f>IFERROR(
 (1.907*EXP(1)^(-0.5*tbl_CONTENT[[#This Row],[Layer]])) *
 ((tbl_CONTENT[[#This Row],[RelInt]]-1)^(2.5)*4^(1-2.5)+1) +
 ((tbl_CONTENT[[#This Row],[Comp]]-1)^(2.5)*4^(1-2.5)+1)*(0.5*((tbl_CONTENT[[#This Row],[RelInt]]-1)/4)^(2.5)+1),
 0
)</f>
        <v>10.206105578132444</v>
      </c>
      <c r="T54" s="35">
        <f>IFERROR(
 (1.907*EXP(1)^(-0.5*VALUE(tbl_CONTENT[[#This Row],[Layer]]))) *
 ((VALUE(tbl_CONTENT[[#This Row],[RelId]])-1)^(2.5)*4^(1-2.5)+1) +
 ((VALUE(tbl_CONTENT[[#This Row],[Comp]])-1)^(2.5)*4^(1-2.5)+1)*(0.5*((VALUE(tbl_CONTENT[[#This Row],[RelId]])-1)/4)^(2.5)+1),
 0
)</f>
        <v>10.206105578132444</v>
      </c>
      <c r="W54" s="22" t="str">
        <f>IFERROR(
  IF(_xlfn.XLOOKUP(tbl_CONTENT[[#This Row],[Topic]], tbl_TOPIC[Topic], tbl_TOPIC[ParentTopic])="", "",
       _xlfn.XLOOKUP(tbl_CONTENT[[#This Row],[Topic]], tbl_TOPIC[Topic], tbl_TOPIC[ParentTopic])),
  ""
)</f>
        <v/>
      </c>
      <c r="X54" s="22" t="str">
        <f>IFERROR(
  IF(_xlfn.XLOOKUP(tbl_CONTENT[[#This Row],[Topic]], tbl_TOPIC[Topic], tbl_TOPIC[TopicPath])="", "",
       _xlfn.XLOOKUP(tbl_CONTENT[[#This Row],[Topic]], tbl_TOPIC[Topic], tbl_TOPIC[TopicPath])),
  ""
)</f>
        <v>Abelsche Kategorien</v>
      </c>
    </row>
    <row r="55" spans="3:24" ht="51" x14ac:dyDescent="0.2">
      <c r="C55" s="22" t="str">
        <f>_xlfn.XLOOKUP(tbl_CONTENT[[#This Row],[TopicID]], tbl_TOPIC[TopicID], tbl_TOPIC[Subject], "")</f>
        <v>HA</v>
      </c>
      <c r="D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HA-T12-04-12</v>
      </c>
      <c r="E55" s="22">
        <f>ROW()</f>
        <v>55</v>
      </c>
      <c r="F55" s="22" t="s">
        <v>1051</v>
      </c>
      <c r="G55" s="22" t="str">
        <f>_xlfn.XLOOKUP(tbl_CONTENT[[#This Row],[Topic]], tbl_TOPIC[Topic], tbl_TOPIC[TopicID], "")</f>
        <v>HA-1-04</v>
      </c>
      <c r="H55" s="22" cm="1">
        <f t="array" ref="H55">SUM((tbl_CONTENT[[#This Row],[TopicID]]=INDEX(tbl_CONTENT[TopicID],1):tbl_CONTENT[[#This Row],[TopicID]])*1)</f>
        <v>12</v>
      </c>
      <c r="I55" s="22" t="str">
        <f>_xlfn.XLOOKUP(tbl_CONTENT[[#This Row],[Topic]], tbl_TOPIC[Topic], tbl_TOPIC[TopicIndex], "")</f>
        <v>04</v>
      </c>
      <c r="J55" s="22" t="s">
        <v>134</v>
      </c>
      <c r="K55" s="22" t="s">
        <v>221</v>
      </c>
      <c r="L55" s="22" t="s">
        <v>179</v>
      </c>
      <c r="M55" s="22">
        <v>1</v>
      </c>
      <c r="N55" s="22">
        <v>2</v>
      </c>
      <c r="O55" s="22">
        <v>3</v>
      </c>
      <c r="P55" s="22">
        <v>4</v>
      </c>
      <c r="Q55" s="22">
        <v>5</v>
      </c>
      <c r="S55" s="35">
        <f>IFERROR(
 (1.907*EXP(1)^(-0.5*tbl_CONTENT[[#This Row],[Layer]])) *
 ((tbl_CONTENT[[#This Row],[RelInt]]-1)^(2.5)*4^(1-2.5)+1) +
 ((tbl_CONTENT[[#This Row],[Comp]]-1)^(2.5)*4^(1-2.5)+1)*(0.5*((tbl_CONTENT[[#This Row],[RelInt]]-1)/4)^(2.5)+1),
 0
)</f>
        <v>4.1914549319579635</v>
      </c>
      <c r="T55" s="35">
        <f>IFERROR(
 (1.907*EXP(1)^(-0.5*VALUE(tbl_CONTENT[[#This Row],[Layer]]))) *
 ((VALUE(tbl_CONTENT[[#This Row],[RelId]])-1)^(2.5)*4^(1-2.5)+1) +
 ((VALUE(tbl_CONTENT[[#This Row],[Comp]])-1)^(2.5)*4^(1-2.5)+1)*(0.5*((VALUE(tbl_CONTENT[[#This Row],[RelId]])-1)/4)^(2.5)+1),
 0
)</f>
        <v>6.0683906433495247</v>
      </c>
      <c r="W55" s="22" t="str">
        <f>IFERROR(
  IF(_xlfn.XLOOKUP(tbl_CONTENT[[#This Row],[Topic]], tbl_TOPIC[Topic], tbl_TOPIC[ParentTopic])="", "",
       _xlfn.XLOOKUP(tbl_CONTENT[[#This Row],[Topic]], tbl_TOPIC[Topic], tbl_TOPIC[ParentTopic])),
  ""
)</f>
        <v/>
      </c>
      <c r="X55" s="22" t="str">
        <f>IFERROR(
  IF(_xlfn.XLOOKUP(tbl_CONTENT[[#This Row],[Topic]], tbl_TOPIC[Topic], tbl_TOPIC[TopicPath])="", "",
       _xlfn.XLOOKUP(tbl_CONTENT[[#This Row],[Topic]], tbl_TOPIC[Topic], tbl_TOPIC[TopicPath])),
  ""
)</f>
        <v>Abelsche Kategorien</v>
      </c>
    </row>
    <row r="56" spans="3:24" ht="17" x14ac:dyDescent="0.2">
      <c r="C56" s="22" t="str">
        <f>_xlfn.XLOOKUP(tbl_CONTENT[[#This Row],[TopicID]], tbl_TOPIC[TopicID], tbl_TOPIC[Subject], "")</f>
        <v>HA</v>
      </c>
      <c r="D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HA-T12-04-13</v>
      </c>
      <c r="E56" s="22">
        <f>ROW()</f>
        <v>56</v>
      </c>
      <c r="F56" s="22" t="s">
        <v>1051</v>
      </c>
      <c r="G56" s="22" t="str">
        <f>_xlfn.XLOOKUP(tbl_CONTENT[[#This Row],[Topic]], tbl_TOPIC[Topic], tbl_TOPIC[TopicID], "")</f>
        <v>HA-1-04</v>
      </c>
      <c r="H56" s="22" cm="1">
        <f t="array" ref="H56">SUM((tbl_CONTENT[[#This Row],[TopicID]]=INDEX(tbl_CONTENT[TopicID],1):tbl_CONTENT[[#This Row],[TopicID]])*1)</f>
        <v>13</v>
      </c>
      <c r="I56" s="22" t="str">
        <f>_xlfn.XLOOKUP(tbl_CONTENT[[#This Row],[Topic]], tbl_TOPIC[Topic], tbl_TOPIC[TopicIndex], "")</f>
        <v>04</v>
      </c>
      <c r="J56" s="22" t="s">
        <v>134</v>
      </c>
      <c r="K56" s="22" t="s">
        <v>222</v>
      </c>
      <c r="L56" s="22" t="s">
        <v>152</v>
      </c>
      <c r="M56" s="22">
        <v>1</v>
      </c>
      <c r="N56" s="22">
        <v>3</v>
      </c>
      <c r="O56" s="22">
        <v>3</v>
      </c>
      <c r="P56" s="22">
        <v>3</v>
      </c>
      <c r="Q56" s="22">
        <v>5</v>
      </c>
      <c r="S56" s="35">
        <f>IFERROR(
 (1.907*EXP(1)^(-0.5*tbl_CONTENT[[#This Row],[Layer]])) *
 ((tbl_CONTENT[[#This Row],[RelInt]]-1)^(2.5)*4^(1-2.5)+1) +
 ((tbl_CONTENT[[#This Row],[Comp]]-1)^(2.5)*4^(1-2.5)+1)*(0.5*((tbl_CONTENT[[#This Row],[RelInt]]-1)/4)^(2.5)+1),
 0
)</f>
        <v>2.5843847959067898</v>
      </c>
      <c r="T56" s="35">
        <f>IFERROR(
 (1.907*EXP(1)^(-0.5*VALUE(tbl_CONTENT[[#This Row],[Layer]]))) *
 ((VALUE(tbl_CONTENT[[#This Row],[RelId]])-1)^(2.5)*4^(1-2.5)+1) +
 ((VALUE(tbl_CONTENT[[#This Row],[Comp]])-1)^(2.5)*4^(1-2.5)+1)*(0.5*((VALUE(tbl_CONTENT[[#This Row],[RelId]])-1)/4)^(2.5)+1),
 0
)</f>
        <v>4.6882062487951002</v>
      </c>
      <c r="W56" s="22" t="str">
        <f>IFERROR(
  IF(_xlfn.XLOOKUP(tbl_CONTENT[[#This Row],[Topic]], tbl_TOPIC[Topic], tbl_TOPIC[ParentTopic])="", "",
       _xlfn.XLOOKUP(tbl_CONTENT[[#This Row],[Topic]], tbl_TOPIC[Topic], tbl_TOPIC[ParentTopic])),
  ""
)</f>
        <v/>
      </c>
      <c r="X56" s="22" t="str">
        <f>IFERROR(
  IF(_xlfn.XLOOKUP(tbl_CONTENT[[#This Row],[Topic]], tbl_TOPIC[Topic], tbl_TOPIC[TopicPath])="", "",
       _xlfn.XLOOKUP(tbl_CONTENT[[#This Row],[Topic]], tbl_TOPIC[Topic], tbl_TOPIC[TopicPath])),
  ""
)</f>
        <v>Abelsche Kategorien</v>
      </c>
    </row>
    <row r="57" spans="3:24" ht="17" x14ac:dyDescent="0.2">
      <c r="C57" s="22" t="str">
        <f>_xlfn.XLOOKUP(tbl_CONTENT[[#This Row],[TopicID]], tbl_TOPIC[TopicID], tbl_TOPIC[Subject], "")</f>
        <v>HA</v>
      </c>
      <c r="D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HA-T12-04-14</v>
      </c>
      <c r="E57" s="22">
        <f>ROW()</f>
        <v>57</v>
      </c>
      <c r="F57" s="22" t="s">
        <v>1051</v>
      </c>
      <c r="G57" s="22" t="str">
        <f>_xlfn.XLOOKUP(tbl_CONTENT[[#This Row],[Topic]], tbl_TOPIC[Topic], tbl_TOPIC[TopicID], "")</f>
        <v>HA-1-04</v>
      </c>
      <c r="H57" s="22" cm="1">
        <f t="array" ref="H57">SUM((tbl_CONTENT[[#This Row],[TopicID]]=INDEX(tbl_CONTENT[TopicID],1):tbl_CONTENT[[#This Row],[TopicID]])*1)</f>
        <v>14</v>
      </c>
      <c r="I57" s="22" t="str">
        <f>_xlfn.XLOOKUP(tbl_CONTENT[[#This Row],[Topic]], tbl_TOPIC[Topic], tbl_TOPIC[TopicIndex], "")</f>
        <v>04</v>
      </c>
      <c r="J57" s="22" t="s">
        <v>134</v>
      </c>
      <c r="K57" s="22" t="s">
        <v>223</v>
      </c>
      <c r="L57" s="22" t="s">
        <v>179</v>
      </c>
      <c r="M57" s="22">
        <v>1</v>
      </c>
      <c r="N57" s="22">
        <v>3</v>
      </c>
      <c r="O57" s="22">
        <v>3</v>
      </c>
      <c r="P57" s="22">
        <v>3</v>
      </c>
      <c r="Q57" s="22">
        <v>4</v>
      </c>
      <c r="S57" s="35">
        <f>IFERROR(
 (1.907*EXP(1)^(-0.5*tbl_CONTENT[[#This Row],[Layer]])) *
 ((tbl_CONTENT[[#This Row],[RelInt]]-1)^(2.5)*4^(1-2.5)+1) +
 ((tbl_CONTENT[[#This Row],[Comp]]-1)^(2.5)*4^(1-2.5)+1)*(0.5*((tbl_CONTENT[[#This Row],[RelInt]]-1)/4)^(2.5)+1),
 0
)</f>
        <v>2.5843847959067898</v>
      </c>
      <c r="T57" s="35">
        <f>IFERROR(
 (1.907*EXP(1)^(-0.5*VALUE(tbl_CONTENT[[#This Row],[Layer]]))) *
 ((VALUE(tbl_CONTENT[[#This Row],[RelId]])-1)^(2.5)*4^(1-2.5)+1) +
 ((VALUE(tbl_CONTENT[[#This Row],[Comp]])-1)^(2.5)*4^(1-2.5)+1)*(0.5*((VALUE(tbl_CONTENT[[#This Row],[RelId]])-1)/4)^(2.5)+1),
 0
)</f>
        <v>3.3775444166311392</v>
      </c>
      <c r="W57" s="22" t="str">
        <f>IFERROR(
  IF(_xlfn.XLOOKUP(tbl_CONTENT[[#This Row],[Topic]], tbl_TOPIC[Topic], tbl_TOPIC[ParentTopic])="", "",
       _xlfn.XLOOKUP(tbl_CONTENT[[#This Row],[Topic]], tbl_TOPIC[Topic], tbl_TOPIC[ParentTopic])),
  ""
)</f>
        <v/>
      </c>
      <c r="X57" s="22" t="str">
        <f>IFERROR(
  IF(_xlfn.XLOOKUP(tbl_CONTENT[[#This Row],[Topic]], tbl_TOPIC[Topic], tbl_TOPIC[TopicPath])="", "",
       _xlfn.XLOOKUP(tbl_CONTENT[[#This Row],[Topic]], tbl_TOPIC[Topic], tbl_TOPIC[TopicPath])),
  ""
)</f>
        <v>Abelsche Kategorien</v>
      </c>
    </row>
    <row r="58" spans="3:24" ht="34" x14ac:dyDescent="0.2">
      <c r="C58" s="22" t="str">
        <f>_xlfn.XLOOKUP(tbl_CONTENT[[#This Row],[TopicID]], tbl_TOPIC[TopicID], tbl_TOPIC[Subject], "")</f>
        <v>HA</v>
      </c>
      <c r="D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HA-T12-04-15</v>
      </c>
      <c r="E58" s="22">
        <f>ROW()</f>
        <v>58</v>
      </c>
      <c r="F58" s="22" t="s">
        <v>1051</v>
      </c>
      <c r="G58" s="22" t="str">
        <f>_xlfn.XLOOKUP(tbl_CONTENT[[#This Row],[Topic]], tbl_TOPIC[Topic], tbl_TOPIC[TopicID], "")</f>
        <v>HA-1-04</v>
      </c>
      <c r="H58" s="22" cm="1">
        <f t="array" ref="H58">SUM((tbl_CONTENT[[#This Row],[TopicID]]=INDEX(tbl_CONTENT[TopicID],1):tbl_CONTENT[[#This Row],[TopicID]])*1)</f>
        <v>15</v>
      </c>
      <c r="I58" s="22" t="str">
        <f>_xlfn.XLOOKUP(tbl_CONTENT[[#This Row],[Topic]], tbl_TOPIC[Topic], tbl_TOPIC[TopicIndex], "")</f>
        <v>04</v>
      </c>
      <c r="J58" s="22" t="s">
        <v>134</v>
      </c>
      <c r="K58" s="40" t="s">
        <v>224</v>
      </c>
      <c r="L58" s="22" t="s">
        <v>147</v>
      </c>
      <c r="M58" s="22">
        <v>1</v>
      </c>
      <c r="N58" s="22">
        <v>2</v>
      </c>
      <c r="O58" s="22">
        <v>3</v>
      </c>
      <c r="P58" s="22">
        <v>4</v>
      </c>
      <c r="Q58" s="22">
        <v>5</v>
      </c>
      <c r="S58" s="35">
        <f>IFERROR(
 (1.907*EXP(1)^(-0.5*tbl_CONTENT[[#This Row],[Layer]])) *
 ((tbl_CONTENT[[#This Row],[RelInt]]-1)^(2.5)*4^(1-2.5)+1) +
 ((tbl_CONTENT[[#This Row],[Comp]]-1)^(2.5)*4^(1-2.5)+1)*(0.5*((tbl_CONTENT[[#This Row],[RelInt]]-1)/4)^(2.5)+1),
 0
)</f>
        <v>4.1914549319579635</v>
      </c>
      <c r="T58" s="35">
        <f>IFERROR(
 (1.907*EXP(1)^(-0.5*VALUE(tbl_CONTENT[[#This Row],[Layer]]))) *
 ((VALUE(tbl_CONTENT[[#This Row],[RelId]])-1)^(2.5)*4^(1-2.5)+1) +
 ((VALUE(tbl_CONTENT[[#This Row],[Comp]])-1)^(2.5)*4^(1-2.5)+1)*(0.5*((VALUE(tbl_CONTENT[[#This Row],[RelId]])-1)/4)^(2.5)+1),
 0
)</f>
        <v>6.0683906433495247</v>
      </c>
      <c r="W58" s="22" t="str">
        <f>IFERROR(
  IF(_xlfn.XLOOKUP(tbl_CONTENT[[#This Row],[Topic]], tbl_TOPIC[Topic], tbl_TOPIC[ParentTopic])="", "",
       _xlfn.XLOOKUP(tbl_CONTENT[[#This Row],[Topic]], tbl_TOPIC[Topic], tbl_TOPIC[ParentTopic])),
  ""
)</f>
        <v/>
      </c>
      <c r="X58" s="22" t="str">
        <f>IFERROR(
  IF(_xlfn.XLOOKUP(tbl_CONTENT[[#This Row],[Topic]], tbl_TOPIC[Topic], tbl_TOPIC[TopicPath])="", "",
       _xlfn.XLOOKUP(tbl_CONTENT[[#This Row],[Topic]], tbl_TOPIC[Topic], tbl_TOPIC[TopicPath])),
  ""
)</f>
        <v>Abelsche Kategorien</v>
      </c>
    </row>
    <row r="59" spans="3:24" ht="17" x14ac:dyDescent="0.2">
      <c r="C59" s="22" t="str">
        <f>_xlfn.XLOOKUP(tbl_CONTENT[[#This Row],[TopicID]], tbl_TOPIC[TopicID], tbl_TOPIC[Subject], "")</f>
        <v>HA</v>
      </c>
      <c r="D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HA-T12-04-16</v>
      </c>
      <c r="E59" s="22">
        <f>ROW()</f>
        <v>59</v>
      </c>
      <c r="F59" s="22" t="s">
        <v>1051</v>
      </c>
      <c r="G59" s="22" t="str">
        <f>_xlfn.XLOOKUP(tbl_CONTENT[[#This Row],[Topic]], tbl_TOPIC[Topic], tbl_TOPIC[TopicID], "")</f>
        <v>HA-1-04</v>
      </c>
      <c r="H59" s="22" cm="1">
        <f t="array" ref="H59">SUM((tbl_CONTENT[[#This Row],[TopicID]]=INDEX(tbl_CONTENT[TopicID],1):tbl_CONTENT[[#This Row],[TopicID]])*1)</f>
        <v>16</v>
      </c>
      <c r="I59" s="22" t="str">
        <f>_xlfn.XLOOKUP(tbl_CONTENT[[#This Row],[Topic]], tbl_TOPIC[Topic], tbl_TOPIC[TopicIndex], "")</f>
        <v>04</v>
      </c>
      <c r="J59" s="22" t="s">
        <v>134</v>
      </c>
      <c r="K59" s="22" t="s">
        <v>225</v>
      </c>
      <c r="L59" s="22" t="s">
        <v>152</v>
      </c>
      <c r="M59" s="22">
        <v>1</v>
      </c>
      <c r="N59" s="22">
        <v>2</v>
      </c>
      <c r="O59" s="22">
        <v>3</v>
      </c>
      <c r="P59" s="22">
        <v>4</v>
      </c>
      <c r="Q59" s="22">
        <v>5</v>
      </c>
      <c r="S59" s="35">
        <f>IFERROR(
 (1.907*EXP(1)^(-0.5*tbl_CONTENT[[#This Row],[Layer]])) *
 ((tbl_CONTENT[[#This Row],[RelInt]]-1)^(2.5)*4^(1-2.5)+1) +
 ((tbl_CONTENT[[#This Row],[Comp]]-1)^(2.5)*4^(1-2.5)+1)*(0.5*((tbl_CONTENT[[#This Row],[RelInt]]-1)/4)^(2.5)+1),
 0
)</f>
        <v>4.1914549319579635</v>
      </c>
      <c r="T59" s="35">
        <f>IFERROR(
 (1.907*EXP(1)^(-0.5*VALUE(tbl_CONTENT[[#This Row],[Layer]]))) *
 ((VALUE(tbl_CONTENT[[#This Row],[RelId]])-1)^(2.5)*4^(1-2.5)+1) +
 ((VALUE(tbl_CONTENT[[#This Row],[Comp]])-1)^(2.5)*4^(1-2.5)+1)*(0.5*((VALUE(tbl_CONTENT[[#This Row],[RelId]])-1)/4)^(2.5)+1),
 0
)</f>
        <v>6.0683906433495247</v>
      </c>
      <c r="W59" s="22" t="str">
        <f>IFERROR(
  IF(_xlfn.XLOOKUP(tbl_CONTENT[[#This Row],[Topic]], tbl_TOPIC[Topic], tbl_TOPIC[ParentTopic])="", "",
       _xlfn.XLOOKUP(tbl_CONTENT[[#This Row],[Topic]], tbl_TOPIC[Topic], tbl_TOPIC[ParentTopic])),
  ""
)</f>
        <v/>
      </c>
      <c r="X59" s="22" t="str">
        <f>IFERROR(
  IF(_xlfn.XLOOKUP(tbl_CONTENT[[#This Row],[Topic]], tbl_TOPIC[Topic], tbl_TOPIC[TopicPath])="", "",
       _xlfn.XLOOKUP(tbl_CONTENT[[#This Row],[Topic]], tbl_TOPIC[Topic], tbl_TOPIC[TopicPath])),
  ""
)</f>
        <v>Abelsche Kategorien</v>
      </c>
    </row>
    <row r="60" spans="3:24" ht="34" x14ac:dyDescent="0.2">
      <c r="C60" s="22" t="str">
        <f>_xlfn.XLOOKUP(tbl_CONTENT[[#This Row],[TopicID]], tbl_TOPIC[TopicID], tbl_TOPIC[Subject], "")</f>
        <v>HA</v>
      </c>
      <c r="D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HA-T12-04-17</v>
      </c>
      <c r="E60" s="22">
        <f>ROW()</f>
        <v>60</v>
      </c>
      <c r="F60" s="22" t="s">
        <v>1051</v>
      </c>
      <c r="G60" s="22" t="str">
        <f>_xlfn.XLOOKUP(tbl_CONTENT[[#This Row],[Topic]], tbl_TOPIC[Topic], tbl_TOPIC[TopicID], "")</f>
        <v>HA-1-04</v>
      </c>
      <c r="H60" s="22" cm="1">
        <f t="array" ref="H60">SUM((tbl_CONTENT[[#This Row],[TopicID]]=INDEX(tbl_CONTENT[TopicID],1):tbl_CONTENT[[#This Row],[TopicID]])*1)</f>
        <v>17</v>
      </c>
      <c r="I60" s="22" t="str">
        <f>_xlfn.XLOOKUP(tbl_CONTENT[[#This Row],[Topic]], tbl_TOPIC[Topic], tbl_TOPIC[TopicIndex], "")</f>
        <v>04</v>
      </c>
      <c r="J60" s="22" t="s">
        <v>134</v>
      </c>
      <c r="K60" s="22" t="s">
        <v>226</v>
      </c>
      <c r="L60" s="22" t="s">
        <v>151</v>
      </c>
      <c r="M60" s="22">
        <v>1</v>
      </c>
      <c r="N60" s="22">
        <v>2</v>
      </c>
      <c r="O60" s="22">
        <v>2</v>
      </c>
      <c r="P60" s="22">
        <v>5</v>
      </c>
      <c r="Q60" s="22">
        <v>5</v>
      </c>
      <c r="S60" s="35">
        <f>IFERROR(
 (1.907*EXP(1)^(-0.5*tbl_CONTENT[[#This Row],[Layer]])) *
 ((tbl_CONTENT[[#This Row],[RelInt]]-1)^(2.5)*4^(1-2.5)+1) +
 ((tbl_CONTENT[[#This Row],[Comp]]-1)^(2.5)*4^(1-2.5)+1)*(0.5*((tbl_CONTENT[[#This Row],[RelInt]]-1)/4)^(2.5)+1),
 0
)</f>
        <v>5.1952304715697029</v>
      </c>
      <c r="T60" s="35">
        <f>IFERROR(
 (1.907*EXP(1)^(-0.5*VALUE(tbl_CONTENT[[#This Row],[Layer]]))) *
 ((VALUE(tbl_CONTENT[[#This Row],[RelId]])-1)^(2.5)*4^(1-2.5)+1) +
 ((VALUE(tbl_CONTENT[[#This Row],[Comp]])-1)^(2.5)*4^(1-2.5)+1)*(0.5*((VALUE(tbl_CONTENT[[#This Row],[RelId]])-1)/4)^(2.5)+1),
 0
)</f>
        <v>5.1952304715697029</v>
      </c>
      <c r="W60" s="22" t="str">
        <f>IFERROR(
  IF(_xlfn.XLOOKUP(tbl_CONTENT[[#This Row],[Topic]], tbl_TOPIC[Topic], tbl_TOPIC[ParentTopic])="", "",
       _xlfn.XLOOKUP(tbl_CONTENT[[#This Row],[Topic]], tbl_TOPIC[Topic], tbl_TOPIC[ParentTopic])),
  ""
)</f>
        <v/>
      </c>
      <c r="X60" s="22" t="str">
        <f>IFERROR(
  IF(_xlfn.XLOOKUP(tbl_CONTENT[[#This Row],[Topic]], tbl_TOPIC[Topic], tbl_TOPIC[TopicPath])="", "",
       _xlfn.XLOOKUP(tbl_CONTENT[[#This Row],[Topic]], tbl_TOPIC[Topic], tbl_TOPIC[TopicPath])),
  ""
)</f>
        <v>Abelsche Kategorien</v>
      </c>
    </row>
    <row r="61" spans="3:24" ht="34" x14ac:dyDescent="0.2">
      <c r="C61" s="22" t="str">
        <f>_xlfn.XLOOKUP(tbl_CONTENT[[#This Row],[TopicID]], tbl_TOPIC[TopicID], tbl_TOPIC[Subject], "")</f>
        <v>HA</v>
      </c>
      <c r="D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HA-T12-04-18</v>
      </c>
      <c r="E61" s="22">
        <f>ROW()</f>
        <v>61</v>
      </c>
      <c r="F61" s="22" t="s">
        <v>1051</v>
      </c>
      <c r="G61" s="22" t="str">
        <f>_xlfn.XLOOKUP(tbl_CONTENT[[#This Row],[Topic]], tbl_TOPIC[Topic], tbl_TOPIC[TopicID], "")</f>
        <v>HA-1-04</v>
      </c>
      <c r="H61" s="22" cm="1">
        <f t="array" ref="H61">SUM((tbl_CONTENT[[#This Row],[TopicID]]=INDEX(tbl_CONTENT[TopicID],1):tbl_CONTENT[[#This Row],[TopicID]])*1)</f>
        <v>18</v>
      </c>
      <c r="I61" s="22" t="str">
        <f>_xlfn.XLOOKUP(tbl_CONTENT[[#This Row],[Topic]], tbl_TOPIC[Topic], tbl_TOPIC[TopicIndex], "")</f>
        <v>04</v>
      </c>
      <c r="J61" s="22" t="s">
        <v>134</v>
      </c>
      <c r="K61" s="22" t="s">
        <v>227</v>
      </c>
      <c r="L61" s="22" t="s">
        <v>152</v>
      </c>
      <c r="M61" s="22">
        <v>0</v>
      </c>
      <c r="S61" s="35">
        <f>IFERROR(
 (1.907*EXP(1)^(-0.5*tbl_CONTENT[[#This Row],[Layer]])) *
 ((tbl_CONTENT[[#This Row],[RelInt]]-1)^(2.5)*4^(1-2.5)+1) +
 ((tbl_CONTENT[[#This Row],[Comp]]-1)^(2.5)*4^(1-2.5)+1)*(0.5*((tbl_CONTENT[[#This Row],[RelInt]]-1)/4)^(2.5)+1),
 0
)</f>
        <v>0</v>
      </c>
      <c r="T61" s="35">
        <f>IFERROR(
 (1.907*EXP(1)^(-0.5*VALUE(tbl_CONTENT[[#This Row],[Layer]]))) *
 ((VALUE(tbl_CONTENT[[#This Row],[RelId]])-1)^(2.5)*4^(1-2.5)+1) +
 ((VALUE(tbl_CONTENT[[#This Row],[Comp]])-1)^(2.5)*4^(1-2.5)+1)*(0.5*((VALUE(tbl_CONTENT[[#This Row],[RelId]])-1)/4)^(2.5)+1),
 0
)</f>
        <v>0</v>
      </c>
      <c r="W61" s="22" t="str">
        <f>IFERROR(
  IF(_xlfn.XLOOKUP(tbl_CONTENT[[#This Row],[Topic]], tbl_TOPIC[Topic], tbl_TOPIC[ParentTopic])="", "",
       _xlfn.XLOOKUP(tbl_CONTENT[[#This Row],[Topic]], tbl_TOPIC[Topic], tbl_TOPIC[ParentTopic])),
  ""
)</f>
        <v/>
      </c>
      <c r="X61" s="22" t="str">
        <f>IFERROR(
  IF(_xlfn.XLOOKUP(tbl_CONTENT[[#This Row],[Topic]], tbl_TOPIC[Topic], tbl_TOPIC[TopicPath])="", "",
       _xlfn.XLOOKUP(tbl_CONTENT[[#This Row],[Topic]], tbl_TOPIC[Topic], tbl_TOPIC[TopicPath])),
  ""
)</f>
        <v>Abelsche Kategorien</v>
      </c>
    </row>
    <row r="62" spans="3:24" ht="34" x14ac:dyDescent="0.2">
      <c r="C62" s="22" t="str">
        <f>_xlfn.XLOOKUP(tbl_CONTENT[[#This Row],[TopicID]], tbl_TOPIC[TopicID], tbl_TOPIC[Subject], "")</f>
        <v>HA</v>
      </c>
      <c r="D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HA-T12-04-19</v>
      </c>
      <c r="E62" s="22">
        <f>ROW()</f>
        <v>62</v>
      </c>
      <c r="F62" s="22" t="s">
        <v>1051</v>
      </c>
      <c r="G62" s="22" t="str">
        <f>_xlfn.XLOOKUP(tbl_CONTENT[[#This Row],[Topic]], tbl_TOPIC[Topic], tbl_TOPIC[TopicID], "")</f>
        <v>HA-1-04</v>
      </c>
      <c r="H62" s="22" cm="1">
        <f t="array" ref="H62">SUM((tbl_CONTENT[[#This Row],[TopicID]]=INDEX(tbl_CONTENT[TopicID],1):tbl_CONTENT[[#This Row],[TopicID]])*1)</f>
        <v>19</v>
      </c>
      <c r="I62" s="22" t="str">
        <f>_xlfn.XLOOKUP(tbl_CONTENT[[#This Row],[Topic]], tbl_TOPIC[Topic], tbl_TOPIC[TopicIndex], "")</f>
        <v>04</v>
      </c>
      <c r="J62" s="22" t="s">
        <v>134</v>
      </c>
      <c r="K62" s="22" t="s">
        <v>228</v>
      </c>
      <c r="L62" s="22" t="s">
        <v>152</v>
      </c>
      <c r="M62" s="22">
        <v>0</v>
      </c>
      <c r="S62" s="35">
        <f>IFERROR(
 (1.907*EXP(1)^(-0.5*tbl_CONTENT[[#This Row],[Layer]])) *
 ((tbl_CONTENT[[#This Row],[RelInt]]-1)^(2.5)*4^(1-2.5)+1) +
 ((tbl_CONTENT[[#This Row],[Comp]]-1)^(2.5)*4^(1-2.5)+1)*(0.5*((tbl_CONTENT[[#This Row],[RelInt]]-1)/4)^(2.5)+1),
 0
)</f>
        <v>0</v>
      </c>
      <c r="T62" s="35">
        <f>IFERROR(
 (1.907*EXP(1)^(-0.5*VALUE(tbl_CONTENT[[#This Row],[Layer]]))) *
 ((VALUE(tbl_CONTENT[[#This Row],[RelId]])-1)^(2.5)*4^(1-2.5)+1) +
 ((VALUE(tbl_CONTENT[[#This Row],[Comp]])-1)^(2.5)*4^(1-2.5)+1)*(0.5*((VALUE(tbl_CONTENT[[#This Row],[RelId]])-1)/4)^(2.5)+1),
 0
)</f>
        <v>0</v>
      </c>
      <c r="W62" s="22" t="str">
        <f>IFERROR(
  IF(_xlfn.XLOOKUP(tbl_CONTENT[[#This Row],[Topic]], tbl_TOPIC[Topic], tbl_TOPIC[ParentTopic])="", "",
       _xlfn.XLOOKUP(tbl_CONTENT[[#This Row],[Topic]], tbl_TOPIC[Topic], tbl_TOPIC[ParentTopic])),
  ""
)</f>
        <v/>
      </c>
      <c r="X62" s="22" t="str">
        <f>IFERROR(
  IF(_xlfn.XLOOKUP(tbl_CONTENT[[#This Row],[Topic]], tbl_TOPIC[Topic], tbl_TOPIC[TopicPath])="", "",
       _xlfn.XLOOKUP(tbl_CONTENT[[#This Row],[Topic]], tbl_TOPIC[Topic], tbl_TOPIC[TopicPath])),
  ""
)</f>
        <v>Abelsche Kategorien</v>
      </c>
    </row>
    <row r="63" spans="3:24" ht="17" x14ac:dyDescent="0.2">
      <c r="C63" s="22" t="str">
        <f>_xlfn.XLOOKUP(tbl_CONTENT[[#This Row],[TopicID]], tbl_TOPIC[TopicID], tbl_TOPIC[Subject], "")</f>
        <v>HA</v>
      </c>
      <c r="D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HA-T12-06-01</v>
      </c>
      <c r="E63" s="22">
        <f>ROW()</f>
        <v>63</v>
      </c>
      <c r="F63" s="22" t="s">
        <v>1051</v>
      </c>
      <c r="G63" s="22" t="str">
        <f>_xlfn.XLOOKUP(tbl_CONTENT[[#This Row],[Topic]], tbl_TOPIC[Topic], tbl_TOPIC[TopicID], "")</f>
        <v>HA-1-06</v>
      </c>
      <c r="H63" s="22" cm="1">
        <f t="array" ref="H63">SUM((tbl_CONTENT[[#This Row],[TopicID]]=INDEX(tbl_CONTENT[TopicID],1):tbl_CONTENT[[#This Row],[TopicID]])*1)</f>
        <v>1</v>
      </c>
      <c r="I63" s="22" t="str">
        <f>_xlfn.XLOOKUP(tbl_CONTENT[[#This Row],[Topic]], tbl_TOPIC[Topic], tbl_TOPIC[TopicIndex], "")</f>
        <v>06</v>
      </c>
      <c r="J63" s="22" t="s">
        <v>140</v>
      </c>
      <c r="K63" s="22" t="s">
        <v>229</v>
      </c>
      <c r="L63" s="22" t="s">
        <v>152</v>
      </c>
      <c r="M63" s="22">
        <v>1</v>
      </c>
      <c r="N63" s="22">
        <v>1</v>
      </c>
      <c r="O63" s="22">
        <v>3</v>
      </c>
      <c r="P63" s="22">
        <v>5</v>
      </c>
      <c r="Q63" s="22">
        <v>5</v>
      </c>
      <c r="S63" s="35">
        <f>IFERROR(
 (1.907*EXP(1)^(-0.5*tbl_CONTENT[[#This Row],[Layer]])) *
 ((tbl_CONTENT[[#This Row],[RelInt]]-1)^(2.5)*4^(1-2.5)+1) +
 ((tbl_CONTENT[[#This Row],[Comp]]-1)^(2.5)*4^(1-2.5)+1)*(0.5*((tbl_CONTENT[[#This Row],[RelInt]]-1)/4)^(2.5)+1),
 0
)</f>
        <v>8.3439300121397828</v>
      </c>
      <c r="T63" s="35">
        <f>IFERROR(
 (1.907*EXP(1)^(-0.5*VALUE(tbl_CONTENT[[#This Row],[Layer]]))) *
 ((VALUE(tbl_CONTENT[[#This Row],[RelId]])-1)^(2.5)*4^(1-2.5)+1) +
 ((VALUE(tbl_CONTENT[[#This Row],[Comp]])-1)^(2.5)*4^(1-2.5)+1)*(0.5*((VALUE(tbl_CONTENT[[#This Row],[RelId]])-1)/4)^(2.5)+1),
 0
)</f>
        <v>8.3439300121397828</v>
      </c>
      <c r="W63" s="22" t="str">
        <f>IFERROR(
  IF(_xlfn.XLOOKUP(tbl_CONTENT[[#This Row],[Topic]], tbl_TOPIC[Topic], tbl_TOPIC[ParentTopic])="", "",
       _xlfn.XLOOKUP(tbl_CONTENT[[#This Row],[Topic]], tbl_TOPIC[Topic], tbl_TOPIC[ParentTopic])),
  ""
)</f>
        <v/>
      </c>
      <c r="X63" s="22" t="str">
        <f>IFERROR(
  IF(_xlfn.XLOOKUP(tbl_CONTENT[[#This Row],[Topic]], tbl_TOPIC[Topic], tbl_TOPIC[TopicPath])="", "",
       _xlfn.XLOOKUP(tbl_CONTENT[[#This Row],[Topic]], tbl_TOPIC[Topic], tbl_TOPIC[TopicPath])),
  ""
)</f>
        <v>Komplexe in HA</v>
      </c>
    </row>
    <row r="64" spans="3:24" ht="34" x14ac:dyDescent="0.2">
      <c r="C64" s="22" t="str">
        <f>_xlfn.XLOOKUP(tbl_CONTENT[[#This Row],[TopicID]], tbl_TOPIC[TopicID], tbl_TOPIC[Subject], "")</f>
        <v>HA</v>
      </c>
      <c r="D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HA-T12-06-02</v>
      </c>
      <c r="E64" s="22">
        <f>ROW()</f>
        <v>64</v>
      </c>
      <c r="F64" s="22" t="s">
        <v>1051</v>
      </c>
      <c r="G64" s="22" t="str">
        <f>_xlfn.XLOOKUP(tbl_CONTENT[[#This Row],[Topic]], tbl_TOPIC[Topic], tbl_TOPIC[TopicID], "")</f>
        <v>HA-1-06</v>
      </c>
      <c r="H64" s="22" cm="1">
        <f t="array" ref="H64">SUM((tbl_CONTENT[[#This Row],[TopicID]]=INDEX(tbl_CONTENT[TopicID],1):tbl_CONTENT[[#This Row],[TopicID]])*1)</f>
        <v>2</v>
      </c>
      <c r="I64" s="22" t="str">
        <f>_xlfn.XLOOKUP(tbl_CONTENT[[#This Row],[Topic]], tbl_TOPIC[Topic], tbl_TOPIC[TopicIndex], "")</f>
        <v>06</v>
      </c>
      <c r="J64" s="22" t="s">
        <v>140</v>
      </c>
      <c r="K64" s="22" t="s">
        <v>230</v>
      </c>
      <c r="L64" s="22" t="s">
        <v>152</v>
      </c>
      <c r="M64" s="22">
        <v>1</v>
      </c>
      <c r="N64" s="22">
        <v>1</v>
      </c>
      <c r="O64" s="22">
        <v>3</v>
      </c>
      <c r="P64" s="22">
        <v>5</v>
      </c>
      <c r="Q64" s="22">
        <v>5</v>
      </c>
      <c r="S64" s="35">
        <f>IFERROR(
 (1.907*EXP(1)^(-0.5*tbl_CONTENT[[#This Row],[Layer]])) *
 ((tbl_CONTENT[[#This Row],[RelInt]]-1)^(2.5)*4^(1-2.5)+1) +
 ((tbl_CONTENT[[#This Row],[Comp]]-1)^(2.5)*4^(1-2.5)+1)*(0.5*((tbl_CONTENT[[#This Row],[RelInt]]-1)/4)^(2.5)+1),
 0
)</f>
        <v>8.3439300121397828</v>
      </c>
      <c r="T64" s="35">
        <f>IFERROR(
 (1.907*EXP(1)^(-0.5*VALUE(tbl_CONTENT[[#This Row],[Layer]]))) *
 ((VALUE(tbl_CONTENT[[#This Row],[RelId]])-1)^(2.5)*4^(1-2.5)+1) +
 ((VALUE(tbl_CONTENT[[#This Row],[Comp]])-1)^(2.5)*4^(1-2.5)+1)*(0.5*((VALUE(tbl_CONTENT[[#This Row],[RelId]])-1)/4)^(2.5)+1),
 0
)</f>
        <v>8.3439300121397828</v>
      </c>
      <c r="W64" s="22" t="str">
        <f>IFERROR(
  IF(_xlfn.XLOOKUP(tbl_CONTENT[[#This Row],[Topic]], tbl_TOPIC[Topic], tbl_TOPIC[ParentTopic])="", "",
       _xlfn.XLOOKUP(tbl_CONTENT[[#This Row],[Topic]], tbl_TOPIC[Topic], tbl_TOPIC[ParentTopic])),
  ""
)</f>
        <v/>
      </c>
      <c r="X64" s="22" t="str">
        <f>IFERROR(
  IF(_xlfn.XLOOKUP(tbl_CONTENT[[#This Row],[Topic]], tbl_TOPIC[Topic], tbl_TOPIC[TopicPath])="", "",
       _xlfn.XLOOKUP(tbl_CONTENT[[#This Row],[Topic]], tbl_TOPIC[Topic], tbl_TOPIC[TopicPath])),
  ""
)</f>
        <v>Komplexe in HA</v>
      </c>
    </row>
    <row r="65" spans="3:24" ht="34" x14ac:dyDescent="0.2">
      <c r="C65" s="22" t="str">
        <f>_xlfn.XLOOKUP(tbl_CONTENT[[#This Row],[TopicID]], tbl_TOPIC[TopicID], tbl_TOPIC[Subject], "")</f>
        <v>HA</v>
      </c>
      <c r="D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HA-T12-06-03</v>
      </c>
      <c r="E65" s="22">
        <f>ROW()</f>
        <v>65</v>
      </c>
      <c r="F65" s="22" t="s">
        <v>1051</v>
      </c>
      <c r="G65" s="22" t="str">
        <f>_xlfn.XLOOKUP(tbl_CONTENT[[#This Row],[Topic]], tbl_TOPIC[Topic], tbl_TOPIC[TopicID], "")</f>
        <v>HA-1-06</v>
      </c>
      <c r="H65" s="22" cm="1">
        <f t="array" ref="H65">SUM((tbl_CONTENT[[#This Row],[TopicID]]=INDEX(tbl_CONTENT[TopicID],1):tbl_CONTENT[[#This Row],[TopicID]])*1)</f>
        <v>3</v>
      </c>
      <c r="I65" s="22" t="str">
        <f>_xlfn.XLOOKUP(tbl_CONTENT[[#This Row],[Topic]], tbl_TOPIC[Topic], tbl_TOPIC[TopicIndex], "")</f>
        <v>06</v>
      </c>
      <c r="J65" s="22" t="s">
        <v>140</v>
      </c>
      <c r="K65" s="22" t="s">
        <v>231</v>
      </c>
      <c r="L65" s="22" t="s">
        <v>152</v>
      </c>
      <c r="M65" s="22">
        <v>1</v>
      </c>
      <c r="N65" s="22">
        <v>1</v>
      </c>
      <c r="O65" s="22">
        <v>3</v>
      </c>
      <c r="P65" s="22">
        <v>5</v>
      </c>
      <c r="Q65" s="22">
        <v>5</v>
      </c>
      <c r="S65" s="35">
        <f>IFERROR(
 (1.907*EXP(1)^(-0.5*tbl_CONTENT[[#This Row],[Layer]])) *
 ((tbl_CONTENT[[#This Row],[RelInt]]-1)^(2.5)*4^(1-2.5)+1) +
 ((tbl_CONTENT[[#This Row],[Comp]]-1)^(2.5)*4^(1-2.5)+1)*(0.5*((tbl_CONTENT[[#This Row],[RelInt]]-1)/4)^(2.5)+1),
 0
)</f>
        <v>8.3439300121397828</v>
      </c>
      <c r="T65" s="35">
        <f>IFERROR(
 (1.907*EXP(1)^(-0.5*VALUE(tbl_CONTENT[[#This Row],[Layer]]))) *
 ((VALUE(tbl_CONTENT[[#This Row],[RelId]])-1)^(2.5)*4^(1-2.5)+1) +
 ((VALUE(tbl_CONTENT[[#This Row],[Comp]])-1)^(2.5)*4^(1-2.5)+1)*(0.5*((VALUE(tbl_CONTENT[[#This Row],[RelId]])-1)/4)^(2.5)+1),
 0
)</f>
        <v>8.3439300121397828</v>
      </c>
      <c r="W65" s="22" t="str">
        <f>IFERROR(
  IF(_xlfn.XLOOKUP(tbl_CONTENT[[#This Row],[Topic]], tbl_TOPIC[Topic], tbl_TOPIC[ParentTopic])="", "",
       _xlfn.XLOOKUP(tbl_CONTENT[[#This Row],[Topic]], tbl_TOPIC[Topic], tbl_TOPIC[ParentTopic])),
  ""
)</f>
        <v/>
      </c>
      <c r="X65" s="22" t="str">
        <f>IFERROR(
  IF(_xlfn.XLOOKUP(tbl_CONTENT[[#This Row],[Topic]], tbl_TOPIC[Topic], tbl_TOPIC[TopicPath])="", "",
       _xlfn.XLOOKUP(tbl_CONTENT[[#This Row],[Topic]], tbl_TOPIC[Topic], tbl_TOPIC[TopicPath])),
  ""
)</f>
        <v>Komplexe in HA</v>
      </c>
    </row>
    <row r="66" spans="3:24" ht="17" x14ac:dyDescent="0.2">
      <c r="C66" s="22" t="str">
        <f>_xlfn.XLOOKUP(tbl_CONTENT[[#This Row],[TopicID]], tbl_TOPIC[TopicID], tbl_TOPIC[Subject], "")</f>
        <v>HA</v>
      </c>
      <c r="D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HA-T12-06-04</v>
      </c>
      <c r="E66" s="22">
        <f>ROW()</f>
        <v>66</v>
      </c>
      <c r="F66" s="22" t="s">
        <v>1051</v>
      </c>
      <c r="G66" s="22" t="str">
        <f>_xlfn.XLOOKUP(tbl_CONTENT[[#This Row],[Topic]], tbl_TOPIC[Topic], tbl_TOPIC[TopicID], "")</f>
        <v>HA-1-06</v>
      </c>
      <c r="H66" s="22" cm="1">
        <f t="array" ref="H66">SUM((tbl_CONTENT[[#This Row],[TopicID]]=INDEX(tbl_CONTENT[TopicID],1):tbl_CONTENT[[#This Row],[TopicID]])*1)</f>
        <v>4</v>
      </c>
      <c r="I66" s="22" t="str">
        <f>_xlfn.XLOOKUP(tbl_CONTENT[[#This Row],[Topic]], tbl_TOPIC[Topic], tbl_TOPIC[TopicIndex], "")</f>
        <v>06</v>
      </c>
      <c r="J66" s="22" t="s">
        <v>140</v>
      </c>
      <c r="K66" s="22" t="s">
        <v>232</v>
      </c>
      <c r="L66" s="22" t="s">
        <v>152</v>
      </c>
      <c r="M66" s="22">
        <v>1</v>
      </c>
      <c r="N66" s="22">
        <v>2</v>
      </c>
      <c r="O66" s="22">
        <v>3</v>
      </c>
      <c r="P66" s="22">
        <v>4</v>
      </c>
      <c r="Q66" s="22">
        <v>5</v>
      </c>
      <c r="S66" s="35">
        <f>IFERROR(
 (1.907*EXP(1)^(-0.5*tbl_CONTENT[[#This Row],[Layer]])) *
 ((tbl_CONTENT[[#This Row],[RelInt]]-1)^(2.5)*4^(1-2.5)+1) +
 ((tbl_CONTENT[[#This Row],[Comp]]-1)^(2.5)*4^(1-2.5)+1)*(0.5*((tbl_CONTENT[[#This Row],[RelInt]]-1)/4)^(2.5)+1),
 0
)</f>
        <v>4.1914549319579635</v>
      </c>
      <c r="T66" s="35">
        <f>IFERROR(
 (1.907*EXP(1)^(-0.5*VALUE(tbl_CONTENT[[#This Row],[Layer]]))) *
 ((VALUE(tbl_CONTENT[[#This Row],[RelId]])-1)^(2.5)*4^(1-2.5)+1) +
 ((VALUE(tbl_CONTENT[[#This Row],[Comp]])-1)^(2.5)*4^(1-2.5)+1)*(0.5*((VALUE(tbl_CONTENT[[#This Row],[RelId]])-1)/4)^(2.5)+1),
 0
)</f>
        <v>6.0683906433495247</v>
      </c>
      <c r="W66" s="22" t="str">
        <f>IFERROR(
  IF(_xlfn.XLOOKUP(tbl_CONTENT[[#This Row],[Topic]], tbl_TOPIC[Topic], tbl_TOPIC[ParentTopic])="", "",
       _xlfn.XLOOKUP(tbl_CONTENT[[#This Row],[Topic]], tbl_TOPIC[Topic], tbl_TOPIC[ParentTopic])),
  ""
)</f>
        <v/>
      </c>
      <c r="X66" s="22" t="str">
        <f>IFERROR(
  IF(_xlfn.XLOOKUP(tbl_CONTENT[[#This Row],[Topic]], tbl_TOPIC[Topic], tbl_TOPIC[TopicPath])="", "",
       _xlfn.XLOOKUP(tbl_CONTENT[[#This Row],[Topic]], tbl_TOPIC[Topic], tbl_TOPIC[TopicPath])),
  ""
)</f>
        <v>Komplexe in HA</v>
      </c>
    </row>
    <row r="67" spans="3:24" ht="34" x14ac:dyDescent="0.2">
      <c r="C67" s="22" t="str">
        <f>_xlfn.XLOOKUP(tbl_CONTENT[[#This Row],[TopicID]], tbl_TOPIC[TopicID], tbl_TOPIC[Subject], "")</f>
        <v>HA</v>
      </c>
      <c r="D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HA-T12-06-05</v>
      </c>
      <c r="E67" s="22">
        <f>ROW()</f>
        <v>67</v>
      </c>
      <c r="F67" s="22" t="s">
        <v>1051</v>
      </c>
      <c r="G67" s="22" t="str">
        <f>_xlfn.XLOOKUP(tbl_CONTENT[[#This Row],[Topic]], tbl_TOPIC[Topic], tbl_TOPIC[TopicID], "")</f>
        <v>HA-1-06</v>
      </c>
      <c r="H67" s="22" cm="1">
        <f t="array" ref="H67">SUM((tbl_CONTENT[[#This Row],[TopicID]]=INDEX(tbl_CONTENT[TopicID],1):tbl_CONTENT[[#This Row],[TopicID]])*1)</f>
        <v>5</v>
      </c>
      <c r="I67" s="22" t="str">
        <f>_xlfn.XLOOKUP(tbl_CONTENT[[#This Row],[Topic]], tbl_TOPIC[Topic], tbl_TOPIC[TopicIndex], "")</f>
        <v>06</v>
      </c>
      <c r="J67" s="22" t="s">
        <v>140</v>
      </c>
      <c r="K67" s="22" t="s">
        <v>233</v>
      </c>
      <c r="L67" s="22" t="s">
        <v>151</v>
      </c>
      <c r="M67" s="22">
        <v>1</v>
      </c>
      <c r="N67" s="22">
        <v>2</v>
      </c>
      <c r="O67" s="22">
        <v>2</v>
      </c>
      <c r="P67" s="22">
        <v>5</v>
      </c>
      <c r="Q67" s="22">
        <v>5</v>
      </c>
      <c r="S67" s="35">
        <f>IFERROR(
 (1.907*EXP(1)^(-0.5*tbl_CONTENT[[#This Row],[Layer]])) *
 ((tbl_CONTENT[[#This Row],[RelInt]]-1)^(2.5)*4^(1-2.5)+1) +
 ((tbl_CONTENT[[#This Row],[Comp]]-1)^(2.5)*4^(1-2.5)+1)*(0.5*((tbl_CONTENT[[#This Row],[RelInt]]-1)/4)^(2.5)+1),
 0
)</f>
        <v>5.1952304715697029</v>
      </c>
      <c r="T67" s="35">
        <f>IFERROR(
 (1.907*EXP(1)^(-0.5*VALUE(tbl_CONTENT[[#This Row],[Layer]]))) *
 ((VALUE(tbl_CONTENT[[#This Row],[RelId]])-1)^(2.5)*4^(1-2.5)+1) +
 ((VALUE(tbl_CONTENT[[#This Row],[Comp]])-1)^(2.5)*4^(1-2.5)+1)*(0.5*((VALUE(tbl_CONTENT[[#This Row],[RelId]])-1)/4)^(2.5)+1),
 0
)</f>
        <v>5.1952304715697029</v>
      </c>
      <c r="W67" s="22" t="str">
        <f>IFERROR(
  IF(_xlfn.XLOOKUP(tbl_CONTENT[[#This Row],[Topic]], tbl_TOPIC[Topic], tbl_TOPIC[ParentTopic])="", "",
       _xlfn.XLOOKUP(tbl_CONTENT[[#This Row],[Topic]], tbl_TOPIC[Topic], tbl_TOPIC[ParentTopic])),
  ""
)</f>
        <v/>
      </c>
      <c r="X67" s="22" t="str">
        <f>IFERROR(
  IF(_xlfn.XLOOKUP(tbl_CONTENT[[#This Row],[Topic]], tbl_TOPIC[Topic], tbl_TOPIC[TopicPath])="", "",
       _xlfn.XLOOKUP(tbl_CONTENT[[#This Row],[Topic]], tbl_TOPIC[Topic], tbl_TOPIC[TopicPath])),
  ""
)</f>
        <v>Komplexe in HA</v>
      </c>
    </row>
    <row r="68" spans="3:24" ht="34" x14ac:dyDescent="0.2">
      <c r="C68" s="22" t="str">
        <f>_xlfn.XLOOKUP(tbl_CONTENT[[#This Row],[TopicID]], tbl_TOPIC[TopicID], tbl_TOPIC[Subject], "")</f>
        <v>HA</v>
      </c>
      <c r="D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HA-T12-06-06</v>
      </c>
      <c r="E68" s="22">
        <f>ROW()</f>
        <v>68</v>
      </c>
      <c r="F68" s="22" t="s">
        <v>1051</v>
      </c>
      <c r="G68" s="22" t="str">
        <f>_xlfn.XLOOKUP(tbl_CONTENT[[#This Row],[Topic]], tbl_TOPIC[Topic], tbl_TOPIC[TopicID], "")</f>
        <v>HA-1-06</v>
      </c>
      <c r="H68" s="22" cm="1">
        <f t="array" ref="H68">SUM((tbl_CONTENT[[#This Row],[TopicID]]=INDEX(tbl_CONTENT[TopicID],1):tbl_CONTENT[[#This Row],[TopicID]])*1)</f>
        <v>6</v>
      </c>
      <c r="I68" s="22" t="str">
        <f>_xlfn.XLOOKUP(tbl_CONTENT[[#This Row],[Topic]], tbl_TOPIC[Topic], tbl_TOPIC[TopicIndex], "")</f>
        <v>06</v>
      </c>
      <c r="J68" s="22" t="s">
        <v>140</v>
      </c>
      <c r="K68" s="22" t="s">
        <v>234</v>
      </c>
      <c r="L68" s="22" t="s">
        <v>146</v>
      </c>
      <c r="M68" s="22">
        <v>1</v>
      </c>
      <c r="N68" s="22">
        <v>3</v>
      </c>
      <c r="O68" s="22">
        <v>3</v>
      </c>
      <c r="P68" s="22">
        <v>4</v>
      </c>
      <c r="Q68" s="22">
        <v>5</v>
      </c>
      <c r="S68" s="35">
        <f>IFERROR(
 (1.907*EXP(1)^(-0.5*tbl_CONTENT[[#This Row],[Layer]])) *
 ((tbl_CONTENT[[#This Row],[RelInt]]-1)^(2.5)*4^(1-2.5)+1) +
 ((tbl_CONTENT[[#This Row],[Comp]]-1)^(2.5)*4^(1-2.5)+1)*(0.5*((tbl_CONTENT[[#This Row],[RelInt]]-1)/4)^(2.5)+1),
 0
)</f>
        <v>3.3775444166311392</v>
      </c>
      <c r="T68" s="35">
        <f>IFERROR(
 (1.907*EXP(1)^(-0.5*VALUE(tbl_CONTENT[[#This Row],[Layer]]))) *
 ((VALUE(tbl_CONTENT[[#This Row],[RelId]])-1)^(2.5)*4^(1-2.5)+1) +
 ((VALUE(tbl_CONTENT[[#This Row],[Comp]])-1)^(2.5)*4^(1-2.5)+1)*(0.5*((VALUE(tbl_CONTENT[[#This Row],[RelId]])-1)/4)^(2.5)+1),
 0
)</f>
        <v>4.6882062487951002</v>
      </c>
      <c r="W68" s="22" t="str">
        <f>IFERROR(
  IF(_xlfn.XLOOKUP(tbl_CONTENT[[#This Row],[Topic]], tbl_TOPIC[Topic], tbl_TOPIC[ParentTopic])="", "",
       _xlfn.XLOOKUP(tbl_CONTENT[[#This Row],[Topic]], tbl_TOPIC[Topic], tbl_TOPIC[ParentTopic])),
  ""
)</f>
        <v/>
      </c>
      <c r="X68" s="22" t="str">
        <f>IFERROR(
  IF(_xlfn.XLOOKUP(tbl_CONTENT[[#This Row],[Topic]], tbl_TOPIC[Topic], tbl_TOPIC[TopicPath])="", "",
       _xlfn.XLOOKUP(tbl_CONTENT[[#This Row],[Topic]], tbl_TOPIC[Topic], tbl_TOPIC[TopicPath])),
  ""
)</f>
        <v>Komplexe in HA</v>
      </c>
    </row>
    <row r="69" spans="3:24" ht="17" x14ac:dyDescent="0.2">
      <c r="C69" s="22" t="str">
        <f>_xlfn.XLOOKUP(tbl_CONTENT[[#This Row],[TopicID]], tbl_TOPIC[TopicID], tbl_TOPIC[Subject], "")</f>
        <v>HA</v>
      </c>
      <c r="D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HA-T12-06-07</v>
      </c>
      <c r="E69" s="22">
        <f>ROW()</f>
        <v>69</v>
      </c>
      <c r="F69" s="22" t="s">
        <v>1051</v>
      </c>
      <c r="G69" s="22" t="str">
        <f>_xlfn.XLOOKUP(tbl_CONTENT[[#This Row],[Topic]], tbl_TOPIC[Topic], tbl_TOPIC[TopicID], "")</f>
        <v>HA-1-06</v>
      </c>
      <c r="H69" s="22" cm="1">
        <f t="array" ref="H69">SUM((tbl_CONTENT[[#This Row],[TopicID]]=INDEX(tbl_CONTENT[TopicID],1):tbl_CONTENT[[#This Row],[TopicID]])*1)</f>
        <v>7</v>
      </c>
      <c r="I69" s="22" t="str">
        <f>_xlfn.XLOOKUP(tbl_CONTENT[[#This Row],[Topic]], tbl_TOPIC[Topic], tbl_TOPIC[TopicIndex], "")</f>
        <v>06</v>
      </c>
      <c r="J69" s="22" t="s">
        <v>140</v>
      </c>
      <c r="K69" s="22" t="s">
        <v>235</v>
      </c>
      <c r="L69" s="22" t="s">
        <v>152</v>
      </c>
      <c r="M69" s="22">
        <v>1</v>
      </c>
      <c r="N69" s="22">
        <v>2</v>
      </c>
      <c r="O69" s="22">
        <v>2</v>
      </c>
      <c r="P69" s="22">
        <v>4</v>
      </c>
      <c r="Q69" s="22">
        <v>5</v>
      </c>
      <c r="S69" s="35">
        <f>IFERROR(
 (1.907*EXP(1)^(-0.5*tbl_CONTENT[[#This Row],[Layer]])) *
 ((tbl_CONTENT[[#This Row],[RelInt]]-1)^(2.5)*4^(1-2.5)+1) +
 ((tbl_CONTENT[[#This Row],[Comp]]-1)^(2.5)*4^(1-2.5)+1)*(0.5*((tbl_CONTENT[[#This Row],[RelInt]]-1)/4)^(2.5)+1),
 0
)</f>
        <v>3.4675646088337704</v>
      </c>
      <c r="T69" s="35">
        <f>IFERROR(
 (1.907*EXP(1)^(-0.5*VALUE(tbl_CONTENT[[#This Row],[Layer]]))) *
 ((VALUE(tbl_CONTENT[[#This Row],[RelId]])-1)^(2.5)*4^(1-2.5)+1) +
 ((VALUE(tbl_CONTENT[[#This Row],[Comp]])-1)^(2.5)*4^(1-2.5)+1)*(0.5*((VALUE(tbl_CONTENT[[#This Row],[RelId]])-1)/4)^(2.5)+1),
 0
)</f>
        <v>5.1952304715697029</v>
      </c>
      <c r="W69" s="22" t="str">
        <f>IFERROR(
  IF(_xlfn.XLOOKUP(tbl_CONTENT[[#This Row],[Topic]], tbl_TOPIC[Topic], tbl_TOPIC[ParentTopic])="", "",
       _xlfn.XLOOKUP(tbl_CONTENT[[#This Row],[Topic]], tbl_TOPIC[Topic], tbl_TOPIC[ParentTopic])),
  ""
)</f>
        <v/>
      </c>
      <c r="X69" s="22" t="str">
        <f>IFERROR(
  IF(_xlfn.XLOOKUP(tbl_CONTENT[[#This Row],[Topic]], tbl_TOPIC[Topic], tbl_TOPIC[TopicPath])="", "",
       _xlfn.XLOOKUP(tbl_CONTENT[[#This Row],[Topic]], tbl_TOPIC[Topic], tbl_TOPIC[TopicPath])),
  ""
)</f>
        <v>Komplexe in HA</v>
      </c>
    </row>
    <row r="70" spans="3:24" ht="17" x14ac:dyDescent="0.2">
      <c r="C70" s="22" t="str">
        <f>_xlfn.XLOOKUP(tbl_CONTENT[[#This Row],[TopicID]], tbl_TOPIC[TopicID], tbl_TOPIC[Subject], "")</f>
        <v>HA</v>
      </c>
      <c r="D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HA-T12-06-08</v>
      </c>
      <c r="E70" s="22">
        <f>ROW()</f>
        <v>70</v>
      </c>
      <c r="F70" s="22" t="s">
        <v>1051</v>
      </c>
      <c r="G70" s="22" t="str">
        <f>_xlfn.XLOOKUP(tbl_CONTENT[[#This Row],[Topic]], tbl_TOPIC[Topic], tbl_TOPIC[TopicID], "")</f>
        <v>HA-1-06</v>
      </c>
      <c r="H70" s="22" cm="1">
        <f t="array" ref="H70">SUM((tbl_CONTENT[[#This Row],[TopicID]]=INDEX(tbl_CONTENT[TopicID],1):tbl_CONTENT[[#This Row],[TopicID]])*1)</f>
        <v>8</v>
      </c>
      <c r="I70" s="22" t="str">
        <f>_xlfn.XLOOKUP(tbl_CONTENT[[#This Row],[Topic]], tbl_TOPIC[Topic], tbl_TOPIC[TopicIndex], "")</f>
        <v>06</v>
      </c>
      <c r="J70" s="22" t="s">
        <v>140</v>
      </c>
      <c r="K70" s="22" t="s">
        <v>236</v>
      </c>
      <c r="L70" s="22" t="s">
        <v>152</v>
      </c>
      <c r="M70" s="22">
        <v>1</v>
      </c>
      <c r="N70" s="22">
        <v>3</v>
      </c>
      <c r="O70" s="22">
        <v>2</v>
      </c>
      <c r="P70" s="22">
        <v>3</v>
      </c>
      <c r="Q70" s="22">
        <v>4</v>
      </c>
      <c r="S70" s="35">
        <f>IFERROR(
 (1.907*EXP(1)^(-0.5*tbl_CONTENT[[#This Row],[Layer]])) *
 ((tbl_CONTENT[[#This Row],[RelInt]]-1)^(2.5)*4^(1-2.5)+1) +
 ((tbl_CONTENT[[#This Row],[Comp]]-1)^(2.5)*4^(1-2.5)+1)*(0.5*((tbl_CONTENT[[#This Row],[RelInt]]-1)/4)^(2.5)+1),
 0
)</f>
        <v>1.9508265581762823</v>
      </c>
      <c r="T70" s="35">
        <f>IFERROR(
 (1.907*EXP(1)^(-0.5*VALUE(tbl_CONTENT[[#This Row],[Layer]]))) *
 ((VALUE(tbl_CONTENT[[#This Row],[RelId]])-1)^(2.5)*4^(1-2.5)+1) +
 ((VALUE(tbl_CONTENT[[#This Row],[Comp]])-1)^(2.5)*4^(1-2.5)+1)*(0.5*((VALUE(tbl_CONTENT[[#This Row],[RelId]])-1)/4)^(2.5)+1),
 0
)</f>
        <v>2.6536540935069457</v>
      </c>
      <c r="W70" s="22" t="str">
        <f>IFERROR(
  IF(_xlfn.XLOOKUP(tbl_CONTENT[[#This Row],[Topic]], tbl_TOPIC[Topic], tbl_TOPIC[ParentTopic])="", "",
       _xlfn.XLOOKUP(tbl_CONTENT[[#This Row],[Topic]], tbl_TOPIC[Topic], tbl_TOPIC[ParentTopic])),
  ""
)</f>
        <v/>
      </c>
      <c r="X70" s="22" t="str">
        <f>IFERROR(
  IF(_xlfn.XLOOKUP(tbl_CONTENT[[#This Row],[Topic]], tbl_TOPIC[Topic], tbl_TOPIC[TopicPath])="", "",
       _xlfn.XLOOKUP(tbl_CONTENT[[#This Row],[Topic]], tbl_TOPIC[Topic], tbl_TOPIC[TopicPath])),
  ""
)</f>
        <v>Komplexe in HA</v>
      </c>
    </row>
    <row r="71" spans="3:24" ht="34" x14ac:dyDescent="0.2">
      <c r="C71" s="22" t="str">
        <f>_xlfn.XLOOKUP(tbl_CONTENT[[#This Row],[TopicID]], tbl_TOPIC[TopicID], tbl_TOPIC[Subject], "")</f>
        <v>HA</v>
      </c>
      <c r="D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HA-T12-06-09</v>
      </c>
      <c r="E71" s="22">
        <f>ROW()</f>
        <v>71</v>
      </c>
      <c r="F71" s="22" t="s">
        <v>1051</v>
      </c>
      <c r="G71" s="22" t="str">
        <f>_xlfn.XLOOKUP(tbl_CONTENT[[#This Row],[Topic]], tbl_TOPIC[Topic], tbl_TOPIC[TopicID], "")</f>
        <v>HA-1-06</v>
      </c>
      <c r="H71" s="22" cm="1">
        <f t="array" ref="H71">SUM((tbl_CONTENT[[#This Row],[TopicID]]=INDEX(tbl_CONTENT[TopicID],1):tbl_CONTENT[[#This Row],[TopicID]])*1)</f>
        <v>9</v>
      </c>
      <c r="I71" s="22" t="str">
        <f>_xlfn.XLOOKUP(tbl_CONTENT[[#This Row],[Topic]], tbl_TOPIC[Topic], tbl_TOPIC[TopicIndex], "")</f>
        <v>06</v>
      </c>
      <c r="J71" s="22" t="s">
        <v>140</v>
      </c>
      <c r="K71" s="37" t="s">
        <v>237</v>
      </c>
      <c r="L71" s="22" t="s">
        <v>152</v>
      </c>
      <c r="M71" s="22">
        <v>1</v>
      </c>
      <c r="N71" s="22">
        <v>2</v>
      </c>
      <c r="O71" s="22">
        <v>3</v>
      </c>
      <c r="P71" s="22">
        <v>5</v>
      </c>
      <c r="Q71" s="22">
        <v>5</v>
      </c>
      <c r="S71" s="35">
        <f>IFERROR(
 (1.907*EXP(1)^(-0.5*tbl_CONTENT[[#This Row],[Layer]])) *
 ((tbl_CONTENT[[#This Row],[RelInt]]-1)^(2.5)*4^(1-2.5)+1) +
 ((tbl_CONTENT[[#This Row],[Comp]]-1)^(2.5)*4^(1-2.5)+1)*(0.5*((tbl_CONTENT[[#This Row],[RelInt]]-1)/4)^(2.5)+1),
 0
)</f>
        <v>6.0683906433495247</v>
      </c>
      <c r="T71" s="35">
        <f>IFERROR(
 (1.907*EXP(1)^(-0.5*VALUE(tbl_CONTENT[[#This Row],[Layer]]))) *
 ((VALUE(tbl_CONTENT[[#This Row],[RelId]])-1)^(2.5)*4^(1-2.5)+1) +
 ((VALUE(tbl_CONTENT[[#This Row],[Comp]])-1)^(2.5)*4^(1-2.5)+1)*(0.5*((VALUE(tbl_CONTENT[[#This Row],[RelId]])-1)/4)^(2.5)+1),
 0
)</f>
        <v>6.0683906433495247</v>
      </c>
      <c r="W71" s="22" t="str">
        <f>IFERROR(
  IF(_xlfn.XLOOKUP(tbl_CONTENT[[#This Row],[Topic]], tbl_TOPIC[Topic], tbl_TOPIC[ParentTopic])="", "",
       _xlfn.XLOOKUP(tbl_CONTENT[[#This Row],[Topic]], tbl_TOPIC[Topic], tbl_TOPIC[ParentTopic])),
  ""
)</f>
        <v/>
      </c>
      <c r="X71" s="22" t="str">
        <f>IFERROR(
  IF(_xlfn.XLOOKUP(tbl_CONTENT[[#This Row],[Topic]], tbl_TOPIC[Topic], tbl_TOPIC[TopicPath])="", "",
       _xlfn.XLOOKUP(tbl_CONTENT[[#This Row],[Topic]], tbl_TOPIC[Topic], tbl_TOPIC[TopicPath])),
  ""
)</f>
        <v>Komplexe in HA</v>
      </c>
    </row>
    <row r="72" spans="3:24" ht="34" x14ac:dyDescent="0.2">
      <c r="C72" s="22" t="str">
        <f>_xlfn.XLOOKUP(tbl_CONTENT[[#This Row],[TopicID]], tbl_TOPIC[TopicID], tbl_TOPIC[Subject], "")</f>
        <v>HA</v>
      </c>
      <c r="D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HA-T12-06-10</v>
      </c>
      <c r="E72" s="22">
        <f>ROW()</f>
        <v>72</v>
      </c>
      <c r="F72" s="22" t="s">
        <v>1051</v>
      </c>
      <c r="G72" s="22" t="str">
        <f>_xlfn.XLOOKUP(tbl_CONTENT[[#This Row],[Topic]], tbl_TOPIC[Topic], tbl_TOPIC[TopicID], "")</f>
        <v>HA-1-06</v>
      </c>
      <c r="H72" s="22" cm="1">
        <f t="array" ref="H72">SUM((tbl_CONTENT[[#This Row],[TopicID]]=INDEX(tbl_CONTENT[TopicID],1):tbl_CONTENT[[#This Row],[TopicID]])*1)</f>
        <v>10</v>
      </c>
      <c r="I72" s="22" t="str">
        <f>_xlfn.XLOOKUP(tbl_CONTENT[[#This Row],[Topic]], tbl_TOPIC[Topic], tbl_TOPIC[TopicIndex], "")</f>
        <v>06</v>
      </c>
      <c r="J72" s="22" t="s">
        <v>140</v>
      </c>
      <c r="K72" s="22" t="s">
        <v>238</v>
      </c>
      <c r="L72" s="22" t="s">
        <v>152</v>
      </c>
      <c r="M72" s="22">
        <v>1</v>
      </c>
      <c r="N72" s="22">
        <v>2</v>
      </c>
      <c r="O72" s="22">
        <v>3</v>
      </c>
      <c r="P72" s="22">
        <v>5</v>
      </c>
      <c r="Q72" s="22">
        <v>5</v>
      </c>
      <c r="S72" s="35">
        <f>IFERROR(
 (1.907*EXP(1)^(-0.5*tbl_CONTENT[[#This Row],[Layer]])) *
 ((tbl_CONTENT[[#This Row],[RelInt]]-1)^(2.5)*4^(1-2.5)+1) +
 ((tbl_CONTENT[[#This Row],[Comp]]-1)^(2.5)*4^(1-2.5)+1)*(0.5*((tbl_CONTENT[[#This Row],[RelInt]]-1)/4)^(2.5)+1),
 0
)</f>
        <v>6.0683906433495247</v>
      </c>
      <c r="T72" s="35">
        <f>IFERROR(
 (1.907*EXP(1)^(-0.5*VALUE(tbl_CONTENT[[#This Row],[Layer]]))) *
 ((VALUE(tbl_CONTENT[[#This Row],[RelId]])-1)^(2.5)*4^(1-2.5)+1) +
 ((VALUE(tbl_CONTENT[[#This Row],[Comp]])-1)^(2.5)*4^(1-2.5)+1)*(0.5*((VALUE(tbl_CONTENT[[#This Row],[RelId]])-1)/4)^(2.5)+1),
 0
)</f>
        <v>6.0683906433495247</v>
      </c>
      <c r="W72" s="22" t="str">
        <f>IFERROR(
  IF(_xlfn.XLOOKUP(tbl_CONTENT[[#This Row],[Topic]], tbl_TOPIC[Topic], tbl_TOPIC[ParentTopic])="", "",
       _xlfn.XLOOKUP(tbl_CONTENT[[#This Row],[Topic]], tbl_TOPIC[Topic], tbl_TOPIC[ParentTopic])),
  ""
)</f>
        <v/>
      </c>
      <c r="X72" s="22" t="str">
        <f>IFERROR(
  IF(_xlfn.XLOOKUP(tbl_CONTENT[[#This Row],[Topic]], tbl_TOPIC[Topic], tbl_TOPIC[TopicPath])="", "",
       _xlfn.XLOOKUP(tbl_CONTENT[[#This Row],[Topic]], tbl_TOPIC[Topic], tbl_TOPIC[TopicPath])),
  ""
)</f>
        <v>Komplexe in HA</v>
      </c>
    </row>
    <row r="73" spans="3:24" ht="17" x14ac:dyDescent="0.2">
      <c r="C73" s="22" t="str">
        <f>_xlfn.XLOOKUP(tbl_CONTENT[[#This Row],[TopicID]], tbl_TOPIC[TopicID], tbl_TOPIC[Subject], "")</f>
        <v>HA</v>
      </c>
      <c r="D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HA-T12-06-11</v>
      </c>
      <c r="E73" s="22">
        <f>ROW()</f>
        <v>73</v>
      </c>
      <c r="F73" s="22" t="s">
        <v>1051</v>
      </c>
      <c r="G73" s="22" t="str">
        <f>_xlfn.XLOOKUP(tbl_CONTENT[[#This Row],[Topic]], tbl_TOPIC[Topic], tbl_TOPIC[TopicID], "")</f>
        <v>HA-1-06</v>
      </c>
      <c r="H73" s="22" cm="1">
        <f t="array" ref="H73">SUM((tbl_CONTENT[[#This Row],[TopicID]]=INDEX(tbl_CONTENT[TopicID],1):tbl_CONTENT[[#This Row],[TopicID]])*1)</f>
        <v>11</v>
      </c>
      <c r="I73" s="22" t="str">
        <f>_xlfn.XLOOKUP(tbl_CONTENT[[#This Row],[Topic]], tbl_TOPIC[Topic], tbl_TOPIC[TopicIndex], "")</f>
        <v>06</v>
      </c>
      <c r="J73" s="22" t="s">
        <v>140</v>
      </c>
      <c r="K73" s="22" t="s">
        <v>288</v>
      </c>
      <c r="L73" s="22" t="s">
        <v>152</v>
      </c>
      <c r="M73" s="22">
        <v>1</v>
      </c>
      <c r="N73" s="22">
        <v>2</v>
      </c>
      <c r="O73" s="22">
        <v>2</v>
      </c>
      <c r="P73" s="22">
        <v>5</v>
      </c>
      <c r="Q73" s="22">
        <v>5</v>
      </c>
      <c r="S73" s="35">
        <f>IFERROR(
 (1.907*EXP(1)^(-0.5*tbl_CONTENT[[#This Row],[Layer]])) *
 ((tbl_CONTENT[[#This Row],[RelInt]]-1)^(2.5)*4^(1-2.5)+1) +
 ((tbl_CONTENT[[#This Row],[Comp]]-1)^(2.5)*4^(1-2.5)+1)*(0.5*((tbl_CONTENT[[#This Row],[RelInt]]-1)/4)^(2.5)+1),
 0
)</f>
        <v>5.1952304715697029</v>
      </c>
      <c r="T73" s="35">
        <f>IFERROR(
 (1.907*EXP(1)^(-0.5*VALUE(tbl_CONTENT[[#This Row],[Layer]]))) *
 ((VALUE(tbl_CONTENT[[#This Row],[RelId]])-1)^(2.5)*4^(1-2.5)+1) +
 ((VALUE(tbl_CONTENT[[#This Row],[Comp]])-1)^(2.5)*4^(1-2.5)+1)*(0.5*((VALUE(tbl_CONTENT[[#This Row],[RelId]])-1)/4)^(2.5)+1),
 0
)</f>
        <v>5.1952304715697029</v>
      </c>
      <c r="W73" s="22" t="str">
        <f>IFERROR(
  IF(_xlfn.XLOOKUP(tbl_CONTENT[[#This Row],[Topic]], tbl_TOPIC[Topic], tbl_TOPIC[ParentTopic])="", "",
       _xlfn.XLOOKUP(tbl_CONTENT[[#This Row],[Topic]], tbl_TOPIC[Topic], tbl_TOPIC[ParentTopic])),
  ""
)</f>
        <v/>
      </c>
      <c r="X73" s="22" t="str">
        <f>IFERROR(
  IF(_xlfn.XLOOKUP(tbl_CONTENT[[#This Row],[Topic]], tbl_TOPIC[Topic], tbl_TOPIC[TopicPath])="", "",
       _xlfn.XLOOKUP(tbl_CONTENT[[#This Row],[Topic]], tbl_TOPIC[Topic], tbl_TOPIC[TopicPath])),
  ""
)</f>
        <v>Komplexe in HA</v>
      </c>
    </row>
    <row r="74" spans="3:24" ht="34" x14ac:dyDescent="0.2">
      <c r="C74" s="22" t="str">
        <f>_xlfn.XLOOKUP(tbl_CONTENT[[#This Row],[TopicID]], tbl_TOPIC[TopicID], tbl_TOPIC[Subject], "")</f>
        <v>HA</v>
      </c>
      <c r="D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HA-T12-06-12</v>
      </c>
      <c r="E74" s="22">
        <f>ROW()</f>
        <v>74</v>
      </c>
      <c r="F74" s="22" t="s">
        <v>1051</v>
      </c>
      <c r="G74" s="22" t="str">
        <f>_xlfn.XLOOKUP(tbl_CONTENT[[#This Row],[Topic]], tbl_TOPIC[Topic], tbl_TOPIC[TopicID], "")</f>
        <v>HA-1-06</v>
      </c>
      <c r="H74" s="22" cm="1">
        <f t="array" ref="H74">SUM((tbl_CONTENT[[#This Row],[TopicID]]=INDEX(tbl_CONTENT[TopicID],1):tbl_CONTENT[[#This Row],[TopicID]])*1)</f>
        <v>12</v>
      </c>
      <c r="I74" s="22" t="str">
        <f>_xlfn.XLOOKUP(tbl_CONTENT[[#This Row],[Topic]], tbl_TOPIC[Topic], tbl_TOPIC[TopicIndex], "")</f>
        <v>06</v>
      </c>
      <c r="J74" s="22" t="s">
        <v>140</v>
      </c>
      <c r="K74" s="22" t="s">
        <v>289</v>
      </c>
      <c r="L74" s="22" t="s">
        <v>151</v>
      </c>
      <c r="M74" s="22">
        <v>1</v>
      </c>
      <c r="N74" s="22">
        <v>2</v>
      </c>
      <c r="O74" s="22">
        <v>3</v>
      </c>
      <c r="P74" s="22">
        <v>4</v>
      </c>
      <c r="Q74" s="22">
        <v>5</v>
      </c>
      <c r="S74" s="35">
        <f>IFERROR(
 (1.907*EXP(1)^(-0.5*tbl_CONTENT[[#This Row],[Layer]])) *
 ((tbl_CONTENT[[#This Row],[RelInt]]-1)^(2.5)*4^(1-2.5)+1) +
 ((tbl_CONTENT[[#This Row],[Comp]]-1)^(2.5)*4^(1-2.5)+1)*(0.5*((tbl_CONTENT[[#This Row],[RelInt]]-1)/4)^(2.5)+1),
 0
)</f>
        <v>4.1914549319579635</v>
      </c>
      <c r="T74" s="35">
        <f>IFERROR(
 (1.907*EXP(1)^(-0.5*VALUE(tbl_CONTENT[[#This Row],[Layer]]))) *
 ((VALUE(tbl_CONTENT[[#This Row],[RelId]])-1)^(2.5)*4^(1-2.5)+1) +
 ((VALUE(tbl_CONTENT[[#This Row],[Comp]])-1)^(2.5)*4^(1-2.5)+1)*(0.5*((VALUE(tbl_CONTENT[[#This Row],[RelId]])-1)/4)^(2.5)+1),
 0
)</f>
        <v>6.0683906433495247</v>
      </c>
      <c r="W74" s="22" t="str">
        <f>IFERROR(
  IF(_xlfn.XLOOKUP(tbl_CONTENT[[#This Row],[Topic]], tbl_TOPIC[Topic], tbl_TOPIC[ParentTopic])="", "",
       _xlfn.XLOOKUP(tbl_CONTENT[[#This Row],[Topic]], tbl_TOPIC[Topic], tbl_TOPIC[ParentTopic])),
  ""
)</f>
        <v/>
      </c>
      <c r="X74" s="22" t="str">
        <f>IFERROR(
  IF(_xlfn.XLOOKUP(tbl_CONTENT[[#This Row],[Topic]], tbl_TOPIC[Topic], tbl_TOPIC[TopicPath])="", "",
       _xlfn.XLOOKUP(tbl_CONTENT[[#This Row],[Topic]], tbl_TOPIC[Topic], tbl_TOPIC[TopicPath])),
  ""
)</f>
        <v>Komplexe in HA</v>
      </c>
    </row>
    <row r="75" spans="3:24" ht="17" x14ac:dyDescent="0.2">
      <c r="C75" s="22" t="str">
        <f>_xlfn.XLOOKUP(tbl_CONTENT[[#This Row],[TopicID]], tbl_TOPIC[TopicID], tbl_TOPIC[Subject], "")</f>
        <v>HA</v>
      </c>
      <c r="D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HA-T12-05-01</v>
      </c>
      <c r="E75" s="22">
        <f>ROW()</f>
        <v>75</v>
      </c>
      <c r="F75" s="22" t="s">
        <v>1051</v>
      </c>
      <c r="G75" s="22" t="str">
        <f>_xlfn.XLOOKUP(tbl_CONTENT[[#This Row],[Topic]], tbl_TOPIC[Topic], tbl_TOPIC[TopicID], "")</f>
        <v>HA-1-05</v>
      </c>
      <c r="H75" s="22" cm="1">
        <f t="array" ref="H75">SUM((tbl_CONTENT[[#This Row],[TopicID]]=INDEX(tbl_CONTENT[TopicID],1):tbl_CONTENT[[#This Row],[TopicID]])*1)</f>
        <v>1</v>
      </c>
      <c r="I75" s="22" t="str">
        <f>_xlfn.XLOOKUP(tbl_CONTENT[[#This Row],[Topic]], tbl_TOPIC[Topic], tbl_TOPIC[TopicIndex], "")</f>
        <v>05</v>
      </c>
      <c r="J75" s="22" t="s">
        <v>141</v>
      </c>
      <c r="K75" s="37" t="s">
        <v>239</v>
      </c>
      <c r="L75" s="22" t="s">
        <v>147</v>
      </c>
      <c r="M75" s="22">
        <v>1</v>
      </c>
      <c r="N75" s="22">
        <v>1</v>
      </c>
      <c r="O75" s="22">
        <v>2</v>
      </c>
      <c r="P75" s="22">
        <v>5</v>
      </c>
      <c r="Q75" s="22">
        <v>5</v>
      </c>
      <c r="S75" s="35">
        <f>IFERROR(
 (1.907*EXP(1)^(-0.5*tbl_CONTENT[[#This Row],[Layer]])) *
 ((tbl_CONTENT[[#This Row],[RelInt]]-1)^(2.5)*4^(1-2.5)+1) +
 ((tbl_CONTENT[[#This Row],[Comp]]-1)^(2.5)*4^(1-2.5)+1)*(0.5*((tbl_CONTENT[[#This Row],[RelInt]]-1)/4)^(2.5)+1),
 0
)</f>
        <v>7.4707698403599609</v>
      </c>
      <c r="T75" s="35">
        <f>IFERROR(
 (1.907*EXP(1)^(-0.5*VALUE(tbl_CONTENT[[#This Row],[Layer]]))) *
 ((VALUE(tbl_CONTENT[[#This Row],[RelId]])-1)^(2.5)*4^(1-2.5)+1) +
 ((VALUE(tbl_CONTENT[[#This Row],[Comp]])-1)^(2.5)*4^(1-2.5)+1)*(0.5*((VALUE(tbl_CONTENT[[#This Row],[RelId]])-1)/4)^(2.5)+1),
 0
)</f>
        <v>7.4707698403599609</v>
      </c>
      <c r="W75" s="22" t="str">
        <f>IFERROR(
  IF(_xlfn.XLOOKUP(tbl_CONTENT[[#This Row],[Topic]], tbl_TOPIC[Topic], tbl_TOPIC[ParentTopic])="", "",
       _xlfn.XLOOKUP(tbl_CONTENT[[#This Row],[Topic]], tbl_TOPIC[Topic], tbl_TOPIC[ParentTopic])),
  ""
)</f>
        <v/>
      </c>
      <c r="X75" s="22" t="str">
        <f>IFERROR(
  IF(_xlfn.XLOOKUP(tbl_CONTENT[[#This Row],[Topic]], tbl_TOPIC[Topic], tbl_TOPIC[TopicPath])="", "",
       _xlfn.XLOOKUP(tbl_CONTENT[[#This Row],[Topic]], tbl_TOPIC[Topic], tbl_TOPIC[TopicPath])),
  ""
)</f>
        <v>Homologie Funktor in HA</v>
      </c>
    </row>
    <row r="76" spans="3:24" ht="34" x14ac:dyDescent="0.2">
      <c r="C76" s="22" t="str">
        <f>_xlfn.XLOOKUP(tbl_CONTENT[[#This Row],[TopicID]], tbl_TOPIC[TopicID], tbl_TOPIC[Subject], "")</f>
        <v>HA</v>
      </c>
      <c r="D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HA-T12-05-02</v>
      </c>
      <c r="E76" s="22">
        <f>ROW()</f>
        <v>76</v>
      </c>
      <c r="F76" s="22" t="s">
        <v>1051</v>
      </c>
      <c r="G76" s="22" t="str">
        <f>_xlfn.XLOOKUP(tbl_CONTENT[[#This Row],[Topic]], tbl_TOPIC[Topic], tbl_TOPIC[TopicID], "")</f>
        <v>HA-1-05</v>
      </c>
      <c r="H76" s="22" cm="1">
        <f t="array" ref="H76">SUM((tbl_CONTENT[[#This Row],[TopicID]]=INDEX(tbl_CONTENT[TopicID],1):tbl_CONTENT[[#This Row],[TopicID]])*1)</f>
        <v>2</v>
      </c>
      <c r="I76" s="22" t="str">
        <f>_xlfn.XLOOKUP(tbl_CONTENT[[#This Row],[Topic]], tbl_TOPIC[Topic], tbl_TOPIC[TopicIndex], "")</f>
        <v>05</v>
      </c>
      <c r="J76" s="22" t="s">
        <v>141</v>
      </c>
      <c r="K76" s="37" t="s">
        <v>240</v>
      </c>
      <c r="L76" s="22" t="s">
        <v>147</v>
      </c>
      <c r="M76" s="22">
        <v>1</v>
      </c>
      <c r="N76" s="22">
        <v>1</v>
      </c>
      <c r="O76" s="22">
        <v>2</v>
      </c>
      <c r="P76" s="22">
        <v>5</v>
      </c>
      <c r="Q76" s="22">
        <v>5</v>
      </c>
      <c r="S76" s="35">
        <f>IFERROR(
 (1.907*EXP(1)^(-0.5*tbl_CONTENT[[#This Row],[Layer]])) *
 ((tbl_CONTENT[[#This Row],[RelInt]]-1)^(2.5)*4^(1-2.5)+1) +
 ((tbl_CONTENT[[#This Row],[Comp]]-1)^(2.5)*4^(1-2.5)+1)*(0.5*((tbl_CONTENT[[#This Row],[RelInt]]-1)/4)^(2.5)+1),
 0
)</f>
        <v>7.4707698403599609</v>
      </c>
      <c r="T76" s="35">
        <f>IFERROR(
 (1.907*EXP(1)^(-0.5*VALUE(tbl_CONTENT[[#This Row],[Layer]]))) *
 ((VALUE(tbl_CONTENT[[#This Row],[RelId]])-1)^(2.5)*4^(1-2.5)+1) +
 ((VALUE(tbl_CONTENT[[#This Row],[Comp]])-1)^(2.5)*4^(1-2.5)+1)*(0.5*((VALUE(tbl_CONTENT[[#This Row],[RelId]])-1)/4)^(2.5)+1),
 0
)</f>
        <v>7.4707698403599609</v>
      </c>
      <c r="W76" s="22" t="str">
        <f>IFERROR(
  IF(_xlfn.XLOOKUP(tbl_CONTENT[[#This Row],[Topic]], tbl_TOPIC[Topic], tbl_TOPIC[ParentTopic])="", "",
       _xlfn.XLOOKUP(tbl_CONTENT[[#This Row],[Topic]], tbl_TOPIC[Topic], tbl_TOPIC[ParentTopic])),
  ""
)</f>
        <v/>
      </c>
      <c r="X76" s="22" t="str">
        <f>IFERROR(
  IF(_xlfn.XLOOKUP(tbl_CONTENT[[#This Row],[Topic]], tbl_TOPIC[Topic], tbl_TOPIC[TopicPath])="", "",
       _xlfn.XLOOKUP(tbl_CONTENT[[#This Row],[Topic]], tbl_TOPIC[Topic], tbl_TOPIC[TopicPath])),
  ""
)</f>
        <v>Homologie Funktor in HA</v>
      </c>
    </row>
    <row r="77" spans="3:24" ht="17" x14ac:dyDescent="0.2">
      <c r="C77" s="22" t="str">
        <f>_xlfn.XLOOKUP(tbl_CONTENT[[#This Row],[TopicID]], tbl_TOPIC[TopicID], tbl_TOPIC[Subject], "")</f>
        <v>HA</v>
      </c>
      <c r="D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HA-T12-05-03</v>
      </c>
      <c r="E77" s="22">
        <f>ROW()</f>
        <v>77</v>
      </c>
      <c r="F77" s="22" t="s">
        <v>1051</v>
      </c>
      <c r="G77" s="22" t="str">
        <f>_xlfn.XLOOKUP(tbl_CONTENT[[#This Row],[Topic]], tbl_TOPIC[Topic], tbl_TOPIC[TopicID], "")</f>
        <v>HA-1-05</v>
      </c>
      <c r="H77" s="22" cm="1">
        <f t="array" ref="H77">SUM((tbl_CONTENT[[#This Row],[TopicID]]=INDEX(tbl_CONTENT[TopicID],1):tbl_CONTENT[[#This Row],[TopicID]])*1)</f>
        <v>3</v>
      </c>
      <c r="I77" s="22" t="str">
        <f>_xlfn.XLOOKUP(tbl_CONTENT[[#This Row],[Topic]], tbl_TOPIC[Topic], tbl_TOPIC[TopicIndex], "")</f>
        <v>05</v>
      </c>
      <c r="J77" s="22" t="s">
        <v>141</v>
      </c>
      <c r="K77" s="22" t="s">
        <v>241</v>
      </c>
      <c r="L77" s="22" t="s">
        <v>152</v>
      </c>
      <c r="M77" s="22">
        <v>1</v>
      </c>
      <c r="N77" s="22">
        <v>2</v>
      </c>
      <c r="O77" s="22">
        <v>2</v>
      </c>
      <c r="P77" s="22">
        <v>3</v>
      </c>
      <c r="Q77" s="22">
        <v>4</v>
      </c>
      <c r="S77" s="35">
        <f>IFERROR(
 (1.907*EXP(1)^(-0.5*tbl_CONTENT[[#This Row],[Layer]])) *
 ((tbl_CONTENT[[#This Row],[RelInt]]-1)^(2.5)*4^(1-2.5)+1) +
 ((tbl_CONTENT[[#This Row],[Comp]]-1)^(2.5)*4^(1-2.5)+1)*(0.5*((tbl_CONTENT[[#This Row],[RelInt]]-1)/4)^(2.5)+1),
 0
)</f>
        <v>2.4220509860226236</v>
      </c>
      <c r="T77" s="35">
        <f>IFERROR(
 (1.907*EXP(1)^(-0.5*VALUE(tbl_CONTENT[[#This Row],[Layer]]))) *
 ((VALUE(tbl_CONTENT[[#This Row],[RelId]])-1)^(2.5)*4^(1-2.5)+1) +
 ((VALUE(tbl_CONTENT[[#This Row],[Comp]])-1)^(2.5)*4^(1-2.5)+1)*(0.5*((VALUE(tbl_CONTENT[[#This Row],[RelId]])-1)/4)^(2.5)+1),
 0
)</f>
        <v>3.4675646088337704</v>
      </c>
      <c r="W77" s="22" t="str">
        <f>IFERROR(
  IF(_xlfn.XLOOKUP(tbl_CONTENT[[#This Row],[Topic]], tbl_TOPIC[Topic], tbl_TOPIC[ParentTopic])="", "",
       _xlfn.XLOOKUP(tbl_CONTENT[[#This Row],[Topic]], tbl_TOPIC[Topic], tbl_TOPIC[ParentTopic])),
  ""
)</f>
        <v/>
      </c>
      <c r="X77" s="22" t="str">
        <f>IFERROR(
  IF(_xlfn.XLOOKUP(tbl_CONTENT[[#This Row],[Topic]], tbl_TOPIC[Topic], tbl_TOPIC[TopicPath])="", "",
       _xlfn.XLOOKUP(tbl_CONTENT[[#This Row],[Topic]], tbl_TOPIC[Topic], tbl_TOPIC[TopicPath])),
  ""
)</f>
        <v>Homologie Funktor in HA</v>
      </c>
    </row>
    <row r="78" spans="3:24" ht="17" x14ac:dyDescent="0.2">
      <c r="C78" s="22" t="str">
        <f>_xlfn.XLOOKUP(tbl_CONTENT[[#This Row],[TopicID]], tbl_TOPIC[TopicID], tbl_TOPIC[Subject], "")</f>
        <v>HA</v>
      </c>
      <c r="D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HA-T12-05-04</v>
      </c>
      <c r="E78" s="22">
        <f>ROW()</f>
        <v>78</v>
      </c>
      <c r="F78" s="22" t="s">
        <v>1051</v>
      </c>
      <c r="G78" s="22" t="str">
        <f>_xlfn.XLOOKUP(tbl_CONTENT[[#This Row],[Topic]], tbl_TOPIC[Topic], tbl_TOPIC[TopicID], "")</f>
        <v>HA-1-05</v>
      </c>
      <c r="H78" s="22" cm="1">
        <f t="array" ref="H78">SUM((tbl_CONTENT[[#This Row],[TopicID]]=INDEX(tbl_CONTENT[TopicID],1):tbl_CONTENT[[#This Row],[TopicID]])*1)</f>
        <v>4</v>
      </c>
      <c r="I78" s="22" t="str">
        <f>_xlfn.XLOOKUP(tbl_CONTENT[[#This Row],[Topic]], tbl_TOPIC[Topic], tbl_TOPIC[TopicIndex], "")</f>
        <v>05</v>
      </c>
      <c r="J78" s="22" t="s">
        <v>141</v>
      </c>
      <c r="K78" s="22" t="s">
        <v>242</v>
      </c>
      <c r="L78" s="22" t="s">
        <v>152</v>
      </c>
      <c r="M78" s="22">
        <v>1</v>
      </c>
      <c r="N78" s="22">
        <v>2</v>
      </c>
      <c r="O78" s="22">
        <v>1</v>
      </c>
      <c r="P78" s="22">
        <v>3</v>
      </c>
      <c r="Q78" s="22">
        <v>3</v>
      </c>
      <c r="S78" s="35">
        <f>IFERROR(
 (1.907*EXP(1)^(-0.5*tbl_CONTENT[[#This Row],[Layer]])) *
 ((tbl_CONTENT[[#This Row],[RelInt]]-1)^(2.5)*4^(1-2.5)+1) +
 ((tbl_CONTENT[[#This Row],[Comp]]-1)^(2.5)*4^(1-2.5)+1)*(0.5*((tbl_CONTENT[[#This Row],[RelInt]]-1)/4)^(2.5)+1),
 0
)</f>
        <v>2.2860024425665837</v>
      </c>
      <c r="T78" s="35">
        <f>IFERROR(
 (1.907*EXP(1)^(-0.5*VALUE(tbl_CONTENT[[#This Row],[Layer]]))) *
 ((VALUE(tbl_CONTENT[[#This Row],[RelId]])-1)^(2.5)*4^(1-2.5)+1) +
 ((VALUE(tbl_CONTENT[[#This Row],[Comp]])-1)^(2.5)*4^(1-2.5)+1)*(0.5*((VALUE(tbl_CONTENT[[#This Row],[RelId]])-1)/4)^(2.5)+1),
 0
)</f>
        <v>2.2860024425665837</v>
      </c>
      <c r="W78" s="22" t="str">
        <f>IFERROR(
  IF(_xlfn.XLOOKUP(tbl_CONTENT[[#This Row],[Topic]], tbl_TOPIC[Topic], tbl_TOPIC[ParentTopic])="", "",
       _xlfn.XLOOKUP(tbl_CONTENT[[#This Row],[Topic]], tbl_TOPIC[Topic], tbl_TOPIC[ParentTopic])),
  ""
)</f>
        <v/>
      </c>
      <c r="X78" s="22" t="str">
        <f>IFERROR(
  IF(_xlfn.XLOOKUP(tbl_CONTENT[[#This Row],[Topic]], tbl_TOPIC[Topic], tbl_TOPIC[TopicPath])="", "",
       _xlfn.XLOOKUP(tbl_CONTENT[[#This Row],[Topic]], tbl_TOPIC[Topic], tbl_TOPIC[TopicPath])),
  ""
)</f>
        <v>Homologie Funktor in HA</v>
      </c>
    </row>
    <row r="79" spans="3:24" ht="17" x14ac:dyDescent="0.2">
      <c r="C79" s="22" t="str">
        <f>_xlfn.XLOOKUP(tbl_CONTENT[[#This Row],[TopicID]], tbl_TOPIC[TopicID], tbl_TOPIC[Subject], "")</f>
        <v>HA</v>
      </c>
      <c r="D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HA-T12-05-05</v>
      </c>
      <c r="E79" s="22">
        <f>ROW()</f>
        <v>79</v>
      </c>
      <c r="F79" s="22" t="s">
        <v>1051</v>
      </c>
      <c r="G79" s="22" t="str">
        <f>_xlfn.XLOOKUP(tbl_CONTENT[[#This Row],[Topic]], tbl_TOPIC[Topic], tbl_TOPIC[TopicID], "")</f>
        <v>HA-1-05</v>
      </c>
      <c r="H79" s="22" cm="1">
        <f t="array" ref="H79">SUM((tbl_CONTENT[[#This Row],[TopicID]]=INDEX(tbl_CONTENT[TopicID],1):tbl_CONTENT[[#This Row],[TopicID]])*1)</f>
        <v>5</v>
      </c>
      <c r="I79" s="22" t="str">
        <f>_xlfn.XLOOKUP(tbl_CONTENT[[#This Row],[Topic]], tbl_TOPIC[Topic], tbl_TOPIC[TopicIndex], "")</f>
        <v>05</v>
      </c>
      <c r="J79" s="22" t="s">
        <v>141</v>
      </c>
      <c r="K79" s="22" t="s">
        <v>243</v>
      </c>
      <c r="L79" s="22" t="s">
        <v>152</v>
      </c>
      <c r="M79" s="22">
        <v>1</v>
      </c>
      <c r="N79" s="22">
        <v>1</v>
      </c>
      <c r="O79" s="22">
        <v>2</v>
      </c>
      <c r="P79" s="22">
        <v>5</v>
      </c>
      <c r="Q79" s="22">
        <v>5</v>
      </c>
      <c r="S79" s="35">
        <f>IFERROR(
 (1.907*EXP(1)^(-0.5*tbl_CONTENT[[#This Row],[Layer]])) *
 ((tbl_CONTENT[[#This Row],[RelInt]]-1)^(2.5)*4^(1-2.5)+1) +
 ((tbl_CONTENT[[#This Row],[Comp]]-1)^(2.5)*4^(1-2.5)+1)*(0.5*((tbl_CONTENT[[#This Row],[RelInt]]-1)/4)^(2.5)+1),
 0
)</f>
        <v>7.4707698403599609</v>
      </c>
      <c r="T79" s="35">
        <f>IFERROR(
 (1.907*EXP(1)^(-0.5*VALUE(tbl_CONTENT[[#This Row],[Layer]]))) *
 ((VALUE(tbl_CONTENT[[#This Row],[RelId]])-1)^(2.5)*4^(1-2.5)+1) +
 ((VALUE(tbl_CONTENT[[#This Row],[Comp]])-1)^(2.5)*4^(1-2.5)+1)*(0.5*((VALUE(tbl_CONTENT[[#This Row],[RelId]])-1)/4)^(2.5)+1),
 0
)</f>
        <v>7.4707698403599609</v>
      </c>
      <c r="W79" s="22" t="str">
        <f>IFERROR(
  IF(_xlfn.XLOOKUP(tbl_CONTENT[[#This Row],[Topic]], tbl_TOPIC[Topic], tbl_TOPIC[ParentTopic])="", "",
       _xlfn.XLOOKUP(tbl_CONTENT[[#This Row],[Topic]], tbl_TOPIC[Topic], tbl_TOPIC[ParentTopic])),
  ""
)</f>
        <v/>
      </c>
      <c r="X79" s="22" t="str">
        <f>IFERROR(
  IF(_xlfn.XLOOKUP(tbl_CONTENT[[#This Row],[Topic]], tbl_TOPIC[Topic], tbl_TOPIC[TopicPath])="", "",
       _xlfn.XLOOKUP(tbl_CONTENT[[#This Row],[Topic]], tbl_TOPIC[Topic], tbl_TOPIC[TopicPath])),
  ""
)</f>
        <v>Homologie Funktor in HA</v>
      </c>
    </row>
    <row r="80" spans="3:24" ht="17" x14ac:dyDescent="0.2">
      <c r="C80" s="22" t="str">
        <f>_xlfn.XLOOKUP(tbl_CONTENT[[#This Row],[TopicID]], tbl_TOPIC[TopicID], tbl_TOPIC[Subject], "")</f>
        <v>HA</v>
      </c>
      <c r="D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HA-T12-05-06</v>
      </c>
      <c r="E80" s="22">
        <f>ROW()</f>
        <v>80</v>
      </c>
      <c r="F80" s="22" t="s">
        <v>1051</v>
      </c>
      <c r="G80" s="22" t="str">
        <f>_xlfn.XLOOKUP(tbl_CONTENT[[#This Row],[Topic]], tbl_TOPIC[Topic], tbl_TOPIC[TopicID], "")</f>
        <v>HA-1-05</v>
      </c>
      <c r="H80" s="22" cm="1">
        <f t="array" ref="H80">SUM((tbl_CONTENT[[#This Row],[TopicID]]=INDEX(tbl_CONTENT[TopicID],1):tbl_CONTENT[[#This Row],[TopicID]])*1)</f>
        <v>6</v>
      </c>
      <c r="I80" s="22" t="str">
        <f>_xlfn.XLOOKUP(tbl_CONTENT[[#This Row],[Topic]], tbl_TOPIC[Topic], tbl_TOPIC[TopicIndex], "")</f>
        <v>05</v>
      </c>
      <c r="J80" s="22" t="s">
        <v>141</v>
      </c>
      <c r="K80" s="22" t="s">
        <v>244</v>
      </c>
      <c r="L80" s="22" t="s">
        <v>152</v>
      </c>
      <c r="M80" s="22">
        <v>1</v>
      </c>
      <c r="N80" s="22">
        <v>1</v>
      </c>
      <c r="O80" s="22">
        <v>3</v>
      </c>
      <c r="P80" s="22">
        <v>5</v>
      </c>
      <c r="Q80" s="22">
        <v>5</v>
      </c>
      <c r="S80" s="35">
        <f>IFERROR(
 (1.907*EXP(1)^(-0.5*tbl_CONTENT[[#This Row],[Layer]])) *
 ((tbl_CONTENT[[#This Row],[RelInt]]-1)^(2.5)*4^(1-2.5)+1) +
 ((tbl_CONTENT[[#This Row],[Comp]]-1)^(2.5)*4^(1-2.5)+1)*(0.5*((tbl_CONTENT[[#This Row],[RelInt]]-1)/4)^(2.5)+1),
 0
)</f>
        <v>8.3439300121397828</v>
      </c>
      <c r="T80" s="35">
        <f>IFERROR(
 (1.907*EXP(1)^(-0.5*VALUE(tbl_CONTENT[[#This Row],[Layer]]))) *
 ((VALUE(tbl_CONTENT[[#This Row],[RelId]])-1)^(2.5)*4^(1-2.5)+1) +
 ((VALUE(tbl_CONTENT[[#This Row],[Comp]])-1)^(2.5)*4^(1-2.5)+1)*(0.5*((VALUE(tbl_CONTENT[[#This Row],[RelId]])-1)/4)^(2.5)+1),
 0
)</f>
        <v>8.3439300121397828</v>
      </c>
      <c r="W80" s="22" t="str">
        <f>IFERROR(
  IF(_xlfn.XLOOKUP(tbl_CONTENT[[#This Row],[Topic]], tbl_TOPIC[Topic], tbl_TOPIC[ParentTopic])="", "",
       _xlfn.XLOOKUP(tbl_CONTENT[[#This Row],[Topic]], tbl_TOPIC[Topic], tbl_TOPIC[ParentTopic])),
  ""
)</f>
        <v/>
      </c>
      <c r="X80" s="22" t="str">
        <f>IFERROR(
  IF(_xlfn.XLOOKUP(tbl_CONTENT[[#This Row],[Topic]], tbl_TOPIC[Topic], tbl_TOPIC[TopicPath])="", "",
       _xlfn.XLOOKUP(tbl_CONTENT[[#This Row],[Topic]], tbl_TOPIC[Topic], tbl_TOPIC[TopicPath])),
  ""
)</f>
        <v>Homologie Funktor in HA</v>
      </c>
    </row>
    <row r="81" spans="3:24" ht="34" x14ac:dyDescent="0.2">
      <c r="C81" s="22" t="str">
        <f>_xlfn.XLOOKUP(tbl_CONTENT[[#This Row],[TopicID]], tbl_TOPIC[TopicID], tbl_TOPIC[Subject], "")</f>
        <v>HA</v>
      </c>
      <c r="D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HA-T12-05-07</v>
      </c>
      <c r="E81" s="22">
        <f>ROW()</f>
        <v>81</v>
      </c>
      <c r="F81" s="22" t="s">
        <v>1051</v>
      </c>
      <c r="G81" s="22" t="str">
        <f>_xlfn.XLOOKUP(tbl_CONTENT[[#This Row],[Topic]], tbl_TOPIC[Topic], tbl_TOPIC[TopicID], "")</f>
        <v>HA-1-05</v>
      </c>
      <c r="H81" s="22" cm="1">
        <f t="array" ref="H81">SUM((tbl_CONTENT[[#This Row],[TopicID]]=INDEX(tbl_CONTENT[TopicID],1):tbl_CONTENT[[#This Row],[TopicID]])*1)</f>
        <v>7</v>
      </c>
      <c r="I81" s="22" t="str">
        <f>_xlfn.XLOOKUP(tbl_CONTENT[[#This Row],[Topic]], tbl_TOPIC[Topic], tbl_TOPIC[TopicIndex], "")</f>
        <v>05</v>
      </c>
      <c r="J81" s="22" t="s">
        <v>141</v>
      </c>
      <c r="K81" s="37" t="s">
        <v>245</v>
      </c>
      <c r="L81" s="22" t="s">
        <v>147</v>
      </c>
      <c r="M81" s="22">
        <v>1</v>
      </c>
      <c r="N81" s="22">
        <v>1</v>
      </c>
      <c r="O81" s="22">
        <v>3</v>
      </c>
      <c r="P81" s="22">
        <v>5</v>
      </c>
      <c r="Q81" s="22">
        <v>5</v>
      </c>
      <c r="S81" s="35">
        <f>IFERROR(
 (1.907*EXP(1)^(-0.5*tbl_CONTENT[[#This Row],[Layer]])) *
 ((tbl_CONTENT[[#This Row],[RelInt]]-1)^(2.5)*4^(1-2.5)+1) +
 ((tbl_CONTENT[[#This Row],[Comp]]-1)^(2.5)*4^(1-2.5)+1)*(0.5*((tbl_CONTENT[[#This Row],[RelInt]]-1)/4)^(2.5)+1),
 0
)</f>
        <v>8.3439300121397828</v>
      </c>
      <c r="T81" s="35">
        <f>IFERROR(
 (1.907*EXP(1)^(-0.5*VALUE(tbl_CONTENT[[#This Row],[Layer]]))) *
 ((VALUE(tbl_CONTENT[[#This Row],[RelId]])-1)^(2.5)*4^(1-2.5)+1) +
 ((VALUE(tbl_CONTENT[[#This Row],[Comp]])-1)^(2.5)*4^(1-2.5)+1)*(0.5*((VALUE(tbl_CONTENT[[#This Row],[RelId]])-1)/4)^(2.5)+1),
 0
)</f>
        <v>8.3439300121397828</v>
      </c>
      <c r="W81" s="22" t="str">
        <f>IFERROR(
  IF(_xlfn.XLOOKUP(tbl_CONTENT[[#This Row],[Topic]], tbl_TOPIC[Topic], tbl_TOPIC[ParentTopic])="", "",
       _xlfn.XLOOKUP(tbl_CONTENT[[#This Row],[Topic]], tbl_TOPIC[Topic], tbl_TOPIC[ParentTopic])),
  ""
)</f>
        <v/>
      </c>
      <c r="X81" s="22" t="str">
        <f>IFERROR(
  IF(_xlfn.XLOOKUP(tbl_CONTENT[[#This Row],[Topic]], tbl_TOPIC[Topic], tbl_TOPIC[TopicPath])="", "",
       _xlfn.XLOOKUP(tbl_CONTENT[[#This Row],[Topic]], tbl_TOPIC[Topic], tbl_TOPIC[TopicPath])),
  ""
)</f>
        <v>Homologie Funktor in HA</v>
      </c>
    </row>
    <row r="82" spans="3:24" ht="51" x14ac:dyDescent="0.2">
      <c r="C82" s="22" t="str">
        <f>_xlfn.XLOOKUP(tbl_CONTENT[[#This Row],[TopicID]], tbl_TOPIC[TopicID], tbl_TOPIC[Subject], "")</f>
        <v>HA</v>
      </c>
      <c r="D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HA-T12-05-08</v>
      </c>
      <c r="E82" s="22">
        <f>ROW()</f>
        <v>82</v>
      </c>
      <c r="F82" s="22" t="s">
        <v>1051</v>
      </c>
      <c r="G82" s="22" t="str">
        <f>_xlfn.XLOOKUP(tbl_CONTENT[[#This Row],[Topic]], tbl_TOPIC[Topic], tbl_TOPIC[TopicID], "")</f>
        <v>HA-1-05</v>
      </c>
      <c r="H82" s="22" cm="1">
        <f t="array" ref="H82">SUM((tbl_CONTENT[[#This Row],[TopicID]]=INDEX(tbl_CONTENT[TopicID],1):tbl_CONTENT[[#This Row],[TopicID]])*1)</f>
        <v>8</v>
      </c>
      <c r="I82" s="22" t="str">
        <f>_xlfn.XLOOKUP(tbl_CONTENT[[#This Row],[Topic]], tbl_TOPIC[Topic], tbl_TOPIC[TopicIndex], "")</f>
        <v>05</v>
      </c>
      <c r="J82" s="22" t="s">
        <v>141</v>
      </c>
      <c r="K82" s="22" t="s">
        <v>246</v>
      </c>
      <c r="L82" s="22" t="s">
        <v>179</v>
      </c>
      <c r="M82" s="22">
        <v>1</v>
      </c>
      <c r="N82" s="22">
        <v>2</v>
      </c>
      <c r="O82" s="22">
        <v>3</v>
      </c>
      <c r="P82" s="22">
        <v>4</v>
      </c>
      <c r="Q82" s="22">
        <v>5</v>
      </c>
      <c r="S82" s="35">
        <f>IFERROR(
 (1.907*EXP(1)^(-0.5*tbl_CONTENT[[#This Row],[Layer]])) *
 ((tbl_CONTENT[[#This Row],[RelInt]]-1)^(2.5)*4^(1-2.5)+1) +
 ((tbl_CONTENT[[#This Row],[Comp]]-1)^(2.5)*4^(1-2.5)+1)*(0.5*((tbl_CONTENT[[#This Row],[RelInt]]-1)/4)^(2.5)+1),
 0
)</f>
        <v>4.1914549319579635</v>
      </c>
      <c r="T82" s="35">
        <f>IFERROR(
 (1.907*EXP(1)^(-0.5*VALUE(tbl_CONTENT[[#This Row],[Layer]]))) *
 ((VALUE(tbl_CONTENT[[#This Row],[RelId]])-1)^(2.5)*4^(1-2.5)+1) +
 ((VALUE(tbl_CONTENT[[#This Row],[Comp]])-1)^(2.5)*4^(1-2.5)+1)*(0.5*((VALUE(tbl_CONTENT[[#This Row],[RelId]])-1)/4)^(2.5)+1),
 0
)</f>
        <v>6.0683906433495247</v>
      </c>
      <c r="W82" s="22" t="str">
        <f>IFERROR(
  IF(_xlfn.XLOOKUP(tbl_CONTENT[[#This Row],[Topic]], tbl_TOPIC[Topic], tbl_TOPIC[ParentTopic])="", "",
       _xlfn.XLOOKUP(tbl_CONTENT[[#This Row],[Topic]], tbl_TOPIC[Topic], tbl_TOPIC[ParentTopic])),
  ""
)</f>
        <v/>
      </c>
      <c r="X82" s="22" t="str">
        <f>IFERROR(
  IF(_xlfn.XLOOKUP(tbl_CONTENT[[#This Row],[Topic]], tbl_TOPIC[Topic], tbl_TOPIC[TopicPath])="", "",
       _xlfn.XLOOKUP(tbl_CONTENT[[#This Row],[Topic]], tbl_TOPIC[Topic], tbl_TOPIC[TopicPath])),
  ""
)</f>
        <v>Homologie Funktor in HA</v>
      </c>
    </row>
    <row r="83" spans="3:24" ht="17" x14ac:dyDescent="0.2">
      <c r="C83" s="22" t="str">
        <f>_xlfn.XLOOKUP(tbl_CONTENT[[#This Row],[TopicID]], tbl_TOPIC[TopicID], tbl_TOPIC[Subject], "")</f>
        <v>HA</v>
      </c>
      <c r="D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HA-T12-05-09</v>
      </c>
      <c r="E83" s="22">
        <f>ROW()</f>
        <v>83</v>
      </c>
      <c r="F83" s="22" t="s">
        <v>1051</v>
      </c>
      <c r="G83" s="22" t="str">
        <f>_xlfn.XLOOKUP(tbl_CONTENT[[#This Row],[Topic]], tbl_TOPIC[Topic], tbl_TOPIC[TopicID], "")</f>
        <v>HA-1-05</v>
      </c>
      <c r="H83" s="22" cm="1">
        <f t="array" ref="H83">SUM((tbl_CONTENT[[#This Row],[TopicID]]=INDEX(tbl_CONTENT[TopicID],1):tbl_CONTENT[[#This Row],[TopicID]])*1)</f>
        <v>9</v>
      </c>
      <c r="I83" s="22" t="str">
        <f>_xlfn.XLOOKUP(tbl_CONTENT[[#This Row],[Topic]], tbl_TOPIC[Topic], tbl_TOPIC[TopicIndex], "")</f>
        <v>05</v>
      </c>
      <c r="J83" s="22" t="s">
        <v>141</v>
      </c>
      <c r="K83" s="22" t="s">
        <v>247</v>
      </c>
      <c r="L83" s="22" t="s">
        <v>151</v>
      </c>
      <c r="M83" s="22">
        <v>1</v>
      </c>
      <c r="N83" s="22">
        <v>2</v>
      </c>
      <c r="O83" s="22">
        <v>3</v>
      </c>
      <c r="P83" s="22">
        <v>4</v>
      </c>
      <c r="Q83" s="22">
        <v>5</v>
      </c>
      <c r="S83" s="35">
        <f>IFERROR(
 (1.907*EXP(1)^(-0.5*tbl_CONTENT[[#This Row],[Layer]])) *
 ((tbl_CONTENT[[#This Row],[RelInt]]-1)^(2.5)*4^(1-2.5)+1) +
 ((tbl_CONTENT[[#This Row],[Comp]]-1)^(2.5)*4^(1-2.5)+1)*(0.5*((tbl_CONTENT[[#This Row],[RelInt]]-1)/4)^(2.5)+1),
 0
)</f>
        <v>4.1914549319579635</v>
      </c>
      <c r="T83" s="35">
        <f>IFERROR(
 (1.907*EXP(1)^(-0.5*VALUE(tbl_CONTENT[[#This Row],[Layer]]))) *
 ((VALUE(tbl_CONTENT[[#This Row],[RelId]])-1)^(2.5)*4^(1-2.5)+1) +
 ((VALUE(tbl_CONTENT[[#This Row],[Comp]])-1)^(2.5)*4^(1-2.5)+1)*(0.5*((VALUE(tbl_CONTENT[[#This Row],[RelId]])-1)/4)^(2.5)+1),
 0
)</f>
        <v>6.0683906433495247</v>
      </c>
      <c r="W83" s="22" t="str">
        <f>IFERROR(
  IF(_xlfn.XLOOKUP(tbl_CONTENT[[#This Row],[Topic]], tbl_TOPIC[Topic], tbl_TOPIC[ParentTopic])="", "",
       _xlfn.XLOOKUP(tbl_CONTENT[[#This Row],[Topic]], tbl_TOPIC[Topic], tbl_TOPIC[ParentTopic])),
  ""
)</f>
        <v/>
      </c>
      <c r="X83" s="22" t="str">
        <f>IFERROR(
  IF(_xlfn.XLOOKUP(tbl_CONTENT[[#This Row],[Topic]], tbl_TOPIC[Topic], tbl_TOPIC[TopicPath])="", "",
       _xlfn.XLOOKUP(tbl_CONTENT[[#This Row],[Topic]], tbl_TOPIC[Topic], tbl_TOPIC[TopicPath])),
  ""
)</f>
        <v>Homologie Funktor in HA</v>
      </c>
    </row>
    <row r="84" spans="3:24" ht="34" x14ac:dyDescent="0.2">
      <c r="C84" s="22" t="str">
        <f>_xlfn.XLOOKUP(tbl_CONTENT[[#This Row],[TopicID]], tbl_TOPIC[TopicID], tbl_TOPIC[Subject], "")</f>
        <v>HA</v>
      </c>
      <c r="D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HA-T12-05-10</v>
      </c>
      <c r="E84" s="22">
        <f>ROW()</f>
        <v>84</v>
      </c>
      <c r="F84" s="22" t="s">
        <v>1051</v>
      </c>
      <c r="G84" s="22" t="str">
        <f>_xlfn.XLOOKUP(tbl_CONTENT[[#This Row],[Topic]], tbl_TOPIC[Topic], tbl_TOPIC[TopicID], "")</f>
        <v>HA-1-05</v>
      </c>
      <c r="H84" s="22" cm="1">
        <f t="array" ref="H84">SUM((tbl_CONTENT[[#This Row],[TopicID]]=INDEX(tbl_CONTENT[TopicID],1):tbl_CONTENT[[#This Row],[TopicID]])*1)</f>
        <v>10</v>
      </c>
      <c r="I84" s="22" t="str">
        <f>_xlfn.XLOOKUP(tbl_CONTENT[[#This Row],[Topic]], tbl_TOPIC[Topic], tbl_TOPIC[TopicIndex], "")</f>
        <v>05</v>
      </c>
      <c r="J84" s="22" t="s">
        <v>141</v>
      </c>
      <c r="K84" s="22" t="s">
        <v>248</v>
      </c>
      <c r="L84" s="22" t="s">
        <v>146</v>
      </c>
      <c r="M84" s="22">
        <v>1</v>
      </c>
      <c r="N84" s="22">
        <v>3</v>
      </c>
      <c r="O84" s="22">
        <v>4</v>
      </c>
      <c r="P84" s="22">
        <v>3</v>
      </c>
      <c r="Q84" s="22">
        <v>4</v>
      </c>
      <c r="S84" s="35">
        <f>IFERROR(
 (1.907*EXP(1)^(-0.5*tbl_CONTENT[[#This Row],[Layer]])) *
 ((tbl_CONTENT[[#This Row],[RelInt]]-1)^(2.5)*4^(1-2.5)+1) +
 ((tbl_CONTENT[[#This Row],[Comp]]-1)^(2.5)*4^(1-2.5)+1)*(0.5*((tbl_CONTENT[[#This Row],[RelInt]]-1)/4)^(2.5)+1),
 0
)</f>
        <v>3.9355649207746723</v>
      </c>
      <c r="T84" s="35">
        <f>IFERROR(
 (1.907*EXP(1)^(-0.5*VALUE(tbl_CONTENT[[#This Row],[Layer]]))) *
 ((VALUE(tbl_CONTENT[[#This Row],[RelId]])-1)^(2.5)*4^(1-2.5)+1) +
 ((VALUE(tbl_CONTENT[[#This Row],[Comp]])-1)^(2.5)*4^(1-2.5)+1)*(0.5*((VALUE(tbl_CONTENT[[#This Row],[RelId]])-1)/4)^(2.5)+1),
 0
)</f>
        <v>4.921374421420138</v>
      </c>
      <c r="W84" s="22" t="str">
        <f>IFERROR(
  IF(_xlfn.XLOOKUP(tbl_CONTENT[[#This Row],[Topic]], tbl_TOPIC[Topic], tbl_TOPIC[ParentTopic])="", "",
       _xlfn.XLOOKUP(tbl_CONTENT[[#This Row],[Topic]], tbl_TOPIC[Topic], tbl_TOPIC[ParentTopic])),
  ""
)</f>
        <v/>
      </c>
      <c r="X84" s="22" t="str">
        <f>IFERROR(
  IF(_xlfn.XLOOKUP(tbl_CONTENT[[#This Row],[Topic]], tbl_TOPIC[Topic], tbl_TOPIC[TopicPath])="", "",
       _xlfn.XLOOKUP(tbl_CONTENT[[#This Row],[Topic]], tbl_TOPIC[Topic], tbl_TOPIC[TopicPath])),
  ""
)</f>
        <v>Homologie Funktor in HA</v>
      </c>
    </row>
    <row r="85" spans="3:24" ht="68" x14ac:dyDescent="0.2">
      <c r="C85" s="22" t="str">
        <f>_xlfn.XLOOKUP(tbl_CONTENT[[#This Row],[TopicID]], tbl_TOPIC[TopicID], tbl_TOPIC[Subject], "")</f>
        <v>HA</v>
      </c>
      <c r="D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HA-T12-05-11</v>
      </c>
      <c r="E85" s="22">
        <f>ROW()</f>
        <v>85</v>
      </c>
      <c r="F85" s="22" t="s">
        <v>1051</v>
      </c>
      <c r="G85" s="22" t="str">
        <f>_xlfn.XLOOKUP(tbl_CONTENT[[#This Row],[Topic]], tbl_TOPIC[Topic], tbl_TOPIC[TopicID], "")</f>
        <v>HA-1-05</v>
      </c>
      <c r="H85" s="22" cm="1">
        <f t="array" ref="H85">SUM((tbl_CONTENT[[#This Row],[TopicID]]=INDEX(tbl_CONTENT[TopicID],1):tbl_CONTENT[[#This Row],[TopicID]])*1)</f>
        <v>11</v>
      </c>
      <c r="I85" s="22" t="str">
        <f>_xlfn.XLOOKUP(tbl_CONTENT[[#This Row],[Topic]], tbl_TOPIC[Topic], tbl_TOPIC[TopicIndex], "")</f>
        <v>05</v>
      </c>
      <c r="J85" s="22" t="s">
        <v>141</v>
      </c>
      <c r="K85" s="22" t="s">
        <v>989</v>
      </c>
      <c r="L85" s="22" t="s">
        <v>150</v>
      </c>
      <c r="M85" s="22">
        <v>1</v>
      </c>
      <c r="N85" s="22">
        <v>2</v>
      </c>
      <c r="O85" s="22">
        <v>3</v>
      </c>
      <c r="P85" s="22">
        <v>4</v>
      </c>
      <c r="Q85" s="22">
        <v>5</v>
      </c>
      <c r="S85" s="35">
        <f>IFERROR(
 (1.907*EXP(1)^(-0.5*tbl_CONTENT[[#This Row],[Layer]])) *
 ((tbl_CONTENT[[#This Row],[RelInt]]-1)^(2.5)*4^(1-2.5)+1) +
 ((tbl_CONTENT[[#This Row],[Comp]]-1)^(2.5)*4^(1-2.5)+1)*(0.5*((tbl_CONTENT[[#This Row],[RelInt]]-1)/4)^(2.5)+1),
 0
)</f>
        <v>4.1914549319579635</v>
      </c>
      <c r="T85" s="35">
        <f>IFERROR(
 (1.907*EXP(1)^(-0.5*VALUE(tbl_CONTENT[[#This Row],[Layer]]))) *
 ((VALUE(tbl_CONTENT[[#This Row],[RelId]])-1)^(2.5)*4^(1-2.5)+1) +
 ((VALUE(tbl_CONTENT[[#This Row],[Comp]])-1)^(2.5)*4^(1-2.5)+1)*(0.5*((VALUE(tbl_CONTENT[[#This Row],[RelId]])-1)/4)^(2.5)+1),
 0
)</f>
        <v>6.0683906433495247</v>
      </c>
      <c r="W85" s="22" t="str">
        <f>IFERROR(
  IF(_xlfn.XLOOKUP(tbl_CONTENT[[#This Row],[Topic]], tbl_TOPIC[Topic], tbl_TOPIC[ParentTopic])="", "",
       _xlfn.XLOOKUP(tbl_CONTENT[[#This Row],[Topic]], tbl_TOPIC[Topic], tbl_TOPIC[ParentTopic])),
  ""
)</f>
        <v/>
      </c>
      <c r="X85" s="22" t="str">
        <f>IFERROR(
  IF(_xlfn.XLOOKUP(tbl_CONTENT[[#This Row],[Topic]], tbl_TOPIC[Topic], tbl_TOPIC[TopicPath])="", "",
       _xlfn.XLOOKUP(tbl_CONTENT[[#This Row],[Topic]], tbl_TOPIC[Topic], tbl_TOPIC[TopicPath])),
  ""
)</f>
        <v>Homologie Funktor in HA</v>
      </c>
    </row>
    <row r="86" spans="3:24" ht="68" x14ac:dyDescent="0.2">
      <c r="C86" s="22" t="str">
        <f>_xlfn.XLOOKUP(tbl_CONTENT[[#This Row],[TopicID]], tbl_TOPIC[TopicID], tbl_TOPIC[Subject], "")</f>
        <v>HA</v>
      </c>
      <c r="D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HA-T12-05-12</v>
      </c>
      <c r="E86" s="22">
        <f>ROW()</f>
        <v>86</v>
      </c>
      <c r="F86" s="22" t="s">
        <v>1051</v>
      </c>
      <c r="G86" s="22" t="str">
        <f>_xlfn.XLOOKUP(tbl_CONTENT[[#This Row],[Topic]], tbl_TOPIC[Topic], tbl_TOPIC[TopicID], "")</f>
        <v>HA-1-05</v>
      </c>
      <c r="H86" s="22" cm="1">
        <f t="array" ref="H86">SUM((tbl_CONTENT[[#This Row],[TopicID]]=INDEX(tbl_CONTENT[TopicID],1):tbl_CONTENT[[#This Row],[TopicID]])*1)</f>
        <v>12</v>
      </c>
      <c r="I86" s="22" t="str">
        <f>_xlfn.XLOOKUP(tbl_CONTENT[[#This Row],[Topic]], tbl_TOPIC[Topic], tbl_TOPIC[TopicIndex], "")</f>
        <v>05</v>
      </c>
      <c r="J86" s="22" t="s">
        <v>141</v>
      </c>
      <c r="K86" s="22" t="s">
        <v>1036</v>
      </c>
      <c r="L86" s="22" t="s">
        <v>146</v>
      </c>
      <c r="M86" s="22">
        <v>0</v>
      </c>
      <c r="S86" s="35">
        <f>IFERROR(
 (1.907*EXP(1)^(-0.5*tbl_CONTENT[[#This Row],[Layer]])) *
 ((tbl_CONTENT[[#This Row],[RelInt]]-1)^(2.5)*4^(1-2.5)+1) +
 ((tbl_CONTENT[[#This Row],[Comp]]-1)^(2.5)*4^(1-2.5)+1)*(0.5*((tbl_CONTENT[[#This Row],[RelInt]]-1)/4)^(2.5)+1),
 0
)</f>
        <v>0</v>
      </c>
      <c r="T86" s="35">
        <f>IFERROR(
 (1.907*EXP(1)^(-0.5*VALUE(tbl_CONTENT[[#This Row],[Layer]]))) *
 ((VALUE(tbl_CONTENT[[#This Row],[RelId]])-1)^(2.5)*4^(1-2.5)+1) +
 ((VALUE(tbl_CONTENT[[#This Row],[Comp]])-1)^(2.5)*4^(1-2.5)+1)*(0.5*((VALUE(tbl_CONTENT[[#This Row],[RelId]])-1)/4)^(2.5)+1),
 0
)</f>
        <v>0</v>
      </c>
      <c r="W86" s="22" t="str">
        <f>IFERROR(
  IF(_xlfn.XLOOKUP(tbl_CONTENT[[#This Row],[Topic]], tbl_TOPIC[Topic], tbl_TOPIC[ParentTopic])="", "",
       _xlfn.XLOOKUP(tbl_CONTENT[[#This Row],[Topic]], tbl_TOPIC[Topic], tbl_TOPIC[ParentTopic])),
  ""
)</f>
        <v/>
      </c>
      <c r="X86" s="22" t="str">
        <f>IFERROR(
  IF(_xlfn.XLOOKUP(tbl_CONTENT[[#This Row],[Topic]], tbl_TOPIC[Topic], tbl_TOPIC[TopicPath])="", "",
       _xlfn.XLOOKUP(tbl_CONTENT[[#This Row],[Topic]], tbl_TOPIC[Topic], tbl_TOPIC[TopicPath])),
  ""
)</f>
        <v>Homologie Funktor in HA</v>
      </c>
    </row>
    <row r="87" spans="3:24" ht="51" x14ac:dyDescent="0.2">
      <c r="C87" s="22" t="str">
        <f>_xlfn.XLOOKUP(tbl_CONTENT[[#This Row],[TopicID]], tbl_TOPIC[TopicID], tbl_TOPIC[Subject], "")</f>
        <v>HA</v>
      </c>
      <c r="D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HA-T12-05-13</v>
      </c>
      <c r="E87" s="22">
        <f>ROW()</f>
        <v>87</v>
      </c>
      <c r="F87" s="22" t="s">
        <v>1051</v>
      </c>
      <c r="G87" s="22" t="str">
        <f>_xlfn.XLOOKUP(tbl_CONTENT[[#This Row],[Topic]], tbl_TOPIC[Topic], tbl_TOPIC[TopicID], "")</f>
        <v>HA-1-05</v>
      </c>
      <c r="H87" s="22" cm="1">
        <f t="array" ref="H87">SUM((tbl_CONTENT[[#This Row],[TopicID]]=INDEX(tbl_CONTENT[TopicID],1):tbl_CONTENT[[#This Row],[TopicID]])*1)</f>
        <v>13</v>
      </c>
      <c r="I87" s="22" t="str">
        <f>_xlfn.XLOOKUP(tbl_CONTENT[[#This Row],[Topic]], tbl_TOPIC[Topic], tbl_TOPIC[TopicIndex], "")</f>
        <v>05</v>
      </c>
      <c r="J87" s="22" t="s">
        <v>141</v>
      </c>
      <c r="K87" s="22" t="s">
        <v>253</v>
      </c>
      <c r="L87" s="22" t="s">
        <v>150</v>
      </c>
      <c r="M87" s="22">
        <v>1</v>
      </c>
      <c r="N87" s="22">
        <v>2</v>
      </c>
      <c r="O87" s="22">
        <v>3</v>
      </c>
      <c r="P87" s="22">
        <v>5</v>
      </c>
      <c r="Q87" s="22">
        <v>5</v>
      </c>
      <c r="S87" s="35">
        <f>IFERROR(
 (1.907*EXP(1)^(-0.5*tbl_CONTENT[[#This Row],[Layer]])) *
 ((tbl_CONTENT[[#This Row],[RelInt]]-1)^(2.5)*4^(1-2.5)+1) +
 ((tbl_CONTENT[[#This Row],[Comp]]-1)^(2.5)*4^(1-2.5)+1)*(0.5*((tbl_CONTENT[[#This Row],[RelInt]]-1)/4)^(2.5)+1),
 0
)</f>
        <v>6.0683906433495247</v>
      </c>
      <c r="T87" s="35">
        <f>IFERROR(
 (1.907*EXP(1)^(-0.5*VALUE(tbl_CONTENT[[#This Row],[Layer]]))) *
 ((VALUE(tbl_CONTENT[[#This Row],[RelId]])-1)^(2.5)*4^(1-2.5)+1) +
 ((VALUE(tbl_CONTENT[[#This Row],[Comp]])-1)^(2.5)*4^(1-2.5)+1)*(0.5*((VALUE(tbl_CONTENT[[#This Row],[RelId]])-1)/4)^(2.5)+1),
 0
)</f>
        <v>6.0683906433495247</v>
      </c>
      <c r="W87" s="22" t="str">
        <f>IFERROR(
  IF(_xlfn.XLOOKUP(tbl_CONTENT[[#This Row],[Topic]], tbl_TOPIC[Topic], tbl_TOPIC[ParentTopic])="", "",
       _xlfn.XLOOKUP(tbl_CONTENT[[#This Row],[Topic]], tbl_TOPIC[Topic], tbl_TOPIC[ParentTopic])),
  ""
)</f>
        <v/>
      </c>
      <c r="X87" s="22" t="str">
        <f>IFERROR(
  IF(_xlfn.XLOOKUP(tbl_CONTENT[[#This Row],[Topic]], tbl_TOPIC[Topic], tbl_TOPIC[TopicPath])="", "",
       _xlfn.XLOOKUP(tbl_CONTENT[[#This Row],[Topic]], tbl_TOPIC[Topic], tbl_TOPIC[TopicPath])),
  ""
)</f>
        <v>Homologie Funktor in HA</v>
      </c>
    </row>
    <row r="88" spans="3:24" ht="51" x14ac:dyDescent="0.2">
      <c r="C88" s="22" t="str">
        <f>_xlfn.XLOOKUP(tbl_CONTENT[[#This Row],[TopicID]], tbl_TOPIC[TopicID], tbl_TOPIC[Subject], "")</f>
        <v>HA</v>
      </c>
      <c r="D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HA-T12-05-14</v>
      </c>
      <c r="E88" s="22">
        <f>ROW()</f>
        <v>88</v>
      </c>
      <c r="F88" s="22" t="s">
        <v>1051</v>
      </c>
      <c r="G88" s="22" t="str">
        <f>_xlfn.XLOOKUP(tbl_CONTENT[[#This Row],[Topic]], tbl_TOPIC[Topic], tbl_TOPIC[TopicID], "")</f>
        <v>HA-1-05</v>
      </c>
      <c r="H88" s="22" cm="1">
        <f t="array" ref="H88">SUM((tbl_CONTENT[[#This Row],[TopicID]]=INDEX(tbl_CONTENT[TopicID],1):tbl_CONTENT[[#This Row],[TopicID]])*1)</f>
        <v>14</v>
      </c>
      <c r="I88" s="22" t="str">
        <f>_xlfn.XLOOKUP(tbl_CONTENT[[#This Row],[Topic]], tbl_TOPIC[Topic], tbl_TOPIC[TopicIndex], "")</f>
        <v>05</v>
      </c>
      <c r="J88" s="22" t="s">
        <v>141</v>
      </c>
      <c r="K88" s="22" t="s">
        <v>254</v>
      </c>
      <c r="L88" s="22" t="s">
        <v>146</v>
      </c>
      <c r="M88" s="22">
        <v>0</v>
      </c>
      <c r="S88" s="35">
        <f>IFERROR(
 (1.907*EXP(1)^(-0.5*tbl_CONTENT[[#This Row],[Layer]])) *
 ((tbl_CONTENT[[#This Row],[RelInt]]-1)^(2.5)*4^(1-2.5)+1) +
 ((tbl_CONTENT[[#This Row],[Comp]]-1)^(2.5)*4^(1-2.5)+1)*(0.5*((tbl_CONTENT[[#This Row],[RelInt]]-1)/4)^(2.5)+1),
 0
)</f>
        <v>0</v>
      </c>
      <c r="T88" s="35">
        <f>IFERROR(
 (1.907*EXP(1)^(-0.5*VALUE(tbl_CONTENT[[#This Row],[Layer]]))) *
 ((VALUE(tbl_CONTENT[[#This Row],[RelId]])-1)^(2.5)*4^(1-2.5)+1) +
 ((VALUE(tbl_CONTENT[[#This Row],[Comp]])-1)^(2.5)*4^(1-2.5)+1)*(0.5*((VALUE(tbl_CONTENT[[#This Row],[RelId]])-1)/4)^(2.5)+1),
 0
)</f>
        <v>0</v>
      </c>
      <c r="W88" s="22" t="str">
        <f>IFERROR(
  IF(_xlfn.XLOOKUP(tbl_CONTENT[[#This Row],[Topic]], tbl_TOPIC[Topic], tbl_TOPIC[ParentTopic])="", "",
       _xlfn.XLOOKUP(tbl_CONTENT[[#This Row],[Topic]], tbl_TOPIC[Topic], tbl_TOPIC[ParentTopic])),
  ""
)</f>
        <v/>
      </c>
      <c r="X88" s="22" t="str">
        <f>IFERROR(
  IF(_xlfn.XLOOKUP(tbl_CONTENT[[#This Row],[Topic]], tbl_TOPIC[Topic], tbl_TOPIC[TopicPath])="", "",
       _xlfn.XLOOKUP(tbl_CONTENT[[#This Row],[Topic]], tbl_TOPIC[Topic], tbl_TOPIC[TopicPath])),
  ""
)</f>
        <v>Homologie Funktor in HA</v>
      </c>
    </row>
    <row r="89" spans="3:24" ht="51" x14ac:dyDescent="0.2">
      <c r="C89" s="22" t="str">
        <f>_xlfn.XLOOKUP(tbl_CONTENT[[#This Row],[TopicID]], tbl_TOPIC[TopicID], tbl_TOPIC[Subject], "")</f>
        <v>HA</v>
      </c>
      <c r="D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HA-T12-05-15</v>
      </c>
      <c r="E89" s="22">
        <f>ROW()</f>
        <v>89</v>
      </c>
      <c r="F89" s="22" t="s">
        <v>1051</v>
      </c>
      <c r="G89" s="22" t="str">
        <f>_xlfn.XLOOKUP(tbl_CONTENT[[#This Row],[Topic]], tbl_TOPIC[Topic], tbl_TOPIC[TopicID], "")</f>
        <v>HA-1-05</v>
      </c>
      <c r="H89" s="22" cm="1">
        <f t="array" ref="H89">SUM((tbl_CONTENT[[#This Row],[TopicID]]=INDEX(tbl_CONTENT[TopicID],1):tbl_CONTENT[[#This Row],[TopicID]])*1)</f>
        <v>15</v>
      </c>
      <c r="I89" s="22" t="str">
        <f>_xlfn.XLOOKUP(tbl_CONTENT[[#This Row],[Topic]], tbl_TOPIC[Topic], tbl_TOPIC[TopicIndex], "")</f>
        <v>05</v>
      </c>
      <c r="J89" s="22" t="s">
        <v>141</v>
      </c>
      <c r="K89" s="22" t="s">
        <v>249</v>
      </c>
      <c r="L89" s="22" t="s">
        <v>150</v>
      </c>
      <c r="M89" s="22">
        <v>1</v>
      </c>
      <c r="N89" s="22">
        <v>2</v>
      </c>
      <c r="O89" s="22">
        <v>4</v>
      </c>
      <c r="P89" s="22">
        <v>4</v>
      </c>
      <c r="Q89" s="22">
        <v>5</v>
      </c>
      <c r="S89" s="35">
        <f>IFERROR(
 (1.907*EXP(1)^(-0.5*tbl_CONTENT[[#This Row],[Layer]])) *
 ((tbl_CONTENT[[#This Row],[RelInt]]-1)^(2.5)*4^(1-2.5)+1) +
 ((tbl_CONTENT[[#This Row],[Comp]]-1)^(2.5)*4^(1-2.5)+1)*(0.5*((tbl_CONTENT[[#This Row],[RelInt]]-1)/4)^(2.5)+1),
 0
)</f>
        <v>5.7352849367469618</v>
      </c>
      <c r="T89" s="35">
        <f>IFERROR(
 (1.907*EXP(1)^(-0.5*VALUE(tbl_CONTENT[[#This Row],[Layer]]))) *
 ((VALUE(tbl_CONTENT[[#This Row],[RelId]])-1)^(2.5)*4^(1-2.5)+1) +
 ((VALUE(tbl_CONTENT[[#This Row],[Comp]])-1)^(2.5)*4^(1-2.5)+1)*(0.5*((VALUE(tbl_CONTENT[[#This Row],[RelId]])-1)/4)^(2.5)+1),
 0
)</f>
        <v>7.9305662093421851</v>
      </c>
      <c r="W89" s="22" t="str">
        <f>IFERROR(
  IF(_xlfn.XLOOKUP(tbl_CONTENT[[#This Row],[Topic]], tbl_TOPIC[Topic], tbl_TOPIC[ParentTopic])="", "",
       _xlfn.XLOOKUP(tbl_CONTENT[[#This Row],[Topic]], tbl_TOPIC[Topic], tbl_TOPIC[ParentTopic])),
  ""
)</f>
        <v/>
      </c>
      <c r="X89" s="22" t="str">
        <f>IFERROR(
  IF(_xlfn.XLOOKUP(tbl_CONTENT[[#This Row],[Topic]], tbl_TOPIC[Topic], tbl_TOPIC[TopicPath])="", "",
       _xlfn.XLOOKUP(tbl_CONTENT[[#This Row],[Topic]], tbl_TOPIC[Topic], tbl_TOPIC[TopicPath])),
  ""
)</f>
        <v>Homologie Funktor in HA</v>
      </c>
    </row>
    <row r="90" spans="3:24" ht="68" x14ac:dyDescent="0.2">
      <c r="C90" s="22" t="str">
        <f>_xlfn.XLOOKUP(tbl_CONTENT[[#This Row],[TopicID]], tbl_TOPIC[TopicID], tbl_TOPIC[Subject], "")</f>
        <v>HA</v>
      </c>
      <c r="D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HA-T12-05-16</v>
      </c>
      <c r="E90" s="22">
        <f>ROW()</f>
        <v>90</v>
      </c>
      <c r="F90" s="22" t="s">
        <v>1051</v>
      </c>
      <c r="G90" s="22" t="str">
        <f>_xlfn.XLOOKUP(tbl_CONTENT[[#This Row],[Topic]], tbl_TOPIC[Topic], tbl_TOPIC[TopicID], "")</f>
        <v>HA-1-05</v>
      </c>
      <c r="H90" s="22" cm="1">
        <f t="array" ref="H90">SUM((tbl_CONTENT[[#This Row],[TopicID]]=INDEX(tbl_CONTENT[TopicID],1):tbl_CONTENT[[#This Row],[TopicID]])*1)</f>
        <v>16</v>
      </c>
      <c r="I90" s="22" t="str">
        <f>_xlfn.XLOOKUP(tbl_CONTENT[[#This Row],[Topic]], tbl_TOPIC[Topic], tbl_TOPIC[TopicIndex], "")</f>
        <v>05</v>
      </c>
      <c r="J90" s="22" t="s">
        <v>141</v>
      </c>
      <c r="K90" s="22" t="s">
        <v>250</v>
      </c>
      <c r="L90" s="22" t="s">
        <v>146</v>
      </c>
      <c r="M90" s="22">
        <v>1</v>
      </c>
      <c r="N90" s="22">
        <v>3</v>
      </c>
      <c r="O90" s="22">
        <v>4</v>
      </c>
      <c r="P90" s="22">
        <v>3</v>
      </c>
      <c r="Q90" s="22">
        <v>4</v>
      </c>
      <c r="S90" s="35">
        <f>IFERROR(
 (1.907*EXP(1)^(-0.5*tbl_CONTENT[[#This Row],[Layer]])) *
 ((tbl_CONTENT[[#This Row],[RelInt]]-1)^(2.5)*4^(1-2.5)+1) +
 ((tbl_CONTENT[[#This Row],[Comp]]-1)^(2.5)*4^(1-2.5)+1)*(0.5*((tbl_CONTENT[[#This Row],[RelInt]]-1)/4)^(2.5)+1),
 0
)</f>
        <v>3.9355649207746723</v>
      </c>
      <c r="T90" s="35">
        <f>IFERROR(
 (1.907*EXP(1)^(-0.5*VALUE(tbl_CONTENT[[#This Row],[Layer]]))) *
 ((VALUE(tbl_CONTENT[[#This Row],[RelId]])-1)^(2.5)*4^(1-2.5)+1) +
 ((VALUE(tbl_CONTENT[[#This Row],[Comp]])-1)^(2.5)*4^(1-2.5)+1)*(0.5*((VALUE(tbl_CONTENT[[#This Row],[RelId]])-1)/4)^(2.5)+1),
 0
)</f>
        <v>4.921374421420138</v>
      </c>
      <c r="W90" s="22" t="str">
        <f>IFERROR(
  IF(_xlfn.XLOOKUP(tbl_CONTENT[[#This Row],[Topic]], tbl_TOPIC[Topic], tbl_TOPIC[ParentTopic])="", "",
       _xlfn.XLOOKUP(tbl_CONTENT[[#This Row],[Topic]], tbl_TOPIC[Topic], tbl_TOPIC[ParentTopic])),
  ""
)</f>
        <v/>
      </c>
      <c r="X90" s="22" t="str">
        <f>IFERROR(
  IF(_xlfn.XLOOKUP(tbl_CONTENT[[#This Row],[Topic]], tbl_TOPIC[Topic], tbl_TOPIC[TopicPath])="", "",
       _xlfn.XLOOKUP(tbl_CONTENT[[#This Row],[Topic]], tbl_TOPIC[Topic], tbl_TOPIC[TopicPath])),
  ""
)</f>
        <v>Homologie Funktor in HA</v>
      </c>
    </row>
    <row r="91" spans="3:24" ht="17" x14ac:dyDescent="0.2">
      <c r="C91" s="22" t="str">
        <f>_xlfn.XLOOKUP(tbl_CONTENT[[#This Row],[TopicID]], tbl_TOPIC[TopicID], tbl_TOPIC[Subject], "")</f>
        <v>HA</v>
      </c>
      <c r="D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HA-T12-05-17</v>
      </c>
      <c r="E91" s="22">
        <f>ROW()</f>
        <v>91</v>
      </c>
      <c r="F91" s="22" t="s">
        <v>1051</v>
      </c>
      <c r="G91" s="22" t="str">
        <f>_xlfn.XLOOKUP(tbl_CONTENT[[#This Row],[Topic]], tbl_TOPIC[Topic], tbl_TOPIC[TopicID], "")</f>
        <v>HA-1-05</v>
      </c>
      <c r="H91" s="22" cm="1">
        <f t="array" ref="H91">SUM((tbl_CONTENT[[#This Row],[TopicID]]=INDEX(tbl_CONTENT[TopicID],1):tbl_CONTENT[[#This Row],[TopicID]])*1)</f>
        <v>17</v>
      </c>
      <c r="I91" s="22" t="str">
        <f>_xlfn.XLOOKUP(tbl_CONTENT[[#This Row],[Topic]], tbl_TOPIC[Topic], tbl_TOPIC[TopicIndex], "")</f>
        <v>05</v>
      </c>
      <c r="J91" s="22" t="s">
        <v>141</v>
      </c>
      <c r="K91" s="22" t="s">
        <v>251</v>
      </c>
      <c r="L91" s="22" t="s">
        <v>152</v>
      </c>
      <c r="M91" s="22">
        <v>1</v>
      </c>
      <c r="N91" s="22">
        <v>2</v>
      </c>
      <c r="O91" s="22">
        <v>3</v>
      </c>
      <c r="P91" s="22">
        <v>3</v>
      </c>
      <c r="Q91" s="22">
        <v>4</v>
      </c>
      <c r="S91" s="35">
        <f>IFERROR(
 (1.907*EXP(1)^(-0.5*tbl_CONTENT[[#This Row],[Layer]])) *
 ((tbl_CONTENT[[#This Row],[RelInt]]-1)^(2.5)*4^(1-2.5)+1) +
 ((tbl_CONTENT[[#This Row],[Comp]]-1)^(2.5)*4^(1-2.5)+1)*(0.5*((tbl_CONTENT[[#This Row],[RelInt]]-1)/4)^(2.5)+1),
 0
)</f>
        <v>3.0556092237531312</v>
      </c>
      <c r="T91" s="35">
        <f>IFERROR(
 (1.907*EXP(1)^(-0.5*VALUE(tbl_CONTENT[[#This Row],[Layer]]))) *
 ((VALUE(tbl_CONTENT[[#This Row],[RelId]])-1)^(2.5)*4^(1-2.5)+1) +
 ((VALUE(tbl_CONTENT[[#This Row],[Comp]])-1)^(2.5)*4^(1-2.5)+1)*(0.5*((VALUE(tbl_CONTENT[[#This Row],[RelId]])-1)/4)^(2.5)+1),
 0
)</f>
        <v>4.1914549319579635</v>
      </c>
      <c r="W91" s="22" t="str">
        <f>IFERROR(
  IF(_xlfn.XLOOKUP(tbl_CONTENT[[#This Row],[Topic]], tbl_TOPIC[Topic], tbl_TOPIC[ParentTopic])="", "",
       _xlfn.XLOOKUP(tbl_CONTENT[[#This Row],[Topic]], tbl_TOPIC[Topic], tbl_TOPIC[ParentTopic])),
  ""
)</f>
        <v/>
      </c>
      <c r="X91" s="22" t="str">
        <f>IFERROR(
  IF(_xlfn.XLOOKUP(tbl_CONTENT[[#This Row],[Topic]], tbl_TOPIC[Topic], tbl_TOPIC[TopicPath])="", "",
       _xlfn.XLOOKUP(tbl_CONTENT[[#This Row],[Topic]], tbl_TOPIC[Topic], tbl_TOPIC[TopicPath])),
  ""
)</f>
        <v>Homologie Funktor in HA</v>
      </c>
    </row>
    <row r="92" spans="3:24" ht="34" x14ac:dyDescent="0.2">
      <c r="C92" s="22" t="str">
        <f>_xlfn.XLOOKUP(tbl_CONTENT[[#This Row],[TopicID]], tbl_TOPIC[TopicID], tbl_TOPIC[Subject], "")</f>
        <v>HA</v>
      </c>
      <c r="D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HA-T12-05-18</v>
      </c>
      <c r="E92" s="22">
        <f>ROW()</f>
        <v>92</v>
      </c>
      <c r="F92" s="22" t="s">
        <v>1051</v>
      </c>
      <c r="G92" s="22" t="str">
        <f>_xlfn.XLOOKUP(tbl_CONTENT[[#This Row],[Topic]], tbl_TOPIC[Topic], tbl_TOPIC[TopicID], "")</f>
        <v>HA-1-05</v>
      </c>
      <c r="H92" s="22" cm="1">
        <f t="array" ref="H92">SUM((tbl_CONTENT[[#This Row],[TopicID]]=INDEX(tbl_CONTENT[TopicID],1):tbl_CONTENT[[#This Row],[TopicID]])*1)</f>
        <v>18</v>
      </c>
      <c r="I92" s="22" t="str">
        <f>_xlfn.XLOOKUP(tbl_CONTENT[[#This Row],[Topic]], tbl_TOPIC[Topic], tbl_TOPIC[TopicIndex], "")</f>
        <v>05</v>
      </c>
      <c r="J92" s="22" t="s">
        <v>141</v>
      </c>
      <c r="K92" s="37" t="s">
        <v>252</v>
      </c>
      <c r="L92" s="22" t="s">
        <v>147</v>
      </c>
      <c r="M92" s="22">
        <v>1</v>
      </c>
      <c r="N92" s="22">
        <v>2</v>
      </c>
      <c r="O92" s="22">
        <v>3</v>
      </c>
      <c r="P92" s="22">
        <v>4</v>
      </c>
      <c r="Q92" s="22">
        <v>5</v>
      </c>
      <c r="S92" s="35">
        <f>IFERROR(
 (1.907*EXP(1)^(-0.5*tbl_CONTENT[[#This Row],[Layer]])) *
 ((tbl_CONTENT[[#This Row],[RelInt]]-1)^(2.5)*4^(1-2.5)+1) +
 ((tbl_CONTENT[[#This Row],[Comp]]-1)^(2.5)*4^(1-2.5)+1)*(0.5*((tbl_CONTENT[[#This Row],[RelInt]]-1)/4)^(2.5)+1),
 0
)</f>
        <v>4.1914549319579635</v>
      </c>
      <c r="T92" s="35">
        <f>IFERROR(
 (1.907*EXP(1)^(-0.5*VALUE(tbl_CONTENT[[#This Row],[Layer]]))) *
 ((VALUE(tbl_CONTENT[[#This Row],[RelId]])-1)^(2.5)*4^(1-2.5)+1) +
 ((VALUE(tbl_CONTENT[[#This Row],[Comp]])-1)^(2.5)*4^(1-2.5)+1)*(0.5*((VALUE(tbl_CONTENT[[#This Row],[RelId]])-1)/4)^(2.5)+1),
 0
)</f>
        <v>6.0683906433495247</v>
      </c>
      <c r="W92" s="22" t="str">
        <f>IFERROR(
  IF(_xlfn.XLOOKUP(tbl_CONTENT[[#This Row],[Topic]], tbl_TOPIC[Topic], tbl_TOPIC[ParentTopic])="", "",
       _xlfn.XLOOKUP(tbl_CONTENT[[#This Row],[Topic]], tbl_TOPIC[Topic], tbl_TOPIC[ParentTopic])),
  ""
)</f>
        <v/>
      </c>
      <c r="X92" s="22" t="str">
        <f>IFERROR(
  IF(_xlfn.XLOOKUP(tbl_CONTENT[[#This Row],[Topic]], tbl_TOPIC[Topic], tbl_TOPIC[TopicPath])="", "",
       _xlfn.XLOOKUP(tbl_CONTENT[[#This Row],[Topic]], tbl_TOPIC[Topic], tbl_TOPIC[TopicPath])),
  ""
)</f>
        <v>Homologie Funktor in HA</v>
      </c>
    </row>
    <row r="93" spans="3:24" ht="34" x14ac:dyDescent="0.2">
      <c r="C93" s="22" t="str">
        <f>_xlfn.XLOOKUP(tbl_CONTENT[[#This Row],[TopicID]], tbl_TOPIC[TopicID], tbl_TOPIC[Subject], "")</f>
        <v>HA</v>
      </c>
      <c r="D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HA-T12-05-19</v>
      </c>
      <c r="E93" s="22">
        <f>ROW()</f>
        <v>93</v>
      </c>
      <c r="F93" s="22" t="s">
        <v>1051</v>
      </c>
      <c r="G93" s="22" t="str">
        <f>_xlfn.XLOOKUP(tbl_CONTENT[[#This Row],[Topic]], tbl_TOPIC[Topic], tbl_TOPIC[TopicID], "")</f>
        <v>HA-1-05</v>
      </c>
      <c r="H93" s="22" cm="1">
        <f t="array" ref="H93">SUM((tbl_CONTENT[[#This Row],[TopicID]]=INDEX(tbl_CONTENT[TopicID],1):tbl_CONTENT[[#This Row],[TopicID]])*1)</f>
        <v>19</v>
      </c>
      <c r="I93" s="22" t="str">
        <f>_xlfn.XLOOKUP(tbl_CONTENT[[#This Row],[Topic]], tbl_TOPIC[Topic], tbl_TOPIC[TopicIndex], "")</f>
        <v>05</v>
      </c>
      <c r="J93" s="22" t="s">
        <v>141</v>
      </c>
      <c r="K93" s="22" t="s">
        <v>255</v>
      </c>
      <c r="L93" s="22" t="s">
        <v>152</v>
      </c>
      <c r="M93" s="22">
        <v>1</v>
      </c>
      <c r="N93" s="22">
        <v>2</v>
      </c>
      <c r="O93" s="22">
        <v>3</v>
      </c>
      <c r="P93" s="22">
        <v>4</v>
      </c>
      <c r="Q93" s="22">
        <v>5</v>
      </c>
      <c r="S93" s="35">
        <f>IFERROR(
 (1.907*EXP(1)^(-0.5*tbl_CONTENT[[#This Row],[Layer]])) *
 ((tbl_CONTENT[[#This Row],[RelInt]]-1)^(2.5)*4^(1-2.5)+1) +
 ((tbl_CONTENT[[#This Row],[Comp]]-1)^(2.5)*4^(1-2.5)+1)*(0.5*((tbl_CONTENT[[#This Row],[RelInt]]-1)/4)^(2.5)+1),
 0
)</f>
        <v>4.1914549319579635</v>
      </c>
      <c r="T93" s="35">
        <f>IFERROR(
 (1.907*EXP(1)^(-0.5*VALUE(tbl_CONTENT[[#This Row],[Layer]]))) *
 ((VALUE(tbl_CONTENT[[#This Row],[RelId]])-1)^(2.5)*4^(1-2.5)+1) +
 ((VALUE(tbl_CONTENT[[#This Row],[Comp]])-1)^(2.5)*4^(1-2.5)+1)*(0.5*((VALUE(tbl_CONTENT[[#This Row],[RelId]])-1)/4)^(2.5)+1),
 0
)</f>
        <v>6.0683906433495247</v>
      </c>
      <c r="W93" s="22" t="str">
        <f>IFERROR(
  IF(_xlfn.XLOOKUP(tbl_CONTENT[[#This Row],[Topic]], tbl_TOPIC[Topic], tbl_TOPIC[ParentTopic])="", "",
       _xlfn.XLOOKUP(tbl_CONTENT[[#This Row],[Topic]], tbl_TOPIC[Topic], tbl_TOPIC[ParentTopic])),
  ""
)</f>
        <v/>
      </c>
      <c r="X93" s="22" t="str">
        <f>IFERROR(
  IF(_xlfn.XLOOKUP(tbl_CONTENT[[#This Row],[Topic]], tbl_TOPIC[Topic], tbl_TOPIC[TopicPath])="", "",
       _xlfn.XLOOKUP(tbl_CONTENT[[#This Row],[Topic]], tbl_TOPIC[Topic], tbl_TOPIC[TopicPath])),
  ""
)</f>
        <v>Homologie Funktor in HA</v>
      </c>
    </row>
    <row r="94" spans="3:24" ht="34" x14ac:dyDescent="0.2">
      <c r="C94" s="22" t="str">
        <f>_xlfn.XLOOKUP(tbl_CONTENT[[#This Row],[TopicID]], tbl_TOPIC[TopicID], tbl_TOPIC[Subject], "")</f>
        <v>HA</v>
      </c>
      <c r="D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HA-T12-05-20</v>
      </c>
      <c r="E94" s="22">
        <f>ROW()</f>
        <v>94</v>
      </c>
      <c r="F94" s="22" t="s">
        <v>1051</v>
      </c>
      <c r="G94" s="22" t="str">
        <f>_xlfn.XLOOKUP(tbl_CONTENT[[#This Row],[Topic]], tbl_TOPIC[Topic], tbl_TOPIC[TopicID], "")</f>
        <v>HA-1-05</v>
      </c>
      <c r="H94" s="22" cm="1">
        <f t="array" ref="H94">SUM((tbl_CONTENT[[#This Row],[TopicID]]=INDEX(tbl_CONTENT[TopicID],1):tbl_CONTENT[[#This Row],[TopicID]])*1)</f>
        <v>20</v>
      </c>
      <c r="I94" s="22" t="str">
        <f>_xlfn.XLOOKUP(tbl_CONTENT[[#This Row],[Topic]], tbl_TOPIC[Topic], tbl_TOPIC[TopicIndex], "")</f>
        <v>05</v>
      </c>
      <c r="J94" s="22" t="s">
        <v>141</v>
      </c>
      <c r="K94" s="22" t="s">
        <v>256</v>
      </c>
      <c r="L94" s="22" t="s">
        <v>179</v>
      </c>
      <c r="N94" s="22">
        <v>2</v>
      </c>
      <c r="O94" s="22">
        <v>3</v>
      </c>
      <c r="P94" s="22">
        <v>3</v>
      </c>
      <c r="Q94" s="22">
        <v>4</v>
      </c>
      <c r="S94" s="35">
        <f>IFERROR(
 (1.907*EXP(1)^(-0.5*tbl_CONTENT[[#This Row],[Layer]])) *
 ((tbl_CONTENT[[#This Row],[RelInt]]-1)^(2.5)*4^(1-2.5)+1) +
 ((tbl_CONTENT[[#This Row],[Comp]]-1)^(2.5)*4^(1-2.5)+1)*(0.5*((tbl_CONTENT[[#This Row],[RelInt]]-1)/4)^(2.5)+1),
 0
)</f>
        <v>3.0556092237531312</v>
      </c>
      <c r="T94" s="35">
        <f>IFERROR(
 (1.907*EXP(1)^(-0.5*VALUE(tbl_CONTENT[[#This Row],[Layer]]))) *
 ((VALUE(tbl_CONTENT[[#This Row],[RelId]])-1)^(2.5)*4^(1-2.5)+1) +
 ((VALUE(tbl_CONTENT[[#This Row],[Comp]])-1)^(2.5)*4^(1-2.5)+1)*(0.5*((VALUE(tbl_CONTENT[[#This Row],[RelId]])-1)/4)^(2.5)+1),
 0
)</f>
        <v>4.1914549319579635</v>
      </c>
      <c r="W94" s="22" t="str">
        <f>IFERROR(
  IF(_xlfn.XLOOKUP(tbl_CONTENT[[#This Row],[Topic]], tbl_TOPIC[Topic], tbl_TOPIC[ParentTopic])="", "",
       _xlfn.XLOOKUP(tbl_CONTENT[[#This Row],[Topic]], tbl_TOPIC[Topic], tbl_TOPIC[ParentTopic])),
  ""
)</f>
        <v/>
      </c>
      <c r="X94" s="22" t="str">
        <f>IFERROR(
  IF(_xlfn.XLOOKUP(tbl_CONTENT[[#This Row],[Topic]], tbl_TOPIC[Topic], tbl_TOPIC[TopicPath])="", "",
       _xlfn.XLOOKUP(tbl_CONTENT[[#This Row],[Topic]], tbl_TOPIC[Topic], tbl_TOPIC[TopicPath])),
  ""
)</f>
        <v>Homologie Funktor in HA</v>
      </c>
    </row>
    <row r="95" spans="3:24" ht="34" x14ac:dyDescent="0.2">
      <c r="C95" s="22" t="str">
        <f>_xlfn.XLOOKUP(tbl_CONTENT[[#This Row],[TopicID]], tbl_TOPIC[TopicID], tbl_TOPIC[Subject], "")</f>
        <v>HA</v>
      </c>
      <c r="D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HA-T12-05-21</v>
      </c>
      <c r="E95" s="22">
        <f>ROW()</f>
        <v>95</v>
      </c>
      <c r="F95" s="22" t="s">
        <v>1051</v>
      </c>
      <c r="G95" s="22" t="str">
        <f>_xlfn.XLOOKUP(tbl_CONTENT[[#This Row],[Topic]], tbl_TOPIC[Topic], tbl_TOPIC[TopicID], "")</f>
        <v>HA-1-05</v>
      </c>
      <c r="H95" s="22" cm="1">
        <f t="array" ref="H95">SUM((tbl_CONTENT[[#This Row],[TopicID]]=INDEX(tbl_CONTENT[TopicID],1):tbl_CONTENT[[#This Row],[TopicID]])*1)</f>
        <v>21</v>
      </c>
      <c r="I95" s="22" t="str">
        <f>_xlfn.XLOOKUP(tbl_CONTENT[[#This Row],[Topic]], tbl_TOPIC[Topic], tbl_TOPIC[TopicIndex], "")</f>
        <v>05</v>
      </c>
      <c r="J95" s="22" t="s">
        <v>141</v>
      </c>
      <c r="K95" s="22" t="s">
        <v>257</v>
      </c>
      <c r="L95" s="22" t="s">
        <v>152</v>
      </c>
      <c r="N95" s="22">
        <v>2</v>
      </c>
      <c r="O95" s="22">
        <v>3</v>
      </c>
      <c r="P95" s="22">
        <v>5</v>
      </c>
      <c r="Q95" s="22">
        <v>5</v>
      </c>
      <c r="S95" s="35">
        <f>IFERROR(
 (1.907*EXP(1)^(-0.5*tbl_CONTENT[[#This Row],[Layer]])) *
 ((tbl_CONTENT[[#This Row],[RelInt]]-1)^(2.5)*4^(1-2.5)+1) +
 ((tbl_CONTENT[[#This Row],[Comp]]-1)^(2.5)*4^(1-2.5)+1)*(0.5*((tbl_CONTENT[[#This Row],[RelInt]]-1)/4)^(2.5)+1),
 0
)</f>
        <v>6.0683906433495247</v>
      </c>
      <c r="T95" s="35">
        <f>IFERROR(
 (1.907*EXP(1)^(-0.5*VALUE(tbl_CONTENT[[#This Row],[Layer]]))) *
 ((VALUE(tbl_CONTENT[[#This Row],[RelId]])-1)^(2.5)*4^(1-2.5)+1) +
 ((VALUE(tbl_CONTENT[[#This Row],[Comp]])-1)^(2.5)*4^(1-2.5)+1)*(0.5*((VALUE(tbl_CONTENT[[#This Row],[RelId]])-1)/4)^(2.5)+1),
 0
)</f>
        <v>6.0683906433495247</v>
      </c>
      <c r="W95" s="22" t="str">
        <f>IFERROR(
  IF(_xlfn.XLOOKUP(tbl_CONTENT[[#This Row],[Topic]], tbl_TOPIC[Topic], tbl_TOPIC[ParentTopic])="", "",
       _xlfn.XLOOKUP(tbl_CONTENT[[#This Row],[Topic]], tbl_TOPIC[Topic], tbl_TOPIC[ParentTopic])),
  ""
)</f>
        <v/>
      </c>
      <c r="X95" s="22" t="str">
        <f>IFERROR(
  IF(_xlfn.XLOOKUP(tbl_CONTENT[[#This Row],[Topic]], tbl_TOPIC[Topic], tbl_TOPIC[TopicPath])="", "",
       _xlfn.XLOOKUP(tbl_CONTENT[[#This Row],[Topic]], tbl_TOPIC[Topic], tbl_TOPIC[TopicPath])),
  ""
)</f>
        <v>Homologie Funktor in HA</v>
      </c>
    </row>
    <row r="96" spans="3:24" ht="51" x14ac:dyDescent="0.2">
      <c r="C96" s="22" t="str">
        <f>_xlfn.XLOOKUP(tbl_CONTENT[[#This Row],[TopicID]], tbl_TOPIC[TopicID], tbl_TOPIC[Subject], "")</f>
        <v>HA</v>
      </c>
      <c r="D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HA-T12-05-22</v>
      </c>
      <c r="E96" s="22">
        <f>ROW()</f>
        <v>96</v>
      </c>
      <c r="F96" s="22" t="s">
        <v>1051</v>
      </c>
      <c r="G96" s="22" t="str">
        <f>_xlfn.XLOOKUP(tbl_CONTENT[[#This Row],[Topic]], tbl_TOPIC[Topic], tbl_TOPIC[TopicID], "")</f>
        <v>HA-1-05</v>
      </c>
      <c r="H96" s="22" cm="1">
        <f t="array" ref="H96">SUM((tbl_CONTENT[[#This Row],[TopicID]]=INDEX(tbl_CONTENT[TopicID],1):tbl_CONTENT[[#This Row],[TopicID]])*1)</f>
        <v>22</v>
      </c>
      <c r="I96" s="22" t="str">
        <f>_xlfn.XLOOKUP(tbl_CONTENT[[#This Row],[Topic]], tbl_TOPIC[Topic], tbl_TOPIC[TopicIndex], "")</f>
        <v>05</v>
      </c>
      <c r="J96" s="22" t="s">
        <v>141</v>
      </c>
      <c r="K96" s="37" t="s">
        <v>258</v>
      </c>
      <c r="L96" s="22" t="s">
        <v>151</v>
      </c>
      <c r="N96" s="22">
        <v>2</v>
      </c>
      <c r="O96" s="22">
        <v>2</v>
      </c>
      <c r="P96" s="22">
        <v>4</v>
      </c>
      <c r="Q96" s="22">
        <v>5</v>
      </c>
      <c r="S96" s="35">
        <f>IFERROR(
 (1.907*EXP(1)^(-0.5*tbl_CONTENT[[#This Row],[Layer]])) *
 ((tbl_CONTENT[[#This Row],[RelInt]]-1)^(2.5)*4^(1-2.5)+1) +
 ((tbl_CONTENT[[#This Row],[Comp]]-1)^(2.5)*4^(1-2.5)+1)*(0.5*((tbl_CONTENT[[#This Row],[RelInt]]-1)/4)^(2.5)+1),
 0
)</f>
        <v>3.4675646088337704</v>
      </c>
      <c r="T96" s="35">
        <f>IFERROR(
 (1.907*EXP(1)^(-0.5*VALUE(tbl_CONTENT[[#This Row],[Layer]]))) *
 ((VALUE(tbl_CONTENT[[#This Row],[RelId]])-1)^(2.5)*4^(1-2.5)+1) +
 ((VALUE(tbl_CONTENT[[#This Row],[Comp]])-1)^(2.5)*4^(1-2.5)+1)*(0.5*((VALUE(tbl_CONTENT[[#This Row],[RelId]])-1)/4)^(2.5)+1),
 0
)</f>
        <v>5.1952304715697029</v>
      </c>
      <c r="W96" s="22" t="str">
        <f>IFERROR(
  IF(_xlfn.XLOOKUP(tbl_CONTENT[[#This Row],[Topic]], tbl_TOPIC[Topic], tbl_TOPIC[ParentTopic])="", "",
       _xlfn.XLOOKUP(tbl_CONTENT[[#This Row],[Topic]], tbl_TOPIC[Topic], tbl_TOPIC[ParentTopic])),
  ""
)</f>
        <v/>
      </c>
      <c r="X96" s="22" t="str">
        <f>IFERROR(
  IF(_xlfn.XLOOKUP(tbl_CONTENT[[#This Row],[Topic]], tbl_TOPIC[Topic], tbl_TOPIC[TopicPath])="", "",
       _xlfn.XLOOKUP(tbl_CONTENT[[#This Row],[Topic]], tbl_TOPIC[Topic], tbl_TOPIC[TopicPath])),
  ""
)</f>
        <v>Homologie Funktor in HA</v>
      </c>
    </row>
    <row r="97" spans="3:24" ht="51" x14ac:dyDescent="0.2">
      <c r="C97" s="22" t="str">
        <f>_xlfn.XLOOKUP(tbl_CONTENT[[#This Row],[TopicID]], tbl_TOPIC[TopicID], tbl_TOPIC[Subject], "")</f>
        <v>HA</v>
      </c>
      <c r="D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HA-T12-05-23</v>
      </c>
      <c r="E97" s="22">
        <f>ROW()</f>
        <v>97</v>
      </c>
      <c r="F97" s="22" t="s">
        <v>1051</v>
      </c>
      <c r="G97" s="22" t="str">
        <f>_xlfn.XLOOKUP(tbl_CONTENT[[#This Row],[Topic]], tbl_TOPIC[Topic], tbl_TOPIC[TopicID], "")</f>
        <v>HA-1-05</v>
      </c>
      <c r="H97" s="22" cm="1">
        <f t="array" ref="H97">SUM((tbl_CONTENT[[#This Row],[TopicID]]=INDEX(tbl_CONTENT[TopicID],1):tbl_CONTENT[[#This Row],[TopicID]])*1)</f>
        <v>23</v>
      </c>
      <c r="I97" s="22" t="str">
        <f>_xlfn.XLOOKUP(tbl_CONTENT[[#This Row],[Topic]], tbl_TOPIC[Topic], tbl_TOPIC[TopicIndex], "")</f>
        <v>05</v>
      </c>
      <c r="J97" s="22" t="s">
        <v>141</v>
      </c>
      <c r="K97" s="22" t="s">
        <v>259</v>
      </c>
      <c r="L97" s="22" t="s">
        <v>146</v>
      </c>
      <c r="N97" s="22">
        <v>2</v>
      </c>
      <c r="O97" s="22">
        <v>2</v>
      </c>
      <c r="P97" s="22">
        <v>4</v>
      </c>
      <c r="Q97" s="22">
        <v>5</v>
      </c>
      <c r="S97" s="35">
        <f>IFERROR(
 (1.907*EXP(1)^(-0.5*tbl_CONTENT[[#This Row],[Layer]])) *
 ((tbl_CONTENT[[#This Row],[RelInt]]-1)^(2.5)*4^(1-2.5)+1) +
 ((tbl_CONTENT[[#This Row],[Comp]]-1)^(2.5)*4^(1-2.5)+1)*(0.5*((tbl_CONTENT[[#This Row],[RelInt]]-1)/4)^(2.5)+1),
 0
)</f>
        <v>3.4675646088337704</v>
      </c>
      <c r="T97" s="35">
        <f>IFERROR(
 (1.907*EXP(1)^(-0.5*VALUE(tbl_CONTENT[[#This Row],[Layer]]))) *
 ((VALUE(tbl_CONTENT[[#This Row],[RelId]])-1)^(2.5)*4^(1-2.5)+1) +
 ((VALUE(tbl_CONTENT[[#This Row],[Comp]])-1)^(2.5)*4^(1-2.5)+1)*(0.5*((VALUE(tbl_CONTENT[[#This Row],[RelId]])-1)/4)^(2.5)+1),
 0
)</f>
        <v>5.1952304715697029</v>
      </c>
      <c r="W97" s="22" t="str">
        <f>IFERROR(
  IF(_xlfn.XLOOKUP(tbl_CONTENT[[#This Row],[Topic]], tbl_TOPIC[Topic], tbl_TOPIC[ParentTopic])="", "",
       _xlfn.XLOOKUP(tbl_CONTENT[[#This Row],[Topic]], tbl_TOPIC[Topic], tbl_TOPIC[ParentTopic])),
  ""
)</f>
        <v/>
      </c>
      <c r="X97" s="22" t="str">
        <f>IFERROR(
  IF(_xlfn.XLOOKUP(tbl_CONTENT[[#This Row],[Topic]], tbl_TOPIC[Topic], tbl_TOPIC[TopicPath])="", "",
       _xlfn.XLOOKUP(tbl_CONTENT[[#This Row],[Topic]], tbl_TOPIC[Topic], tbl_TOPIC[TopicPath])),
  ""
)</f>
        <v>Homologie Funktor in HA</v>
      </c>
    </row>
    <row r="98" spans="3:24" ht="17" x14ac:dyDescent="0.2">
      <c r="C98" s="22" t="str">
        <f>_xlfn.XLOOKUP(tbl_CONTENT[[#This Row],[TopicID]], tbl_TOPIC[TopicID], tbl_TOPIC[Subject], "")</f>
        <v>HA</v>
      </c>
      <c r="D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HA-T12-05-24</v>
      </c>
      <c r="E98" s="22">
        <f>ROW()</f>
        <v>98</v>
      </c>
      <c r="F98" s="22" t="s">
        <v>1051</v>
      </c>
      <c r="G98" s="22" t="str">
        <f>_xlfn.XLOOKUP(tbl_CONTENT[[#This Row],[Topic]], tbl_TOPIC[Topic], tbl_TOPIC[TopicID], "")</f>
        <v>HA-1-05</v>
      </c>
      <c r="H98" s="22" cm="1">
        <f t="array" ref="H98">SUM((tbl_CONTENT[[#This Row],[TopicID]]=INDEX(tbl_CONTENT[TopicID],1):tbl_CONTENT[[#This Row],[TopicID]])*1)</f>
        <v>24</v>
      </c>
      <c r="I98" s="22" t="str">
        <f>_xlfn.XLOOKUP(tbl_CONTENT[[#This Row],[Topic]], tbl_TOPIC[Topic], tbl_TOPIC[TopicIndex], "")</f>
        <v>05</v>
      </c>
      <c r="J98" s="22" t="s">
        <v>141</v>
      </c>
      <c r="K98" s="22" t="s">
        <v>260</v>
      </c>
      <c r="L98" s="22" t="s">
        <v>152</v>
      </c>
      <c r="N98" s="22">
        <v>2</v>
      </c>
      <c r="O98" s="22">
        <v>3</v>
      </c>
      <c r="P98" s="22">
        <v>4</v>
      </c>
      <c r="Q98" s="22">
        <v>5</v>
      </c>
      <c r="S98" s="35">
        <f>IFERROR(
 (1.907*EXP(1)^(-0.5*tbl_CONTENT[[#This Row],[Layer]])) *
 ((tbl_CONTENT[[#This Row],[RelInt]]-1)^(2.5)*4^(1-2.5)+1) +
 ((tbl_CONTENT[[#This Row],[Comp]]-1)^(2.5)*4^(1-2.5)+1)*(0.5*((tbl_CONTENT[[#This Row],[RelInt]]-1)/4)^(2.5)+1),
 0
)</f>
        <v>4.1914549319579635</v>
      </c>
      <c r="T98" s="35">
        <f>IFERROR(
 (1.907*EXP(1)^(-0.5*VALUE(tbl_CONTENT[[#This Row],[Layer]]))) *
 ((VALUE(tbl_CONTENT[[#This Row],[RelId]])-1)^(2.5)*4^(1-2.5)+1) +
 ((VALUE(tbl_CONTENT[[#This Row],[Comp]])-1)^(2.5)*4^(1-2.5)+1)*(0.5*((VALUE(tbl_CONTENT[[#This Row],[RelId]])-1)/4)^(2.5)+1),
 0
)</f>
        <v>6.0683906433495247</v>
      </c>
      <c r="W98" s="22" t="str">
        <f>IFERROR(
  IF(_xlfn.XLOOKUP(tbl_CONTENT[[#This Row],[Topic]], tbl_TOPIC[Topic], tbl_TOPIC[ParentTopic])="", "",
       _xlfn.XLOOKUP(tbl_CONTENT[[#This Row],[Topic]], tbl_TOPIC[Topic], tbl_TOPIC[ParentTopic])),
  ""
)</f>
        <v/>
      </c>
      <c r="X98" s="22" t="str">
        <f>IFERROR(
  IF(_xlfn.XLOOKUP(tbl_CONTENT[[#This Row],[Topic]], tbl_TOPIC[Topic], tbl_TOPIC[TopicPath])="", "",
       _xlfn.XLOOKUP(tbl_CONTENT[[#This Row],[Topic]], tbl_TOPIC[Topic], tbl_TOPIC[TopicPath])),
  ""
)</f>
        <v>Homologie Funktor in HA</v>
      </c>
    </row>
    <row r="99" spans="3:24" ht="34" x14ac:dyDescent="0.2">
      <c r="C99" s="22" t="str">
        <f>_xlfn.XLOOKUP(tbl_CONTENT[[#This Row],[TopicID]], tbl_TOPIC[TopicID], tbl_TOPIC[Subject], "")</f>
        <v>HA</v>
      </c>
      <c r="D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HA-T12-05-25</v>
      </c>
      <c r="E99" s="22">
        <f>ROW()</f>
        <v>99</v>
      </c>
      <c r="F99" s="22" t="s">
        <v>1051</v>
      </c>
      <c r="G99" s="22" t="str">
        <f>_xlfn.XLOOKUP(tbl_CONTENT[[#This Row],[Topic]], tbl_TOPIC[Topic], tbl_TOPIC[TopicID], "")</f>
        <v>HA-1-05</v>
      </c>
      <c r="H99" s="22" cm="1">
        <f t="array" ref="H99">SUM((tbl_CONTENT[[#This Row],[TopicID]]=INDEX(tbl_CONTENT[TopicID],1):tbl_CONTENT[[#This Row],[TopicID]])*1)</f>
        <v>25</v>
      </c>
      <c r="I99" s="22" t="str">
        <f>_xlfn.XLOOKUP(tbl_CONTENT[[#This Row],[Topic]], tbl_TOPIC[Topic], tbl_TOPIC[TopicIndex], "")</f>
        <v>05</v>
      </c>
      <c r="J99" s="22" t="s">
        <v>141</v>
      </c>
      <c r="K99" s="22" t="s">
        <v>261</v>
      </c>
      <c r="L99" s="22" t="s">
        <v>151</v>
      </c>
      <c r="N99" s="22">
        <v>2</v>
      </c>
      <c r="O99" s="22">
        <v>3</v>
      </c>
      <c r="P99" s="22">
        <v>4</v>
      </c>
      <c r="Q99" s="22">
        <v>5</v>
      </c>
      <c r="S99" s="35">
        <f>IFERROR(
 (1.907*EXP(1)^(-0.5*tbl_CONTENT[[#This Row],[Layer]])) *
 ((tbl_CONTENT[[#This Row],[RelInt]]-1)^(2.5)*4^(1-2.5)+1) +
 ((tbl_CONTENT[[#This Row],[Comp]]-1)^(2.5)*4^(1-2.5)+1)*(0.5*((tbl_CONTENT[[#This Row],[RelInt]]-1)/4)^(2.5)+1),
 0
)</f>
        <v>4.1914549319579635</v>
      </c>
      <c r="T99" s="35">
        <f>IFERROR(
 (1.907*EXP(1)^(-0.5*VALUE(tbl_CONTENT[[#This Row],[Layer]]))) *
 ((VALUE(tbl_CONTENT[[#This Row],[RelId]])-1)^(2.5)*4^(1-2.5)+1) +
 ((VALUE(tbl_CONTENT[[#This Row],[Comp]])-1)^(2.5)*4^(1-2.5)+1)*(0.5*((VALUE(tbl_CONTENT[[#This Row],[RelId]])-1)/4)^(2.5)+1),
 0
)</f>
        <v>6.0683906433495247</v>
      </c>
      <c r="W99" s="22" t="str">
        <f>IFERROR(
  IF(_xlfn.XLOOKUP(tbl_CONTENT[[#This Row],[Topic]], tbl_TOPIC[Topic], tbl_TOPIC[ParentTopic])="", "",
       _xlfn.XLOOKUP(tbl_CONTENT[[#This Row],[Topic]], tbl_TOPIC[Topic], tbl_TOPIC[ParentTopic])),
  ""
)</f>
        <v/>
      </c>
      <c r="X99" s="22" t="str">
        <f>IFERROR(
  IF(_xlfn.XLOOKUP(tbl_CONTENT[[#This Row],[Topic]], tbl_TOPIC[Topic], tbl_TOPIC[TopicPath])="", "",
       _xlfn.XLOOKUP(tbl_CONTENT[[#This Row],[Topic]], tbl_TOPIC[Topic], tbl_TOPIC[TopicPath])),
  ""
)</f>
        <v>Homologie Funktor in HA</v>
      </c>
    </row>
    <row r="100" spans="3:24" ht="17" x14ac:dyDescent="0.2">
      <c r="C100" s="22" t="str">
        <f>_xlfn.XLOOKUP(tbl_CONTENT[[#This Row],[TopicID]], tbl_TOPIC[TopicID], tbl_TOPIC[Subject], "")</f>
        <v>HA</v>
      </c>
      <c r="D1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HA-T12-01-22</v>
      </c>
      <c r="E100" s="22">
        <f>ROW()</f>
        <v>100</v>
      </c>
      <c r="F100" s="22" t="s">
        <v>1051</v>
      </c>
      <c r="G100" s="22" t="str">
        <f>_xlfn.XLOOKUP(tbl_CONTENT[[#This Row],[Topic]], tbl_TOPIC[Topic], tbl_TOPIC[TopicID], "")</f>
        <v>HA-1-01</v>
      </c>
      <c r="H100" s="22" cm="1">
        <f t="array" ref="H100">SUM((tbl_CONTENT[[#This Row],[TopicID]]=INDEX(tbl_CONTENT[TopicID],1):tbl_CONTENT[[#This Row],[TopicID]])*1)</f>
        <v>22</v>
      </c>
      <c r="I100" s="22" t="str">
        <f>_xlfn.XLOOKUP(tbl_CONTENT[[#This Row],[Topic]], tbl_TOPIC[Topic], tbl_TOPIC[TopicIndex], "")</f>
        <v>01</v>
      </c>
      <c r="J100" s="22" t="s">
        <v>158</v>
      </c>
      <c r="K100" s="22" t="s">
        <v>272</v>
      </c>
      <c r="L100" s="22" t="s">
        <v>271</v>
      </c>
      <c r="S100" s="35">
        <f>IFERROR(
 (1.907*EXP(1)^(-0.5*tbl_CONTENT[[#This Row],[Layer]])) *
 ((tbl_CONTENT[[#This Row],[RelInt]]-1)^(2.5)*4^(1-2.5)+1) +
 ((tbl_CONTENT[[#This Row],[Comp]]-1)^(2.5)*4^(1-2.5)+1)*(0.5*((tbl_CONTENT[[#This Row],[RelInt]]-1)/4)^(2.5)+1),
 0
)</f>
        <v>0</v>
      </c>
      <c r="T100" s="35">
        <f>IFERROR(
 (1.907*EXP(1)^(-0.5*VALUE(tbl_CONTENT[[#This Row],[Layer]]))) *
 ((VALUE(tbl_CONTENT[[#This Row],[RelId]])-1)^(2.5)*4^(1-2.5)+1) +
 ((VALUE(tbl_CONTENT[[#This Row],[Comp]])-1)^(2.5)*4^(1-2.5)+1)*(0.5*((VALUE(tbl_CONTENT[[#This Row],[RelId]])-1)/4)^(2.5)+1),
 0
)</f>
        <v>0</v>
      </c>
      <c r="W100" s="22" t="str">
        <f>IFERROR(
  IF(_xlfn.XLOOKUP(tbl_CONTENT[[#This Row],[Topic]], tbl_TOPIC[Topic], tbl_TOPIC[ParentTopic])="", "",
       _xlfn.XLOOKUP(tbl_CONTENT[[#This Row],[Topic]], tbl_TOPIC[Topic], tbl_TOPIC[ParentTopic])),
  ""
)</f>
        <v/>
      </c>
      <c r="X100" s="22" t="str">
        <f>IFERROR(
  IF(_xlfn.XLOOKUP(tbl_CONTENT[[#This Row],[Topic]], tbl_TOPIC[Topic], tbl_TOPIC[TopicPath])="", "",
       _xlfn.XLOOKUP(tbl_CONTENT[[#This Row],[Topic]], tbl_TOPIC[Topic], tbl_TOPIC[TopicPath])),
  ""
)</f>
        <v>Kategorien und Funktoren in HA</v>
      </c>
    </row>
    <row r="101" spans="3:24" ht="51" x14ac:dyDescent="0.2">
      <c r="C101" s="22" t="str">
        <f>_xlfn.XLOOKUP(tbl_CONTENT[[#This Row],[TopicID]], tbl_TOPIC[TopicID], tbl_TOPIC[Subject], "")</f>
        <v>HA</v>
      </c>
      <c r="D1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HA-T12-01-23</v>
      </c>
      <c r="E101" s="22">
        <f>ROW()</f>
        <v>101</v>
      </c>
      <c r="F101" s="22" t="s">
        <v>1051</v>
      </c>
      <c r="G101" s="22" t="str">
        <f>_xlfn.XLOOKUP(tbl_CONTENT[[#This Row],[Topic]], tbl_TOPIC[Topic], tbl_TOPIC[TopicID], "")</f>
        <v>HA-1-01</v>
      </c>
      <c r="H101" s="22" cm="1">
        <f t="array" ref="H101">SUM((tbl_CONTENT[[#This Row],[TopicID]]=INDEX(tbl_CONTENT[TopicID],1):tbl_CONTENT[[#This Row],[TopicID]])*1)</f>
        <v>23</v>
      </c>
      <c r="I101" s="22" t="str">
        <f>_xlfn.XLOOKUP(tbl_CONTENT[[#This Row],[Topic]], tbl_TOPIC[Topic], tbl_TOPIC[TopicIndex], "")</f>
        <v>01</v>
      </c>
      <c r="J101" s="22" t="s">
        <v>158</v>
      </c>
      <c r="K101" s="22" t="s">
        <v>273</v>
      </c>
      <c r="L101" s="22" t="s">
        <v>271</v>
      </c>
      <c r="S101" s="35">
        <f>IFERROR(
 (1.907*EXP(1)^(-0.5*tbl_CONTENT[[#This Row],[Layer]])) *
 ((tbl_CONTENT[[#This Row],[RelInt]]-1)^(2.5)*4^(1-2.5)+1) +
 ((tbl_CONTENT[[#This Row],[Comp]]-1)^(2.5)*4^(1-2.5)+1)*(0.5*((tbl_CONTENT[[#This Row],[RelInt]]-1)/4)^(2.5)+1),
 0
)</f>
        <v>0</v>
      </c>
      <c r="T101" s="35">
        <f>IFERROR(
 (1.907*EXP(1)^(-0.5*VALUE(tbl_CONTENT[[#This Row],[Layer]]))) *
 ((VALUE(tbl_CONTENT[[#This Row],[RelId]])-1)^(2.5)*4^(1-2.5)+1) +
 ((VALUE(tbl_CONTENT[[#This Row],[Comp]])-1)^(2.5)*4^(1-2.5)+1)*(0.5*((VALUE(tbl_CONTENT[[#This Row],[RelId]])-1)/4)^(2.5)+1),
 0
)</f>
        <v>0</v>
      </c>
      <c r="W101" s="22" t="str">
        <f>IFERROR(
  IF(_xlfn.XLOOKUP(tbl_CONTENT[[#This Row],[Topic]], tbl_TOPIC[Topic], tbl_TOPIC[ParentTopic])="", "",
       _xlfn.XLOOKUP(tbl_CONTENT[[#This Row],[Topic]], tbl_TOPIC[Topic], tbl_TOPIC[ParentTopic])),
  ""
)</f>
        <v/>
      </c>
      <c r="X101" s="22" t="str">
        <f>IFERROR(
  IF(_xlfn.XLOOKUP(tbl_CONTENT[[#This Row],[Topic]], tbl_TOPIC[Topic], tbl_TOPIC[TopicPath])="", "",
       _xlfn.XLOOKUP(tbl_CONTENT[[#This Row],[Topic]], tbl_TOPIC[Topic], tbl_TOPIC[TopicPath])),
  ""
)</f>
        <v>Kategorien und Funktoren in HA</v>
      </c>
    </row>
    <row r="102" spans="3:24" ht="51" x14ac:dyDescent="0.2">
      <c r="C102" s="22" t="str">
        <f>_xlfn.XLOOKUP(tbl_CONTENT[[#This Row],[TopicID]], tbl_TOPIC[TopicID], tbl_TOPIC[Subject], "")</f>
        <v>HA</v>
      </c>
      <c r="D1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HA-T12-04-20</v>
      </c>
      <c r="E102" s="22">
        <f>ROW()</f>
        <v>102</v>
      </c>
      <c r="F102" s="22" t="s">
        <v>1051</v>
      </c>
      <c r="G102" s="22" t="str">
        <f>_xlfn.XLOOKUP(tbl_CONTENT[[#This Row],[Topic]], tbl_TOPIC[Topic], tbl_TOPIC[TopicID], "")</f>
        <v>HA-1-04</v>
      </c>
      <c r="H102" s="22" cm="1">
        <f t="array" ref="H102">SUM((tbl_CONTENT[[#This Row],[TopicID]]=INDEX(tbl_CONTENT[TopicID],1):tbl_CONTENT[[#This Row],[TopicID]])*1)</f>
        <v>20</v>
      </c>
      <c r="I102" s="22" t="str">
        <f>_xlfn.XLOOKUP(tbl_CONTENT[[#This Row],[Topic]], tbl_TOPIC[Topic], tbl_TOPIC[TopicIndex], "")</f>
        <v>04</v>
      </c>
      <c r="J102" s="22" t="s">
        <v>134</v>
      </c>
      <c r="K102" s="22" t="s">
        <v>274</v>
      </c>
      <c r="L102" s="22" t="s">
        <v>271</v>
      </c>
      <c r="S102" s="35">
        <f>IFERROR(
 (1.907*EXP(1)^(-0.5*tbl_CONTENT[[#This Row],[Layer]])) *
 ((tbl_CONTENT[[#This Row],[RelInt]]-1)^(2.5)*4^(1-2.5)+1) +
 ((tbl_CONTENT[[#This Row],[Comp]]-1)^(2.5)*4^(1-2.5)+1)*(0.5*((tbl_CONTENT[[#This Row],[RelInt]]-1)/4)^(2.5)+1),
 0
)</f>
        <v>0</v>
      </c>
      <c r="T102" s="35">
        <f>IFERROR(
 (1.907*EXP(1)^(-0.5*VALUE(tbl_CONTENT[[#This Row],[Layer]]))) *
 ((VALUE(tbl_CONTENT[[#This Row],[RelId]])-1)^(2.5)*4^(1-2.5)+1) +
 ((VALUE(tbl_CONTENT[[#This Row],[Comp]])-1)^(2.5)*4^(1-2.5)+1)*(0.5*((VALUE(tbl_CONTENT[[#This Row],[RelId]])-1)/4)^(2.5)+1),
 0
)</f>
        <v>0</v>
      </c>
      <c r="V102" s="22" t="s">
        <v>275</v>
      </c>
      <c r="W102" s="22" t="str">
        <f>IFERROR(
  IF(_xlfn.XLOOKUP(tbl_CONTENT[[#This Row],[Topic]], tbl_TOPIC[Topic], tbl_TOPIC[ParentTopic])="", "",
       _xlfn.XLOOKUP(tbl_CONTENT[[#This Row],[Topic]], tbl_TOPIC[Topic], tbl_TOPIC[ParentTopic])),
  ""
)</f>
        <v/>
      </c>
      <c r="X102" s="22" t="str">
        <f>IFERROR(
  IF(_xlfn.XLOOKUP(tbl_CONTENT[[#This Row],[Topic]], tbl_TOPIC[Topic], tbl_TOPIC[TopicPath])="", "",
       _xlfn.XLOOKUP(tbl_CONTENT[[#This Row],[Topic]], tbl_TOPIC[Topic], tbl_TOPIC[TopicPath])),
  ""
)</f>
        <v>Abelsche Kategorien</v>
      </c>
    </row>
    <row r="103" spans="3:24" ht="51" x14ac:dyDescent="0.2">
      <c r="C103" s="22" t="str">
        <f>_xlfn.XLOOKUP(tbl_CONTENT[[#This Row],[TopicID]], tbl_TOPIC[TopicID], tbl_TOPIC[Subject], "")</f>
        <v>HA</v>
      </c>
      <c r="D1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HA-T12-06-13</v>
      </c>
      <c r="E103" s="22">
        <f>ROW()</f>
        <v>103</v>
      </c>
      <c r="F103" s="22" t="s">
        <v>1051</v>
      </c>
      <c r="G103" s="22" t="str">
        <f>_xlfn.XLOOKUP(tbl_CONTENT[[#This Row],[Topic]], tbl_TOPIC[Topic], tbl_TOPIC[TopicID], "")</f>
        <v>HA-1-06</v>
      </c>
      <c r="H103" s="22" cm="1">
        <f t="array" ref="H103">SUM((tbl_CONTENT[[#This Row],[TopicID]]=INDEX(tbl_CONTENT[TopicID],1):tbl_CONTENT[[#This Row],[TopicID]])*1)</f>
        <v>13</v>
      </c>
      <c r="I103" s="22" t="str">
        <f>_xlfn.XLOOKUP(tbl_CONTENT[[#This Row],[Topic]], tbl_TOPIC[Topic], tbl_TOPIC[TopicIndex], "")</f>
        <v>06</v>
      </c>
      <c r="J103" s="22" t="s">
        <v>140</v>
      </c>
      <c r="K103" s="22" t="s">
        <v>276</v>
      </c>
      <c r="L103" s="22" t="s">
        <v>271</v>
      </c>
      <c r="S103" s="35">
        <f>IFERROR(
 (1.907*EXP(1)^(-0.5*tbl_CONTENT[[#This Row],[Layer]])) *
 ((tbl_CONTENT[[#This Row],[RelInt]]-1)^(2.5)*4^(1-2.5)+1) +
 ((tbl_CONTENT[[#This Row],[Comp]]-1)^(2.5)*4^(1-2.5)+1)*(0.5*((tbl_CONTENT[[#This Row],[RelInt]]-1)/4)^(2.5)+1),
 0
)</f>
        <v>0</v>
      </c>
      <c r="T103" s="35">
        <f>IFERROR(
 (1.907*EXP(1)^(-0.5*VALUE(tbl_CONTENT[[#This Row],[Layer]]))) *
 ((VALUE(tbl_CONTENT[[#This Row],[RelId]])-1)^(2.5)*4^(1-2.5)+1) +
 ((VALUE(tbl_CONTENT[[#This Row],[Comp]])-1)^(2.5)*4^(1-2.5)+1)*(0.5*((VALUE(tbl_CONTENT[[#This Row],[RelId]])-1)/4)^(2.5)+1),
 0
)</f>
        <v>0</v>
      </c>
      <c r="W103" s="22" t="str">
        <f>IFERROR(
  IF(_xlfn.XLOOKUP(tbl_CONTENT[[#This Row],[Topic]], tbl_TOPIC[Topic], tbl_TOPIC[ParentTopic])="", "",
       _xlfn.XLOOKUP(tbl_CONTENT[[#This Row],[Topic]], tbl_TOPIC[Topic], tbl_TOPIC[ParentTopic])),
  ""
)</f>
        <v/>
      </c>
      <c r="X103" s="22" t="str">
        <f>IFERROR(
  IF(_xlfn.XLOOKUP(tbl_CONTENT[[#This Row],[Topic]], tbl_TOPIC[Topic], tbl_TOPIC[TopicPath])="", "",
       _xlfn.XLOOKUP(tbl_CONTENT[[#This Row],[Topic]], tbl_TOPIC[Topic], tbl_TOPIC[TopicPath])),
  ""
)</f>
        <v>Komplexe in HA</v>
      </c>
    </row>
    <row r="104" spans="3:24" ht="34" x14ac:dyDescent="0.2">
      <c r="C104" s="22" t="str">
        <f>_xlfn.XLOOKUP(tbl_CONTENT[[#This Row],[TopicID]], tbl_TOPIC[TopicID], tbl_TOPIC[Subject], "")</f>
        <v>HA</v>
      </c>
      <c r="D1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HA-T12-05-26</v>
      </c>
      <c r="E104" s="22">
        <f>ROW()</f>
        <v>104</v>
      </c>
      <c r="F104" s="22" t="s">
        <v>1051</v>
      </c>
      <c r="G104" s="22" t="str">
        <f>_xlfn.XLOOKUP(tbl_CONTENT[[#This Row],[Topic]], tbl_TOPIC[Topic], tbl_TOPIC[TopicID], "")</f>
        <v>HA-1-05</v>
      </c>
      <c r="H104" s="22" cm="1">
        <f t="array" ref="H104">SUM((tbl_CONTENT[[#This Row],[TopicID]]=INDEX(tbl_CONTENT[TopicID],1):tbl_CONTENT[[#This Row],[TopicID]])*1)</f>
        <v>26</v>
      </c>
      <c r="I104" s="22" t="str">
        <f>_xlfn.XLOOKUP(tbl_CONTENT[[#This Row],[Topic]], tbl_TOPIC[Topic], tbl_TOPIC[TopicIndex], "")</f>
        <v>05</v>
      </c>
      <c r="J104" s="22" t="s">
        <v>141</v>
      </c>
      <c r="K104" s="22" t="s">
        <v>278</v>
      </c>
      <c r="L104" s="22" t="s">
        <v>271</v>
      </c>
      <c r="S104" s="35">
        <f>IFERROR(
 (1.907*EXP(1)^(-0.5*tbl_CONTENT[[#This Row],[Layer]])) *
 ((tbl_CONTENT[[#This Row],[RelInt]]-1)^(2.5)*4^(1-2.5)+1) +
 ((tbl_CONTENT[[#This Row],[Comp]]-1)^(2.5)*4^(1-2.5)+1)*(0.5*((tbl_CONTENT[[#This Row],[RelInt]]-1)/4)^(2.5)+1),
 0
)</f>
        <v>0</v>
      </c>
      <c r="T104" s="35">
        <f>IFERROR(
 (1.907*EXP(1)^(-0.5*VALUE(tbl_CONTENT[[#This Row],[Layer]]))) *
 ((VALUE(tbl_CONTENT[[#This Row],[RelId]])-1)^(2.5)*4^(1-2.5)+1) +
 ((VALUE(tbl_CONTENT[[#This Row],[Comp]])-1)^(2.5)*4^(1-2.5)+1)*(0.5*((VALUE(tbl_CONTENT[[#This Row],[RelId]])-1)/4)^(2.5)+1),
 0
)</f>
        <v>0</v>
      </c>
      <c r="V104" s="22" t="s">
        <v>277</v>
      </c>
      <c r="W104" s="22" t="str">
        <f>IFERROR(
  IF(_xlfn.XLOOKUP(tbl_CONTENT[[#This Row],[Topic]], tbl_TOPIC[Topic], tbl_TOPIC[ParentTopic])="", "",
       _xlfn.XLOOKUP(tbl_CONTENT[[#This Row],[Topic]], tbl_TOPIC[Topic], tbl_TOPIC[ParentTopic])),
  ""
)</f>
        <v/>
      </c>
      <c r="X104" s="22" t="str">
        <f>IFERROR(
  IF(_xlfn.XLOOKUP(tbl_CONTENT[[#This Row],[Topic]], tbl_TOPIC[Topic], tbl_TOPIC[TopicPath])="", "",
       _xlfn.XLOOKUP(tbl_CONTENT[[#This Row],[Topic]], tbl_TOPIC[Topic], tbl_TOPIC[TopicPath])),
  ""
)</f>
        <v>Homologie Funktor in HA</v>
      </c>
    </row>
    <row r="105" spans="3:24" ht="34" x14ac:dyDescent="0.2">
      <c r="C105" s="22" t="str">
        <f>_xlfn.XLOOKUP(tbl_CONTENT[[#This Row],[TopicID]], tbl_TOPIC[TopicID], tbl_TOPIC[Subject], "")</f>
        <v>HA</v>
      </c>
      <c r="D1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HA-T12-05-27</v>
      </c>
      <c r="E105" s="22">
        <f>ROW()</f>
        <v>105</v>
      </c>
      <c r="F105" s="22" t="s">
        <v>1051</v>
      </c>
      <c r="G105" s="22" t="str">
        <f>_xlfn.XLOOKUP(tbl_CONTENT[[#This Row],[Topic]], tbl_TOPIC[Topic], tbl_TOPIC[TopicID], "")</f>
        <v>HA-1-05</v>
      </c>
      <c r="H105" s="22" cm="1">
        <f t="array" ref="H105">SUM((tbl_CONTENT[[#This Row],[TopicID]]=INDEX(tbl_CONTENT[TopicID],1):tbl_CONTENT[[#This Row],[TopicID]])*1)</f>
        <v>27</v>
      </c>
      <c r="I105" s="22" t="str">
        <f>_xlfn.XLOOKUP(tbl_CONTENT[[#This Row],[Topic]], tbl_TOPIC[Topic], tbl_TOPIC[TopicIndex], "")</f>
        <v>05</v>
      </c>
      <c r="J105" s="22" t="s">
        <v>141</v>
      </c>
      <c r="K105" s="22" t="s">
        <v>279</v>
      </c>
      <c r="L105" s="22" t="s">
        <v>271</v>
      </c>
      <c r="S105" s="35">
        <f>IFERROR(
 (1.907*EXP(1)^(-0.5*tbl_CONTENT[[#This Row],[Layer]])) *
 ((tbl_CONTENT[[#This Row],[RelInt]]-1)^(2.5)*4^(1-2.5)+1) +
 ((tbl_CONTENT[[#This Row],[Comp]]-1)^(2.5)*4^(1-2.5)+1)*(0.5*((tbl_CONTENT[[#This Row],[RelInt]]-1)/4)^(2.5)+1),
 0
)</f>
        <v>0</v>
      </c>
      <c r="T105" s="35">
        <f>IFERROR(
 (1.907*EXP(1)^(-0.5*VALUE(tbl_CONTENT[[#This Row],[Layer]]))) *
 ((VALUE(tbl_CONTENT[[#This Row],[RelId]])-1)^(2.5)*4^(1-2.5)+1) +
 ((VALUE(tbl_CONTENT[[#This Row],[Comp]])-1)^(2.5)*4^(1-2.5)+1)*(0.5*((VALUE(tbl_CONTENT[[#This Row],[RelId]])-1)/4)^(2.5)+1),
 0
)</f>
        <v>0</v>
      </c>
      <c r="W105" s="22" t="str">
        <f>IFERROR(
  IF(_xlfn.XLOOKUP(tbl_CONTENT[[#This Row],[Topic]], tbl_TOPIC[Topic], tbl_TOPIC[ParentTopic])="", "",
       _xlfn.XLOOKUP(tbl_CONTENT[[#This Row],[Topic]], tbl_TOPIC[Topic], tbl_TOPIC[ParentTopic])),
  ""
)</f>
        <v/>
      </c>
      <c r="X105" s="22" t="str">
        <f>IFERROR(
  IF(_xlfn.XLOOKUP(tbl_CONTENT[[#This Row],[Topic]], tbl_TOPIC[Topic], tbl_TOPIC[TopicPath])="", "",
       _xlfn.XLOOKUP(tbl_CONTENT[[#This Row],[Topic]], tbl_TOPIC[Topic], tbl_TOPIC[TopicPath])),
  ""
)</f>
        <v>Homologie Funktor in HA</v>
      </c>
    </row>
    <row r="106" spans="3:24" ht="34" x14ac:dyDescent="0.2">
      <c r="C106" s="22" t="str">
        <f>_xlfn.XLOOKUP(tbl_CONTENT[[#This Row],[TopicID]], tbl_TOPIC[TopicID], tbl_TOPIC[Subject], "")</f>
        <v>HA</v>
      </c>
      <c r="D1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HA-T12-05-28</v>
      </c>
      <c r="E106" s="22">
        <f>ROW()</f>
        <v>106</v>
      </c>
      <c r="F106" s="22" t="s">
        <v>1051</v>
      </c>
      <c r="G106" s="22" t="str">
        <f>_xlfn.XLOOKUP(tbl_CONTENT[[#This Row],[Topic]], tbl_TOPIC[Topic], tbl_TOPIC[TopicID], "")</f>
        <v>HA-1-05</v>
      </c>
      <c r="H106" s="22" cm="1">
        <f t="array" ref="H106">SUM((tbl_CONTENT[[#This Row],[TopicID]]=INDEX(tbl_CONTENT[TopicID],1):tbl_CONTENT[[#This Row],[TopicID]])*1)</f>
        <v>28</v>
      </c>
      <c r="I106" s="22" t="str">
        <f>_xlfn.XLOOKUP(tbl_CONTENT[[#This Row],[Topic]], tbl_TOPIC[Topic], tbl_TOPIC[TopicIndex], "")</f>
        <v>05</v>
      </c>
      <c r="J106" s="22" t="s">
        <v>141</v>
      </c>
      <c r="K106" s="22" t="s">
        <v>287</v>
      </c>
      <c r="L106" s="22" t="s">
        <v>271</v>
      </c>
      <c r="S106" s="35">
        <f>IFERROR(
 (1.907*EXP(1)^(-0.5*tbl_CONTENT[[#This Row],[Layer]])) *
 ((tbl_CONTENT[[#This Row],[RelInt]]-1)^(2.5)*4^(1-2.5)+1) +
 ((tbl_CONTENT[[#This Row],[Comp]]-1)^(2.5)*4^(1-2.5)+1)*(0.5*((tbl_CONTENT[[#This Row],[RelInt]]-1)/4)^(2.5)+1),
 0
)</f>
        <v>0</v>
      </c>
      <c r="T106" s="35">
        <f>IFERROR(
 (1.907*EXP(1)^(-0.5*VALUE(tbl_CONTENT[[#This Row],[Layer]]))) *
 ((VALUE(tbl_CONTENT[[#This Row],[RelId]])-1)^(2.5)*4^(1-2.5)+1) +
 ((VALUE(tbl_CONTENT[[#This Row],[Comp]])-1)^(2.5)*4^(1-2.5)+1)*(0.5*((VALUE(tbl_CONTENT[[#This Row],[RelId]])-1)/4)^(2.5)+1),
 0
)</f>
        <v>0</v>
      </c>
      <c r="W106" s="22" t="str">
        <f>IFERROR(
  IF(_xlfn.XLOOKUP(tbl_CONTENT[[#This Row],[Topic]], tbl_TOPIC[Topic], tbl_TOPIC[ParentTopic])="", "",
       _xlfn.XLOOKUP(tbl_CONTENT[[#This Row],[Topic]], tbl_TOPIC[Topic], tbl_TOPIC[ParentTopic])),
  ""
)</f>
        <v/>
      </c>
      <c r="X106" s="22" t="str">
        <f>IFERROR(
  IF(_xlfn.XLOOKUP(tbl_CONTENT[[#This Row],[Topic]], tbl_TOPIC[Topic], tbl_TOPIC[TopicPath])="", "",
       _xlfn.XLOOKUP(tbl_CONTENT[[#This Row],[Topic]], tbl_TOPIC[Topic], tbl_TOPIC[TopicPath])),
  ""
)</f>
        <v>Homologie Funktor in HA</v>
      </c>
    </row>
    <row r="107" spans="3:24" ht="34" x14ac:dyDescent="0.2">
      <c r="C107" s="22" t="str">
        <f>_xlfn.XLOOKUP(tbl_CONTENT[[#This Row],[TopicID]], tbl_TOPIC[TopicID], tbl_TOPIC[Subject], "")</f>
        <v>HA</v>
      </c>
      <c r="D1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HA-T12-05-29</v>
      </c>
      <c r="E107" s="22">
        <f>ROW()</f>
        <v>107</v>
      </c>
      <c r="F107" s="22" t="s">
        <v>1051</v>
      </c>
      <c r="G107" s="22" t="str">
        <f>_xlfn.XLOOKUP(tbl_CONTENT[[#This Row],[Topic]], tbl_TOPIC[Topic], tbl_TOPIC[TopicID], "")</f>
        <v>HA-1-05</v>
      </c>
      <c r="H107" s="22" cm="1">
        <f t="array" ref="H107">SUM((tbl_CONTENT[[#This Row],[TopicID]]=INDEX(tbl_CONTENT[TopicID],1):tbl_CONTENT[[#This Row],[TopicID]])*1)</f>
        <v>29</v>
      </c>
      <c r="I107" s="22" t="str">
        <f>_xlfn.XLOOKUP(tbl_CONTENT[[#This Row],[Topic]], tbl_TOPIC[Topic], tbl_TOPIC[TopicIndex], "")</f>
        <v>05</v>
      </c>
      <c r="J107" s="22" t="s">
        <v>141</v>
      </c>
      <c r="K107" s="22" t="s">
        <v>290</v>
      </c>
      <c r="L107" s="22" t="s">
        <v>271</v>
      </c>
      <c r="S107" s="35">
        <f>IFERROR(
 (1.907*EXP(1)^(-0.5*tbl_CONTENT[[#This Row],[Layer]])) *
 ((tbl_CONTENT[[#This Row],[RelInt]]-1)^(2.5)*4^(1-2.5)+1) +
 ((tbl_CONTENT[[#This Row],[Comp]]-1)^(2.5)*4^(1-2.5)+1)*(0.5*((tbl_CONTENT[[#This Row],[RelInt]]-1)/4)^(2.5)+1),
 0
)</f>
        <v>0</v>
      </c>
      <c r="T107" s="35">
        <f>IFERROR(
 (1.907*EXP(1)^(-0.5*VALUE(tbl_CONTENT[[#This Row],[Layer]]))) *
 ((VALUE(tbl_CONTENT[[#This Row],[RelId]])-1)^(2.5)*4^(1-2.5)+1) +
 ((VALUE(tbl_CONTENT[[#This Row],[Comp]])-1)^(2.5)*4^(1-2.5)+1)*(0.5*((VALUE(tbl_CONTENT[[#This Row],[RelId]])-1)/4)^(2.5)+1),
 0
)</f>
        <v>0</v>
      </c>
      <c r="W107" s="22" t="str">
        <f>IFERROR(
  IF(_xlfn.XLOOKUP(tbl_CONTENT[[#This Row],[Topic]], tbl_TOPIC[Topic], tbl_TOPIC[ParentTopic])="", "",
       _xlfn.XLOOKUP(tbl_CONTENT[[#This Row],[Topic]], tbl_TOPIC[Topic], tbl_TOPIC[ParentTopic])),
  ""
)</f>
        <v/>
      </c>
      <c r="X107" s="22" t="str">
        <f>IFERROR(
  IF(_xlfn.XLOOKUP(tbl_CONTENT[[#This Row],[Topic]], tbl_TOPIC[Topic], tbl_TOPIC[TopicPath])="", "",
       _xlfn.XLOOKUP(tbl_CONTENT[[#This Row],[Topic]], tbl_TOPIC[Topic], tbl_TOPIC[TopicPath])),
  ""
)</f>
        <v>Homologie Funktor in HA</v>
      </c>
    </row>
    <row r="108" spans="3:24" ht="34" x14ac:dyDescent="0.2">
      <c r="C108" s="22" t="str">
        <f>_xlfn.XLOOKUP(tbl_CONTENT[[#This Row],[TopicID]], tbl_TOPIC[TopicID], tbl_TOPIC[Subject], "")</f>
        <v>TOP1</v>
      </c>
      <c r="D1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TOP1-T12-02-01</v>
      </c>
      <c r="E108" s="22">
        <f>ROW()</f>
        <v>108</v>
      </c>
      <c r="F108" s="22" t="s">
        <v>1051</v>
      </c>
      <c r="G108" s="22" t="str">
        <f>_xlfn.XLOOKUP(tbl_CONTENT[[#This Row],[Topic]], tbl_TOPIC[Topic], tbl_TOPIC[TopicID], "")</f>
        <v>TOP1-1-02</v>
      </c>
      <c r="H108" s="22" cm="1">
        <f t="array" ref="H108">SUM((tbl_CONTENT[[#This Row],[TopicID]]=INDEX(tbl_CONTENT[TopicID],1):tbl_CONTENT[[#This Row],[TopicID]])*1)</f>
        <v>1</v>
      </c>
      <c r="I108" s="22" t="str">
        <f>_xlfn.XLOOKUP(tbl_CONTENT[[#This Row],[Topic]], tbl_TOPIC[Topic], tbl_TOPIC[TopicIndex], "")</f>
        <v>02</v>
      </c>
      <c r="J108" s="22" t="s">
        <v>103</v>
      </c>
      <c r="K108" s="22" t="s">
        <v>280</v>
      </c>
      <c r="L108" s="22" t="s">
        <v>152</v>
      </c>
      <c r="M108" s="22">
        <v>1</v>
      </c>
      <c r="N108" s="22">
        <v>1</v>
      </c>
      <c r="O108" s="22">
        <v>1</v>
      </c>
      <c r="P108" s="22">
        <v>5</v>
      </c>
      <c r="Q108" s="22">
        <v>5</v>
      </c>
      <c r="S108" s="35">
        <f>IFERROR(
 (1.907*EXP(1)^(-0.5*tbl_CONTENT[[#This Row],[Layer]])) *
 ((tbl_CONTENT[[#This Row],[RelInt]]-1)^(2.5)*4^(1-2.5)+1) +
 ((tbl_CONTENT[[#This Row],[Comp]]-1)^(2.5)*4^(1-2.5)+1)*(0.5*((tbl_CONTENT[[#This Row],[RelInt]]-1)/4)^(2.5)+1),
 0
)</f>
        <v>7.2832698403599609</v>
      </c>
      <c r="T108" s="35">
        <f>IFERROR(
 (1.907*EXP(1)^(-0.5*VALUE(tbl_CONTENT[[#This Row],[Layer]]))) *
 ((VALUE(tbl_CONTENT[[#This Row],[RelId]])-1)^(2.5)*4^(1-2.5)+1) +
 ((VALUE(tbl_CONTENT[[#This Row],[Comp]])-1)^(2.5)*4^(1-2.5)+1)*(0.5*((VALUE(tbl_CONTENT[[#This Row],[RelId]])-1)/4)^(2.5)+1),
 0
)</f>
        <v>7.2832698403599609</v>
      </c>
      <c r="W108" s="22" t="str">
        <f>IFERROR(
  IF(_xlfn.XLOOKUP(tbl_CONTENT[[#This Row],[Topic]], tbl_TOPIC[Topic], tbl_TOPIC[ParentTopic])="", "",
       _xlfn.XLOOKUP(tbl_CONTENT[[#This Row],[Topic]], tbl_TOPIC[Topic], tbl_TOPIC[ParentTopic])),
  ""
)</f>
        <v>Singuläre Homologie (SHT)</v>
      </c>
      <c r="X108" s="22" t="str">
        <f>IFERROR(
  IF(_xlfn.XLOOKUP(tbl_CONTENT[[#This Row],[Topic]], tbl_TOPIC[Topic], tbl_TOPIC[TopicPath])="", "",
       _xlfn.XLOOKUP(tbl_CONTENT[[#This Row],[Topic]], tbl_TOPIC[Topic], tbl_TOPIC[TopicPath])),
  ""
)</f>
        <v>Singuläre Homologie (SHT)/Basics der SHT</v>
      </c>
    </row>
    <row r="109" spans="3:24" ht="34" x14ac:dyDescent="0.2">
      <c r="C109" s="22" t="str">
        <f>_xlfn.XLOOKUP(tbl_CONTENT[[#This Row],[TopicID]], tbl_TOPIC[TopicID], tbl_TOPIC[Subject], "")</f>
        <v>TOP1</v>
      </c>
      <c r="D1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TOP1-T12-02-02</v>
      </c>
      <c r="E109" s="22">
        <f>ROW()</f>
        <v>109</v>
      </c>
      <c r="F109" s="22" t="s">
        <v>1051</v>
      </c>
      <c r="G109" s="22" t="str">
        <f>_xlfn.XLOOKUP(tbl_CONTENT[[#This Row],[Topic]], tbl_TOPIC[Topic], tbl_TOPIC[TopicID], "")</f>
        <v>TOP1-1-02</v>
      </c>
      <c r="H109" s="22" cm="1">
        <f t="array" ref="H109">SUM((tbl_CONTENT[[#This Row],[TopicID]]=INDEX(tbl_CONTENT[TopicID],1):tbl_CONTENT[[#This Row],[TopicID]])*1)</f>
        <v>2</v>
      </c>
      <c r="I109" s="22" t="str">
        <f>_xlfn.XLOOKUP(tbl_CONTENT[[#This Row],[Topic]], tbl_TOPIC[Topic], tbl_TOPIC[TopicIndex], "")</f>
        <v>02</v>
      </c>
      <c r="J109" s="22" t="s">
        <v>103</v>
      </c>
      <c r="K109" s="22" t="s">
        <v>281</v>
      </c>
      <c r="L109" s="22" t="s">
        <v>152</v>
      </c>
      <c r="M109" s="22">
        <v>1</v>
      </c>
      <c r="N109" s="22">
        <v>1</v>
      </c>
      <c r="O109" s="22">
        <v>1</v>
      </c>
      <c r="P109" s="22">
        <v>5</v>
      </c>
      <c r="Q109" s="22">
        <v>5</v>
      </c>
      <c r="S109" s="35">
        <f>IFERROR(
 (1.907*EXP(1)^(-0.5*tbl_CONTENT[[#This Row],[Layer]])) *
 ((tbl_CONTENT[[#This Row],[RelInt]]-1)^(2.5)*4^(1-2.5)+1) +
 ((tbl_CONTENT[[#This Row],[Comp]]-1)^(2.5)*4^(1-2.5)+1)*(0.5*((tbl_CONTENT[[#This Row],[RelInt]]-1)/4)^(2.5)+1),
 0
)</f>
        <v>7.2832698403599609</v>
      </c>
      <c r="T109" s="35">
        <f>IFERROR(
 (1.907*EXP(1)^(-0.5*VALUE(tbl_CONTENT[[#This Row],[Layer]]))) *
 ((VALUE(tbl_CONTENT[[#This Row],[RelId]])-1)^(2.5)*4^(1-2.5)+1) +
 ((VALUE(tbl_CONTENT[[#This Row],[Comp]])-1)^(2.5)*4^(1-2.5)+1)*(0.5*((VALUE(tbl_CONTENT[[#This Row],[RelId]])-1)/4)^(2.5)+1),
 0
)</f>
        <v>7.2832698403599609</v>
      </c>
      <c r="W109" s="22" t="str">
        <f>IFERROR(
  IF(_xlfn.XLOOKUP(tbl_CONTENT[[#This Row],[Topic]], tbl_TOPIC[Topic], tbl_TOPIC[ParentTopic])="", "",
       _xlfn.XLOOKUP(tbl_CONTENT[[#This Row],[Topic]], tbl_TOPIC[Topic], tbl_TOPIC[ParentTopic])),
  ""
)</f>
        <v>Singuläre Homologie (SHT)</v>
      </c>
      <c r="X109" s="22" t="str">
        <f>IFERROR(
  IF(_xlfn.XLOOKUP(tbl_CONTENT[[#This Row],[Topic]], tbl_TOPIC[Topic], tbl_TOPIC[TopicPath])="", "",
       _xlfn.XLOOKUP(tbl_CONTENT[[#This Row],[Topic]], tbl_TOPIC[Topic], tbl_TOPIC[TopicPath])),
  ""
)</f>
        <v>Singuläre Homologie (SHT)/Basics der SHT</v>
      </c>
    </row>
    <row r="110" spans="3:24" ht="34" x14ac:dyDescent="0.2">
      <c r="C110" s="22" t="str">
        <f>_xlfn.XLOOKUP(tbl_CONTENT[[#This Row],[TopicID]], tbl_TOPIC[TopicID], tbl_TOPIC[Subject], "")</f>
        <v>TOP1</v>
      </c>
      <c r="D1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TOP1-T12-02-03</v>
      </c>
      <c r="E110" s="22">
        <f>ROW()</f>
        <v>110</v>
      </c>
      <c r="F110" s="22" t="s">
        <v>1051</v>
      </c>
      <c r="G110" s="22" t="str">
        <f>_xlfn.XLOOKUP(tbl_CONTENT[[#This Row],[Topic]], tbl_TOPIC[Topic], tbl_TOPIC[TopicID], "")</f>
        <v>TOP1-1-02</v>
      </c>
      <c r="H110" s="22" cm="1">
        <f t="array" ref="H110">SUM((tbl_CONTENT[[#This Row],[TopicID]]=INDEX(tbl_CONTENT[TopicID],1):tbl_CONTENT[[#This Row],[TopicID]])*1)</f>
        <v>3</v>
      </c>
      <c r="I110" s="22" t="str">
        <f>_xlfn.XLOOKUP(tbl_CONTENT[[#This Row],[Topic]], tbl_TOPIC[Topic], tbl_TOPIC[TopicIndex], "")</f>
        <v>02</v>
      </c>
      <c r="J110" s="22" t="s">
        <v>103</v>
      </c>
      <c r="K110" s="22" t="s">
        <v>283</v>
      </c>
      <c r="L110" s="22" t="s">
        <v>152</v>
      </c>
      <c r="M110" s="22">
        <v>1</v>
      </c>
      <c r="N110" s="22">
        <v>1</v>
      </c>
      <c r="O110" s="22">
        <v>2</v>
      </c>
      <c r="P110" s="22">
        <v>5</v>
      </c>
      <c r="Q110" s="22">
        <v>5</v>
      </c>
      <c r="S110" s="35">
        <f>IFERROR(
 (1.907*EXP(1)^(-0.5*tbl_CONTENT[[#This Row],[Layer]])) *
 ((tbl_CONTENT[[#This Row],[RelInt]]-1)^(2.5)*4^(1-2.5)+1) +
 ((tbl_CONTENT[[#This Row],[Comp]]-1)^(2.5)*4^(1-2.5)+1)*(0.5*((tbl_CONTENT[[#This Row],[RelInt]]-1)/4)^(2.5)+1),
 0
)</f>
        <v>7.4707698403599609</v>
      </c>
      <c r="T110" s="35">
        <f>IFERROR(
 (1.907*EXP(1)^(-0.5*VALUE(tbl_CONTENT[[#This Row],[Layer]]))) *
 ((VALUE(tbl_CONTENT[[#This Row],[RelId]])-1)^(2.5)*4^(1-2.5)+1) +
 ((VALUE(tbl_CONTENT[[#This Row],[Comp]])-1)^(2.5)*4^(1-2.5)+1)*(0.5*((VALUE(tbl_CONTENT[[#This Row],[RelId]])-1)/4)^(2.5)+1),
 0
)</f>
        <v>7.4707698403599609</v>
      </c>
      <c r="W110" s="22" t="str">
        <f>IFERROR(
  IF(_xlfn.XLOOKUP(tbl_CONTENT[[#This Row],[Topic]], tbl_TOPIC[Topic], tbl_TOPIC[ParentTopic])="", "",
       _xlfn.XLOOKUP(tbl_CONTENT[[#This Row],[Topic]], tbl_TOPIC[Topic], tbl_TOPIC[ParentTopic])),
  ""
)</f>
        <v>Singuläre Homologie (SHT)</v>
      </c>
      <c r="X110" s="22" t="str">
        <f>IFERROR(
  IF(_xlfn.XLOOKUP(tbl_CONTENT[[#This Row],[Topic]], tbl_TOPIC[Topic], tbl_TOPIC[TopicPath])="", "",
       _xlfn.XLOOKUP(tbl_CONTENT[[#This Row],[Topic]], tbl_TOPIC[Topic], tbl_TOPIC[TopicPath])),
  ""
)</f>
        <v>Singuläre Homologie (SHT)/Basics der SHT</v>
      </c>
    </row>
    <row r="111" spans="3:24" ht="34" x14ac:dyDescent="0.2">
      <c r="C111" s="22" t="str">
        <f>_xlfn.XLOOKUP(tbl_CONTENT[[#This Row],[TopicID]], tbl_TOPIC[TopicID], tbl_TOPIC[Subject], "")</f>
        <v>TOP1</v>
      </c>
      <c r="D1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TOP1-T12-02-04</v>
      </c>
      <c r="E111" s="22">
        <f>ROW()</f>
        <v>111</v>
      </c>
      <c r="F111" s="22" t="s">
        <v>1051</v>
      </c>
      <c r="G111" s="22" t="str">
        <f>_xlfn.XLOOKUP(tbl_CONTENT[[#This Row],[Topic]], tbl_TOPIC[Topic], tbl_TOPIC[TopicID], "")</f>
        <v>TOP1-1-02</v>
      </c>
      <c r="H111" s="22" cm="1">
        <f t="array" ref="H111">SUM((tbl_CONTENT[[#This Row],[TopicID]]=INDEX(tbl_CONTENT[TopicID],1):tbl_CONTENT[[#This Row],[TopicID]])*1)</f>
        <v>4</v>
      </c>
      <c r="I111" s="22" t="str">
        <f>_xlfn.XLOOKUP(tbl_CONTENT[[#This Row],[Topic]], tbl_TOPIC[Topic], tbl_TOPIC[TopicIndex], "")</f>
        <v>02</v>
      </c>
      <c r="J111" s="22" t="s">
        <v>103</v>
      </c>
      <c r="K111" s="22" t="s">
        <v>282</v>
      </c>
      <c r="L111" s="22" t="s">
        <v>152</v>
      </c>
      <c r="M111" s="22">
        <v>1</v>
      </c>
      <c r="N111" s="22">
        <v>1</v>
      </c>
      <c r="O111" s="22">
        <v>2</v>
      </c>
      <c r="P111" s="22">
        <v>5</v>
      </c>
      <c r="Q111" s="22">
        <v>5</v>
      </c>
      <c r="S111" s="35">
        <f>IFERROR(
 (1.907*EXP(1)^(-0.5*tbl_CONTENT[[#This Row],[Layer]])) *
 ((tbl_CONTENT[[#This Row],[RelInt]]-1)^(2.5)*4^(1-2.5)+1) +
 ((tbl_CONTENT[[#This Row],[Comp]]-1)^(2.5)*4^(1-2.5)+1)*(0.5*((tbl_CONTENT[[#This Row],[RelInt]]-1)/4)^(2.5)+1),
 0
)</f>
        <v>7.4707698403599609</v>
      </c>
      <c r="T111" s="35">
        <f>IFERROR(
 (1.907*EXP(1)^(-0.5*VALUE(tbl_CONTENT[[#This Row],[Layer]]))) *
 ((VALUE(tbl_CONTENT[[#This Row],[RelId]])-1)^(2.5)*4^(1-2.5)+1) +
 ((VALUE(tbl_CONTENT[[#This Row],[Comp]])-1)^(2.5)*4^(1-2.5)+1)*(0.5*((VALUE(tbl_CONTENT[[#This Row],[RelId]])-1)/4)^(2.5)+1),
 0
)</f>
        <v>7.4707698403599609</v>
      </c>
      <c r="W111" s="22" t="str">
        <f>IFERROR(
  IF(_xlfn.XLOOKUP(tbl_CONTENT[[#This Row],[Topic]], tbl_TOPIC[Topic], tbl_TOPIC[ParentTopic])="", "",
       _xlfn.XLOOKUP(tbl_CONTENT[[#This Row],[Topic]], tbl_TOPIC[Topic], tbl_TOPIC[ParentTopic])),
  ""
)</f>
        <v>Singuläre Homologie (SHT)</v>
      </c>
      <c r="X111" s="22" t="str">
        <f>IFERROR(
  IF(_xlfn.XLOOKUP(tbl_CONTENT[[#This Row],[Topic]], tbl_TOPIC[Topic], tbl_TOPIC[TopicPath])="", "",
       _xlfn.XLOOKUP(tbl_CONTENT[[#This Row],[Topic]], tbl_TOPIC[Topic], tbl_TOPIC[TopicPath])),
  ""
)</f>
        <v>Singuläre Homologie (SHT)/Basics der SHT</v>
      </c>
    </row>
    <row r="112" spans="3:24" ht="34" x14ac:dyDescent="0.2">
      <c r="C112" s="22" t="str">
        <f>_xlfn.XLOOKUP(tbl_CONTENT[[#This Row],[TopicID]], tbl_TOPIC[TopicID], tbl_TOPIC[Subject], "")</f>
        <v>TOP1</v>
      </c>
      <c r="D1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TOP1-T12-02-05</v>
      </c>
      <c r="E112" s="22">
        <f>ROW()</f>
        <v>112</v>
      </c>
      <c r="F112" s="22" t="s">
        <v>1051</v>
      </c>
      <c r="G112" s="22" t="str">
        <f>_xlfn.XLOOKUP(tbl_CONTENT[[#This Row],[Topic]], tbl_TOPIC[Topic], tbl_TOPIC[TopicID], "")</f>
        <v>TOP1-1-02</v>
      </c>
      <c r="H112" s="22" cm="1">
        <f t="array" ref="H112">SUM((tbl_CONTENT[[#This Row],[TopicID]]=INDEX(tbl_CONTENT[TopicID],1):tbl_CONTENT[[#This Row],[TopicID]])*1)</f>
        <v>5</v>
      </c>
      <c r="I112" s="22" t="str">
        <f>_xlfn.XLOOKUP(tbl_CONTENT[[#This Row],[Topic]], tbl_TOPIC[Topic], tbl_TOPIC[TopicIndex], "")</f>
        <v>02</v>
      </c>
      <c r="J112" s="22" t="s">
        <v>103</v>
      </c>
      <c r="K112" s="22" t="s">
        <v>284</v>
      </c>
      <c r="L112" s="22" t="s">
        <v>152</v>
      </c>
      <c r="M112" s="22">
        <v>1</v>
      </c>
      <c r="N112" s="22">
        <v>1</v>
      </c>
      <c r="O112" s="22">
        <v>3</v>
      </c>
      <c r="P112" s="22">
        <v>5</v>
      </c>
      <c r="Q112" s="22">
        <v>5</v>
      </c>
      <c r="S112" s="35">
        <f>IFERROR(
 (1.907*EXP(1)^(-0.5*tbl_CONTENT[[#This Row],[Layer]])) *
 ((tbl_CONTENT[[#This Row],[RelInt]]-1)^(2.5)*4^(1-2.5)+1) +
 ((tbl_CONTENT[[#This Row],[Comp]]-1)^(2.5)*4^(1-2.5)+1)*(0.5*((tbl_CONTENT[[#This Row],[RelInt]]-1)/4)^(2.5)+1),
 0
)</f>
        <v>8.3439300121397828</v>
      </c>
      <c r="T112" s="35">
        <f>IFERROR(
 (1.907*EXP(1)^(-0.5*VALUE(tbl_CONTENT[[#This Row],[Layer]]))) *
 ((VALUE(tbl_CONTENT[[#This Row],[RelId]])-1)^(2.5)*4^(1-2.5)+1) +
 ((VALUE(tbl_CONTENT[[#This Row],[Comp]])-1)^(2.5)*4^(1-2.5)+1)*(0.5*((VALUE(tbl_CONTENT[[#This Row],[RelId]])-1)/4)^(2.5)+1),
 0
)</f>
        <v>8.3439300121397828</v>
      </c>
      <c r="W112" s="22" t="str">
        <f>IFERROR(
  IF(_xlfn.XLOOKUP(tbl_CONTENT[[#This Row],[Topic]], tbl_TOPIC[Topic], tbl_TOPIC[ParentTopic])="", "",
       _xlfn.XLOOKUP(tbl_CONTENT[[#This Row],[Topic]], tbl_TOPIC[Topic], tbl_TOPIC[ParentTopic])),
  ""
)</f>
        <v>Singuläre Homologie (SHT)</v>
      </c>
      <c r="X112" s="22" t="str">
        <f>IFERROR(
  IF(_xlfn.XLOOKUP(tbl_CONTENT[[#This Row],[Topic]], tbl_TOPIC[Topic], tbl_TOPIC[TopicPath])="", "",
       _xlfn.XLOOKUP(tbl_CONTENT[[#This Row],[Topic]], tbl_TOPIC[Topic], tbl_TOPIC[TopicPath])),
  ""
)</f>
        <v>Singuläre Homologie (SHT)/Basics der SHT</v>
      </c>
    </row>
    <row r="113" spans="3:24" ht="34" x14ac:dyDescent="0.2">
      <c r="C113" s="22" t="str">
        <f>_xlfn.XLOOKUP(tbl_CONTENT[[#This Row],[TopicID]], tbl_TOPIC[TopicID], tbl_TOPIC[Subject], "")</f>
        <v>TOP1</v>
      </c>
      <c r="D1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TOP1-T12-02-06</v>
      </c>
      <c r="E113" s="22">
        <f>ROW()</f>
        <v>113</v>
      </c>
      <c r="F113" s="22" t="s">
        <v>1051</v>
      </c>
      <c r="G113" s="22" t="str">
        <f>_xlfn.XLOOKUP(tbl_CONTENT[[#This Row],[Topic]], tbl_TOPIC[Topic], tbl_TOPIC[TopicID], "")</f>
        <v>TOP1-1-02</v>
      </c>
      <c r="H113" s="22" cm="1">
        <f t="array" ref="H113">SUM((tbl_CONTENT[[#This Row],[TopicID]]=INDEX(tbl_CONTENT[TopicID],1):tbl_CONTENT[[#This Row],[TopicID]])*1)</f>
        <v>6</v>
      </c>
      <c r="I113" s="22" t="str">
        <f>_xlfn.XLOOKUP(tbl_CONTENT[[#This Row],[Topic]], tbl_TOPIC[Topic], tbl_TOPIC[TopicIndex], "")</f>
        <v>02</v>
      </c>
      <c r="J113" s="22" t="s">
        <v>103</v>
      </c>
      <c r="K113" s="42" t="s">
        <v>285</v>
      </c>
      <c r="L113" s="22" t="s">
        <v>147</v>
      </c>
      <c r="M113" s="22">
        <v>1</v>
      </c>
      <c r="N113" s="22">
        <v>2</v>
      </c>
      <c r="O113" s="22">
        <v>3</v>
      </c>
      <c r="P113" s="22">
        <v>4</v>
      </c>
      <c r="Q113" s="22">
        <v>5</v>
      </c>
      <c r="S113" s="35">
        <f>IFERROR(
 (1.907*EXP(1)^(-0.5*tbl_CONTENT[[#This Row],[Layer]])) *
 ((tbl_CONTENT[[#This Row],[RelInt]]-1)^(2.5)*4^(1-2.5)+1) +
 ((tbl_CONTENT[[#This Row],[Comp]]-1)^(2.5)*4^(1-2.5)+1)*(0.5*((tbl_CONTENT[[#This Row],[RelInt]]-1)/4)^(2.5)+1),
 0
)</f>
        <v>4.1914549319579635</v>
      </c>
      <c r="T113" s="35">
        <f>IFERROR(
 (1.907*EXP(1)^(-0.5*VALUE(tbl_CONTENT[[#This Row],[Layer]]))) *
 ((VALUE(tbl_CONTENT[[#This Row],[RelId]])-1)^(2.5)*4^(1-2.5)+1) +
 ((VALUE(tbl_CONTENT[[#This Row],[Comp]])-1)^(2.5)*4^(1-2.5)+1)*(0.5*((VALUE(tbl_CONTENT[[#This Row],[RelId]])-1)/4)^(2.5)+1),
 0
)</f>
        <v>6.0683906433495247</v>
      </c>
      <c r="W113" s="22" t="str">
        <f>IFERROR(
  IF(_xlfn.XLOOKUP(tbl_CONTENT[[#This Row],[Topic]], tbl_TOPIC[Topic], tbl_TOPIC[ParentTopic])="", "",
       _xlfn.XLOOKUP(tbl_CONTENT[[#This Row],[Topic]], tbl_TOPIC[Topic], tbl_TOPIC[ParentTopic])),
  ""
)</f>
        <v>Singuläre Homologie (SHT)</v>
      </c>
      <c r="X113" s="22" t="str">
        <f>IFERROR(
  IF(_xlfn.XLOOKUP(tbl_CONTENT[[#This Row],[Topic]], tbl_TOPIC[Topic], tbl_TOPIC[TopicPath])="", "",
       _xlfn.XLOOKUP(tbl_CONTENT[[#This Row],[Topic]], tbl_TOPIC[Topic], tbl_TOPIC[TopicPath])),
  ""
)</f>
        <v>Singuläre Homologie (SHT)/Basics der SHT</v>
      </c>
    </row>
    <row r="114" spans="3:24" ht="51" x14ac:dyDescent="0.2">
      <c r="C114" s="22" t="str">
        <f>_xlfn.XLOOKUP(tbl_CONTENT[[#This Row],[TopicID]], tbl_TOPIC[TopicID], tbl_TOPIC[Subject], "")</f>
        <v>TOP1</v>
      </c>
      <c r="D1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TOP1-T12-02-07</v>
      </c>
      <c r="E114" s="22">
        <f>ROW()</f>
        <v>114</v>
      </c>
      <c r="F114" s="22" t="s">
        <v>1051</v>
      </c>
      <c r="G114" s="22" t="str">
        <f>_xlfn.XLOOKUP(tbl_CONTENT[[#This Row],[Topic]], tbl_TOPIC[Topic], tbl_TOPIC[TopicID], "")</f>
        <v>TOP1-1-02</v>
      </c>
      <c r="H114" s="22" cm="1">
        <f t="array" ref="H114">SUM((tbl_CONTENT[[#This Row],[TopicID]]=INDEX(tbl_CONTENT[TopicID],1):tbl_CONTENT[[#This Row],[TopicID]])*1)</f>
        <v>7</v>
      </c>
      <c r="I114" s="22" t="str">
        <f>_xlfn.XLOOKUP(tbl_CONTENT[[#This Row],[Topic]], tbl_TOPIC[Topic], tbl_TOPIC[TopicIndex], "")</f>
        <v>02</v>
      </c>
      <c r="J114" s="22" t="s">
        <v>103</v>
      </c>
      <c r="K114" s="22" t="s">
        <v>286</v>
      </c>
      <c r="L114" s="22" t="s">
        <v>147</v>
      </c>
      <c r="M114" s="22">
        <v>1</v>
      </c>
      <c r="N114" s="22">
        <v>1</v>
      </c>
      <c r="O114" s="22">
        <v>3</v>
      </c>
      <c r="P114" s="22">
        <v>5</v>
      </c>
      <c r="Q114" s="22">
        <v>5</v>
      </c>
      <c r="S114" s="35">
        <f>IFERROR(
 (1.907*EXP(1)^(-0.5*tbl_CONTENT[[#This Row],[Layer]])) *
 ((tbl_CONTENT[[#This Row],[RelInt]]-1)^(2.5)*4^(1-2.5)+1) +
 ((tbl_CONTENT[[#This Row],[Comp]]-1)^(2.5)*4^(1-2.5)+1)*(0.5*((tbl_CONTENT[[#This Row],[RelInt]]-1)/4)^(2.5)+1),
 0
)</f>
        <v>8.3439300121397828</v>
      </c>
      <c r="T114" s="35">
        <f>IFERROR(
 (1.907*EXP(1)^(-0.5*VALUE(tbl_CONTENT[[#This Row],[Layer]]))) *
 ((VALUE(tbl_CONTENT[[#This Row],[RelId]])-1)^(2.5)*4^(1-2.5)+1) +
 ((VALUE(tbl_CONTENT[[#This Row],[Comp]])-1)^(2.5)*4^(1-2.5)+1)*(0.5*((VALUE(tbl_CONTENT[[#This Row],[RelId]])-1)/4)^(2.5)+1),
 0
)</f>
        <v>8.3439300121397828</v>
      </c>
      <c r="W114" s="22" t="str">
        <f>IFERROR(
  IF(_xlfn.XLOOKUP(tbl_CONTENT[[#This Row],[Topic]], tbl_TOPIC[Topic], tbl_TOPIC[ParentTopic])="", "",
       _xlfn.XLOOKUP(tbl_CONTENT[[#This Row],[Topic]], tbl_TOPIC[Topic], tbl_TOPIC[ParentTopic])),
  ""
)</f>
        <v>Singuläre Homologie (SHT)</v>
      </c>
      <c r="X114" s="22" t="str">
        <f>IFERROR(
  IF(_xlfn.XLOOKUP(tbl_CONTENT[[#This Row],[Topic]], tbl_TOPIC[Topic], tbl_TOPIC[TopicPath])="", "",
       _xlfn.XLOOKUP(tbl_CONTENT[[#This Row],[Topic]], tbl_TOPIC[Topic], tbl_TOPIC[TopicPath])),
  ""
)</f>
        <v>Singuläre Homologie (SHT)/Basics der SHT</v>
      </c>
    </row>
    <row r="115" spans="3:24" ht="34" x14ac:dyDescent="0.2">
      <c r="C115" s="22" t="str">
        <f>_xlfn.XLOOKUP(tbl_CONTENT[[#This Row],[TopicID]], tbl_TOPIC[TopicID], tbl_TOPIC[Subject], "")</f>
        <v>TOP1</v>
      </c>
      <c r="D1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TOP1-T12-09-01</v>
      </c>
      <c r="E115" s="22">
        <f>ROW()</f>
        <v>115</v>
      </c>
      <c r="F115" s="22" t="s">
        <v>1051</v>
      </c>
      <c r="G115" s="22" t="str">
        <f>_xlfn.XLOOKUP(tbl_CONTENT[[#This Row],[Topic]], tbl_TOPIC[Topic], tbl_TOPIC[TopicID], "")</f>
        <v>TOP1-1-09</v>
      </c>
      <c r="H115" s="22" cm="1">
        <f t="array" ref="H115">SUM((tbl_CONTENT[[#This Row],[TopicID]]=INDEX(tbl_CONTENT[TopicID],1):tbl_CONTENT[[#This Row],[TopicID]])*1)</f>
        <v>1</v>
      </c>
      <c r="I115" s="22" t="str">
        <f>_xlfn.XLOOKUP(tbl_CONTENT[[#This Row],[Topic]], tbl_TOPIC[Topic], tbl_TOPIC[TopicIndex], "")</f>
        <v>09</v>
      </c>
      <c r="J115" s="22" t="s">
        <v>122</v>
      </c>
      <c r="K115" s="22" t="s">
        <v>293</v>
      </c>
      <c r="L115" s="22" t="s">
        <v>152</v>
      </c>
      <c r="M115" s="22">
        <v>1</v>
      </c>
      <c r="N115" s="22">
        <v>1</v>
      </c>
      <c r="O115" s="22">
        <v>2</v>
      </c>
      <c r="P115" s="22">
        <v>5</v>
      </c>
      <c r="Q115" s="22">
        <v>5</v>
      </c>
      <c r="S115" s="35">
        <f>IFERROR(
 (1.907*EXP(1)^(-0.5*tbl_CONTENT[[#This Row],[Layer]])) *
 ((tbl_CONTENT[[#This Row],[RelInt]]-1)^(2.5)*4^(1-2.5)+1) +
 ((tbl_CONTENT[[#This Row],[Comp]]-1)^(2.5)*4^(1-2.5)+1)*(0.5*((tbl_CONTENT[[#This Row],[RelInt]]-1)/4)^(2.5)+1),
 0
)</f>
        <v>7.4707698403599609</v>
      </c>
      <c r="T115" s="35">
        <f>IFERROR(
 (1.907*EXP(1)^(-0.5*VALUE(tbl_CONTENT[[#This Row],[Layer]]))) *
 ((VALUE(tbl_CONTENT[[#This Row],[RelId]])-1)^(2.5)*4^(1-2.5)+1) +
 ((VALUE(tbl_CONTENT[[#This Row],[Comp]])-1)^(2.5)*4^(1-2.5)+1)*(0.5*((VALUE(tbl_CONTENT[[#This Row],[RelId]])-1)/4)^(2.5)+1),
 0
)</f>
        <v>7.4707698403599609</v>
      </c>
      <c r="W115" s="22" t="str">
        <f>IFERROR(
  IF(_xlfn.XLOOKUP(tbl_CONTENT[[#This Row],[Topic]], tbl_TOPIC[Topic], tbl_TOPIC[ParentTopic])="", "",
       _xlfn.XLOOKUP(tbl_CONTENT[[#This Row],[Topic]], tbl_TOPIC[Topic], tbl_TOPIC[ParentTopic])),
  ""
)</f>
        <v/>
      </c>
      <c r="X115" s="22" t="str">
        <f>IFERROR(
  IF(_xlfn.XLOOKUP(tbl_CONTENT[[#This Row],[Topic]], tbl_TOPIC[Topic], tbl_TOPIC[TopicPath])="", "",
       _xlfn.XLOOKUP(tbl_CONTENT[[#This Row],[Topic]], tbl_TOPIC[Topic], tbl_TOPIC[TopicPath])),
  ""
)</f>
        <v>Absolute und Relative Homologie</v>
      </c>
    </row>
    <row r="116" spans="3:24" ht="34" x14ac:dyDescent="0.2">
      <c r="C116" s="22" t="str">
        <f>_xlfn.XLOOKUP(tbl_CONTENT[[#This Row],[TopicID]], tbl_TOPIC[TopicID], tbl_TOPIC[Subject], "")</f>
        <v>TOP1</v>
      </c>
      <c r="D1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TOP1-T12-09-02</v>
      </c>
      <c r="E116" s="22">
        <f>ROW()</f>
        <v>116</v>
      </c>
      <c r="F116" s="22" t="s">
        <v>1051</v>
      </c>
      <c r="G116" s="22" t="str">
        <f>_xlfn.XLOOKUP(tbl_CONTENT[[#This Row],[Topic]], tbl_TOPIC[Topic], tbl_TOPIC[TopicID], "")</f>
        <v>TOP1-1-09</v>
      </c>
      <c r="H116" s="22" cm="1">
        <f t="array" ref="H116">SUM((tbl_CONTENT[[#This Row],[TopicID]]=INDEX(tbl_CONTENT[TopicID],1):tbl_CONTENT[[#This Row],[TopicID]])*1)</f>
        <v>2</v>
      </c>
      <c r="I116" s="22" t="str">
        <f>_xlfn.XLOOKUP(tbl_CONTENT[[#This Row],[Topic]], tbl_TOPIC[Topic], tbl_TOPIC[TopicIndex], "")</f>
        <v>09</v>
      </c>
      <c r="J116" s="22" t="s">
        <v>122</v>
      </c>
      <c r="K116" s="22" t="s">
        <v>1037</v>
      </c>
      <c r="L116" s="22" t="s">
        <v>150</v>
      </c>
      <c r="M116" s="22">
        <v>1</v>
      </c>
      <c r="N116" s="22">
        <v>2</v>
      </c>
      <c r="O116" s="22">
        <v>3</v>
      </c>
      <c r="P116" s="22">
        <v>5</v>
      </c>
      <c r="Q116" s="22">
        <v>5</v>
      </c>
      <c r="S116" s="35">
        <f>IFERROR(
 (1.907*EXP(1)^(-0.5*tbl_CONTENT[[#This Row],[Layer]])) *
 ((tbl_CONTENT[[#This Row],[RelInt]]-1)^(2.5)*4^(1-2.5)+1) +
 ((tbl_CONTENT[[#This Row],[Comp]]-1)^(2.5)*4^(1-2.5)+1)*(0.5*((tbl_CONTENT[[#This Row],[RelInt]]-1)/4)^(2.5)+1),
 0
)</f>
        <v>6.0683906433495247</v>
      </c>
      <c r="T116" s="35">
        <f>IFERROR(
 (1.907*EXP(1)^(-0.5*VALUE(tbl_CONTENT[[#This Row],[Layer]]))) *
 ((VALUE(tbl_CONTENT[[#This Row],[RelId]])-1)^(2.5)*4^(1-2.5)+1) +
 ((VALUE(tbl_CONTENT[[#This Row],[Comp]])-1)^(2.5)*4^(1-2.5)+1)*(0.5*((VALUE(tbl_CONTENT[[#This Row],[RelId]])-1)/4)^(2.5)+1),
 0
)</f>
        <v>6.0683906433495247</v>
      </c>
      <c r="W116" s="22" t="str">
        <f>IFERROR(
  IF(_xlfn.XLOOKUP(tbl_CONTENT[[#This Row],[Topic]], tbl_TOPIC[Topic], tbl_TOPIC[ParentTopic])="", "",
       _xlfn.XLOOKUP(tbl_CONTENT[[#This Row],[Topic]], tbl_TOPIC[Topic], tbl_TOPIC[ParentTopic])),
  ""
)</f>
        <v/>
      </c>
      <c r="X116" s="22" t="str">
        <f>IFERROR(
  IF(_xlfn.XLOOKUP(tbl_CONTENT[[#This Row],[Topic]], tbl_TOPIC[Topic], tbl_TOPIC[TopicPath])="", "",
       _xlfn.XLOOKUP(tbl_CONTENT[[#This Row],[Topic]], tbl_TOPIC[Topic], tbl_TOPIC[TopicPath])),
  ""
)</f>
        <v>Absolute und Relative Homologie</v>
      </c>
    </row>
    <row r="117" spans="3:24" ht="51" x14ac:dyDescent="0.2">
      <c r="C117" s="22" t="str">
        <f>_xlfn.XLOOKUP(tbl_CONTENT[[#This Row],[TopicID]], tbl_TOPIC[TopicID], tbl_TOPIC[Subject], "")</f>
        <v>TOP1</v>
      </c>
      <c r="D1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TOP1-T12-09-03</v>
      </c>
      <c r="E117" s="22">
        <f>ROW()</f>
        <v>117</v>
      </c>
      <c r="F117" s="22" t="s">
        <v>1051</v>
      </c>
      <c r="G117" s="22" t="str">
        <f>_xlfn.XLOOKUP(tbl_CONTENT[[#This Row],[Topic]], tbl_TOPIC[Topic], tbl_TOPIC[TopicID], "")</f>
        <v>TOP1-1-09</v>
      </c>
      <c r="H117" s="22" cm="1">
        <f t="array" ref="H117">SUM((tbl_CONTENT[[#This Row],[TopicID]]=INDEX(tbl_CONTENT[TopicID],1):tbl_CONTENT[[#This Row],[TopicID]])*1)</f>
        <v>3</v>
      </c>
      <c r="I117" s="22" t="str">
        <f>_xlfn.XLOOKUP(tbl_CONTENT[[#This Row],[Topic]], tbl_TOPIC[Topic], tbl_TOPIC[TopicIndex], "")</f>
        <v>09</v>
      </c>
      <c r="J117" s="22" t="s">
        <v>122</v>
      </c>
      <c r="K117" s="22" t="s">
        <v>291</v>
      </c>
      <c r="L117" s="22" t="s">
        <v>150</v>
      </c>
      <c r="M117" s="22">
        <v>1</v>
      </c>
      <c r="N117" s="22">
        <v>2</v>
      </c>
      <c r="O117" s="22">
        <v>3</v>
      </c>
      <c r="P117" s="22">
        <v>5</v>
      </c>
      <c r="Q117" s="22">
        <v>5</v>
      </c>
      <c r="S117" s="35">
        <f>IFERROR(
 (1.907*EXP(1)^(-0.5*tbl_CONTENT[[#This Row],[Layer]])) *
 ((tbl_CONTENT[[#This Row],[RelInt]]-1)^(2.5)*4^(1-2.5)+1) +
 ((tbl_CONTENT[[#This Row],[Comp]]-1)^(2.5)*4^(1-2.5)+1)*(0.5*((tbl_CONTENT[[#This Row],[RelInt]]-1)/4)^(2.5)+1),
 0
)</f>
        <v>6.0683906433495247</v>
      </c>
      <c r="T117" s="35">
        <f>IFERROR(
 (1.907*EXP(1)^(-0.5*VALUE(tbl_CONTENT[[#This Row],[Layer]]))) *
 ((VALUE(tbl_CONTENT[[#This Row],[RelId]])-1)^(2.5)*4^(1-2.5)+1) +
 ((VALUE(tbl_CONTENT[[#This Row],[Comp]])-1)^(2.5)*4^(1-2.5)+1)*(0.5*((VALUE(tbl_CONTENT[[#This Row],[RelId]])-1)/4)^(2.5)+1),
 0
)</f>
        <v>6.0683906433495247</v>
      </c>
      <c r="W117" s="22" t="str">
        <f>IFERROR(
  IF(_xlfn.XLOOKUP(tbl_CONTENT[[#This Row],[Topic]], tbl_TOPIC[Topic], tbl_TOPIC[ParentTopic])="", "",
       _xlfn.XLOOKUP(tbl_CONTENT[[#This Row],[Topic]], tbl_TOPIC[Topic], tbl_TOPIC[ParentTopic])),
  ""
)</f>
        <v/>
      </c>
      <c r="X117" s="22" t="str">
        <f>IFERROR(
  IF(_xlfn.XLOOKUP(tbl_CONTENT[[#This Row],[Topic]], tbl_TOPIC[Topic], tbl_TOPIC[TopicPath])="", "",
       _xlfn.XLOOKUP(tbl_CONTENT[[#This Row],[Topic]], tbl_TOPIC[Topic], tbl_TOPIC[TopicPath])),
  ""
)</f>
        <v>Absolute und Relative Homologie</v>
      </c>
    </row>
    <row r="118" spans="3:24" ht="34" x14ac:dyDescent="0.2">
      <c r="C118" s="22" t="str">
        <f>_xlfn.XLOOKUP(tbl_CONTENT[[#This Row],[TopicID]], tbl_TOPIC[TopicID], tbl_TOPIC[Subject], "")</f>
        <v>TOP1</v>
      </c>
      <c r="D1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TOP1-T12-09-04</v>
      </c>
      <c r="E118" s="22">
        <f>ROW()</f>
        <v>118</v>
      </c>
      <c r="F118" s="22" t="s">
        <v>1051</v>
      </c>
      <c r="G118" s="22" t="str">
        <f>_xlfn.XLOOKUP(tbl_CONTENT[[#This Row],[Topic]], tbl_TOPIC[Topic], tbl_TOPIC[TopicID], "")</f>
        <v>TOP1-1-09</v>
      </c>
      <c r="H118" s="22" cm="1">
        <f t="array" ref="H118">SUM((tbl_CONTENT[[#This Row],[TopicID]]=INDEX(tbl_CONTENT[TopicID],1):tbl_CONTENT[[#This Row],[TopicID]])*1)</f>
        <v>4</v>
      </c>
      <c r="I118" s="22" t="str">
        <f>_xlfn.XLOOKUP(tbl_CONTENT[[#This Row],[Topic]], tbl_TOPIC[Topic], tbl_TOPIC[TopicIndex], "")</f>
        <v>09</v>
      </c>
      <c r="J118" s="22" t="s">
        <v>122</v>
      </c>
      <c r="K118" s="22" t="s">
        <v>1038</v>
      </c>
      <c r="L118" s="22" t="s">
        <v>148</v>
      </c>
      <c r="M118" s="22">
        <v>1</v>
      </c>
      <c r="N118" s="22">
        <v>2</v>
      </c>
      <c r="O118" s="22">
        <v>2</v>
      </c>
      <c r="P118" s="22">
        <v>4</v>
      </c>
      <c r="Q118" s="22">
        <v>5</v>
      </c>
      <c r="S118" s="35">
        <f>IFERROR(
 (1.907*EXP(1)^(-0.5*tbl_CONTENT[[#This Row],[Layer]])) *
 ((tbl_CONTENT[[#This Row],[RelInt]]-1)^(2.5)*4^(1-2.5)+1) +
 ((tbl_CONTENT[[#This Row],[Comp]]-1)^(2.5)*4^(1-2.5)+1)*(0.5*((tbl_CONTENT[[#This Row],[RelInt]]-1)/4)^(2.5)+1),
 0
)</f>
        <v>3.4675646088337704</v>
      </c>
      <c r="T118" s="35">
        <f>IFERROR(
 (1.907*EXP(1)^(-0.5*VALUE(tbl_CONTENT[[#This Row],[Layer]]))) *
 ((VALUE(tbl_CONTENT[[#This Row],[RelId]])-1)^(2.5)*4^(1-2.5)+1) +
 ((VALUE(tbl_CONTENT[[#This Row],[Comp]])-1)^(2.5)*4^(1-2.5)+1)*(0.5*((VALUE(tbl_CONTENT[[#This Row],[RelId]])-1)/4)^(2.5)+1),
 0
)</f>
        <v>5.1952304715697029</v>
      </c>
      <c r="W118" s="22" t="str">
        <f>IFERROR(
  IF(_xlfn.XLOOKUP(tbl_CONTENT[[#This Row],[Topic]], tbl_TOPIC[Topic], tbl_TOPIC[ParentTopic])="", "",
       _xlfn.XLOOKUP(tbl_CONTENT[[#This Row],[Topic]], tbl_TOPIC[Topic], tbl_TOPIC[ParentTopic])),
  ""
)</f>
        <v/>
      </c>
      <c r="X118" s="22" t="str">
        <f>IFERROR(
  IF(_xlfn.XLOOKUP(tbl_CONTENT[[#This Row],[Topic]], tbl_TOPIC[Topic], tbl_TOPIC[TopicPath])="", "",
       _xlfn.XLOOKUP(tbl_CONTENT[[#This Row],[Topic]], tbl_TOPIC[Topic], tbl_TOPIC[TopicPath])),
  ""
)</f>
        <v>Absolute und Relative Homologie</v>
      </c>
    </row>
    <row r="119" spans="3:24" ht="34" x14ac:dyDescent="0.2">
      <c r="C119" s="22" t="str">
        <f>_xlfn.XLOOKUP(tbl_CONTENT[[#This Row],[TopicID]], tbl_TOPIC[TopicID], tbl_TOPIC[Subject], "")</f>
        <v>TOP1</v>
      </c>
      <c r="D1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TOP1-T12-09-05</v>
      </c>
      <c r="E119" s="22">
        <f>ROW()</f>
        <v>119</v>
      </c>
      <c r="F119" s="22" t="s">
        <v>1051</v>
      </c>
      <c r="G119" s="22" t="str">
        <f>_xlfn.XLOOKUP(tbl_CONTENT[[#This Row],[Topic]], tbl_TOPIC[Topic], tbl_TOPIC[TopicID], "")</f>
        <v>TOP1-1-09</v>
      </c>
      <c r="H119" s="22" cm="1">
        <f t="array" ref="H119">SUM((tbl_CONTENT[[#This Row],[TopicID]]=INDEX(tbl_CONTENT[TopicID],1):tbl_CONTENT[[#This Row],[TopicID]])*1)</f>
        <v>5</v>
      </c>
      <c r="I119" s="22" t="str">
        <f>_xlfn.XLOOKUP(tbl_CONTENT[[#This Row],[Topic]], tbl_TOPIC[Topic], tbl_TOPIC[TopicIndex], "")</f>
        <v>09</v>
      </c>
      <c r="J119" s="22" t="s">
        <v>122</v>
      </c>
      <c r="K119" s="22" t="s">
        <v>294</v>
      </c>
      <c r="L119" s="22" t="s">
        <v>152</v>
      </c>
      <c r="M119" s="22">
        <v>1</v>
      </c>
      <c r="N119" s="22">
        <v>1</v>
      </c>
      <c r="O119" s="22">
        <v>2</v>
      </c>
      <c r="P119" s="22">
        <v>5</v>
      </c>
      <c r="Q119" s="22">
        <v>5</v>
      </c>
      <c r="S119" s="35">
        <f>IFERROR(
 (1.907*EXP(1)^(-0.5*tbl_CONTENT[[#This Row],[Layer]])) *
 ((tbl_CONTENT[[#This Row],[RelInt]]-1)^(2.5)*4^(1-2.5)+1) +
 ((tbl_CONTENT[[#This Row],[Comp]]-1)^(2.5)*4^(1-2.5)+1)*(0.5*((tbl_CONTENT[[#This Row],[RelInt]]-1)/4)^(2.5)+1),
 0
)</f>
        <v>7.4707698403599609</v>
      </c>
      <c r="T119" s="35">
        <f>IFERROR(
 (1.907*EXP(1)^(-0.5*VALUE(tbl_CONTENT[[#This Row],[Layer]]))) *
 ((VALUE(tbl_CONTENT[[#This Row],[RelId]])-1)^(2.5)*4^(1-2.5)+1) +
 ((VALUE(tbl_CONTENT[[#This Row],[Comp]])-1)^(2.5)*4^(1-2.5)+1)*(0.5*((VALUE(tbl_CONTENT[[#This Row],[RelId]])-1)/4)^(2.5)+1),
 0
)</f>
        <v>7.4707698403599609</v>
      </c>
      <c r="W119" s="22" t="str">
        <f>IFERROR(
  IF(_xlfn.XLOOKUP(tbl_CONTENT[[#This Row],[Topic]], tbl_TOPIC[Topic], tbl_TOPIC[ParentTopic])="", "",
       _xlfn.XLOOKUP(tbl_CONTENT[[#This Row],[Topic]], tbl_TOPIC[Topic], tbl_TOPIC[ParentTopic])),
  ""
)</f>
        <v/>
      </c>
      <c r="X119" s="22" t="str">
        <f>IFERROR(
  IF(_xlfn.XLOOKUP(tbl_CONTENT[[#This Row],[Topic]], tbl_TOPIC[Topic], tbl_TOPIC[TopicPath])="", "",
       _xlfn.XLOOKUP(tbl_CONTENT[[#This Row],[Topic]], tbl_TOPIC[Topic], tbl_TOPIC[TopicPath])),
  ""
)</f>
        <v>Absolute und Relative Homologie</v>
      </c>
    </row>
    <row r="120" spans="3:24" ht="34" x14ac:dyDescent="0.2">
      <c r="C120" s="22" t="str">
        <f>_xlfn.XLOOKUP(tbl_CONTENT[[#This Row],[TopicID]], tbl_TOPIC[TopicID], tbl_TOPIC[Subject], "")</f>
        <v>TOP1</v>
      </c>
      <c r="D1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TOP1-T12-09-06</v>
      </c>
      <c r="E120" s="22">
        <f>ROW()</f>
        <v>120</v>
      </c>
      <c r="F120" s="22" t="s">
        <v>1051</v>
      </c>
      <c r="G120" s="22" t="str">
        <f>_xlfn.XLOOKUP(tbl_CONTENT[[#This Row],[Topic]], tbl_TOPIC[Topic], tbl_TOPIC[TopicID], "")</f>
        <v>TOP1-1-09</v>
      </c>
      <c r="H120" s="22" cm="1">
        <f t="array" ref="H120">SUM((tbl_CONTENT[[#This Row],[TopicID]]=INDEX(tbl_CONTENT[TopicID],1):tbl_CONTENT[[#This Row],[TopicID]])*1)</f>
        <v>6</v>
      </c>
      <c r="I120" s="22" t="str">
        <f>_xlfn.XLOOKUP(tbl_CONTENT[[#This Row],[Topic]], tbl_TOPIC[Topic], tbl_TOPIC[TopicIndex], "")</f>
        <v>09</v>
      </c>
      <c r="J120" s="22" t="s">
        <v>122</v>
      </c>
      <c r="K120" s="22" t="s">
        <v>292</v>
      </c>
      <c r="L120" s="22" t="s">
        <v>152</v>
      </c>
      <c r="M120" s="22">
        <v>1</v>
      </c>
      <c r="N120" s="22">
        <v>1</v>
      </c>
      <c r="O120" s="22">
        <v>3</v>
      </c>
      <c r="P120" s="22">
        <v>5</v>
      </c>
      <c r="Q120" s="22">
        <v>5</v>
      </c>
      <c r="S120" s="35">
        <f>IFERROR(
 (1.907*EXP(1)^(-0.5*tbl_CONTENT[[#This Row],[Layer]])) *
 ((tbl_CONTENT[[#This Row],[RelInt]]-1)^(2.5)*4^(1-2.5)+1) +
 ((tbl_CONTENT[[#This Row],[Comp]]-1)^(2.5)*4^(1-2.5)+1)*(0.5*((tbl_CONTENT[[#This Row],[RelInt]]-1)/4)^(2.5)+1),
 0
)</f>
        <v>8.3439300121397828</v>
      </c>
      <c r="T120" s="35">
        <f>IFERROR(
 (1.907*EXP(1)^(-0.5*VALUE(tbl_CONTENT[[#This Row],[Layer]]))) *
 ((VALUE(tbl_CONTENT[[#This Row],[RelId]])-1)^(2.5)*4^(1-2.5)+1) +
 ((VALUE(tbl_CONTENT[[#This Row],[Comp]])-1)^(2.5)*4^(1-2.5)+1)*(0.5*((VALUE(tbl_CONTENT[[#This Row],[RelId]])-1)/4)^(2.5)+1),
 0
)</f>
        <v>8.3439300121397828</v>
      </c>
      <c r="W120" s="22" t="str">
        <f>IFERROR(
  IF(_xlfn.XLOOKUP(tbl_CONTENT[[#This Row],[Topic]], tbl_TOPIC[Topic], tbl_TOPIC[ParentTopic])="", "",
       _xlfn.XLOOKUP(tbl_CONTENT[[#This Row],[Topic]], tbl_TOPIC[Topic], tbl_TOPIC[ParentTopic])),
  ""
)</f>
        <v/>
      </c>
      <c r="X120" s="22" t="str">
        <f>IFERROR(
  IF(_xlfn.XLOOKUP(tbl_CONTENT[[#This Row],[Topic]], tbl_TOPIC[Topic], tbl_TOPIC[TopicPath])="", "",
       _xlfn.XLOOKUP(tbl_CONTENT[[#This Row],[Topic]], tbl_TOPIC[Topic], tbl_TOPIC[TopicPath])),
  ""
)</f>
        <v>Absolute und Relative Homologie</v>
      </c>
    </row>
    <row r="121" spans="3:24" ht="34" x14ac:dyDescent="0.2">
      <c r="C121" s="22" t="str">
        <f>_xlfn.XLOOKUP(tbl_CONTENT[[#This Row],[TopicID]], tbl_TOPIC[TopicID], tbl_TOPIC[Subject], "")</f>
        <v>TOP1</v>
      </c>
      <c r="D1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TOP1-T12-09-07</v>
      </c>
      <c r="E121" s="22">
        <f>ROW()</f>
        <v>121</v>
      </c>
      <c r="F121" s="22" t="s">
        <v>1051</v>
      </c>
      <c r="G121" s="22" t="str">
        <f>_xlfn.XLOOKUP(tbl_CONTENT[[#This Row],[Topic]], tbl_TOPIC[Topic], tbl_TOPIC[TopicID], "")</f>
        <v>TOP1-1-09</v>
      </c>
      <c r="H121" s="22" cm="1">
        <f t="array" ref="H121">SUM((tbl_CONTENT[[#This Row],[TopicID]]=INDEX(tbl_CONTENT[TopicID],1):tbl_CONTENT[[#This Row],[TopicID]])*1)</f>
        <v>7</v>
      </c>
      <c r="I121" s="22" t="str">
        <f>_xlfn.XLOOKUP(tbl_CONTENT[[#This Row],[Topic]], tbl_TOPIC[Topic], tbl_TOPIC[TopicIndex], "")</f>
        <v>09</v>
      </c>
      <c r="J121" s="22" t="s">
        <v>122</v>
      </c>
      <c r="K121" s="22" t="s">
        <v>295</v>
      </c>
      <c r="L121" s="22" t="s">
        <v>151</v>
      </c>
      <c r="M121" s="22">
        <v>1</v>
      </c>
      <c r="N121" s="22">
        <v>2</v>
      </c>
      <c r="O121" s="22">
        <v>3</v>
      </c>
      <c r="P121" s="22">
        <v>5</v>
      </c>
      <c r="Q121" s="22">
        <v>5</v>
      </c>
      <c r="S121" s="35">
        <f>IFERROR(
 (1.907*EXP(1)^(-0.5*tbl_CONTENT[[#This Row],[Layer]])) *
 ((tbl_CONTENT[[#This Row],[RelInt]]-1)^(2.5)*4^(1-2.5)+1) +
 ((tbl_CONTENT[[#This Row],[Comp]]-1)^(2.5)*4^(1-2.5)+1)*(0.5*((tbl_CONTENT[[#This Row],[RelInt]]-1)/4)^(2.5)+1),
 0
)</f>
        <v>6.0683906433495247</v>
      </c>
      <c r="T121" s="35">
        <f>IFERROR(
 (1.907*EXP(1)^(-0.5*VALUE(tbl_CONTENT[[#This Row],[Layer]]))) *
 ((VALUE(tbl_CONTENT[[#This Row],[RelId]])-1)^(2.5)*4^(1-2.5)+1) +
 ((VALUE(tbl_CONTENT[[#This Row],[Comp]])-1)^(2.5)*4^(1-2.5)+1)*(0.5*((VALUE(tbl_CONTENT[[#This Row],[RelId]])-1)/4)^(2.5)+1),
 0
)</f>
        <v>6.0683906433495247</v>
      </c>
      <c r="W121" s="22" t="str">
        <f>IFERROR(
  IF(_xlfn.XLOOKUP(tbl_CONTENT[[#This Row],[Topic]], tbl_TOPIC[Topic], tbl_TOPIC[ParentTopic])="", "",
       _xlfn.XLOOKUP(tbl_CONTENT[[#This Row],[Topic]], tbl_TOPIC[Topic], tbl_TOPIC[ParentTopic])),
  ""
)</f>
        <v/>
      </c>
      <c r="X121" s="22" t="str">
        <f>IFERROR(
  IF(_xlfn.XLOOKUP(tbl_CONTENT[[#This Row],[Topic]], tbl_TOPIC[Topic], tbl_TOPIC[TopicPath])="", "",
       _xlfn.XLOOKUP(tbl_CONTENT[[#This Row],[Topic]], tbl_TOPIC[Topic], tbl_TOPIC[TopicPath])),
  ""
)</f>
        <v>Absolute und Relative Homologie</v>
      </c>
    </row>
    <row r="122" spans="3:24" ht="34" x14ac:dyDescent="0.2">
      <c r="C122" s="22" t="str">
        <f>_xlfn.XLOOKUP(tbl_CONTENT[[#This Row],[TopicID]], tbl_TOPIC[TopicID], tbl_TOPIC[Subject], "")</f>
        <v>TOP1</v>
      </c>
      <c r="D1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TOP1-T12-09-08</v>
      </c>
      <c r="E122" s="22">
        <f>ROW()</f>
        <v>122</v>
      </c>
      <c r="F122" s="22" t="s">
        <v>1051</v>
      </c>
      <c r="G122" s="22" t="str">
        <f>_xlfn.XLOOKUP(tbl_CONTENT[[#This Row],[Topic]], tbl_TOPIC[Topic], tbl_TOPIC[TopicID], "")</f>
        <v>TOP1-1-09</v>
      </c>
      <c r="H122" s="22" cm="1">
        <f t="array" ref="H122">SUM((tbl_CONTENT[[#This Row],[TopicID]]=INDEX(tbl_CONTENT[TopicID],1):tbl_CONTENT[[#This Row],[TopicID]])*1)</f>
        <v>8</v>
      </c>
      <c r="I122" s="22" t="str">
        <f>_xlfn.XLOOKUP(tbl_CONTENT[[#This Row],[Topic]], tbl_TOPIC[Topic], tbl_TOPIC[TopicIndex], "")</f>
        <v>09</v>
      </c>
      <c r="J122" s="22" t="s">
        <v>124</v>
      </c>
      <c r="K122" s="22" t="s">
        <v>296</v>
      </c>
      <c r="L122" s="22" t="s">
        <v>152</v>
      </c>
      <c r="M122" s="22">
        <v>1</v>
      </c>
      <c r="N122" s="22">
        <v>1</v>
      </c>
      <c r="O122" s="22">
        <v>3</v>
      </c>
      <c r="P122" s="22">
        <v>4</v>
      </c>
      <c r="Q122" s="22">
        <v>5</v>
      </c>
      <c r="S122" s="35">
        <f>IFERROR(
 (1.907*EXP(1)^(-0.5*tbl_CONTENT[[#This Row],[Layer]])) *
 ((tbl_CONTENT[[#This Row],[RelInt]]-1)^(2.5)*4^(1-2.5)+1) +
 ((tbl_CONTENT[[#This Row],[Comp]]-1)^(2.5)*4^(1-2.5)+1)*(0.5*((tbl_CONTENT[[#This Row],[RelInt]]-1)/4)^(2.5)+1),
 0
)</f>
        <v>5.5333665110238019</v>
      </c>
      <c r="T122" s="35">
        <f>IFERROR(
 (1.907*EXP(1)^(-0.5*VALUE(tbl_CONTENT[[#This Row],[Layer]]))) *
 ((VALUE(tbl_CONTENT[[#This Row],[RelId]])-1)^(2.5)*4^(1-2.5)+1) +
 ((VALUE(tbl_CONTENT[[#This Row],[Comp]])-1)^(2.5)*4^(1-2.5)+1)*(0.5*((VALUE(tbl_CONTENT[[#This Row],[RelId]])-1)/4)^(2.5)+1),
 0
)</f>
        <v>8.3439300121397828</v>
      </c>
      <c r="W122" s="22" t="str">
        <f>IFERROR(
  IF(_xlfn.XLOOKUP(tbl_CONTENT[[#This Row],[Topic]], tbl_TOPIC[Topic], tbl_TOPIC[ParentTopic])="", "",
       _xlfn.XLOOKUP(tbl_CONTENT[[#This Row],[Topic]], tbl_TOPIC[Topic], tbl_TOPIC[ParentTopic])),
  ""
)</f>
        <v/>
      </c>
      <c r="X122" s="22" t="str">
        <f>IFERROR(
  IF(_xlfn.XLOOKUP(tbl_CONTENT[[#This Row],[Topic]], tbl_TOPIC[Topic], tbl_TOPIC[TopicPath])="", "",
       _xlfn.XLOOKUP(tbl_CONTENT[[#This Row],[Topic]], tbl_TOPIC[Topic], tbl_TOPIC[TopicPath])),
  ""
)</f>
        <v>Reduzierte Homologie</v>
      </c>
    </row>
    <row r="123" spans="3:24" ht="34" x14ac:dyDescent="0.2">
      <c r="C123" s="22" t="str">
        <f>_xlfn.XLOOKUP(tbl_CONTENT[[#This Row],[TopicID]], tbl_TOPIC[TopicID], tbl_TOPIC[Subject], "")</f>
        <v>TOP1</v>
      </c>
      <c r="D1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TOP1-T12-09-09</v>
      </c>
      <c r="E123" s="22">
        <f>ROW()</f>
        <v>123</v>
      </c>
      <c r="F123" s="22" t="s">
        <v>1051</v>
      </c>
      <c r="G123" s="22" t="str">
        <f>_xlfn.XLOOKUP(tbl_CONTENT[[#This Row],[Topic]], tbl_TOPIC[Topic], tbl_TOPIC[TopicID], "")</f>
        <v>TOP1-1-09</v>
      </c>
      <c r="H123" s="22" cm="1">
        <f t="array" ref="H123">SUM((tbl_CONTENT[[#This Row],[TopicID]]=INDEX(tbl_CONTENT[TopicID],1):tbl_CONTENT[[#This Row],[TopicID]])*1)</f>
        <v>9</v>
      </c>
      <c r="I123" s="22" t="str">
        <f>_xlfn.XLOOKUP(tbl_CONTENT[[#This Row],[Topic]], tbl_TOPIC[Topic], tbl_TOPIC[TopicIndex], "")</f>
        <v>09</v>
      </c>
      <c r="J123" s="22" t="s">
        <v>124</v>
      </c>
      <c r="K123" s="22" t="s">
        <v>297</v>
      </c>
      <c r="L123" s="22" t="s">
        <v>152</v>
      </c>
      <c r="M123" s="22">
        <v>1</v>
      </c>
      <c r="N123" s="22">
        <v>1</v>
      </c>
      <c r="O123" s="22">
        <v>2</v>
      </c>
      <c r="P123" s="22">
        <v>5</v>
      </c>
      <c r="Q123" s="22">
        <v>5</v>
      </c>
      <c r="S123" s="35">
        <f>IFERROR(
 (1.907*EXP(1)^(-0.5*tbl_CONTENT[[#This Row],[Layer]])) *
 ((tbl_CONTENT[[#This Row],[RelInt]]-1)^(2.5)*4^(1-2.5)+1) +
 ((tbl_CONTENT[[#This Row],[Comp]]-1)^(2.5)*4^(1-2.5)+1)*(0.5*((tbl_CONTENT[[#This Row],[RelInt]]-1)/4)^(2.5)+1),
 0
)</f>
        <v>7.4707698403599609</v>
      </c>
      <c r="T123" s="35">
        <f>IFERROR(
 (1.907*EXP(1)^(-0.5*VALUE(tbl_CONTENT[[#This Row],[Layer]]))) *
 ((VALUE(tbl_CONTENT[[#This Row],[RelId]])-1)^(2.5)*4^(1-2.5)+1) +
 ((VALUE(tbl_CONTENT[[#This Row],[Comp]])-1)^(2.5)*4^(1-2.5)+1)*(0.5*((VALUE(tbl_CONTENT[[#This Row],[RelId]])-1)/4)^(2.5)+1),
 0
)</f>
        <v>7.4707698403599609</v>
      </c>
      <c r="W123" s="22" t="str">
        <f>IFERROR(
  IF(_xlfn.XLOOKUP(tbl_CONTENT[[#This Row],[Topic]], tbl_TOPIC[Topic], tbl_TOPIC[ParentTopic])="", "",
       _xlfn.XLOOKUP(tbl_CONTENT[[#This Row],[Topic]], tbl_TOPIC[Topic], tbl_TOPIC[ParentTopic])),
  ""
)</f>
        <v/>
      </c>
      <c r="X123" s="22" t="str">
        <f>IFERROR(
  IF(_xlfn.XLOOKUP(tbl_CONTENT[[#This Row],[Topic]], tbl_TOPIC[Topic], tbl_TOPIC[TopicPath])="", "",
       _xlfn.XLOOKUP(tbl_CONTENT[[#This Row],[Topic]], tbl_TOPIC[Topic], tbl_TOPIC[TopicPath])),
  ""
)</f>
        <v>Reduzierte Homologie</v>
      </c>
    </row>
    <row r="124" spans="3:24" ht="51" x14ac:dyDescent="0.2">
      <c r="C124" s="22" t="str">
        <f>_xlfn.XLOOKUP(tbl_CONTENT[[#This Row],[TopicID]], tbl_TOPIC[TopicID], tbl_TOPIC[Subject], "")</f>
        <v>TOP1</v>
      </c>
      <c r="D1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TOP1-T12-09-10</v>
      </c>
      <c r="E124" s="22">
        <f>ROW()</f>
        <v>124</v>
      </c>
      <c r="F124" s="22" t="s">
        <v>1051</v>
      </c>
      <c r="G124" s="22" t="str">
        <f>_xlfn.XLOOKUP(tbl_CONTENT[[#This Row],[Topic]], tbl_TOPIC[Topic], tbl_TOPIC[TopicID], "")</f>
        <v>TOP1-1-09</v>
      </c>
      <c r="H124" s="22" cm="1">
        <f t="array" ref="H124">SUM((tbl_CONTENT[[#This Row],[TopicID]]=INDEX(tbl_CONTENT[TopicID],1):tbl_CONTENT[[#This Row],[TopicID]])*1)</f>
        <v>10</v>
      </c>
      <c r="I124" s="22" t="str">
        <f>_xlfn.XLOOKUP(tbl_CONTENT[[#This Row],[Topic]], tbl_TOPIC[Topic], tbl_TOPIC[TopicIndex], "")</f>
        <v>09</v>
      </c>
      <c r="J124" s="22" t="s">
        <v>124</v>
      </c>
      <c r="K124" s="22" t="s">
        <v>990</v>
      </c>
      <c r="L124" s="22" t="s">
        <v>151</v>
      </c>
      <c r="M124" s="22">
        <v>1</v>
      </c>
      <c r="N124" s="22">
        <v>2</v>
      </c>
      <c r="O124" s="22">
        <v>3</v>
      </c>
      <c r="P124" s="22">
        <v>4</v>
      </c>
      <c r="Q124" s="22">
        <v>5</v>
      </c>
      <c r="S124" s="35">
        <f>IFERROR(
 (1.907*EXP(1)^(-0.5*tbl_CONTENT[[#This Row],[Layer]])) *
 ((tbl_CONTENT[[#This Row],[RelInt]]-1)^(2.5)*4^(1-2.5)+1) +
 ((tbl_CONTENT[[#This Row],[Comp]]-1)^(2.5)*4^(1-2.5)+1)*(0.5*((tbl_CONTENT[[#This Row],[RelInt]]-1)/4)^(2.5)+1),
 0
)</f>
        <v>4.1914549319579635</v>
      </c>
      <c r="T124" s="35">
        <f>IFERROR(
 (1.907*EXP(1)^(-0.5*VALUE(tbl_CONTENT[[#This Row],[Layer]]))) *
 ((VALUE(tbl_CONTENT[[#This Row],[RelId]])-1)^(2.5)*4^(1-2.5)+1) +
 ((VALUE(tbl_CONTENT[[#This Row],[Comp]])-1)^(2.5)*4^(1-2.5)+1)*(0.5*((VALUE(tbl_CONTENT[[#This Row],[RelId]])-1)/4)^(2.5)+1),
 0
)</f>
        <v>6.0683906433495247</v>
      </c>
      <c r="W124" s="22" t="str">
        <f>IFERROR(
  IF(_xlfn.XLOOKUP(tbl_CONTENT[[#This Row],[Topic]], tbl_TOPIC[Topic], tbl_TOPIC[ParentTopic])="", "",
       _xlfn.XLOOKUP(tbl_CONTENT[[#This Row],[Topic]], tbl_TOPIC[Topic], tbl_TOPIC[ParentTopic])),
  ""
)</f>
        <v/>
      </c>
      <c r="X124" s="22" t="str">
        <f>IFERROR(
  IF(_xlfn.XLOOKUP(tbl_CONTENT[[#This Row],[Topic]], tbl_TOPIC[Topic], tbl_TOPIC[TopicPath])="", "",
       _xlfn.XLOOKUP(tbl_CONTENT[[#This Row],[Topic]], tbl_TOPIC[Topic], tbl_TOPIC[TopicPath])),
  ""
)</f>
        <v>Reduzierte Homologie</v>
      </c>
    </row>
    <row r="125" spans="3:24" ht="34" x14ac:dyDescent="0.2">
      <c r="C125" s="22" t="str">
        <f>_xlfn.XLOOKUP(tbl_CONTENT[[#This Row],[TopicID]], tbl_TOPIC[TopicID], tbl_TOPIC[Subject], "")</f>
        <v>TOP1</v>
      </c>
      <c r="D1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TOP1-T12-04-01</v>
      </c>
      <c r="E125" s="22">
        <f>ROW()</f>
        <v>125</v>
      </c>
      <c r="F125" s="22" t="s">
        <v>1051</v>
      </c>
      <c r="G125" s="22" t="str">
        <f>_xlfn.XLOOKUP(tbl_CONTENT[[#This Row],[Topic]], tbl_TOPIC[Topic], tbl_TOPIC[TopicID], "")</f>
        <v>TOP1-1-04</v>
      </c>
      <c r="H125" s="22" cm="1">
        <f t="array" ref="H125">SUM((tbl_CONTENT[[#This Row],[TopicID]]=INDEX(tbl_CONTENT[TopicID],1):tbl_CONTENT[[#This Row],[TopicID]])*1)</f>
        <v>1</v>
      </c>
      <c r="I125" s="22" t="str">
        <f>_xlfn.XLOOKUP(tbl_CONTENT[[#This Row],[Topic]], tbl_TOPIC[Topic], tbl_TOPIC[TopicIndex], "")</f>
        <v>04</v>
      </c>
      <c r="J125" s="22" t="s">
        <v>102</v>
      </c>
      <c r="K125" s="22" t="s">
        <v>298</v>
      </c>
      <c r="L125" s="22" t="s">
        <v>152</v>
      </c>
      <c r="M125" s="22">
        <v>1</v>
      </c>
      <c r="N125" s="22">
        <v>1</v>
      </c>
      <c r="O125" s="22">
        <v>2</v>
      </c>
      <c r="P125" s="22">
        <v>5</v>
      </c>
      <c r="Q125" s="22">
        <v>5</v>
      </c>
      <c r="S125" s="35">
        <f>IFERROR(
 (1.907*EXP(1)^(-0.5*tbl_CONTENT[[#This Row],[Layer]])) *
 ((tbl_CONTENT[[#This Row],[RelInt]]-1)^(2.5)*4^(1-2.5)+1) +
 ((tbl_CONTENT[[#This Row],[Comp]]-1)^(2.5)*4^(1-2.5)+1)*(0.5*((tbl_CONTENT[[#This Row],[RelInt]]-1)/4)^(2.5)+1),
 0
)</f>
        <v>7.4707698403599609</v>
      </c>
      <c r="T125" s="35">
        <f>IFERROR(
 (1.907*EXP(1)^(-0.5*VALUE(tbl_CONTENT[[#This Row],[Layer]]))) *
 ((VALUE(tbl_CONTENT[[#This Row],[RelId]])-1)^(2.5)*4^(1-2.5)+1) +
 ((VALUE(tbl_CONTENT[[#This Row],[Comp]])-1)^(2.5)*4^(1-2.5)+1)*(0.5*((VALUE(tbl_CONTENT[[#This Row],[RelId]])-1)/4)^(2.5)+1),
 0
)</f>
        <v>7.4707698403599609</v>
      </c>
      <c r="W125" s="22" t="str">
        <f>IFERROR(
  IF(_xlfn.XLOOKUP(tbl_CONTENT[[#This Row],[Topic]], tbl_TOPIC[Topic], tbl_TOPIC[ParentTopic])="", "",
       _xlfn.XLOOKUP(tbl_CONTENT[[#This Row],[Topic]], tbl_TOPIC[Topic], tbl_TOPIC[ParentTopic])),
  ""
)</f>
        <v>Singuläre Homologie (SHT)</v>
      </c>
      <c r="X125" s="22" t="str">
        <f>IFERROR(
  IF(_xlfn.XLOOKUP(tbl_CONTENT[[#This Row],[Topic]], tbl_TOPIC[Topic], tbl_TOPIC[TopicPath])="", "",
       _xlfn.XLOOKUP(tbl_CONTENT[[#This Row],[Topic]], tbl_TOPIC[Topic], tbl_TOPIC[TopicPath])),
  ""
)</f>
        <v>Singuläre Homologie (SHT)/Unterteilung  und Ausschneidung in SHT</v>
      </c>
    </row>
    <row r="126" spans="3:24" ht="51" x14ac:dyDescent="0.2">
      <c r="C126" s="22" t="str">
        <f>_xlfn.XLOOKUP(tbl_CONTENT[[#This Row],[TopicID]], tbl_TOPIC[TopicID], tbl_TOPIC[Subject], "")</f>
        <v>TOP1</v>
      </c>
      <c r="D1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TOP1-T12-04-02</v>
      </c>
      <c r="E126" s="22">
        <f>ROW()</f>
        <v>126</v>
      </c>
      <c r="F126" s="22" t="s">
        <v>1051</v>
      </c>
      <c r="G126" s="22" t="str">
        <f>_xlfn.XLOOKUP(tbl_CONTENT[[#This Row],[Topic]], tbl_TOPIC[Topic], tbl_TOPIC[TopicID], "")</f>
        <v>TOP1-1-04</v>
      </c>
      <c r="H126" s="22" cm="1">
        <f t="array" ref="H126">SUM((tbl_CONTENT[[#This Row],[TopicID]]=INDEX(tbl_CONTENT[TopicID],1):tbl_CONTENT[[#This Row],[TopicID]])*1)</f>
        <v>2</v>
      </c>
      <c r="I126" s="22" t="str">
        <f>_xlfn.XLOOKUP(tbl_CONTENT[[#This Row],[Topic]], tbl_TOPIC[Topic], tbl_TOPIC[TopicIndex], "")</f>
        <v>04</v>
      </c>
      <c r="J126" s="22" t="s">
        <v>102</v>
      </c>
      <c r="K126" s="22" t="s">
        <v>299</v>
      </c>
      <c r="L126" s="22" t="s">
        <v>152</v>
      </c>
      <c r="M126" s="22">
        <v>1</v>
      </c>
      <c r="N126" s="22">
        <v>1</v>
      </c>
      <c r="O126" s="22">
        <v>3</v>
      </c>
      <c r="P126" s="22">
        <v>5</v>
      </c>
      <c r="Q126" s="22">
        <v>5</v>
      </c>
      <c r="S126" s="35">
        <f>IFERROR(
 (1.907*EXP(1)^(-0.5*tbl_CONTENT[[#This Row],[Layer]])) *
 ((tbl_CONTENT[[#This Row],[RelInt]]-1)^(2.5)*4^(1-2.5)+1) +
 ((tbl_CONTENT[[#This Row],[Comp]]-1)^(2.5)*4^(1-2.5)+1)*(0.5*((tbl_CONTENT[[#This Row],[RelInt]]-1)/4)^(2.5)+1),
 0
)</f>
        <v>8.3439300121397828</v>
      </c>
      <c r="T126" s="35">
        <f>IFERROR(
 (1.907*EXP(1)^(-0.5*VALUE(tbl_CONTENT[[#This Row],[Layer]]))) *
 ((VALUE(tbl_CONTENT[[#This Row],[RelId]])-1)^(2.5)*4^(1-2.5)+1) +
 ((VALUE(tbl_CONTENT[[#This Row],[Comp]])-1)^(2.5)*4^(1-2.5)+1)*(0.5*((VALUE(tbl_CONTENT[[#This Row],[RelId]])-1)/4)^(2.5)+1),
 0
)</f>
        <v>8.3439300121397828</v>
      </c>
      <c r="W126" s="22" t="str">
        <f>IFERROR(
  IF(_xlfn.XLOOKUP(tbl_CONTENT[[#This Row],[Topic]], tbl_TOPIC[Topic], tbl_TOPIC[ParentTopic])="", "",
       _xlfn.XLOOKUP(tbl_CONTENT[[#This Row],[Topic]], tbl_TOPIC[Topic], tbl_TOPIC[ParentTopic])),
  ""
)</f>
        <v>Singuläre Homologie (SHT)</v>
      </c>
      <c r="X126" s="22" t="str">
        <f>IFERROR(
  IF(_xlfn.XLOOKUP(tbl_CONTENT[[#This Row],[Topic]], tbl_TOPIC[Topic], tbl_TOPIC[TopicPath])="", "",
       _xlfn.XLOOKUP(tbl_CONTENT[[#This Row],[Topic]], tbl_TOPIC[Topic], tbl_TOPIC[TopicPath])),
  ""
)</f>
        <v>Singuläre Homologie (SHT)/Unterteilung  und Ausschneidung in SHT</v>
      </c>
    </row>
    <row r="127" spans="3:24" ht="34" x14ac:dyDescent="0.2">
      <c r="C127" s="22" t="str">
        <f>_xlfn.XLOOKUP(tbl_CONTENT[[#This Row],[TopicID]], tbl_TOPIC[TopicID], tbl_TOPIC[Subject], "")</f>
        <v>TOP1</v>
      </c>
      <c r="D1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TOP1-T12-04-03</v>
      </c>
      <c r="E127" s="22">
        <f>ROW()</f>
        <v>127</v>
      </c>
      <c r="F127" s="22" t="s">
        <v>1051</v>
      </c>
      <c r="G127" s="22" t="str">
        <f>_xlfn.XLOOKUP(tbl_CONTENT[[#This Row],[Topic]], tbl_TOPIC[Topic], tbl_TOPIC[TopicID], "")</f>
        <v>TOP1-1-04</v>
      </c>
      <c r="H127" s="22" cm="1">
        <f t="array" ref="H127">SUM((tbl_CONTENT[[#This Row],[TopicID]]=INDEX(tbl_CONTENT[TopicID],1):tbl_CONTENT[[#This Row],[TopicID]])*1)</f>
        <v>3</v>
      </c>
      <c r="I127" s="22" t="str">
        <f>_xlfn.XLOOKUP(tbl_CONTENT[[#This Row],[Topic]], tbl_TOPIC[Topic], tbl_TOPIC[TopicIndex], "")</f>
        <v>04</v>
      </c>
      <c r="J127" s="22" t="s">
        <v>102</v>
      </c>
      <c r="K127" s="22" t="s">
        <v>300</v>
      </c>
      <c r="L127" s="22" t="s">
        <v>152</v>
      </c>
      <c r="M127" s="22">
        <v>1</v>
      </c>
      <c r="N127" s="22">
        <v>1</v>
      </c>
      <c r="O127" s="22">
        <v>3</v>
      </c>
      <c r="P127" s="22">
        <v>4</v>
      </c>
      <c r="Q127" s="22">
        <v>5</v>
      </c>
      <c r="S127" s="35">
        <f>IFERROR(
 (1.907*EXP(1)^(-0.5*tbl_CONTENT[[#This Row],[Layer]])) *
 ((tbl_CONTENT[[#This Row],[RelInt]]-1)^(2.5)*4^(1-2.5)+1) +
 ((tbl_CONTENT[[#This Row],[Comp]]-1)^(2.5)*4^(1-2.5)+1)*(0.5*((tbl_CONTENT[[#This Row],[RelInt]]-1)/4)^(2.5)+1),
 0
)</f>
        <v>5.5333665110238019</v>
      </c>
      <c r="T127" s="35">
        <f>IFERROR(
 (1.907*EXP(1)^(-0.5*VALUE(tbl_CONTENT[[#This Row],[Layer]]))) *
 ((VALUE(tbl_CONTENT[[#This Row],[RelId]])-1)^(2.5)*4^(1-2.5)+1) +
 ((VALUE(tbl_CONTENT[[#This Row],[Comp]])-1)^(2.5)*4^(1-2.5)+1)*(0.5*((VALUE(tbl_CONTENT[[#This Row],[RelId]])-1)/4)^(2.5)+1),
 0
)</f>
        <v>8.3439300121397828</v>
      </c>
      <c r="W127" s="22" t="str">
        <f>IFERROR(
  IF(_xlfn.XLOOKUP(tbl_CONTENT[[#This Row],[Topic]], tbl_TOPIC[Topic], tbl_TOPIC[ParentTopic])="", "",
       _xlfn.XLOOKUP(tbl_CONTENT[[#This Row],[Topic]], tbl_TOPIC[Topic], tbl_TOPIC[ParentTopic])),
  ""
)</f>
        <v>Singuläre Homologie (SHT)</v>
      </c>
      <c r="X127" s="22" t="str">
        <f>IFERROR(
  IF(_xlfn.XLOOKUP(tbl_CONTENT[[#This Row],[Topic]], tbl_TOPIC[Topic], tbl_TOPIC[TopicPath])="", "",
       _xlfn.XLOOKUP(tbl_CONTENT[[#This Row],[Topic]], tbl_TOPIC[Topic], tbl_TOPIC[TopicPath])),
  ""
)</f>
        <v>Singuläre Homologie (SHT)/Unterteilung  und Ausschneidung in SHT</v>
      </c>
    </row>
    <row r="128" spans="3:24" ht="34" x14ac:dyDescent="0.2">
      <c r="C128" s="22" t="str">
        <f>_xlfn.XLOOKUP(tbl_CONTENT[[#This Row],[TopicID]], tbl_TOPIC[TopicID], tbl_TOPIC[Subject], "")</f>
        <v>TOP1</v>
      </c>
      <c r="D1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TOP1-T12-04-04</v>
      </c>
      <c r="E128" s="22">
        <f>ROW()</f>
        <v>128</v>
      </c>
      <c r="F128" s="22" t="s">
        <v>1051</v>
      </c>
      <c r="G128" s="22" t="str">
        <f>_xlfn.XLOOKUP(tbl_CONTENT[[#This Row],[Topic]], tbl_TOPIC[Topic], tbl_TOPIC[TopicID], "")</f>
        <v>TOP1-1-04</v>
      </c>
      <c r="H128" s="22" cm="1">
        <f t="array" ref="H128">SUM((tbl_CONTENT[[#This Row],[TopicID]]=INDEX(tbl_CONTENT[TopicID],1):tbl_CONTENT[[#This Row],[TopicID]])*1)</f>
        <v>4</v>
      </c>
      <c r="I128" s="22" t="str">
        <f>_xlfn.XLOOKUP(tbl_CONTENT[[#This Row],[Topic]], tbl_TOPIC[Topic], tbl_TOPIC[TopicIndex], "")</f>
        <v>04</v>
      </c>
      <c r="J128" s="22" t="s">
        <v>102</v>
      </c>
      <c r="K128" s="22" t="s">
        <v>301</v>
      </c>
      <c r="L128" s="22" t="s">
        <v>149</v>
      </c>
      <c r="M128" s="22">
        <v>1</v>
      </c>
      <c r="N128" s="22">
        <v>2</v>
      </c>
      <c r="O128" s="22">
        <v>3</v>
      </c>
      <c r="P128" s="22">
        <v>3</v>
      </c>
      <c r="Q128" s="22">
        <v>5</v>
      </c>
      <c r="S128" s="35">
        <f>IFERROR(
 (1.907*EXP(1)^(-0.5*tbl_CONTENT[[#This Row],[Layer]])) *
 ((tbl_CONTENT[[#This Row],[RelInt]]-1)^(2.5)*4^(1-2.5)+1) +
 ((tbl_CONTENT[[#This Row],[Comp]]-1)^(2.5)*4^(1-2.5)+1)*(0.5*((tbl_CONTENT[[#This Row],[RelInt]]-1)/4)^(2.5)+1),
 0
)</f>
        <v>3.0556092237531312</v>
      </c>
      <c r="T128" s="35">
        <f>IFERROR(
 (1.907*EXP(1)^(-0.5*VALUE(tbl_CONTENT[[#This Row],[Layer]]))) *
 ((VALUE(tbl_CONTENT[[#This Row],[RelId]])-1)^(2.5)*4^(1-2.5)+1) +
 ((VALUE(tbl_CONTENT[[#This Row],[Comp]])-1)^(2.5)*4^(1-2.5)+1)*(0.5*((VALUE(tbl_CONTENT[[#This Row],[RelId]])-1)/4)^(2.5)+1),
 0
)</f>
        <v>6.0683906433495247</v>
      </c>
      <c r="W128" s="22" t="str">
        <f>IFERROR(
  IF(_xlfn.XLOOKUP(tbl_CONTENT[[#This Row],[Topic]], tbl_TOPIC[Topic], tbl_TOPIC[ParentTopic])="", "",
       _xlfn.XLOOKUP(tbl_CONTENT[[#This Row],[Topic]], tbl_TOPIC[Topic], tbl_TOPIC[ParentTopic])),
  ""
)</f>
        <v>Singuläre Homologie (SHT)</v>
      </c>
      <c r="X128" s="22" t="str">
        <f>IFERROR(
  IF(_xlfn.XLOOKUP(tbl_CONTENT[[#This Row],[Topic]], tbl_TOPIC[Topic], tbl_TOPIC[TopicPath])="", "",
       _xlfn.XLOOKUP(tbl_CONTENT[[#This Row],[Topic]], tbl_TOPIC[Topic], tbl_TOPIC[TopicPath])),
  ""
)</f>
        <v>Singuläre Homologie (SHT)/Unterteilung  und Ausschneidung in SHT</v>
      </c>
    </row>
    <row r="129" spans="3:24" ht="51" x14ac:dyDescent="0.2">
      <c r="C129" s="22" t="str">
        <f>_xlfn.XLOOKUP(tbl_CONTENT[[#This Row],[TopicID]], tbl_TOPIC[TopicID], tbl_TOPIC[Subject], "")</f>
        <v>TOP1</v>
      </c>
      <c r="D1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TOP1-T12-04-05</v>
      </c>
      <c r="E129" s="22">
        <f>ROW()</f>
        <v>129</v>
      </c>
      <c r="F129" s="22" t="s">
        <v>1051</v>
      </c>
      <c r="G129" s="22" t="str">
        <f>_xlfn.XLOOKUP(tbl_CONTENT[[#This Row],[Topic]], tbl_TOPIC[Topic], tbl_TOPIC[TopicID], "")</f>
        <v>TOP1-1-04</v>
      </c>
      <c r="H129" s="22" cm="1">
        <f t="array" ref="H129">SUM((tbl_CONTENT[[#This Row],[TopicID]]=INDEX(tbl_CONTENT[TopicID],1):tbl_CONTENT[[#This Row],[TopicID]])*1)</f>
        <v>5</v>
      </c>
      <c r="I129" s="22" t="str">
        <f>_xlfn.XLOOKUP(tbl_CONTENT[[#This Row],[Topic]], tbl_TOPIC[Topic], tbl_TOPIC[TopicIndex], "")</f>
        <v>04</v>
      </c>
      <c r="J129" s="22" t="s">
        <v>102</v>
      </c>
      <c r="K129" s="22" t="s">
        <v>302</v>
      </c>
      <c r="L129" s="22" t="s">
        <v>152</v>
      </c>
      <c r="M129" s="22">
        <v>1</v>
      </c>
      <c r="N129" s="22">
        <v>1</v>
      </c>
      <c r="O129" s="22">
        <v>3</v>
      </c>
      <c r="P129" s="22">
        <v>5</v>
      </c>
      <c r="Q129" s="22">
        <v>5</v>
      </c>
      <c r="S129" s="35">
        <f>IFERROR(
 (1.907*EXP(1)^(-0.5*tbl_CONTENT[[#This Row],[Layer]])) *
 ((tbl_CONTENT[[#This Row],[RelInt]]-1)^(2.5)*4^(1-2.5)+1) +
 ((tbl_CONTENT[[#This Row],[Comp]]-1)^(2.5)*4^(1-2.5)+1)*(0.5*((tbl_CONTENT[[#This Row],[RelInt]]-1)/4)^(2.5)+1),
 0
)</f>
        <v>8.3439300121397828</v>
      </c>
      <c r="T129" s="35">
        <f>IFERROR(
 (1.907*EXP(1)^(-0.5*VALUE(tbl_CONTENT[[#This Row],[Layer]]))) *
 ((VALUE(tbl_CONTENT[[#This Row],[RelId]])-1)^(2.5)*4^(1-2.5)+1) +
 ((VALUE(tbl_CONTENT[[#This Row],[Comp]])-1)^(2.5)*4^(1-2.5)+1)*(0.5*((VALUE(tbl_CONTENT[[#This Row],[RelId]])-1)/4)^(2.5)+1),
 0
)</f>
        <v>8.3439300121397828</v>
      </c>
      <c r="W129" s="22" t="str">
        <f>IFERROR(
  IF(_xlfn.XLOOKUP(tbl_CONTENT[[#This Row],[Topic]], tbl_TOPIC[Topic], tbl_TOPIC[ParentTopic])="", "",
       _xlfn.XLOOKUP(tbl_CONTENT[[#This Row],[Topic]], tbl_TOPIC[Topic], tbl_TOPIC[ParentTopic])),
  ""
)</f>
        <v>Singuläre Homologie (SHT)</v>
      </c>
      <c r="X129" s="22" t="str">
        <f>IFERROR(
  IF(_xlfn.XLOOKUP(tbl_CONTENT[[#This Row],[Topic]], tbl_TOPIC[Topic], tbl_TOPIC[TopicPath])="", "",
       _xlfn.XLOOKUP(tbl_CONTENT[[#This Row],[Topic]], tbl_TOPIC[Topic], tbl_TOPIC[TopicPath])),
  ""
)</f>
        <v>Singuläre Homologie (SHT)/Unterteilung  und Ausschneidung in SHT</v>
      </c>
    </row>
    <row r="130" spans="3:24" ht="68" x14ac:dyDescent="0.2">
      <c r="C130" s="22" t="str">
        <f>_xlfn.XLOOKUP(tbl_CONTENT[[#This Row],[TopicID]], tbl_TOPIC[TopicID], tbl_TOPIC[Subject], "")</f>
        <v>TOP1</v>
      </c>
      <c r="D1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TOP1-T12-04-06</v>
      </c>
      <c r="E130" s="22">
        <f>ROW()</f>
        <v>130</v>
      </c>
      <c r="F130" s="22" t="s">
        <v>1051</v>
      </c>
      <c r="G130" s="22" t="str">
        <f>_xlfn.XLOOKUP(tbl_CONTENT[[#This Row],[Topic]], tbl_TOPIC[Topic], tbl_TOPIC[TopicID], "")</f>
        <v>TOP1-1-04</v>
      </c>
      <c r="H130" s="22" cm="1">
        <f t="array" ref="H130">SUM((tbl_CONTENT[[#This Row],[TopicID]]=INDEX(tbl_CONTENT[TopicID],1):tbl_CONTENT[[#This Row],[TopicID]])*1)</f>
        <v>6</v>
      </c>
      <c r="I130" s="22" t="str">
        <f>_xlfn.XLOOKUP(tbl_CONTENT[[#This Row],[Topic]], tbl_TOPIC[Topic], tbl_TOPIC[TopicIndex], "")</f>
        <v>04</v>
      </c>
      <c r="J130" s="22" t="s">
        <v>102</v>
      </c>
      <c r="K130" s="22" t="s">
        <v>303</v>
      </c>
      <c r="L130" s="22" t="s">
        <v>151</v>
      </c>
      <c r="M130" s="22">
        <v>1</v>
      </c>
      <c r="N130" s="22">
        <v>2</v>
      </c>
      <c r="O130" s="22">
        <v>3</v>
      </c>
      <c r="P130" s="22">
        <v>4</v>
      </c>
      <c r="Q130" s="22">
        <v>5</v>
      </c>
      <c r="S130" s="35">
        <f>IFERROR(
 (1.907*EXP(1)^(-0.5*tbl_CONTENT[[#This Row],[Layer]])) *
 ((tbl_CONTENT[[#This Row],[RelInt]]-1)^(2.5)*4^(1-2.5)+1) +
 ((tbl_CONTENT[[#This Row],[Comp]]-1)^(2.5)*4^(1-2.5)+1)*(0.5*((tbl_CONTENT[[#This Row],[RelInt]]-1)/4)^(2.5)+1),
 0
)</f>
        <v>4.1914549319579635</v>
      </c>
      <c r="T130" s="35">
        <f>IFERROR(
 (1.907*EXP(1)^(-0.5*VALUE(tbl_CONTENT[[#This Row],[Layer]]))) *
 ((VALUE(tbl_CONTENT[[#This Row],[RelId]])-1)^(2.5)*4^(1-2.5)+1) +
 ((VALUE(tbl_CONTENT[[#This Row],[Comp]])-1)^(2.5)*4^(1-2.5)+1)*(0.5*((VALUE(tbl_CONTENT[[#This Row],[RelId]])-1)/4)^(2.5)+1),
 0
)</f>
        <v>6.0683906433495247</v>
      </c>
      <c r="W130" s="22" t="str">
        <f>IFERROR(
  IF(_xlfn.XLOOKUP(tbl_CONTENT[[#This Row],[Topic]], tbl_TOPIC[Topic], tbl_TOPIC[ParentTopic])="", "",
       _xlfn.XLOOKUP(tbl_CONTENT[[#This Row],[Topic]], tbl_TOPIC[Topic], tbl_TOPIC[ParentTopic])),
  ""
)</f>
        <v>Singuläre Homologie (SHT)</v>
      </c>
      <c r="X130" s="22" t="str">
        <f>IFERROR(
  IF(_xlfn.XLOOKUP(tbl_CONTENT[[#This Row],[Topic]], tbl_TOPIC[Topic], tbl_TOPIC[TopicPath])="", "",
       _xlfn.XLOOKUP(tbl_CONTENT[[#This Row],[Topic]], tbl_TOPIC[Topic], tbl_TOPIC[TopicPath])),
  ""
)</f>
        <v>Singuläre Homologie (SHT)/Unterteilung  und Ausschneidung in SHT</v>
      </c>
    </row>
    <row r="131" spans="3:24" ht="34" x14ac:dyDescent="0.2">
      <c r="C131" s="22" t="str">
        <f>_xlfn.XLOOKUP(tbl_CONTENT[[#This Row],[TopicID]], tbl_TOPIC[TopicID], tbl_TOPIC[Subject], "")</f>
        <v>TOP1</v>
      </c>
      <c r="D1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TOP1-T12-04-07</v>
      </c>
      <c r="E131" s="22">
        <f>ROW()</f>
        <v>131</v>
      </c>
      <c r="F131" s="22" t="s">
        <v>1051</v>
      </c>
      <c r="G131" s="22" t="str">
        <f>_xlfn.XLOOKUP(tbl_CONTENT[[#This Row],[Topic]], tbl_TOPIC[Topic], tbl_TOPIC[TopicID], "")</f>
        <v>TOP1-1-04</v>
      </c>
      <c r="H131" s="22" cm="1">
        <f t="array" ref="H131">SUM((tbl_CONTENT[[#This Row],[TopicID]]=INDEX(tbl_CONTENT[TopicID],1):tbl_CONTENT[[#This Row],[TopicID]])*1)</f>
        <v>7</v>
      </c>
      <c r="I131" s="22" t="str">
        <f>_xlfn.XLOOKUP(tbl_CONTENT[[#This Row],[Topic]], tbl_TOPIC[Topic], tbl_TOPIC[TopicIndex], "")</f>
        <v>04</v>
      </c>
      <c r="J131" s="22" t="s">
        <v>102</v>
      </c>
      <c r="K131" s="22" t="s">
        <v>1039</v>
      </c>
      <c r="L131" s="22" t="s">
        <v>152</v>
      </c>
      <c r="M131" s="22">
        <v>1</v>
      </c>
      <c r="N131" s="22">
        <v>1</v>
      </c>
      <c r="O131" s="22">
        <v>3</v>
      </c>
      <c r="P131" s="22">
        <v>4</v>
      </c>
      <c r="Q131" s="22">
        <v>5</v>
      </c>
      <c r="S131" s="35">
        <f>IFERROR(
 (1.907*EXP(1)^(-0.5*tbl_CONTENT[[#This Row],[Layer]])) *
 ((tbl_CONTENT[[#This Row],[RelInt]]-1)^(2.5)*4^(1-2.5)+1) +
 ((tbl_CONTENT[[#This Row],[Comp]]-1)^(2.5)*4^(1-2.5)+1)*(0.5*((tbl_CONTENT[[#This Row],[RelInt]]-1)/4)^(2.5)+1),
 0
)</f>
        <v>5.5333665110238019</v>
      </c>
      <c r="T131" s="35">
        <f>IFERROR(
 (1.907*EXP(1)^(-0.5*VALUE(tbl_CONTENT[[#This Row],[Layer]]))) *
 ((VALUE(tbl_CONTENT[[#This Row],[RelId]])-1)^(2.5)*4^(1-2.5)+1) +
 ((VALUE(tbl_CONTENT[[#This Row],[Comp]])-1)^(2.5)*4^(1-2.5)+1)*(0.5*((VALUE(tbl_CONTENT[[#This Row],[RelId]])-1)/4)^(2.5)+1),
 0
)</f>
        <v>8.3439300121397828</v>
      </c>
      <c r="W131" s="22" t="str">
        <f>IFERROR(
  IF(_xlfn.XLOOKUP(tbl_CONTENT[[#This Row],[Topic]], tbl_TOPIC[Topic], tbl_TOPIC[ParentTopic])="", "",
       _xlfn.XLOOKUP(tbl_CONTENT[[#This Row],[Topic]], tbl_TOPIC[Topic], tbl_TOPIC[ParentTopic])),
  ""
)</f>
        <v>Singuläre Homologie (SHT)</v>
      </c>
      <c r="X131" s="22" t="str">
        <f>IFERROR(
  IF(_xlfn.XLOOKUP(tbl_CONTENT[[#This Row],[Topic]], tbl_TOPIC[Topic], tbl_TOPIC[TopicPath])="", "",
       _xlfn.XLOOKUP(tbl_CONTENT[[#This Row],[Topic]], tbl_TOPIC[Topic], tbl_TOPIC[TopicPath])),
  ""
)</f>
        <v>Singuläre Homologie (SHT)/Unterteilung  und Ausschneidung in SHT</v>
      </c>
    </row>
    <row r="132" spans="3:24" ht="51" x14ac:dyDescent="0.2">
      <c r="C132" s="22" t="str">
        <f>_xlfn.XLOOKUP(tbl_CONTENT[[#This Row],[TopicID]], tbl_TOPIC[TopicID], tbl_TOPIC[Subject], "")</f>
        <v>TOP1</v>
      </c>
      <c r="D1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TOP1-T12-04-08</v>
      </c>
      <c r="E132" s="22">
        <f>ROW()</f>
        <v>132</v>
      </c>
      <c r="F132" s="22" t="s">
        <v>1051</v>
      </c>
      <c r="G132" s="22" t="str">
        <f>_xlfn.XLOOKUP(tbl_CONTENT[[#This Row],[Topic]], tbl_TOPIC[Topic], tbl_TOPIC[TopicID], "")</f>
        <v>TOP1-1-04</v>
      </c>
      <c r="H132" s="22" cm="1">
        <f t="array" ref="H132">SUM((tbl_CONTENT[[#This Row],[TopicID]]=INDEX(tbl_CONTENT[TopicID],1):tbl_CONTENT[[#This Row],[TopicID]])*1)</f>
        <v>8</v>
      </c>
      <c r="I132" s="22" t="str">
        <f>_xlfn.XLOOKUP(tbl_CONTENT[[#This Row],[Topic]], tbl_TOPIC[Topic], tbl_TOPIC[TopicIndex], "")</f>
        <v>04</v>
      </c>
      <c r="J132" s="22" t="s">
        <v>102</v>
      </c>
      <c r="K132" s="22" t="s">
        <v>304</v>
      </c>
      <c r="L132" s="22" t="s">
        <v>151</v>
      </c>
      <c r="M132" s="22">
        <v>1</v>
      </c>
      <c r="N132" s="22">
        <v>1</v>
      </c>
      <c r="O132" s="22">
        <v>3</v>
      </c>
      <c r="P132" s="22">
        <v>4</v>
      </c>
      <c r="Q132" s="22">
        <v>5</v>
      </c>
      <c r="S132" s="35">
        <f>IFERROR(
 (1.907*EXP(1)^(-0.5*tbl_CONTENT[[#This Row],[Layer]])) *
 ((tbl_CONTENT[[#This Row],[RelInt]]-1)^(2.5)*4^(1-2.5)+1) +
 ((tbl_CONTENT[[#This Row],[Comp]]-1)^(2.5)*4^(1-2.5)+1)*(0.5*((tbl_CONTENT[[#This Row],[RelInt]]-1)/4)^(2.5)+1),
 0
)</f>
        <v>5.5333665110238019</v>
      </c>
      <c r="T132" s="35">
        <f>IFERROR(
 (1.907*EXP(1)^(-0.5*VALUE(tbl_CONTENT[[#This Row],[Layer]]))) *
 ((VALUE(tbl_CONTENT[[#This Row],[RelId]])-1)^(2.5)*4^(1-2.5)+1) +
 ((VALUE(tbl_CONTENT[[#This Row],[Comp]])-1)^(2.5)*4^(1-2.5)+1)*(0.5*((VALUE(tbl_CONTENT[[#This Row],[RelId]])-1)/4)^(2.5)+1),
 0
)</f>
        <v>8.3439300121397828</v>
      </c>
      <c r="W132" s="22" t="str">
        <f>IFERROR(
  IF(_xlfn.XLOOKUP(tbl_CONTENT[[#This Row],[Topic]], tbl_TOPIC[Topic], tbl_TOPIC[ParentTopic])="", "",
       _xlfn.XLOOKUP(tbl_CONTENT[[#This Row],[Topic]], tbl_TOPIC[Topic], tbl_TOPIC[ParentTopic])),
  ""
)</f>
        <v>Singuläre Homologie (SHT)</v>
      </c>
      <c r="X132" s="22" t="str">
        <f>IFERROR(
  IF(_xlfn.XLOOKUP(tbl_CONTENT[[#This Row],[Topic]], tbl_TOPIC[Topic], tbl_TOPIC[TopicPath])="", "",
       _xlfn.XLOOKUP(tbl_CONTENT[[#This Row],[Topic]], tbl_TOPIC[Topic], tbl_TOPIC[TopicPath])),
  ""
)</f>
        <v>Singuläre Homologie (SHT)/Unterteilung  und Ausschneidung in SHT</v>
      </c>
    </row>
    <row r="133" spans="3:24" ht="34" x14ac:dyDescent="0.2">
      <c r="C133" s="22" t="str">
        <f>_xlfn.XLOOKUP(tbl_CONTENT[[#This Row],[TopicID]], tbl_TOPIC[TopicID], tbl_TOPIC[Subject], "")</f>
        <v>TOP1</v>
      </c>
      <c r="D1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TOP1-T12-04-09</v>
      </c>
      <c r="E133" s="22">
        <f>ROW()</f>
        <v>133</v>
      </c>
      <c r="F133" s="22" t="s">
        <v>1051</v>
      </c>
      <c r="G133" s="22" t="str">
        <f>_xlfn.XLOOKUP(tbl_CONTENT[[#This Row],[Topic]], tbl_TOPIC[Topic], tbl_TOPIC[TopicID], "")</f>
        <v>TOP1-1-04</v>
      </c>
      <c r="H133" s="22" cm="1">
        <f t="array" ref="H133">SUM((tbl_CONTENT[[#This Row],[TopicID]]=INDEX(tbl_CONTENT[TopicID],1):tbl_CONTENT[[#This Row],[TopicID]])*1)</f>
        <v>9</v>
      </c>
      <c r="I133" s="22" t="str">
        <f>_xlfn.XLOOKUP(tbl_CONTENT[[#This Row],[Topic]], tbl_TOPIC[Topic], tbl_TOPIC[TopicIndex], "")</f>
        <v>04</v>
      </c>
      <c r="J133" s="22" t="s">
        <v>102</v>
      </c>
      <c r="K133" s="22" t="s">
        <v>305</v>
      </c>
      <c r="L133" s="22" t="s">
        <v>152</v>
      </c>
      <c r="M133" s="22">
        <v>1</v>
      </c>
      <c r="N133" s="22">
        <v>1</v>
      </c>
      <c r="O133" s="22">
        <v>3</v>
      </c>
      <c r="P133" s="22">
        <v>5</v>
      </c>
      <c r="Q133" s="22">
        <v>5</v>
      </c>
      <c r="S133" s="35">
        <f>IFERROR(
 (1.907*EXP(1)^(-0.5*tbl_CONTENT[[#This Row],[Layer]])) *
 ((tbl_CONTENT[[#This Row],[RelInt]]-1)^(2.5)*4^(1-2.5)+1) +
 ((tbl_CONTENT[[#This Row],[Comp]]-1)^(2.5)*4^(1-2.5)+1)*(0.5*((tbl_CONTENT[[#This Row],[RelInt]]-1)/4)^(2.5)+1),
 0
)</f>
        <v>8.3439300121397828</v>
      </c>
      <c r="T133" s="35">
        <f>IFERROR(
 (1.907*EXP(1)^(-0.5*VALUE(tbl_CONTENT[[#This Row],[Layer]]))) *
 ((VALUE(tbl_CONTENT[[#This Row],[RelId]])-1)^(2.5)*4^(1-2.5)+1) +
 ((VALUE(tbl_CONTENT[[#This Row],[Comp]])-1)^(2.5)*4^(1-2.5)+1)*(0.5*((VALUE(tbl_CONTENT[[#This Row],[RelId]])-1)/4)^(2.5)+1),
 0
)</f>
        <v>8.3439300121397828</v>
      </c>
      <c r="W133" s="22" t="str">
        <f>IFERROR(
  IF(_xlfn.XLOOKUP(tbl_CONTENT[[#This Row],[Topic]], tbl_TOPIC[Topic], tbl_TOPIC[ParentTopic])="", "",
       _xlfn.XLOOKUP(tbl_CONTENT[[#This Row],[Topic]], tbl_TOPIC[Topic], tbl_TOPIC[ParentTopic])),
  ""
)</f>
        <v>Singuläre Homologie (SHT)</v>
      </c>
      <c r="X133" s="22" t="str">
        <f>IFERROR(
  IF(_xlfn.XLOOKUP(tbl_CONTENT[[#This Row],[Topic]], tbl_TOPIC[Topic], tbl_TOPIC[TopicPath])="", "",
       _xlfn.XLOOKUP(tbl_CONTENT[[#This Row],[Topic]], tbl_TOPIC[Topic], tbl_TOPIC[TopicPath])),
  ""
)</f>
        <v>Singuläre Homologie (SHT)/Unterteilung  und Ausschneidung in SHT</v>
      </c>
    </row>
    <row r="134" spans="3:24" ht="34" x14ac:dyDescent="0.2">
      <c r="C134" s="22" t="str">
        <f>_xlfn.XLOOKUP(tbl_CONTENT[[#This Row],[TopicID]], tbl_TOPIC[TopicID], tbl_TOPIC[Subject], "")</f>
        <v>TOP1</v>
      </c>
      <c r="D1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TOP1-T12-04-10</v>
      </c>
      <c r="E134" s="22">
        <f>ROW()</f>
        <v>134</v>
      </c>
      <c r="F134" s="22" t="s">
        <v>1051</v>
      </c>
      <c r="G134" s="22" t="str">
        <f>_xlfn.XLOOKUP(tbl_CONTENT[[#This Row],[Topic]], tbl_TOPIC[Topic], tbl_TOPIC[TopicID], "")</f>
        <v>TOP1-1-04</v>
      </c>
      <c r="H134" s="22" cm="1">
        <f t="array" ref="H134">SUM((tbl_CONTENT[[#This Row],[TopicID]]=INDEX(tbl_CONTENT[TopicID],1):tbl_CONTENT[[#This Row],[TopicID]])*1)</f>
        <v>10</v>
      </c>
      <c r="I134" s="22" t="str">
        <f>_xlfn.XLOOKUP(tbl_CONTENT[[#This Row],[Topic]], tbl_TOPIC[Topic], tbl_TOPIC[TopicIndex], "")</f>
        <v>04</v>
      </c>
      <c r="J134" s="22" t="s">
        <v>102</v>
      </c>
      <c r="K134" s="22" t="s">
        <v>306</v>
      </c>
      <c r="L134" s="22" t="s">
        <v>152</v>
      </c>
      <c r="M134" s="22">
        <v>1</v>
      </c>
      <c r="N134" s="22">
        <v>1</v>
      </c>
      <c r="O134" s="22">
        <v>3</v>
      </c>
      <c r="P134" s="22">
        <v>5</v>
      </c>
      <c r="Q134" s="22">
        <v>5</v>
      </c>
      <c r="S134" s="35">
        <f>IFERROR(
 (1.907*EXP(1)^(-0.5*tbl_CONTENT[[#This Row],[Layer]])) *
 ((tbl_CONTENT[[#This Row],[RelInt]]-1)^(2.5)*4^(1-2.5)+1) +
 ((tbl_CONTENT[[#This Row],[Comp]]-1)^(2.5)*4^(1-2.5)+1)*(0.5*((tbl_CONTENT[[#This Row],[RelInt]]-1)/4)^(2.5)+1),
 0
)</f>
        <v>8.3439300121397828</v>
      </c>
      <c r="T134" s="35">
        <f>IFERROR(
 (1.907*EXP(1)^(-0.5*VALUE(tbl_CONTENT[[#This Row],[Layer]]))) *
 ((VALUE(tbl_CONTENT[[#This Row],[RelId]])-1)^(2.5)*4^(1-2.5)+1) +
 ((VALUE(tbl_CONTENT[[#This Row],[Comp]])-1)^(2.5)*4^(1-2.5)+1)*(0.5*((VALUE(tbl_CONTENT[[#This Row],[RelId]])-1)/4)^(2.5)+1),
 0
)</f>
        <v>8.3439300121397828</v>
      </c>
      <c r="W134" s="22" t="str">
        <f>IFERROR(
  IF(_xlfn.XLOOKUP(tbl_CONTENT[[#This Row],[Topic]], tbl_TOPIC[Topic], tbl_TOPIC[ParentTopic])="", "",
       _xlfn.XLOOKUP(tbl_CONTENT[[#This Row],[Topic]], tbl_TOPIC[Topic], tbl_TOPIC[ParentTopic])),
  ""
)</f>
        <v>Singuläre Homologie (SHT)</v>
      </c>
      <c r="X134" s="22" t="str">
        <f>IFERROR(
  IF(_xlfn.XLOOKUP(tbl_CONTENT[[#This Row],[Topic]], tbl_TOPIC[Topic], tbl_TOPIC[TopicPath])="", "",
       _xlfn.XLOOKUP(tbl_CONTENT[[#This Row],[Topic]], tbl_TOPIC[Topic], tbl_TOPIC[TopicPath])),
  ""
)</f>
        <v>Singuläre Homologie (SHT)/Unterteilung  und Ausschneidung in SHT</v>
      </c>
    </row>
    <row r="135" spans="3:24" ht="112" customHeight="1" x14ac:dyDescent="0.2">
      <c r="C135" s="22" t="str">
        <f>_xlfn.XLOOKUP(tbl_CONTENT[[#This Row],[TopicID]], tbl_TOPIC[TopicID], tbl_TOPIC[Subject], "")</f>
        <v>TOP1</v>
      </c>
      <c r="D1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TOP1-T12-04-11</v>
      </c>
      <c r="E135" s="22">
        <f>ROW()</f>
        <v>135</v>
      </c>
      <c r="F135" s="22" t="s">
        <v>1051</v>
      </c>
      <c r="G135" s="22" t="str">
        <f>_xlfn.XLOOKUP(tbl_CONTENT[[#This Row],[Topic]], tbl_TOPIC[Topic], tbl_TOPIC[TopicID], "")</f>
        <v>TOP1-1-04</v>
      </c>
      <c r="H135" s="22" cm="1">
        <f t="array" ref="H135">SUM((tbl_CONTENT[[#This Row],[TopicID]]=INDEX(tbl_CONTENT[TopicID],1):tbl_CONTENT[[#This Row],[TopicID]])*1)</f>
        <v>11</v>
      </c>
      <c r="I135" s="22" t="str">
        <f>_xlfn.XLOOKUP(tbl_CONTENT[[#This Row],[Topic]], tbl_TOPIC[Topic], tbl_TOPIC[TopicIndex], "")</f>
        <v>04</v>
      </c>
      <c r="J135" s="22" t="s">
        <v>102</v>
      </c>
      <c r="K135" s="22" t="s">
        <v>307</v>
      </c>
      <c r="L135" s="22" t="s">
        <v>150</v>
      </c>
      <c r="M135" s="22">
        <v>1</v>
      </c>
      <c r="N135" s="22">
        <v>2</v>
      </c>
      <c r="O135" s="22">
        <v>4</v>
      </c>
      <c r="P135" s="22">
        <v>5</v>
      </c>
      <c r="Q135" s="22">
        <v>5</v>
      </c>
      <c r="S135" s="35">
        <f>IFERROR(
 (1.907*EXP(1)^(-0.5*tbl_CONTENT[[#This Row],[Layer]])) *
 ((tbl_CONTENT[[#This Row],[RelInt]]-1)^(2.5)*4^(1-2.5)+1) +
 ((tbl_CONTENT[[#This Row],[Comp]]-1)^(2.5)*4^(1-2.5)+1)*(0.5*((tbl_CONTENT[[#This Row],[RelInt]]-1)/4)^(2.5)+1),
 0
)</f>
        <v>7.9305662093421851</v>
      </c>
      <c r="T135" s="35">
        <f>IFERROR(
 (1.907*EXP(1)^(-0.5*VALUE(tbl_CONTENT[[#This Row],[Layer]]))) *
 ((VALUE(tbl_CONTENT[[#This Row],[RelId]])-1)^(2.5)*4^(1-2.5)+1) +
 ((VALUE(tbl_CONTENT[[#This Row],[Comp]])-1)^(2.5)*4^(1-2.5)+1)*(0.5*((VALUE(tbl_CONTENT[[#This Row],[RelId]])-1)/4)^(2.5)+1),
 0
)</f>
        <v>7.9305662093421851</v>
      </c>
      <c r="V135" s="22" t="s">
        <v>309</v>
      </c>
      <c r="W135" s="22" t="str">
        <f>IFERROR(
  IF(_xlfn.XLOOKUP(tbl_CONTENT[[#This Row],[Topic]], tbl_TOPIC[Topic], tbl_TOPIC[ParentTopic])="", "",
       _xlfn.XLOOKUP(tbl_CONTENT[[#This Row],[Topic]], tbl_TOPIC[Topic], tbl_TOPIC[ParentTopic])),
  ""
)</f>
        <v>Singuläre Homologie (SHT)</v>
      </c>
      <c r="X135" s="22" t="str">
        <f>IFERROR(
  IF(_xlfn.XLOOKUP(tbl_CONTENT[[#This Row],[Topic]], tbl_TOPIC[Topic], tbl_TOPIC[TopicPath])="", "",
       _xlfn.XLOOKUP(tbl_CONTENT[[#This Row],[Topic]], tbl_TOPIC[Topic], tbl_TOPIC[TopicPath])),
  ""
)</f>
        <v>Singuläre Homologie (SHT)/Unterteilung  und Ausschneidung in SHT</v>
      </c>
    </row>
    <row r="136" spans="3:24" ht="51" x14ac:dyDescent="0.2">
      <c r="C136" s="22" t="str">
        <f>_xlfn.XLOOKUP(tbl_CONTENT[[#This Row],[TopicID]], tbl_TOPIC[TopicID], tbl_TOPIC[Subject], "")</f>
        <v>TOP1</v>
      </c>
      <c r="D1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TOP1-T12-04-12</v>
      </c>
      <c r="E136" s="22">
        <f>ROW()</f>
        <v>136</v>
      </c>
      <c r="F136" s="22" t="s">
        <v>1051</v>
      </c>
      <c r="G136" s="22" t="str">
        <f>_xlfn.XLOOKUP(tbl_CONTENT[[#This Row],[Topic]], tbl_TOPIC[Topic], tbl_TOPIC[TopicID], "")</f>
        <v>TOP1-1-04</v>
      </c>
      <c r="H136" s="22" cm="1">
        <f t="array" ref="H136">SUM((tbl_CONTENT[[#This Row],[TopicID]]=INDEX(tbl_CONTENT[TopicID],1):tbl_CONTENT[[#This Row],[TopicID]])*1)</f>
        <v>12</v>
      </c>
      <c r="I136" s="22" t="str">
        <f>_xlfn.XLOOKUP(tbl_CONTENT[[#This Row],[Topic]], tbl_TOPIC[Topic], tbl_TOPIC[TopicIndex], "")</f>
        <v>04</v>
      </c>
      <c r="J136" s="22" t="s">
        <v>102</v>
      </c>
      <c r="K136" s="22" t="s">
        <v>308</v>
      </c>
      <c r="L136" s="22" t="s">
        <v>151</v>
      </c>
      <c r="M136" s="22">
        <v>1</v>
      </c>
      <c r="N136" s="22">
        <v>2</v>
      </c>
      <c r="O136" s="22">
        <v>3</v>
      </c>
      <c r="P136" s="22">
        <v>4</v>
      </c>
      <c r="Q136" s="22">
        <v>5</v>
      </c>
      <c r="S136" s="35">
        <f>IFERROR(
 (1.907*EXP(1)^(-0.5*tbl_CONTENT[[#This Row],[Layer]])) *
 ((tbl_CONTENT[[#This Row],[RelInt]]-1)^(2.5)*4^(1-2.5)+1) +
 ((tbl_CONTENT[[#This Row],[Comp]]-1)^(2.5)*4^(1-2.5)+1)*(0.5*((tbl_CONTENT[[#This Row],[RelInt]]-1)/4)^(2.5)+1),
 0
)</f>
        <v>4.1914549319579635</v>
      </c>
      <c r="T136" s="35">
        <f>IFERROR(
 (1.907*EXP(1)^(-0.5*VALUE(tbl_CONTENT[[#This Row],[Layer]]))) *
 ((VALUE(tbl_CONTENT[[#This Row],[RelId]])-1)^(2.5)*4^(1-2.5)+1) +
 ((VALUE(tbl_CONTENT[[#This Row],[Comp]])-1)^(2.5)*4^(1-2.5)+1)*(0.5*((VALUE(tbl_CONTENT[[#This Row],[RelId]])-1)/4)^(2.5)+1),
 0
)</f>
        <v>6.0683906433495247</v>
      </c>
      <c r="W136" s="22" t="str">
        <f>IFERROR(
  IF(_xlfn.XLOOKUP(tbl_CONTENT[[#This Row],[Topic]], tbl_TOPIC[Topic], tbl_TOPIC[ParentTopic])="", "",
       _xlfn.XLOOKUP(tbl_CONTENT[[#This Row],[Topic]], tbl_TOPIC[Topic], tbl_TOPIC[ParentTopic])),
  ""
)</f>
        <v>Singuläre Homologie (SHT)</v>
      </c>
      <c r="X136" s="22" t="str">
        <f>IFERROR(
  IF(_xlfn.XLOOKUP(tbl_CONTENT[[#This Row],[Topic]], tbl_TOPIC[Topic], tbl_TOPIC[TopicPath])="", "",
       _xlfn.XLOOKUP(tbl_CONTENT[[#This Row],[Topic]], tbl_TOPIC[Topic], tbl_TOPIC[TopicPath])),
  ""
)</f>
        <v>Singuläre Homologie (SHT)/Unterteilung  und Ausschneidung in SHT</v>
      </c>
    </row>
    <row r="137" spans="3:24" ht="51" x14ac:dyDescent="0.2">
      <c r="C137" s="22" t="str">
        <f>_xlfn.XLOOKUP(tbl_CONTENT[[#This Row],[TopicID]], tbl_TOPIC[TopicID], tbl_TOPIC[Subject], "")</f>
        <v>TOP1</v>
      </c>
      <c r="D1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TOP1-T12-04-13</v>
      </c>
      <c r="E137" s="22">
        <f>ROW()</f>
        <v>137</v>
      </c>
      <c r="F137" s="22" t="s">
        <v>1051</v>
      </c>
      <c r="G137" s="22" t="str">
        <f>_xlfn.XLOOKUP(tbl_CONTENT[[#This Row],[Topic]], tbl_TOPIC[Topic], tbl_TOPIC[TopicID], "")</f>
        <v>TOP1-1-04</v>
      </c>
      <c r="H137" s="22" cm="1">
        <f t="array" ref="H137">SUM((tbl_CONTENT[[#This Row],[TopicID]]=INDEX(tbl_CONTENT[TopicID],1):tbl_CONTENT[[#This Row],[TopicID]])*1)</f>
        <v>13</v>
      </c>
      <c r="I137" s="22" t="str">
        <f>_xlfn.XLOOKUP(tbl_CONTENT[[#This Row],[Topic]], tbl_TOPIC[Topic], tbl_TOPIC[TopicIndex], "")</f>
        <v>04</v>
      </c>
      <c r="J137" s="22" t="s">
        <v>102</v>
      </c>
      <c r="K137" s="22" t="s">
        <v>310</v>
      </c>
      <c r="L137" s="22" t="s">
        <v>149</v>
      </c>
      <c r="M137" s="22">
        <v>1</v>
      </c>
      <c r="N137" s="22">
        <v>2</v>
      </c>
      <c r="O137" s="22">
        <v>3</v>
      </c>
      <c r="P137" s="22">
        <v>3</v>
      </c>
      <c r="Q137" s="22">
        <v>4</v>
      </c>
      <c r="S137" s="35">
        <f>IFERROR(
 (1.907*EXP(1)^(-0.5*tbl_CONTENT[[#This Row],[Layer]])) *
 ((tbl_CONTENT[[#This Row],[RelInt]]-1)^(2.5)*4^(1-2.5)+1) +
 ((tbl_CONTENT[[#This Row],[Comp]]-1)^(2.5)*4^(1-2.5)+1)*(0.5*((tbl_CONTENT[[#This Row],[RelInt]]-1)/4)^(2.5)+1),
 0
)</f>
        <v>3.0556092237531312</v>
      </c>
      <c r="T137" s="35">
        <f>IFERROR(
 (1.907*EXP(1)^(-0.5*VALUE(tbl_CONTENT[[#This Row],[Layer]]))) *
 ((VALUE(tbl_CONTENT[[#This Row],[RelId]])-1)^(2.5)*4^(1-2.5)+1) +
 ((VALUE(tbl_CONTENT[[#This Row],[Comp]])-1)^(2.5)*4^(1-2.5)+1)*(0.5*((VALUE(tbl_CONTENT[[#This Row],[RelId]])-1)/4)^(2.5)+1),
 0
)</f>
        <v>4.1914549319579635</v>
      </c>
      <c r="W137" s="22" t="str">
        <f>IFERROR(
  IF(_xlfn.XLOOKUP(tbl_CONTENT[[#This Row],[Topic]], tbl_TOPIC[Topic], tbl_TOPIC[ParentTopic])="", "",
       _xlfn.XLOOKUP(tbl_CONTENT[[#This Row],[Topic]], tbl_TOPIC[Topic], tbl_TOPIC[ParentTopic])),
  ""
)</f>
        <v>Singuläre Homologie (SHT)</v>
      </c>
      <c r="X137" s="22" t="str">
        <f>IFERROR(
  IF(_xlfn.XLOOKUP(tbl_CONTENT[[#This Row],[Topic]], tbl_TOPIC[Topic], tbl_TOPIC[TopicPath])="", "",
       _xlfn.XLOOKUP(tbl_CONTENT[[#This Row],[Topic]], tbl_TOPIC[Topic], tbl_TOPIC[TopicPath])),
  ""
)</f>
        <v>Singuläre Homologie (SHT)/Unterteilung  und Ausschneidung in SHT</v>
      </c>
    </row>
    <row r="138" spans="3:24" ht="51" x14ac:dyDescent="0.2">
      <c r="C138" s="22" t="str">
        <f>_xlfn.XLOOKUP(tbl_CONTENT[[#This Row],[TopicID]], tbl_TOPIC[TopicID], tbl_TOPIC[Subject], "")</f>
        <v>TOP1</v>
      </c>
      <c r="D1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TOP1-T12-04-14</v>
      </c>
      <c r="E138" s="22">
        <f>ROW()</f>
        <v>138</v>
      </c>
      <c r="F138" s="22" t="s">
        <v>1051</v>
      </c>
      <c r="G138" s="22" t="str">
        <f>_xlfn.XLOOKUP(tbl_CONTENT[[#This Row],[Topic]], tbl_TOPIC[Topic], tbl_TOPIC[TopicID], "")</f>
        <v>TOP1-1-04</v>
      </c>
      <c r="H138" s="22" cm="1">
        <f t="array" ref="H138">SUM((tbl_CONTENT[[#This Row],[TopicID]]=INDEX(tbl_CONTENT[TopicID],1):tbl_CONTENT[[#This Row],[TopicID]])*1)</f>
        <v>14</v>
      </c>
      <c r="I138" s="22" t="str">
        <f>_xlfn.XLOOKUP(tbl_CONTENT[[#This Row],[Topic]], tbl_TOPIC[Topic], tbl_TOPIC[TopicIndex], "")</f>
        <v>04</v>
      </c>
      <c r="J138" s="22" t="s">
        <v>102</v>
      </c>
      <c r="K138" s="22" t="s">
        <v>311</v>
      </c>
      <c r="L138" s="22" t="s">
        <v>148</v>
      </c>
      <c r="M138" s="22">
        <v>1</v>
      </c>
      <c r="N138" s="22">
        <v>2</v>
      </c>
      <c r="O138" s="22">
        <v>3</v>
      </c>
      <c r="P138" s="22">
        <v>3</v>
      </c>
      <c r="Q138" s="22">
        <v>4</v>
      </c>
      <c r="S138" s="35">
        <f>IFERROR(
 (1.907*EXP(1)^(-0.5*tbl_CONTENT[[#This Row],[Layer]])) *
 ((tbl_CONTENT[[#This Row],[RelInt]]-1)^(2.5)*4^(1-2.5)+1) +
 ((tbl_CONTENT[[#This Row],[Comp]]-1)^(2.5)*4^(1-2.5)+1)*(0.5*((tbl_CONTENT[[#This Row],[RelInt]]-1)/4)^(2.5)+1),
 0
)</f>
        <v>3.0556092237531312</v>
      </c>
      <c r="T138" s="35">
        <f>IFERROR(
 (1.907*EXP(1)^(-0.5*VALUE(tbl_CONTENT[[#This Row],[Layer]]))) *
 ((VALUE(tbl_CONTENT[[#This Row],[RelId]])-1)^(2.5)*4^(1-2.5)+1) +
 ((VALUE(tbl_CONTENT[[#This Row],[Comp]])-1)^(2.5)*4^(1-2.5)+1)*(0.5*((VALUE(tbl_CONTENT[[#This Row],[RelId]])-1)/4)^(2.5)+1),
 0
)</f>
        <v>4.1914549319579635</v>
      </c>
      <c r="W138" s="22" t="str">
        <f>IFERROR(
  IF(_xlfn.XLOOKUP(tbl_CONTENT[[#This Row],[Topic]], tbl_TOPIC[Topic], tbl_TOPIC[ParentTopic])="", "",
       _xlfn.XLOOKUP(tbl_CONTENT[[#This Row],[Topic]], tbl_TOPIC[Topic], tbl_TOPIC[ParentTopic])),
  ""
)</f>
        <v>Singuläre Homologie (SHT)</v>
      </c>
      <c r="X138" s="22" t="str">
        <f>IFERROR(
  IF(_xlfn.XLOOKUP(tbl_CONTENT[[#This Row],[Topic]], tbl_TOPIC[Topic], tbl_TOPIC[TopicPath])="", "",
       _xlfn.XLOOKUP(tbl_CONTENT[[#This Row],[Topic]], tbl_TOPIC[Topic], tbl_TOPIC[TopicPath])),
  ""
)</f>
        <v>Singuläre Homologie (SHT)/Unterteilung  und Ausschneidung in SHT</v>
      </c>
    </row>
    <row r="139" spans="3:24" ht="34" x14ac:dyDescent="0.2">
      <c r="C139" s="22" t="str">
        <f>_xlfn.XLOOKUP(tbl_CONTENT[[#This Row],[TopicID]], tbl_TOPIC[TopicID], tbl_TOPIC[Subject], "")</f>
        <v>TOP1</v>
      </c>
      <c r="D1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TOP1-T12-04-15</v>
      </c>
      <c r="E139" s="22">
        <f>ROW()</f>
        <v>139</v>
      </c>
      <c r="F139" s="22" t="s">
        <v>1051</v>
      </c>
      <c r="G139" s="22" t="str">
        <f>_xlfn.XLOOKUP(tbl_CONTENT[[#This Row],[Topic]], tbl_TOPIC[Topic], tbl_TOPIC[TopicID], "")</f>
        <v>TOP1-1-04</v>
      </c>
      <c r="H139" s="22" cm="1">
        <f t="array" ref="H139">SUM((tbl_CONTENT[[#This Row],[TopicID]]=INDEX(tbl_CONTENT[TopicID],1):tbl_CONTENT[[#This Row],[TopicID]])*1)</f>
        <v>15</v>
      </c>
      <c r="I139" s="22" t="str">
        <f>_xlfn.XLOOKUP(tbl_CONTENT[[#This Row],[Topic]], tbl_TOPIC[Topic], tbl_TOPIC[TopicIndex], "")</f>
        <v>04</v>
      </c>
      <c r="J139" s="22" t="s">
        <v>102</v>
      </c>
      <c r="K139" s="22" t="s">
        <v>312</v>
      </c>
      <c r="L139" s="22" t="s">
        <v>151</v>
      </c>
      <c r="M139" s="22">
        <v>1</v>
      </c>
      <c r="N139" s="22">
        <v>2</v>
      </c>
      <c r="O139" s="22">
        <v>3</v>
      </c>
      <c r="P139" s="22">
        <v>4</v>
      </c>
      <c r="Q139" s="22">
        <v>5</v>
      </c>
      <c r="S139" s="35">
        <f>IFERROR(
 (1.907*EXP(1)^(-0.5*tbl_CONTENT[[#This Row],[Layer]])) *
 ((tbl_CONTENT[[#This Row],[RelInt]]-1)^(2.5)*4^(1-2.5)+1) +
 ((tbl_CONTENT[[#This Row],[Comp]]-1)^(2.5)*4^(1-2.5)+1)*(0.5*((tbl_CONTENT[[#This Row],[RelInt]]-1)/4)^(2.5)+1),
 0
)</f>
        <v>4.1914549319579635</v>
      </c>
      <c r="T139" s="35">
        <f>IFERROR(
 (1.907*EXP(1)^(-0.5*VALUE(tbl_CONTENT[[#This Row],[Layer]]))) *
 ((VALUE(tbl_CONTENT[[#This Row],[RelId]])-1)^(2.5)*4^(1-2.5)+1) +
 ((VALUE(tbl_CONTENT[[#This Row],[Comp]])-1)^(2.5)*4^(1-2.5)+1)*(0.5*((VALUE(tbl_CONTENT[[#This Row],[RelId]])-1)/4)^(2.5)+1),
 0
)</f>
        <v>6.0683906433495247</v>
      </c>
      <c r="W139" s="22" t="str">
        <f>IFERROR(
  IF(_xlfn.XLOOKUP(tbl_CONTENT[[#This Row],[Topic]], tbl_TOPIC[Topic], tbl_TOPIC[ParentTopic])="", "",
       _xlfn.XLOOKUP(tbl_CONTENT[[#This Row],[Topic]], tbl_TOPIC[Topic], tbl_TOPIC[ParentTopic])),
  ""
)</f>
        <v>Singuläre Homologie (SHT)</v>
      </c>
      <c r="X139" s="22" t="str">
        <f>IFERROR(
  IF(_xlfn.XLOOKUP(tbl_CONTENT[[#This Row],[Topic]], tbl_TOPIC[Topic], tbl_TOPIC[TopicPath])="", "",
       _xlfn.XLOOKUP(tbl_CONTENT[[#This Row],[Topic]], tbl_TOPIC[Topic], tbl_TOPIC[TopicPath])),
  ""
)</f>
        <v>Singuläre Homologie (SHT)/Unterteilung  und Ausschneidung in SHT</v>
      </c>
    </row>
    <row r="140" spans="3:24" ht="68" x14ac:dyDescent="0.2">
      <c r="C140" s="22" t="str">
        <f>_xlfn.XLOOKUP(tbl_CONTENT[[#This Row],[TopicID]], tbl_TOPIC[TopicID], tbl_TOPIC[Subject], "")</f>
        <v>TOP1</v>
      </c>
      <c r="D1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TOP1-T12-04-16</v>
      </c>
      <c r="E140" s="22">
        <f>ROW()</f>
        <v>140</v>
      </c>
      <c r="F140" s="22" t="s">
        <v>1051</v>
      </c>
      <c r="G140" s="22" t="str">
        <f>_xlfn.XLOOKUP(tbl_CONTENT[[#This Row],[Topic]], tbl_TOPIC[Topic], tbl_TOPIC[TopicID], "")</f>
        <v>TOP1-1-04</v>
      </c>
      <c r="H140" s="22" cm="1">
        <f t="array" ref="H140">SUM((tbl_CONTENT[[#This Row],[TopicID]]=INDEX(tbl_CONTENT[TopicID],1):tbl_CONTENT[[#This Row],[TopicID]])*1)</f>
        <v>16</v>
      </c>
      <c r="I140" s="22" t="str">
        <f>_xlfn.XLOOKUP(tbl_CONTENT[[#This Row],[Topic]], tbl_TOPIC[Topic], tbl_TOPIC[TopicIndex], "")</f>
        <v>04</v>
      </c>
      <c r="J140" s="22" t="s">
        <v>102</v>
      </c>
      <c r="K140" s="22" t="s">
        <v>315</v>
      </c>
      <c r="L140" s="22" t="s">
        <v>152</v>
      </c>
      <c r="M140" s="22">
        <v>1</v>
      </c>
      <c r="N140" s="22">
        <v>1</v>
      </c>
      <c r="O140" s="22">
        <v>3</v>
      </c>
      <c r="P140" s="22">
        <v>4</v>
      </c>
      <c r="Q140" s="22">
        <v>5</v>
      </c>
      <c r="S140" s="35">
        <f>IFERROR(
 (1.907*EXP(1)^(-0.5*tbl_CONTENT[[#This Row],[Layer]])) *
 ((tbl_CONTENT[[#This Row],[RelInt]]-1)^(2.5)*4^(1-2.5)+1) +
 ((tbl_CONTENT[[#This Row],[Comp]]-1)^(2.5)*4^(1-2.5)+1)*(0.5*((tbl_CONTENT[[#This Row],[RelInt]]-1)/4)^(2.5)+1),
 0
)</f>
        <v>5.5333665110238019</v>
      </c>
      <c r="T140" s="35">
        <f>IFERROR(
 (1.907*EXP(1)^(-0.5*VALUE(tbl_CONTENT[[#This Row],[Layer]]))) *
 ((VALUE(tbl_CONTENT[[#This Row],[RelId]])-1)^(2.5)*4^(1-2.5)+1) +
 ((VALUE(tbl_CONTENT[[#This Row],[Comp]])-1)^(2.5)*4^(1-2.5)+1)*(0.5*((VALUE(tbl_CONTENT[[#This Row],[RelId]])-1)/4)^(2.5)+1),
 0
)</f>
        <v>8.3439300121397828</v>
      </c>
      <c r="W140" s="22" t="str">
        <f>IFERROR(
  IF(_xlfn.XLOOKUP(tbl_CONTENT[[#This Row],[Topic]], tbl_TOPIC[Topic], tbl_TOPIC[ParentTopic])="", "",
       _xlfn.XLOOKUP(tbl_CONTENT[[#This Row],[Topic]], tbl_TOPIC[Topic], tbl_TOPIC[ParentTopic])),
  ""
)</f>
        <v>Singuläre Homologie (SHT)</v>
      </c>
      <c r="X140" s="22" t="str">
        <f>IFERROR(
  IF(_xlfn.XLOOKUP(tbl_CONTENT[[#This Row],[Topic]], tbl_TOPIC[Topic], tbl_TOPIC[TopicPath])="", "",
       _xlfn.XLOOKUP(tbl_CONTENT[[#This Row],[Topic]], tbl_TOPIC[Topic], tbl_TOPIC[TopicPath])),
  ""
)</f>
        <v>Singuläre Homologie (SHT)/Unterteilung  und Ausschneidung in SHT</v>
      </c>
    </row>
    <row r="141" spans="3:24" ht="68" x14ac:dyDescent="0.2">
      <c r="C141" s="22" t="str">
        <f>_xlfn.XLOOKUP(tbl_CONTENT[[#This Row],[TopicID]], tbl_TOPIC[TopicID], tbl_TOPIC[Subject], "")</f>
        <v>TOP1</v>
      </c>
      <c r="D1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TOP1-T12-04-17</v>
      </c>
      <c r="E141" s="22">
        <f>ROW()</f>
        <v>141</v>
      </c>
      <c r="F141" s="22" t="s">
        <v>1051</v>
      </c>
      <c r="G141" s="22" t="str">
        <f>_xlfn.XLOOKUP(tbl_CONTENT[[#This Row],[Topic]], tbl_TOPIC[Topic], tbl_TOPIC[TopicID], "")</f>
        <v>TOP1-1-04</v>
      </c>
      <c r="H141" s="22" cm="1">
        <f t="array" ref="H141">SUM((tbl_CONTENT[[#This Row],[TopicID]]=INDEX(tbl_CONTENT[TopicID],1):tbl_CONTENT[[#This Row],[TopicID]])*1)</f>
        <v>17</v>
      </c>
      <c r="I141" s="22" t="str">
        <f>_xlfn.XLOOKUP(tbl_CONTENT[[#This Row],[Topic]], tbl_TOPIC[Topic], tbl_TOPIC[TopicIndex], "")</f>
        <v>04</v>
      </c>
      <c r="J141" s="22" t="s">
        <v>102</v>
      </c>
      <c r="K141" s="22" t="s">
        <v>314</v>
      </c>
      <c r="L141" s="22" t="s">
        <v>151</v>
      </c>
      <c r="M141" s="22">
        <v>1</v>
      </c>
      <c r="N141" s="22">
        <v>1</v>
      </c>
      <c r="O141" s="22">
        <v>3</v>
      </c>
      <c r="P141" s="22">
        <v>4</v>
      </c>
      <c r="Q141" s="22">
        <v>5</v>
      </c>
      <c r="S141" s="35">
        <f>IFERROR(
 (1.907*EXP(1)^(-0.5*tbl_CONTENT[[#This Row],[Layer]])) *
 ((tbl_CONTENT[[#This Row],[RelInt]]-1)^(2.5)*4^(1-2.5)+1) +
 ((tbl_CONTENT[[#This Row],[Comp]]-1)^(2.5)*4^(1-2.5)+1)*(0.5*((tbl_CONTENT[[#This Row],[RelInt]]-1)/4)^(2.5)+1),
 0
)</f>
        <v>5.5333665110238019</v>
      </c>
      <c r="T141" s="35">
        <f>IFERROR(
 (1.907*EXP(1)^(-0.5*VALUE(tbl_CONTENT[[#This Row],[Layer]]))) *
 ((VALUE(tbl_CONTENT[[#This Row],[RelId]])-1)^(2.5)*4^(1-2.5)+1) +
 ((VALUE(tbl_CONTENT[[#This Row],[Comp]])-1)^(2.5)*4^(1-2.5)+1)*(0.5*((VALUE(tbl_CONTENT[[#This Row],[RelId]])-1)/4)^(2.5)+1),
 0
)</f>
        <v>8.3439300121397828</v>
      </c>
      <c r="V141" s="22" t="s">
        <v>313</v>
      </c>
      <c r="W141" s="22" t="str">
        <f>IFERROR(
  IF(_xlfn.XLOOKUP(tbl_CONTENT[[#This Row],[Topic]], tbl_TOPIC[Topic], tbl_TOPIC[ParentTopic])="", "",
       _xlfn.XLOOKUP(tbl_CONTENT[[#This Row],[Topic]], tbl_TOPIC[Topic], tbl_TOPIC[ParentTopic])),
  ""
)</f>
        <v>Singuläre Homologie (SHT)</v>
      </c>
      <c r="X141" s="22" t="str">
        <f>IFERROR(
  IF(_xlfn.XLOOKUP(tbl_CONTENT[[#This Row],[Topic]], tbl_TOPIC[Topic], tbl_TOPIC[TopicPath])="", "",
       _xlfn.XLOOKUP(tbl_CONTENT[[#This Row],[Topic]], tbl_TOPIC[Topic], tbl_TOPIC[TopicPath])),
  ""
)</f>
        <v>Singuläre Homologie (SHT)/Unterteilung  und Ausschneidung in SHT</v>
      </c>
    </row>
    <row r="142" spans="3:24" ht="34" x14ac:dyDescent="0.2">
      <c r="C142" s="22" t="str">
        <f>_xlfn.XLOOKUP(tbl_CONTENT[[#This Row],[TopicID]], tbl_TOPIC[TopicID], tbl_TOPIC[Subject], "")</f>
        <v>TOP1</v>
      </c>
      <c r="D1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TOP1-T12-04-18</v>
      </c>
      <c r="E142" s="22">
        <f>ROW()</f>
        <v>142</v>
      </c>
      <c r="F142" s="22" t="s">
        <v>1051</v>
      </c>
      <c r="G142" s="22" t="str">
        <f>_xlfn.XLOOKUP(tbl_CONTENT[[#This Row],[Topic]], tbl_TOPIC[Topic], tbl_TOPIC[TopicID], "")</f>
        <v>TOP1-1-04</v>
      </c>
      <c r="H142" s="22" cm="1">
        <f t="array" ref="H142">SUM((tbl_CONTENT[[#This Row],[TopicID]]=INDEX(tbl_CONTENT[TopicID],1):tbl_CONTENT[[#This Row],[TopicID]])*1)</f>
        <v>18</v>
      </c>
      <c r="I142" s="22" t="str">
        <f>_xlfn.XLOOKUP(tbl_CONTENT[[#This Row],[Topic]], tbl_TOPIC[Topic], tbl_TOPIC[TopicIndex], "")</f>
        <v>04</v>
      </c>
      <c r="J142" s="22" t="s">
        <v>102</v>
      </c>
      <c r="K142" s="22" t="s">
        <v>316</v>
      </c>
      <c r="L142" s="22" t="s">
        <v>152</v>
      </c>
      <c r="M142" s="22">
        <v>1</v>
      </c>
      <c r="N142" s="22">
        <v>1</v>
      </c>
      <c r="O142" s="22">
        <v>3</v>
      </c>
      <c r="P142" s="22">
        <v>4</v>
      </c>
      <c r="Q142" s="22">
        <v>5</v>
      </c>
      <c r="S142" s="35">
        <f>IFERROR(
 (1.907*EXP(1)^(-0.5*tbl_CONTENT[[#This Row],[Layer]])) *
 ((tbl_CONTENT[[#This Row],[RelInt]]-1)^(2.5)*4^(1-2.5)+1) +
 ((tbl_CONTENT[[#This Row],[Comp]]-1)^(2.5)*4^(1-2.5)+1)*(0.5*((tbl_CONTENT[[#This Row],[RelInt]]-1)/4)^(2.5)+1),
 0
)</f>
        <v>5.5333665110238019</v>
      </c>
      <c r="T142" s="35">
        <f>IFERROR(
 (1.907*EXP(1)^(-0.5*VALUE(tbl_CONTENT[[#This Row],[Layer]]))) *
 ((VALUE(tbl_CONTENT[[#This Row],[RelId]])-1)^(2.5)*4^(1-2.5)+1) +
 ((VALUE(tbl_CONTENT[[#This Row],[Comp]])-1)^(2.5)*4^(1-2.5)+1)*(0.5*((VALUE(tbl_CONTENT[[#This Row],[RelId]])-1)/4)^(2.5)+1),
 0
)</f>
        <v>8.3439300121397828</v>
      </c>
      <c r="W142" s="22" t="str">
        <f>IFERROR(
  IF(_xlfn.XLOOKUP(tbl_CONTENT[[#This Row],[Topic]], tbl_TOPIC[Topic], tbl_TOPIC[ParentTopic])="", "",
       _xlfn.XLOOKUP(tbl_CONTENT[[#This Row],[Topic]], tbl_TOPIC[Topic], tbl_TOPIC[ParentTopic])),
  ""
)</f>
        <v>Singuläre Homologie (SHT)</v>
      </c>
      <c r="X142" s="22" t="str">
        <f>IFERROR(
  IF(_xlfn.XLOOKUP(tbl_CONTENT[[#This Row],[Topic]], tbl_TOPIC[Topic], tbl_TOPIC[TopicPath])="", "",
       _xlfn.XLOOKUP(tbl_CONTENT[[#This Row],[Topic]], tbl_TOPIC[Topic], tbl_TOPIC[TopicPath])),
  ""
)</f>
        <v>Singuläre Homologie (SHT)/Unterteilung  und Ausschneidung in SHT</v>
      </c>
    </row>
    <row r="143" spans="3:24" ht="102" x14ac:dyDescent="0.2">
      <c r="C143" s="22" t="str">
        <f>_xlfn.XLOOKUP(tbl_CONTENT[[#This Row],[TopicID]], tbl_TOPIC[TopicID], tbl_TOPIC[Subject], "")</f>
        <v>TOP1</v>
      </c>
      <c r="D1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TOP1-T12-04-19</v>
      </c>
      <c r="E143" s="22">
        <f>ROW()</f>
        <v>143</v>
      </c>
      <c r="F143" s="22" t="s">
        <v>1051</v>
      </c>
      <c r="G143" s="22" t="str">
        <f>_xlfn.XLOOKUP(tbl_CONTENT[[#This Row],[Topic]], tbl_TOPIC[Topic], tbl_TOPIC[TopicID], "")</f>
        <v>TOP1-1-04</v>
      </c>
      <c r="H143" s="22" cm="1">
        <f t="array" ref="H143">SUM((tbl_CONTENT[[#This Row],[TopicID]]=INDEX(tbl_CONTENT[TopicID],1):tbl_CONTENT[[#This Row],[TopicID]])*1)</f>
        <v>19</v>
      </c>
      <c r="I143" s="22" t="str">
        <f>_xlfn.XLOOKUP(tbl_CONTENT[[#This Row],[Topic]], tbl_TOPIC[Topic], tbl_TOPIC[TopicIndex], "")</f>
        <v>04</v>
      </c>
      <c r="J143" s="22" t="s">
        <v>102</v>
      </c>
      <c r="K143" s="22" t="s">
        <v>1040</v>
      </c>
      <c r="L143" s="22" t="s">
        <v>150</v>
      </c>
      <c r="M143" s="22">
        <v>1</v>
      </c>
      <c r="N143" s="22">
        <v>1</v>
      </c>
      <c r="O143" s="22">
        <v>3</v>
      </c>
      <c r="P143" s="22">
        <v>5</v>
      </c>
      <c r="Q143" s="22">
        <v>5</v>
      </c>
      <c r="S143" s="35">
        <f>IFERROR(
 (1.907*EXP(1)^(-0.5*tbl_CONTENT[[#This Row],[Layer]])) *
 ((tbl_CONTENT[[#This Row],[RelInt]]-1)^(2.5)*4^(1-2.5)+1) +
 ((tbl_CONTENT[[#This Row],[Comp]]-1)^(2.5)*4^(1-2.5)+1)*(0.5*((tbl_CONTENT[[#This Row],[RelInt]]-1)/4)^(2.5)+1),
 0
)</f>
        <v>8.3439300121397828</v>
      </c>
      <c r="T143" s="35">
        <f>IFERROR(
 (1.907*EXP(1)^(-0.5*VALUE(tbl_CONTENT[[#This Row],[Layer]]))) *
 ((VALUE(tbl_CONTENT[[#This Row],[RelId]])-1)^(2.5)*4^(1-2.5)+1) +
 ((VALUE(tbl_CONTENT[[#This Row],[Comp]])-1)^(2.5)*4^(1-2.5)+1)*(0.5*((VALUE(tbl_CONTENT[[#This Row],[RelId]])-1)/4)^(2.5)+1),
 0
)</f>
        <v>8.3439300121397828</v>
      </c>
      <c r="W143" s="22" t="str">
        <f>IFERROR(
  IF(_xlfn.XLOOKUP(tbl_CONTENT[[#This Row],[Topic]], tbl_TOPIC[Topic], tbl_TOPIC[ParentTopic])="", "",
       _xlfn.XLOOKUP(tbl_CONTENT[[#This Row],[Topic]], tbl_TOPIC[Topic], tbl_TOPIC[ParentTopic])),
  ""
)</f>
        <v>Singuläre Homologie (SHT)</v>
      </c>
      <c r="X143" s="22" t="str">
        <f>IFERROR(
  IF(_xlfn.XLOOKUP(tbl_CONTENT[[#This Row],[Topic]], tbl_TOPIC[Topic], tbl_TOPIC[TopicPath])="", "",
       _xlfn.XLOOKUP(tbl_CONTENT[[#This Row],[Topic]], tbl_TOPIC[Topic], tbl_TOPIC[TopicPath])),
  ""
)</f>
        <v>Singuläre Homologie (SHT)/Unterteilung  und Ausschneidung in SHT</v>
      </c>
    </row>
    <row r="144" spans="3:24" ht="34" x14ac:dyDescent="0.2">
      <c r="C144" s="22" t="str">
        <f>_xlfn.XLOOKUP(tbl_CONTENT[[#This Row],[TopicID]], tbl_TOPIC[TopicID], tbl_TOPIC[Subject], "")</f>
        <v>TOP1</v>
      </c>
      <c r="D1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TOP1-T12-04-20</v>
      </c>
      <c r="E144" s="22">
        <f>ROW()</f>
        <v>144</v>
      </c>
      <c r="F144" s="22" t="s">
        <v>1051</v>
      </c>
      <c r="G144" s="22" t="str">
        <f>_xlfn.XLOOKUP(tbl_CONTENT[[#This Row],[Topic]], tbl_TOPIC[Topic], tbl_TOPIC[TopicID], "")</f>
        <v>TOP1-1-04</v>
      </c>
      <c r="H144" s="22" cm="1">
        <f t="array" ref="H144">SUM((tbl_CONTENT[[#This Row],[TopicID]]=INDEX(tbl_CONTENT[TopicID],1):tbl_CONTENT[[#This Row],[TopicID]])*1)</f>
        <v>20</v>
      </c>
      <c r="I144" s="22" t="str">
        <f>_xlfn.XLOOKUP(tbl_CONTENT[[#This Row],[Topic]], tbl_TOPIC[Topic], tbl_TOPIC[TopicIndex], "")</f>
        <v>04</v>
      </c>
      <c r="J144" s="22" t="s">
        <v>102</v>
      </c>
      <c r="K144" s="22" t="s">
        <v>317</v>
      </c>
      <c r="L144" s="22" t="s">
        <v>150</v>
      </c>
      <c r="M144" s="22">
        <v>1</v>
      </c>
      <c r="N144" s="22">
        <v>1</v>
      </c>
      <c r="O144" s="22">
        <v>2</v>
      </c>
      <c r="P144" s="22">
        <v>5</v>
      </c>
      <c r="Q144" s="22">
        <v>5</v>
      </c>
      <c r="S144" s="35">
        <f>IFERROR(
 (1.907*EXP(1)^(-0.5*tbl_CONTENT[[#This Row],[Layer]])) *
 ((tbl_CONTENT[[#This Row],[RelInt]]-1)^(2.5)*4^(1-2.5)+1) +
 ((tbl_CONTENT[[#This Row],[Comp]]-1)^(2.5)*4^(1-2.5)+1)*(0.5*((tbl_CONTENT[[#This Row],[RelInt]]-1)/4)^(2.5)+1),
 0
)</f>
        <v>7.4707698403599609</v>
      </c>
      <c r="T144" s="35">
        <f>IFERROR(
 (1.907*EXP(1)^(-0.5*VALUE(tbl_CONTENT[[#This Row],[Layer]]))) *
 ((VALUE(tbl_CONTENT[[#This Row],[RelId]])-1)^(2.5)*4^(1-2.5)+1) +
 ((VALUE(tbl_CONTENT[[#This Row],[Comp]])-1)^(2.5)*4^(1-2.5)+1)*(0.5*((VALUE(tbl_CONTENT[[#This Row],[RelId]])-1)/4)^(2.5)+1),
 0
)</f>
        <v>7.4707698403599609</v>
      </c>
      <c r="W144" s="22" t="str">
        <f>IFERROR(
  IF(_xlfn.XLOOKUP(tbl_CONTENT[[#This Row],[Topic]], tbl_TOPIC[Topic], tbl_TOPIC[ParentTopic])="", "",
       _xlfn.XLOOKUP(tbl_CONTENT[[#This Row],[Topic]], tbl_TOPIC[Topic], tbl_TOPIC[ParentTopic])),
  ""
)</f>
        <v>Singuläre Homologie (SHT)</v>
      </c>
      <c r="X144" s="22" t="str">
        <f>IFERROR(
  IF(_xlfn.XLOOKUP(tbl_CONTENT[[#This Row],[Topic]], tbl_TOPIC[Topic], tbl_TOPIC[TopicPath])="", "",
       _xlfn.XLOOKUP(tbl_CONTENT[[#This Row],[Topic]], tbl_TOPIC[Topic], tbl_TOPIC[TopicPath])),
  ""
)</f>
        <v>Singuläre Homologie (SHT)/Unterteilung  und Ausschneidung in SHT</v>
      </c>
    </row>
    <row r="145" spans="3:24" ht="34" x14ac:dyDescent="0.2">
      <c r="C145" s="22" t="str">
        <f>_xlfn.XLOOKUP(tbl_CONTENT[[#This Row],[TopicID]], tbl_TOPIC[TopicID], tbl_TOPIC[Subject], "")</f>
        <v>TOP1</v>
      </c>
      <c r="D1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TOP1-T12-04-21</v>
      </c>
      <c r="E145" s="22">
        <f>ROW()</f>
        <v>145</v>
      </c>
      <c r="F145" s="22" t="s">
        <v>1051</v>
      </c>
      <c r="G145" s="22" t="str">
        <f>_xlfn.XLOOKUP(tbl_CONTENT[[#This Row],[Topic]], tbl_TOPIC[Topic], tbl_TOPIC[TopicID], "")</f>
        <v>TOP1-1-04</v>
      </c>
      <c r="H145" s="22" cm="1">
        <f t="array" ref="H145">SUM((tbl_CONTENT[[#This Row],[TopicID]]=INDEX(tbl_CONTENT[TopicID],1):tbl_CONTENT[[#This Row],[TopicID]])*1)</f>
        <v>21</v>
      </c>
      <c r="I145" s="22" t="str">
        <f>_xlfn.XLOOKUP(tbl_CONTENT[[#This Row],[Topic]], tbl_TOPIC[Topic], tbl_TOPIC[TopicIndex], "")</f>
        <v>04</v>
      </c>
      <c r="J145" s="22" t="s">
        <v>102</v>
      </c>
      <c r="K145" s="22" t="s">
        <v>327</v>
      </c>
      <c r="L145" s="22" t="s">
        <v>271</v>
      </c>
      <c r="S145" s="35">
        <f>IFERROR(
 (1.907*EXP(1)^(-0.5*tbl_CONTENT[[#This Row],[Layer]])) *
 ((tbl_CONTENT[[#This Row],[RelInt]]-1)^(2.5)*4^(1-2.5)+1) +
 ((tbl_CONTENT[[#This Row],[Comp]]-1)^(2.5)*4^(1-2.5)+1)*(0.5*((tbl_CONTENT[[#This Row],[RelInt]]-1)/4)^(2.5)+1),
 0
)</f>
        <v>0</v>
      </c>
      <c r="T145" s="35">
        <f>IFERROR(
 (1.907*EXP(1)^(-0.5*VALUE(tbl_CONTENT[[#This Row],[Layer]]))) *
 ((VALUE(tbl_CONTENT[[#This Row],[RelId]])-1)^(2.5)*4^(1-2.5)+1) +
 ((VALUE(tbl_CONTENT[[#This Row],[Comp]])-1)^(2.5)*4^(1-2.5)+1)*(0.5*((VALUE(tbl_CONTENT[[#This Row],[RelId]])-1)/4)^(2.5)+1),
 0
)</f>
        <v>0</v>
      </c>
      <c r="W145" s="22" t="str">
        <f>IFERROR(
  IF(_xlfn.XLOOKUP(tbl_CONTENT[[#This Row],[Topic]], tbl_TOPIC[Topic], tbl_TOPIC[ParentTopic])="", "",
       _xlfn.XLOOKUP(tbl_CONTENT[[#This Row],[Topic]], tbl_TOPIC[Topic], tbl_TOPIC[ParentTopic])),
  ""
)</f>
        <v>Singuläre Homologie (SHT)</v>
      </c>
      <c r="X145" s="22" t="str">
        <f>IFERROR(
  IF(_xlfn.XLOOKUP(tbl_CONTENT[[#This Row],[Topic]], tbl_TOPIC[Topic], tbl_TOPIC[TopicPath])="", "",
       _xlfn.XLOOKUP(tbl_CONTENT[[#This Row],[Topic]], tbl_TOPIC[Topic], tbl_TOPIC[TopicPath])),
  ""
)</f>
        <v>Singuläre Homologie (SHT)/Unterteilung  und Ausschneidung in SHT</v>
      </c>
    </row>
    <row r="146" spans="3:24" ht="34" x14ac:dyDescent="0.2">
      <c r="C146" s="22" t="str">
        <f>_xlfn.XLOOKUP(tbl_CONTENT[[#This Row],[TopicID]], tbl_TOPIC[TopicID], tbl_TOPIC[Subject], "")</f>
        <v>GPDE</v>
      </c>
      <c r="D1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GPDE-T12-02-01</v>
      </c>
      <c r="E146" s="22">
        <f>ROW()</f>
        <v>146</v>
      </c>
      <c r="F146" s="22" t="s">
        <v>1051</v>
      </c>
      <c r="G146" s="22" t="str">
        <f>_xlfn.XLOOKUP(tbl_CONTENT[[#This Row],[Topic]], tbl_TOPIC[Topic], tbl_TOPIC[TopicID], "")</f>
        <v>GPDE-1-02</v>
      </c>
      <c r="H146" s="22" cm="1">
        <f t="array" ref="H146">SUM((tbl_CONTENT[[#This Row],[TopicID]]=INDEX(tbl_CONTENT[TopicID],1):tbl_CONTENT[[#This Row],[TopicID]])*1)</f>
        <v>1</v>
      </c>
      <c r="I146" s="22" t="str">
        <f>_xlfn.XLOOKUP(tbl_CONTENT[[#This Row],[Topic]], tbl_TOPIC[Topic], tbl_TOPIC[TopicIndex], "")</f>
        <v>02</v>
      </c>
      <c r="J146" s="22" t="s">
        <v>331</v>
      </c>
      <c r="K146" s="22" t="s">
        <v>350</v>
      </c>
      <c r="L146" s="22" t="s">
        <v>152</v>
      </c>
      <c r="M146" s="22">
        <v>1</v>
      </c>
      <c r="S146" s="35">
        <f>IFERROR(
 (1.907*EXP(1)^(-0.5*tbl_CONTENT[[#This Row],[Layer]])) *
 ((tbl_CONTENT[[#This Row],[RelInt]]-1)^(2.5)*4^(1-2.5)+1) +
 ((tbl_CONTENT[[#This Row],[Comp]]-1)^(2.5)*4^(1-2.5)+1)*(0.5*((tbl_CONTENT[[#This Row],[RelInt]]-1)/4)^(2.5)+1),
 0
)</f>
        <v>0</v>
      </c>
      <c r="T146" s="35">
        <f>IFERROR(
 (1.907*EXP(1)^(-0.5*VALUE(tbl_CONTENT[[#This Row],[Layer]]))) *
 ((VALUE(tbl_CONTENT[[#This Row],[RelId]])-1)^(2.5)*4^(1-2.5)+1) +
 ((VALUE(tbl_CONTENT[[#This Row],[Comp]])-1)^(2.5)*4^(1-2.5)+1)*(0.5*((VALUE(tbl_CONTENT[[#This Row],[RelId]])-1)/4)^(2.5)+1),
 0
)</f>
        <v>0</v>
      </c>
      <c r="W146" s="22" t="str">
        <f>IFERROR(
  IF(_xlfn.XLOOKUP(tbl_CONTENT[[#This Row],[Topic]], tbl_TOPIC[Topic], tbl_TOPIC[ParentTopic])="", "",
       _xlfn.XLOOKUP(tbl_CONTENT[[#This Row],[Topic]], tbl_TOPIC[Topic], tbl_TOPIC[ParentTopic])),
  ""
)</f>
        <v>GPDE Basics</v>
      </c>
      <c r="X146" s="22" t="str">
        <f>IFERROR(
  IF(_xlfn.XLOOKUP(tbl_CONTENT[[#This Row],[Topic]], tbl_TOPIC[Topic], tbl_TOPIC[TopicPath])="", "",
       _xlfn.XLOOKUP(tbl_CONTENT[[#This Row],[Topic]], tbl_TOPIC[Topic], tbl_TOPIC[TopicPath])),
  ""
)</f>
        <v>GPDE Basics/Differentialoperatoren</v>
      </c>
    </row>
    <row r="147" spans="3:24" ht="34" x14ac:dyDescent="0.2">
      <c r="C147" s="22" t="str">
        <f>_xlfn.XLOOKUP(tbl_CONTENT[[#This Row],[TopicID]], tbl_TOPIC[TopicID], tbl_TOPIC[Subject], "")</f>
        <v>GPDE</v>
      </c>
      <c r="D1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GPDE-T12-02-02</v>
      </c>
      <c r="E147" s="22">
        <f>ROW()</f>
        <v>147</v>
      </c>
      <c r="F147" s="22" t="s">
        <v>1051</v>
      </c>
      <c r="G147" s="22" t="str">
        <f>_xlfn.XLOOKUP(tbl_CONTENT[[#This Row],[Topic]], tbl_TOPIC[Topic], tbl_TOPIC[TopicID], "")</f>
        <v>GPDE-1-02</v>
      </c>
      <c r="H147" s="22" cm="1">
        <f t="array" ref="H147">SUM((tbl_CONTENT[[#This Row],[TopicID]]=INDEX(tbl_CONTENT[TopicID],1):tbl_CONTENT[[#This Row],[TopicID]])*1)</f>
        <v>2</v>
      </c>
      <c r="I147" s="22" t="str">
        <f>_xlfn.XLOOKUP(tbl_CONTENT[[#This Row],[Topic]], tbl_TOPIC[Topic], tbl_TOPIC[TopicIndex], "")</f>
        <v>02</v>
      </c>
      <c r="J147" s="22" t="s">
        <v>331</v>
      </c>
      <c r="K147" s="22" t="s">
        <v>334</v>
      </c>
      <c r="L147" s="22" t="s">
        <v>152</v>
      </c>
      <c r="S147" s="35">
        <f>IFERROR(
 (1.907*EXP(1)^(-0.5*tbl_CONTENT[[#This Row],[Layer]])) *
 ((tbl_CONTENT[[#This Row],[RelInt]]-1)^(2.5)*4^(1-2.5)+1) +
 ((tbl_CONTENT[[#This Row],[Comp]]-1)^(2.5)*4^(1-2.5)+1)*(0.5*((tbl_CONTENT[[#This Row],[RelInt]]-1)/4)^(2.5)+1),
 0
)</f>
        <v>0</v>
      </c>
      <c r="T147" s="35">
        <f>IFERROR(
 (1.907*EXP(1)^(-0.5*VALUE(tbl_CONTENT[[#This Row],[Layer]]))) *
 ((VALUE(tbl_CONTENT[[#This Row],[RelId]])-1)^(2.5)*4^(1-2.5)+1) +
 ((VALUE(tbl_CONTENT[[#This Row],[Comp]])-1)^(2.5)*4^(1-2.5)+1)*(0.5*((VALUE(tbl_CONTENT[[#This Row],[RelId]])-1)/4)^(2.5)+1),
 0
)</f>
        <v>0</v>
      </c>
      <c r="W147" s="22" t="str">
        <f>IFERROR(
  IF(_xlfn.XLOOKUP(tbl_CONTENT[[#This Row],[Topic]], tbl_TOPIC[Topic], tbl_TOPIC[ParentTopic])="", "",
       _xlfn.XLOOKUP(tbl_CONTENT[[#This Row],[Topic]], tbl_TOPIC[Topic], tbl_TOPIC[ParentTopic])),
  ""
)</f>
        <v>GPDE Basics</v>
      </c>
      <c r="X147" s="22" t="str">
        <f>IFERROR(
  IF(_xlfn.XLOOKUP(tbl_CONTENT[[#This Row],[Topic]], tbl_TOPIC[Topic], tbl_TOPIC[TopicPath])="", "",
       _xlfn.XLOOKUP(tbl_CONTENT[[#This Row],[Topic]], tbl_TOPIC[Topic], tbl_TOPIC[TopicPath])),
  ""
)</f>
        <v>GPDE Basics/Differentialoperatoren</v>
      </c>
    </row>
    <row r="148" spans="3:24" ht="34" x14ac:dyDescent="0.2">
      <c r="C148" s="22" t="str">
        <f>_xlfn.XLOOKUP(tbl_CONTENT[[#This Row],[TopicID]], tbl_TOPIC[TopicID], tbl_TOPIC[Subject], "")</f>
        <v>GPDE</v>
      </c>
      <c r="D1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GPDE-T12-02-03</v>
      </c>
      <c r="E148" s="22">
        <f>ROW()</f>
        <v>148</v>
      </c>
      <c r="F148" s="22" t="s">
        <v>1051</v>
      </c>
      <c r="G148" s="22" t="str">
        <f>_xlfn.XLOOKUP(tbl_CONTENT[[#This Row],[Topic]], tbl_TOPIC[Topic], tbl_TOPIC[TopicID], "")</f>
        <v>GPDE-1-02</v>
      </c>
      <c r="H148" s="22" cm="1">
        <f t="array" ref="H148">SUM((tbl_CONTENT[[#This Row],[TopicID]]=INDEX(tbl_CONTENT[TopicID],1):tbl_CONTENT[[#This Row],[TopicID]])*1)</f>
        <v>3</v>
      </c>
      <c r="I148" s="22" t="str">
        <f>_xlfn.XLOOKUP(tbl_CONTENT[[#This Row],[Topic]], tbl_TOPIC[Topic], tbl_TOPIC[TopicIndex], "")</f>
        <v>02</v>
      </c>
      <c r="J148" s="22" t="s">
        <v>331</v>
      </c>
      <c r="K148" s="22" t="s">
        <v>335</v>
      </c>
      <c r="L148" s="22" t="s">
        <v>152</v>
      </c>
      <c r="M148" s="22">
        <v>1</v>
      </c>
      <c r="S148" s="35">
        <f>IFERROR(
 (1.907*EXP(1)^(-0.5*tbl_CONTENT[[#This Row],[Layer]])) *
 ((tbl_CONTENT[[#This Row],[RelInt]]-1)^(2.5)*4^(1-2.5)+1) +
 ((tbl_CONTENT[[#This Row],[Comp]]-1)^(2.5)*4^(1-2.5)+1)*(0.5*((tbl_CONTENT[[#This Row],[RelInt]]-1)/4)^(2.5)+1),
 0
)</f>
        <v>0</v>
      </c>
      <c r="T148" s="35">
        <f>IFERROR(
 (1.907*EXP(1)^(-0.5*VALUE(tbl_CONTENT[[#This Row],[Layer]]))) *
 ((VALUE(tbl_CONTENT[[#This Row],[RelId]])-1)^(2.5)*4^(1-2.5)+1) +
 ((VALUE(tbl_CONTENT[[#This Row],[Comp]])-1)^(2.5)*4^(1-2.5)+1)*(0.5*((VALUE(tbl_CONTENT[[#This Row],[RelId]])-1)/4)^(2.5)+1),
 0
)</f>
        <v>0</v>
      </c>
      <c r="W148" s="22" t="str">
        <f>IFERROR(
  IF(_xlfn.XLOOKUP(tbl_CONTENT[[#This Row],[Topic]], tbl_TOPIC[Topic], tbl_TOPIC[ParentTopic])="", "",
       _xlfn.XLOOKUP(tbl_CONTENT[[#This Row],[Topic]], tbl_TOPIC[Topic], tbl_TOPIC[ParentTopic])),
  ""
)</f>
        <v>GPDE Basics</v>
      </c>
      <c r="X148" s="22" t="str">
        <f>IFERROR(
  IF(_xlfn.XLOOKUP(tbl_CONTENT[[#This Row],[Topic]], tbl_TOPIC[Topic], tbl_TOPIC[TopicPath])="", "",
       _xlfn.XLOOKUP(tbl_CONTENT[[#This Row],[Topic]], tbl_TOPIC[Topic], tbl_TOPIC[TopicPath])),
  ""
)</f>
        <v>GPDE Basics/Differentialoperatoren</v>
      </c>
    </row>
    <row r="149" spans="3:24" ht="34" x14ac:dyDescent="0.2">
      <c r="C149" s="22" t="str">
        <f>_xlfn.XLOOKUP(tbl_CONTENT[[#This Row],[TopicID]], tbl_TOPIC[TopicID], tbl_TOPIC[Subject], "")</f>
        <v>GPDE</v>
      </c>
      <c r="D1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GPDE-T12-02-04</v>
      </c>
      <c r="E149" s="22">
        <f>ROW()</f>
        <v>149</v>
      </c>
      <c r="F149" s="22" t="s">
        <v>1051</v>
      </c>
      <c r="G149" s="22" t="str">
        <f>_xlfn.XLOOKUP(tbl_CONTENT[[#This Row],[Topic]], tbl_TOPIC[Topic], tbl_TOPIC[TopicID], "")</f>
        <v>GPDE-1-02</v>
      </c>
      <c r="H149" s="22" cm="1">
        <f t="array" ref="H149">SUM((tbl_CONTENT[[#This Row],[TopicID]]=INDEX(tbl_CONTENT[TopicID],1):tbl_CONTENT[[#This Row],[TopicID]])*1)</f>
        <v>4</v>
      </c>
      <c r="I149" s="22" t="str">
        <f>_xlfn.XLOOKUP(tbl_CONTENT[[#This Row],[Topic]], tbl_TOPIC[Topic], tbl_TOPIC[TopicIndex], "")</f>
        <v>02</v>
      </c>
      <c r="J149" s="22" t="s">
        <v>331</v>
      </c>
      <c r="K149" s="22" t="s">
        <v>336</v>
      </c>
      <c r="L149" s="22" t="s">
        <v>152</v>
      </c>
      <c r="S149" s="35">
        <f>IFERROR(
 (1.907*EXP(1)^(-0.5*tbl_CONTENT[[#This Row],[Layer]])) *
 ((tbl_CONTENT[[#This Row],[RelInt]]-1)^(2.5)*4^(1-2.5)+1) +
 ((tbl_CONTENT[[#This Row],[Comp]]-1)^(2.5)*4^(1-2.5)+1)*(0.5*((tbl_CONTENT[[#This Row],[RelInt]]-1)/4)^(2.5)+1),
 0
)</f>
        <v>0</v>
      </c>
      <c r="T149" s="35">
        <f>IFERROR(
 (1.907*EXP(1)^(-0.5*VALUE(tbl_CONTENT[[#This Row],[Layer]]))) *
 ((VALUE(tbl_CONTENT[[#This Row],[RelId]])-1)^(2.5)*4^(1-2.5)+1) +
 ((VALUE(tbl_CONTENT[[#This Row],[Comp]])-1)^(2.5)*4^(1-2.5)+1)*(0.5*((VALUE(tbl_CONTENT[[#This Row],[RelId]])-1)/4)^(2.5)+1),
 0
)</f>
        <v>0</v>
      </c>
      <c r="W149" s="22" t="str">
        <f>IFERROR(
  IF(_xlfn.XLOOKUP(tbl_CONTENT[[#This Row],[Topic]], tbl_TOPIC[Topic], tbl_TOPIC[ParentTopic])="", "",
       _xlfn.XLOOKUP(tbl_CONTENT[[#This Row],[Topic]], tbl_TOPIC[Topic], tbl_TOPIC[ParentTopic])),
  ""
)</f>
        <v>GPDE Basics</v>
      </c>
      <c r="X149" s="22" t="str">
        <f>IFERROR(
  IF(_xlfn.XLOOKUP(tbl_CONTENT[[#This Row],[Topic]], tbl_TOPIC[Topic], tbl_TOPIC[TopicPath])="", "",
       _xlfn.XLOOKUP(tbl_CONTENT[[#This Row],[Topic]], tbl_TOPIC[Topic], tbl_TOPIC[TopicPath])),
  ""
)</f>
        <v>GPDE Basics/Differentialoperatoren</v>
      </c>
    </row>
    <row r="150" spans="3:24" ht="34" x14ac:dyDescent="0.2">
      <c r="C150" s="22" t="str">
        <f>_xlfn.XLOOKUP(tbl_CONTENT[[#This Row],[TopicID]], tbl_TOPIC[TopicID], tbl_TOPIC[Subject], "")</f>
        <v>GPDE</v>
      </c>
      <c r="D1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GPDE-T12-02-05</v>
      </c>
      <c r="E150" s="22">
        <f>ROW()</f>
        <v>150</v>
      </c>
      <c r="F150" s="22" t="s">
        <v>1051</v>
      </c>
      <c r="G150" s="22" t="str">
        <f>_xlfn.XLOOKUP(tbl_CONTENT[[#This Row],[Topic]], tbl_TOPIC[Topic], tbl_TOPIC[TopicID], "")</f>
        <v>GPDE-1-02</v>
      </c>
      <c r="H150" s="22" cm="1">
        <f t="array" ref="H150">SUM((tbl_CONTENT[[#This Row],[TopicID]]=INDEX(tbl_CONTENT[TopicID],1):tbl_CONTENT[[#This Row],[TopicID]])*1)</f>
        <v>5</v>
      </c>
      <c r="I150" s="22" t="str">
        <f>_xlfn.XLOOKUP(tbl_CONTENT[[#This Row],[Topic]], tbl_TOPIC[Topic], tbl_TOPIC[TopicIndex], "")</f>
        <v>02</v>
      </c>
      <c r="J150" s="22" t="s">
        <v>331</v>
      </c>
      <c r="K150" s="22" t="s">
        <v>337</v>
      </c>
      <c r="L150" s="22" t="s">
        <v>152</v>
      </c>
      <c r="S150" s="35">
        <f>IFERROR(
 (1.907*EXP(1)^(-0.5*tbl_CONTENT[[#This Row],[Layer]])) *
 ((tbl_CONTENT[[#This Row],[RelInt]]-1)^(2.5)*4^(1-2.5)+1) +
 ((tbl_CONTENT[[#This Row],[Comp]]-1)^(2.5)*4^(1-2.5)+1)*(0.5*((tbl_CONTENT[[#This Row],[RelInt]]-1)/4)^(2.5)+1),
 0
)</f>
        <v>0</v>
      </c>
      <c r="T150" s="35">
        <f>IFERROR(
 (1.907*EXP(1)^(-0.5*VALUE(tbl_CONTENT[[#This Row],[Layer]]))) *
 ((VALUE(tbl_CONTENT[[#This Row],[RelId]])-1)^(2.5)*4^(1-2.5)+1) +
 ((VALUE(tbl_CONTENT[[#This Row],[Comp]])-1)^(2.5)*4^(1-2.5)+1)*(0.5*((VALUE(tbl_CONTENT[[#This Row],[RelId]])-1)/4)^(2.5)+1),
 0
)</f>
        <v>0</v>
      </c>
      <c r="W150" s="22" t="str">
        <f>IFERROR(
  IF(_xlfn.XLOOKUP(tbl_CONTENT[[#This Row],[Topic]], tbl_TOPIC[Topic], tbl_TOPIC[ParentTopic])="", "",
       _xlfn.XLOOKUP(tbl_CONTENT[[#This Row],[Topic]], tbl_TOPIC[Topic], tbl_TOPIC[ParentTopic])),
  ""
)</f>
        <v>GPDE Basics</v>
      </c>
      <c r="X150" s="22" t="str">
        <f>IFERROR(
  IF(_xlfn.XLOOKUP(tbl_CONTENT[[#This Row],[Topic]], tbl_TOPIC[Topic], tbl_TOPIC[TopicPath])="", "",
       _xlfn.XLOOKUP(tbl_CONTENT[[#This Row],[Topic]], tbl_TOPIC[Topic], tbl_TOPIC[TopicPath])),
  ""
)</f>
        <v>GPDE Basics/Differentialoperatoren</v>
      </c>
    </row>
    <row r="151" spans="3:24" ht="34" x14ac:dyDescent="0.2">
      <c r="C151" s="22" t="str">
        <f>_xlfn.XLOOKUP(tbl_CONTENT[[#This Row],[TopicID]], tbl_TOPIC[TopicID], tbl_TOPIC[Subject], "")</f>
        <v>GPDE</v>
      </c>
      <c r="D1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GPDE-T12-02-06</v>
      </c>
      <c r="E151" s="22">
        <f>ROW()</f>
        <v>151</v>
      </c>
      <c r="F151" s="22" t="s">
        <v>1051</v>
      </c>
      <c r="G151" s="22" t="str">
        <f>_xlfn.XLOOKUP(tbl_CONTENT[[#This Row],[Topic]], tbl_TOPIC[Topic], tbl_TOPIC[TopicID], "")</f>
        <v>GPDE-1-02</v>
      </c>
      <c r="H151" s="22" cm="1">
        <f t="array" ref="H151">SUM((tbl_CONTENT[[#This Row],[TopicID]]=INDEX(tbl_CONTENT[TopicID],1):tbl_CONTENT[[#This Row],[TopicID]])*1)</f>
        <v>6</v>
      </c>
      <c r="I151" s="22" t="str">
        <f>_xlfn.XLOOKUP(tbl_CONTENT[[#This Row],[Topic]], tbl_TOPIC[Topic], tbl_TOPIC[TopicIndex], "")</f>
        <v>02</v>
      </c>
      <c r="J151" s="22" t="s">
        <v>331</v>
      </c>
      <c r="K151" s="22" t="s">
        <v>338</v>
      </c>
      <c r="L151" s="22" t="s">
        <v>152</v>
      </c>
      <c r="S151" s="35">
        <f>IFERROR(
 (1.907*EXP(1)^(-0.5*tbl_CONTENT[[#This Row],[Layer]])) *
 ((tbl_CONTENT[[#This Row],[RelInt]]-1)^(2.5)*4^(1-2.5)+1) +
 ((tbl_CONTENT[[#This Row],[Comp]]-1)^(2.5)*4^(1-2.5)+1)*(0.5*((tbl_CONTENT[[#This Row],[RelInt]]-1)/4)^(2.5)+1),
 0
)</f>
        <v>0</v>
      </c>
      <c r="T151" s="35">
        <f>IFERROR(
 (1.907*EXP(1)^(-0.5*VALUE(tbl_CONTENT[[#This Row],[Layer]]))) *
 ((VALUE(tbl_CONTENT[[#This Row],[RelId]])-1)^(2.5)*4^(1-2.5)+1) +
 ((VALUE(tbl_CONTENT[[#This Row],[Comp]])-1)^(2.5)*4^(1-2.5)+1)*(0.5*((VALUE(tbl_CONTENT[[#This Row],[RelId]])-1)/4)^(2.5)+1),
 0
)</f>
        <v>0</v>
      </c>
      <c r="W151" s="22" t="str">
        <f>IFERROR(
  IF(_xlfn.XLOOKUP(tbl_CONTENT[[#This Row],[Topic]], tbl_TOPIC[Topic], tbl_TOPIC[ParentTopic])="", "",
       _xlfn.XLOOKUP(tbl_CONTENT[[#This Row],[Topic]], tbl_TOPIC[Topic], tbl_TOPIC[ParentTopic])),
  ""
)</f>
        <v>GPDE Basics</v>
      </c>
      <c r="X151" s="22" t="str">
        <f>IFERROR(
  IF(_xlfn.XLOOKUP(tbl_CONTENT[[#This Row],[Topic]], tbl_TOPIC[Topic], tbl_TOPIC[TopicPath])="", "",
       _xlfn.XLOOKUP(tbl_CONTENT[[#This Row],[Topic]], tbl_TOPIC[Topic], tbl_TOPIC[TopicPath])),
  ""
)</f>
        <v>GPDE Basics/Differentialoperatoren</v>
      </c>
    </row>
    <row r="152" spans="3:24" ht="34" x14ac:dyDescent="0.2">
      <c r="C152" s="22" t="str">
        <f>_xlfn.XLOOKUP(tbl_CONTENT[[#This Row],[TopicID]], tbl_TOPIC[TopicID], tbl_TOPIC[Subject], "")</f>
        <v>GPDE</v>
      </c>
      <c r="D1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GPDE-T12-02-07</v>
      </c>
      <c r="E152" s="22">
        <f>ROW()</f>
        <v>152</v>
      </c>
      <c r="F152" s="22" t="s">
        <v>1051</v>
      </c>
      <c r="G152" s="22" t="str">
        <f>_xlfn.XLOOKUP(tbl_CONTENT[[#This Row],[Topic]], tbl_TOPIC[Topic], tbl_TOPIC[TopicID], "")</f>
        <v>GPDE-1-02</v>
      </c>
      <c r="H152" s="22" cm="1">
        <f t="array" ref="H152">SUM((tbl_CONTENT[[#This Row],[TopicID]]=INDEX(tbl_CONTENT[TopicID],1):tbl_CONTENT[[#This Row],[TopicID]])*1)</f>
        <v>7</v>
      </c>
      <c r="I152" s="22" t="str">
        <f>_xlfn.XLOOKUP(tbl_CONTENT[[#This Row],[Topic]], tbl_TOPIC[Topic], tbl_TOPIC[TopicIndex], "")</f>
        <v>02</v>
      </c>
      <c r="J152" s="22" t="s">
        <v>331</v>
      </c>
      <c r="K152" s="22" t="s">
        <v>339</v>
      </c>
      <c r="L152" s="22" t="s">
        <v>152</v>
      </c>
      <c r="M152" s="22">
        <v>1</v>
      </c>
      <c r="S152" s="35">
        <f>IFERROR(
 (1.907*EXP(1)^(-0.5*tbl_CONTENT[[#This Row],[Layer]])) *
 ((tbl_CONTENT[[#This Row],[RelInt]]-1)^(2.5)*4^(1-2.5)+1) +
 ((tbl_CONTENT[[#This Row],[Comp]]-1)^(2.5)*4^(1-2.5)+1)*(0.5*((tbl_CONTENT[[#This Row],[RelInt]]-1)/4)^(2.5)+1),
 0
)</f>
        <v>0</v>
      </c>
      <c r="T152" s="35">
        <f>IFERROR(
 (1.907*EXP(1)^(-0.5*VALUE(tbl_CONTENT[[#This Row],[Layer]]))) *
 ((VALUE(tbl_CONTENT[[#This Row],[RelId]])-1)^(2.5)*4^(1-2.5)+1) +
 ((VALUE(tbl_CONTENT[[#This Row],[Comp]])-1)^(2.5)*4^(1-2.5)+1)*(0.5*((VALUE(tbl_CONTENT[[#This Row],[RelId]])-1)/4)^(2.5)+1),
 0
)</f>
        <v>0</v>
      </c>
      <c r="W152" s="22" t="str">
        <f>IFERROR(
  IF(_xlfn.XLOOKUP(tbl_CONTENT[[#This Row],[Topic]], tbl_TOPIC[Topic], tbl_TOPIC[ParentTopic])="", "",
       _xlfn.XLOOKUP(tbl_CONTENT[[#This Row],[Topic]], tbl_TOPIC[Topic], tbl_TOPIC[ParentTopic])),
  ""
)</f>
        <v>GPDE Basics</v>
      </c>
      <c r="X152" s="22" t="str">
        <f>IFERROR(
  IF(_xlfn.XLOOKUP(tbl_CONTENT[[#This Row],[Topic]], tbl_TOPIC[Topic], tbl_TOPIC[TopicPath])="", "",
       _xlfn.XLOOKUP(tbl_CONTENT[[#This Row],[Topic]], tbl_TOPIC[Topic], tbl_TOPIC[TopicPath])),
  ""
)</f>
        <v>GPDE Basics/Differentialoperatoren</v>
      </c>
    </row>
    <row r="153" spans="3:24" ht="34" x14ac:dyDescent="0.2">
      <c r="C153" s="22" t="str">
        <f>_xlfn.XLOOKUP(tbl_CONTENT[[#This Row],[TopicID]], tbl_TOPIC[TopicID], tbl_TOPIC[Subject], "")</f>
        <v>GPDE</v>
      </c>
      <c r="D1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GPDE-T12-02-08</v>
      </c>
      <c r="E153" s="22">
        <f>ROW()</f>
        <v>153</v>
      </c>
      <c r="F153" s="22" t="s">
        <v>1051</v>
      </c>
      <c r="G153" s="22" t="str">
        <f>_xlfn.XLOOKUP(tbl_CONTENT[[#This Row],[Topic]], tbl_TOPIC[Topic], tbl_TOPIC[TopicID], "")</f>
        <v>GPDE-1-02</v>
      </c>
      <c r="H153" s="22" cm="1">
        <f t="array" ref="H153">SUM((tbl_CONTENT[[#This Row],[TopicID]]=INDEX(tbl_CONTENT[TopicID],1):tbl_CONTENT[[#This Row],[TopicID]])*1)</f>
        <v>8</v>
      </c>
      <c r="I153" s="22" t="str">
        <f>_xlfn.XLOOKUP(tbl_CONTENT[[#This Row],[Topic]], tbl_TOPIC[Topic], tbl_TOPIC[TopicIndex], "")</f>
        <v>02</v>
      </c>
      <c r="J153" s="22" t="s">
        <v>331</v>
      </c>
      <c r="K153" s="22" t="s">
        <v>341</v>
      </c>
      <c r="L153" s="22" t="s">
        <v>152</v>
      </c>
      <c r="M153" s="22">
        <v>1</v>
      </c>
      <c r="S153" s="35">
        <f>IFERROR(
 (1.907*EXP(1)^(-0.5*tbl_CONTENT[[#This Row],[Layer]])) *
 ((tbl_CONTENT[[#This Row],[RelInt]]-1)^(2.5)*4^(1-2.5)+1) +
 ((tbl_CONTENT[[#This Row],[Comp]]-1)^(2.5)*4^(1-2.5)+1)*(0.5*((tbl_CONTENT[[#This Row],[RelInt]]-1)/4)^(2.5)+1),
 0
)</f>
        <v>0</v>
      </c>
      <c r="T153" s="35">
        <f>IFERROR(
 (1.907*EXP(1)^(-0.5*VALUE(tbl_CONTENT[[#This Row],[Layer]]))) *
 ((VALUE(tbl_CONTENT[[#This Row],[RelId]])-1)^(2.5)*4^(1-2.5)+1) +
 ((VALUE(tbl_CONTENT[[#This Row],[Comp]])-1)^(2.5)*4^(1-2.5)+1)*(0.5*((VALUE(tbl_CONTENT[[#This Row],[RelId]])-1)/4)^(2.5)+1),
 0
)</f>
        <v>0</v>
      </c>
      <c r="W153" s="22" t="str">
        <f>IFERROR(
  IF(_xlfn.XLOOKUP(tbl_CONTENT[[#This Row],[Topic]], tbl_TOPIC[Topic], tbl_TOPIC[ParentTopic])="", "",
       _xlfn.XLOOKUP(tbl_CONTENT[[#This Row],[Topic]], tbl_TOPIC[Topic], tbl_TOPIC[ParentTopic])),
  ""
)</f>
        <v>GPDE Basics</v>
      </c>
      <c r="X153" s="22" t="str">
        <f>IFERROR(
  IF(_xlfn.XLOOKUP(tbl_CONTENT[[#This Row],[Topic]], tbl_TOPIC[Topic], tbl_TOPIC[TopicPath])="", "",
       _xlfn.XLOOKUP(tbl_CONTENT[[#This Row],[Topic]], tbl_TOPIC[Topic], tbl_TOPIC[TopicPath])),
  ""
)</f>
        <v>GPDE Basics/Differentialoperatoren</v>
      </c>
    </row>
    <row r="154" spans="3:24" ht="34" x14ac:dyDescent="0.2">
      <c r="C154" s="22" t="str">
        <f>_xlfn.XLOOKUP(tbl_CONTENT[[#This Row],[TopicID]], tbl_TOPIC[TopicID], tbl_TOPIC[Subject], "")</f>
        <v>GPDE</v>
      </c>
      <c r="D1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GPDE-T12-02-09</v>
      </c>
      <c r="E154" s="22">
        <f>ROW()</f>
        <v>154</v>
      </c>
      <c r="F154" s="22" t="s">
        <v>1051</v>
      </c>
      <c r="G154" s="22" t="str">
        <f>_xlfn.XLOOKUP(tbl_CONTENT[[#This Row],[Topic]], tbl_TOPIC[Topic], tbl_TOPIC[TopicID], "")</f>
        <v>GPDE-1-02</v>
      </c>
      <c r="H154" s="22" cm="1">
        <f t="array" ref="H154">SUM((tbl_CONTENT[[#This Row],[TopicID]]=INDEX(tbl_CONTENT[TopicID],1):tbl_CONTENT[[#This Row],[TopicID]])*1)</f>
        <v>9</v>
      </c>
      <c r="I154" s="22" t="str">
        <f>_xlfn.XLOOKUP(tbl_CONTENT[[#This Row],[Topic]], tbl_TOPIC[Topic], tbl_TOPIC[TopicIndex], "")</f>
        <v>02</v>
      </c>
      <c r="J154" s="22" t="s">
        <v>331</v>
      </c>
      <c r="K154" s="22" t="s">
        <v>340</v>
      </c>
      <c r="L154" s="22" t="s">
        <v>152</v>
      </c>
      <c r="M154" s="22">
        <v>1</v>
      </c>
      <c r="S154" s="35">
        <f>IFERROR(
 (1.907*EXP(1)^(-0.5*tbl_CONTENT[[#This Row],[Layer]])) *
 ((tbl_CONTENT[[#This Row],[RelInt]]-1)^(2.5)*4^(1-2.5)+1) +
 ((tbl_CONTENT[[#This Row],[Comp]]-1)^(2.5)*4^(1-2.5)+1)*(0.5*((tbl_CONTENT[[#This Row],[RelInt]]-1)/4)^(2.5)+1),
 0
)</f>
        <v>0</v>
      </c>
      <c r="T154" s="35">
        <f>IFERROR(
 (1.907*EXP(1)^(-0.5*VALUE(tbl_CONTENT[[#This Row],[Layer]]))) *
 ((VALUE(tbl_CONTENT[[#This Row],[RelId]])-1)^(2.5)*4^(1-2.5)+1) +
 ((VALUE(tbl_CONTENT[[#This Row],[Comp]])-1)^(2.5)*4^(1-2.5)+1)*(0.5*((VALUE(tbl_CONTENT[[#This Row],[RelId]])-1)/4)^(2.5)+1),
 0
)</f>
        <v>0</v>
      </c>
      <c r="W154" s="22" t="str">
        <f>IFERROR(
  IF(_xlfn.XLOOKUP(tbl_CONTENT[[#This Row],[Topic]], tbl_TOPIC[Topic], tbl_TOPIC[ParentTopic])="", "",
       _xlfn.XLOOKUP(tbl_CONTENT[[#This Row],[Topic]], tbl_TOPIC[Topic], tbl_TOPIC[ParentTopic])),
  ""
)</f>
        <v>GPDE Basics</v>
      </c>
      <c r="X154" s="22" t="str">
        <f>IFERROR(
  IF(_xlfn.XLOOKUP(tbl_CONTENT[[#This Row],[Topic]], tbl_TOPIC[Topic], tbl_TOPIC[TopicPath])="", "",
       _xlfn.XLOOKUP(tbl_CONTENT[[#This Row],[Topic]], tbl_TOPIC[Topic], tbl_TOPIC[TopicPath])),
  ""
)</f>
        <v>GPDE Basics/Differentialoperatoren</v>
      </c>
    </row>
    <row r="155" spans="3:24" ht="34" x14ac:dyDescent="0.2">
      <c r="C155" s="22" t="str">
        <f>_xlfn.XLOOKUP(tbl_CONTENT[[#This Row],[TopicID]], tbl_TOPIC[TopicID], tbl_TOPIC[Subject], "")</f>
        <v>GPDE</v>
      </c>
      <c r="D1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GPDE-T12-02-10</v>
      </c>
      <c r="E155" s="22">
        <f>ROW()</f>
        <v>155</v>
      </c>
      <c r="F155" s="22" t="s">
        <v>1051</v>
      </c>
      <c r="G155" s="22" t="str">
        <f>_xlfn.XLOOKUP(tbl_CONTENT[[#This Row],[Topic]], tbl_TOPIC[Topic], tbl_TOPIC[TopicID], "")</f>
        <v>GPDE-1-02</v>
      </c>
      <c r="H155" s="22" cm="1">
        <f t="array" ref="H155">SUM((tbl_CONTENT[[#This Row],[TopicID]]=INDEX(tbl_CONTENT[TopicID],1):tbl_CONTENT[[#This Row],[TopicID]])*1)</f>
        <v>10</v>
      </c>
      <c r="I155" s="22" t="str">
        <f>_xlfn.XLOOKUP(tbl_CONTENT[[#This Row],[Topic]], tbl_TOPIC[Topic], tbl_TOPIC[TopicIndex], "")</f>
        <v>02</v>
      </c>
      <c r="J155" s="22" t="s">
        <v>331</v>
      </c>
      <c r="K155" s="22" t="s">
        <v>342</v>
      </c>
      <c r="L155" s="22" t="s">
        <v>152</v>
      </c>
      <c r="M155" s="22">
        <v>1</v>
      </c>
      <c r="S155" s="35">
        <f>IFERROR(
 (1.907*EXP(1)^(-0.5*tbl_CONTENT[[#This Row],[Layer]])) *
 ((tbl_CONTENT[[#This Row],[RelInt]]-1)^(2.5)*4^(1-2.5)+1) +
 ((tbl_CONTENT[[#This Row],[Comp]]-1)^(2.5)*4^(1-2.5)+1)*(0.5*((tbl_CONTENT[[#This Row],[RelInt]]-1)/4)^(2.5)+1),
 0
)</f>
        <v>0</v>
      </c>
      <c r="T155" s="35">
        <f>IFERROR(
 (1.907*EXP(1)^(-0.5*VALUE(tbl_CONTENT[[#This Row],[Layer]]))) *
 ((VALUE(tbl_CONTENT[[#This Row],[RelId]])-1)^(2.5)*4^(1-2.5)+1) +
 ((VALUE(tbl_CONTENT[[#This Row],[Comp]])-1)^(2.5)*4^(1-2.5)+1)*(0.5*((VALUE(tbl_CONTENT[[#This Row],[RelId]])-1)/4)^(2.5)+1),
 0
)</f>
        <v>0</v>
      </c>
      <c r="W155" s="22" t="str">
        <f>IFERROR(
  IF(_xlfn.XLOOKUP(tbl_CONTENT[[#This Row],[Topic]], tbl_TOPIC[Topic], tbl_TOPIC[ParentTopic])="", "",
       _xlfn.XLOOKUP(tbl_CONTENT[[#This Row],[Topic]], tbl_TOPIC[Topic], tbl_TOPIC[ParentTopic])),
  ""
)</f>
        <v>GPDE Basics</v>
      </c>
      <c r="X155" s="22" t="str">
        <f>IFERROR(
  IF(_xlfn.XLOOKUP(tbl_CONTENT[[#This Row],[Topic]], tbl_TOPIC[Topic], tbl_TOPIC[TopicPath])="", "",
       _xlfn.XLOOKUP(tbl_CONTENT[[#This Row],[Topic]], tbl_TOPIC[Topic], tbl_TOPIC[TopicPath])),
  ""
)</f>
        <v>GPDE Basics/Differentialoperatoren</v>
      </c>
    </row>
    <row r="156" spans="3:24" ht="34" x14ac:dyDescent="0.2">
      <c r="C156" s="22" t="str">
        <f>_xlfn.XLOOKUP(tbl_CONTENT[[#This Row],[TopicID]], tbl_TOPIC[TopicID], tbl_TOPIC[Subject], "")</f>
        <v>GPDE</v>
      </c>
      <c r="D1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GPDE-T12-02-11</v>
      </c>
      <c r="E156" s="22">
        <f>ROW()</f>
        <v>156</v>
      </c>
      <c r="F156" s="22" t="s">
        <v>1051</v>
      </c>
      <c r="G156" s="22" t="str">
        <f>_xlfn.XLOOKUP(tbl_CONTENT[[#This Row],[Topic]], tbl_TOPIC[Topic], tbl_TOPIC[TopicID], "")</f>
        <v>GPDE-1-02</v>
      </c>
      <c r="H156" s="22" cm="1">
        <f t="array" ref="H156">SUM((tbl_CONTENT[[#This Row],[TopicID]]=INDEX(tbl_CONTENT[TopicID],1):tbl_CONTENT[[#This Row],[TopicID]])*1)</f>
        <v>11</v>
      </c>
      <c r="I156" s="22" t="str">
        <f>_xlfn.XLOOKUP(tbl_CONTENT[[#This Row],[Topic]], tbl_TOPIC[Topic], tbl_TOPIC[TopicIndex], "")</f>
        <v>02</v>
      </c>
      <c r="J156" s="22" t="s">
        <v>331</v>
      </c>
      <c r="K156" s="22" t="s">
        <v>343</v>
      </c>
      <c r="L156" s="22" t="s">
        <v>152</v>
      </c>
      <c r="M156" s="22">
        <v>1</v>
      </c>
      <c r="S156" s="35">
        <f>IFERROR(
 (1.907*EXP(1)^(-0.5*tbl_CONTENT[[#This Row],[Layer]])) *
 ((tbl_CONTENT[[#This Row],[RelInt]]-1)^(2.5)*4^(1-2.5)+1) +
 ((tbl_CONTENT[[#This Row],[Comp]]-1)^(2.5)*4^(1-2.5)+1)*(0.5*((tbl_CONTENT[[#This Row],[RelInt]]-1)/4)^(2.5)+1),
 0
)</f>
        <v>0</v>
      </c>
      <c r="T156" s="35">
        <f>IFERROR(
 (1.907*EXP(1)^(-0.5*VALUE(tbl_CONTENT[[#This Row],[Layer]]))) *
 ((VALUE(tbl_CONTENT[[#This Row],[RelId]])-1)^(2.5)*4^(1-2.5)+1) +
 ((VALUE(tbl_CONTENT[[#This Row],[Comp]])-1)^(2.5)*4^(1-2.5)+1)*(0.5*((VALUE(tbl_CONTENT[[#This Row],[RelId]])-1)/4)^(2.5)+1),
 0
)</f>
        <v>0</v>
      </c>
      <c r="W156" s="22" t="str">
        <f>IFERROR(
  IF(_xlfn.XLOOKUP(tbl_CONTENT[[#This Row],[Topic]], tbl_TOPIC[Topic], tbl_TOPIC[ParentTopic])="", "",
       _xlfn.XLOOKUP(tbl_CONTENT[[#This Row],[Topic]], tbl_TOPIC[Topic], tbl_TOPIC[ParentTopic])),
  ""
)</f>
        <v>GPDE Basics</v>
      </c>
      <c r="X156" s="22" t="str">
        <f>IFERROR(
  IF(_xlfn.XLOOKUP(tbl_CONTENT[[#This Row],[Topic]], tbl_TOPIC[Topic], tbl_TOPIC[TopicPath])="", "",
       _xlfn.XLOOKUP(tbl_CONTENT[[#This Row],[Topic]], tbl_TOPIC[Topic], tbl_TOPIC[TopicPath])),
  ""
)</f>
        <v>GPDE Basics/Differentialoperatoren</v>
      </c>
    </row>
    <row r="157" spans="3:24" ht="19" customHeight="1" x14ac:dyDescent="0.2">
      <c r="C157" s="22" t="str">
        <f>_xlfn.XLOOKUP(tbl_CONTENT[[#This Row],[TopicID]], tbl_TOPIC[TopicID], tbl_TOPIC[Subject], "")</f>
        <v>GPDE</v>
      </c>
      <c r="D1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GPDE-T12-03-01</v>
      </c>
      <c r="E157" s="22">
        <f>ROW()</f>
        <v>157</v>
      </c>
      <c r="F157" s="22" t="s">
        <v>1051</v>
      </c>
      <c r="G157" s="22" t="str">
        <f>_xlfn.XLOOKUP(tbl_CONTENT[[#This Row],[Topic]], tbl_TOPIC[Topic], tbl_TOPIC[TopicID], "")</f>
        <v>GPDE-1-03</v>
      </c>
      <c r="H157" s="22" cm="1">
        <f t="array" ref="H157">SUM((tbl_CONTENT[[#This Row],[TopicID]]=INDEX(tbl_CONTENT[TopicID],1):tbl_CONTENT[[#This Row],[TopicID]])*1)</f>
        <v>1</v>
      </c>
      <c r="I157" s="22" t="str">
        <f>_xlfn.XLOOKUP(tbl_CONTENT[[#This Row],[Topic]], tbl_TOPIC[Topic], tbl_TOPIC[TopicIndex], "")</f>
        <v>03</v>
      </c>
      <c r="J157" s="22" t="s">
        <v>328</v>
      </c>
      <c r="K157" s="22" t="s">
        <v>344</v>
      </c>
      <c r="L157" s="22" t="s">
        <v>152</v>
      </c>
      <c r="S157" s="35">
        <f>IFERROR(
 (1.907*EXP(1)^(-0.5*tbl_CONTENT[[#This Row],[Layer]])) *
 ((tbl_CONTENT[[#This Row],[RelInt]]-1)^(2.5)*4^(1-2.5)+1) +
 ((tbl_CONTENT[[#This Row],[Comp]]-1)^(2.5)*4^(1-2.5)+1)*(0.5*((tbl_CONTENT[[#This Row],[RelInt]]-1)/4)^(2.5)+1),
 0
)</f>
        <v>0</v>
      </c>
      <c r="T157" s="35">
        <f>IFERROR(
 (1.907*EXP(1)^(-0.5*VALUE(tbl_CONTENT[[#This Row],[Layer]]))) *
 ((VALUE(tbl_CONTENT[[#This Row],[RelId]])-1)^(2.5)*4^(1-2.5)+1) +
 ((VALUE(tbl_CONTENT[[#This Row],[Comp]])-1)^(2.5)*4^(1-2.5)+1)*(0.5*((VALUE(tbl_CONTENT[[#This Row],[RelId]])-1)/4)^(2.5)+1),
 0
)</f>
        <v>0</v>
      </c>
      <c r="W157" s="22" t="str">
        <f>IFERROR(
  IF(_xlfn.XLOOKUP(tbl_CONTENT[[#This Row],[Topic]], tbl_TOPIC[Topic], tbl_TOPIC[ParentTopic])="", "",
       _xlfn.XLOOKUP(tbl_CONTENT[[#This Row],[Topic]], tbl_TOPIC[Topic], tbl_TOPIC[ParentTopic])),
  ""
)</f>
        <v>GPDE Basics</v>
      </c>
      <c r="X157" s="22" t="str">
        <f>IFERROR(
  IF(_xlfn.XLOOKUP(tbl_CONTENT[[#This Row],[Topic]], tbl_TOPIC[Topic], tbl_TOPIC[TopicPath])="", "",
       _xlfn.XLOOKUP(tbl_CONTENT[[#This Row],[Topic]], tbl_TOPIC[Topic], tbl_TOPIC[TopicPath])),
  ""
)</f>
        <v>GPDE Basics/Regularitätsklassen</v>
      </c>
    </row>
    <row r="158" spans="3:24" ht="34" x14ac:dyDescent="0.2">
      <c r="C158" s="22" t="str">
        <f>_xlfn.XLOOKUP(tbl_CONTENT[[#This Row],[TopicID]], tbl_TOPIC[TopicID], tbl_TOPIC[Subject], "")</f>
        <v>GPDE</v>
      </c>
      <c r="D1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GPDE-T12-03-02</v>
      </c>
      <c r="E158" s="22">
        <f>ROW()</f>
        <v>158</v>
      </c>
      <c r="F158" s="22" t="s">
        <v>1051</v>
      </c>
      <c r="G158" s="22" t="str">
        <f>_xlfn.XLOOKUP(tbl_CONTENT[[#This Row],[Topic]], tbl_TOPIC[Topic], tbl_TOPIC[TopicID], "")</f>
        <v>GPDE-1-03</v>
      </c>
      <c r="H158" s="22" cm="1">
        <f t="array" ref="H158">SUM((tbl_CONTENT[[#This Row],[TopicID]]=INDEX(tbl_CONTENT[TopicID],1):tbl_CONTENT[[#This Row],[TopicID]])*1)</f>
        <v>2</v>
      </c>
      <c r="I158" s="22" t="str">
        <f>_xlfn.XLOOKUP(tbl_CONTENT[[#This Row],[Topic]], tbl_TOPIC[Topic], tbl_TOPIC[TopicIndex], "")</f>
        <v>03</v>
      </c>
      <c r="J158" s="22" t="s">
        <v>328</v>
      </c>
      <c r="K158" s="22" t="s">
        <v>346</v>
      </c>
      <c r="L158" s="22" t="s">
        <v>152</v>
      </c>
      <c r="S158" s="35">
        <f>IFERROR(
 (1.907*EXP(1)^(-0.5*tbl_CONTENT[[#This Row],[Layer]])) *
 ((tbl_CONTENT[[#This Row],[RelInt]]-1)^(2.5)*4^(1-2.5)+1) +
 ((tbl_CONTENT[[#This Row],[Comp]]-1)^(2.5)*4^(1-2.5)+1)*(0.5*((tbl_CONTENT[[#This Row],[RelInt]]-1)/4)^(2.5)+1),
 0
)</f>
        <v>0</v>
      </c>
      <c r="T158" s="35">
        <f>IFERROR(
 (1.907*EXP(1)^(-0.5*VALUE(tbl_CONTENT[[#This Row],[Layer]]))) *
 ((VALUE(tbl_CONTENT[[#This Row],[RelId]])-1)^(2.5)*4^(1-2.5)+1) +
 ((VALUE(tbl_CONTENT[[#This Row],[Comp]])-1)^(2.5)*4^(1-2.5)+1)*(0.5*((VALUE(tbl_CONTENT[[#This Row],[RelId]])-1)/4)^(2.5)+1),
 0
)</f>
        <v>0</v>
      </c>
      <c r="W158" s="22" t="str">
        <f>IFERROR(
  IF(_xlfn.XLOOKUP(tbl_CONTENT[[#This Row],[Topic]], tbl_TOPIC[Topic], tbl_TOPIC[ParentTopic])="", "",
       _xlfn.XLOOKUP(tbl_CONTENT[[#This Row],[Topic]], tbl_TOPIC[Topic], tbl_TOPIC[ParentTopic])),
  ""
)</f>
        <v>GPDE Basics</v>
      </c>
      <c r="X158" s="22" t="str">
        <f>IFERROR(
  IF(_xlfn.XLOOKUP(tbl_CONTENT[[#This Row],[Topic]], tbl_TOPIC[Topic], tbl_TOPIC[TopicPath])="", "",
       _xlfn.XLOOKUP(tbl_CONTENT[[#This Row],[Topic]], tbl_TOPIC[Topic], tbl_TOPIC[TopicPath])),
  ""
)</f>
        <v>GPDE Basics/Regularitätsklassen</v>
      </c>
    </row>
    <row r="159" spans="3:24" ht="34" x14ac:dyDescent="0.2">
      <c r="C159" s="22" t="str">
        <f>_xlfn.XLOOKUP(tbl_CONTENT[[#This Row],[TopicID]], tbl_TOPIC[TopicID], tbl_TOPIC[Subject], "")</f>
        <v>GPDE</v>
      </c>
      <c r="D1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GPDE-T12-03-03</v>
      </c>
      <c r="E159" s="22">
        <f>ROW()</f>
        <v>159</v>
      </c>
      <c r="F159" s="22" t="s">
        <v>1051</v>
      </c>
      <c r="G159" s="22" t="str">
        <f>_xlfn.XLOOKUP(tbl_CONTENT[[#This Row],[Topic]], tbl_TOPIC[Topic], tbl_TOPIC[TopicID], "")</f>
        <v>GPDE-1-03</v>
      </c>
      <c r="H159" s="22" cm="1">
        <f t="array" ref="H159">SUM((tbl_CONTENT[[#This Row],[TopicID]]=INDEX(tbl_CONTENT[TopicID],1):tbl_CONTENT[[#This Row],[TopicID]])*1)</f>
        <v>3</v>
      </c>
      <c r="I159" s="22" t="str">
        <f>_xlfn.XLOOKUP(tbl_CONTENT[[#This Row],[Topic]], tbl_TOPIC[Topic], tbl_TOPIC[TopicIndex], "")</f>
        <v>03</v>
      </c>
      <c r="J159" s="22" t="s">
        <v>328</v>
      </c>
      <c r="K159" s="22" t="s">
        <v>347</v>
      </c>
      <c r="L159" s="22" t="s">
        <v>152</v>
      </c>
      <c r="S159" s="35">
        <f>IFERROR(
 (1.907*EXP(1)^(-0.5*tbl_CONTENT[[#This Row],[Layer]])) *
 ((tbl_CONTENT[[#This Row],[RelInt]]-1)^(2.5)*4^(1-2.5)+1) +
 ((tbl_CONTENT[[#This Row],[Comp]]-1)^(2.5)*4^(1-2.5)+1)*(0.5*((tbl_CONTENT[[#This Row],[RelInt]]-1)/4)^(2.5)+1),
 0
)</f>
        <v>0</v>
      </c>
      <c r="T159" s="35">
        <f>IFERROR(
 (1.907*EXP(1)^(-0.5*VALUE(tbl_CONTENT[[#This Row],[Layer]]))) *
 ((VALUE(tbl_CONTENT[[#This Row],[RelId]])-1)^(2.5)*4^(1-2.5)+1) +
 ((VALUE(tbl_CONTENT[[#This Row],[Comp]])-1)^(2.5)*4^(1-2.5)+1)*(0.5*((VALUE(tbl_CONTENT[[#This Row],[RelId]])-1)/4)^(2.5)+1),
 0
)</f>
        <v>0</v>
      </c>
      <c r="W159" s="22" t="str">
        <f>IFERROR(
  IF(_xlfn.XLOOKUP(tbl_CONTENT[[#This Row],[Topic]], tbl_TOPIC[Topic], tbl_TOPIC[ParentTopic])="", "",
       _xlfn.XLOOKUP(tbl_CONTENT[[#This Row],[Topic]], tbl_TOPIC[Topic], tbl_TOPIC[ParentTopic])),
  ""
)</f>
        <v>GPDE Basics</v>
      </c>
      <c r="X159" s="22" t="str">
        <f>IFERROR(
  IF(_xlfn.XLOOKUP(tbl_CONTENT[[#This Row],[Topic]], tbl_TOPIC[Topic], tbl_TOPIC[TopicPath])="", "",
       _xlfn.XLOOKUP(tbl_CONTENT[[#This Row],[Topic]], tbl_TOPIC[Topic], tbl_TOPIC[TopicPath])),
  ""
)</f>
        <v>GPDE Basics/Regularitätsklassen</v>
      </c>
    </row>
    <row r="160" spans="3:24" ht="34" x14ac:dyDescent="0.2">
      <c r="C160" s="22" t="str">
        <f>_xlfn.XLOOKUP(tbl_CONTENT[[#This Row],[TopicID]], tbl_TOPIC[TopicID], tbl_TOPIC[Subject], "")</f>
        <v>GPDE</v>
      </c>
      <c r="D1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GPDE-T12-03-04</v>
      </c>
      <c r="E160" s="22">
        <f>ROW()</f>
        <v>160</v>
      </c>
      <c r="F160" s="22" t="s">
        <v>1051</v>
      </c>
      <c r="G160" s="22" t="str">
        <f>_xlfn.XLOOKUP(tbl_CONTENT[[#This Row],[Topic]], tbl_TOPIC[Topic], tbl_TOPIC[TopicID], "")</f>
        <v>GPDE-1-03</v>
      </c>
      <c r="H160" s="22" cm="1">
        <f t="array" ref="H160">SUM((tbl_CONTENT[[#This Row],[TopicID]]=INDEX(tbl_CONTENT[TopicID],1):tbl_CONTENT[[#This Row],[TopicID]])*1)</f>
        <v>4</v>
      </c>
      <c r="I160" s="22" t="str">
        <f>_xlfn.XLOOKUP(tbl_CONTENT[[#This Row],[Topic]], tbl_TOPIC[Topic], tbl_TOPIC[TopicIndex], "")</f>
        <v>03</v>
      </c>
      <c r="J160" s="22" t="s">
        <v>328</v>
      </c>
      <c r="K160" s="22" t="s">
        <v>348</v>
      </c>
      <c r="L160" s="22" t="s">
        <v>152</v>
      </c>
      <c r="S160" s="35">
        <f>IFERROR(
 (1.907*EXP(1)^(-0.5*tbl_CONTENT[[#This Row],[Layer]])) *
 ((tbl_CONTENT[[#This Row],[RelInt]]-1)^(2.5)*4^(1-2.5)+1) +
 ((tbl_CONTENT[[#This Row],[Comp]]-1)^(2.5)*4^(1-2.5)+1)*(0.5*((tbl_CONTENT[[#This Row],[RelInt]]-1)/4)^(2.5)+1),
 0
)</f>
        <v>0</v>
      </c>
      <c r="T160" s="35">
        <f>IFERROR(
 (1.907*EXP(1)^(-0.5*VALUE(tbl_CONTENT[[#This Row],[Layer]]))) *
 ((VALUE(tbl_CONTENT[[#This Row],[RelId]])-1)^(2.5)*4^(1-2.5)+1) +
 ((VALUE(tbl_CONTENT[[#This Row],[Comp]])-1)^(2.5)*4^(1-2.5)+1)*(0.5*((VALUE(tbl_CONTENT[[#This Row],[RelId]])-1)/4)^(2.5)+1),
 0
)</f>
        <v>0</v>
      </c>
      <c r="W160" s="22" t="str">
        <f>IFERROR(
  IF(_xlfn.XLOOKUP(tbl_CONTENT[[#This Row],[Topic]], tbl_TOPIC[Topic], tbl_TOPIC[ParentTopic])="", "",
       _xlfn.XLOOKUP(tbl_CONTENT[[#This Row],[Topic]], tbl_TOPIC[Topic], tbl_TOPIC[ParentTopic])),
  ""
)</f>
        <v>GPDE Basics</v>
      </c>
      <c r="X160" s="22" t="str">
        <f>IFERROR(
  IF(_xlfn.XLOOKUP(tbl_CONTENT[[#This Row],[Topic]], tbl_TOPIC[Topic], tbl_TOPIC[TopicPath])="", "",
       _xlfn.XLOOKUP(tbl_CONTENT[[#This Row],[Topic]], tbl_TOPIC[Topic], tbl_TOPIC[TopicPath])),
  ""
)</f>
        <v>GPDE Basics/Regularitätsklassen</v>
      </c>
    </row>
    <row r="161" spans="3:24" ht="34" x14ac:dyDescent="0.2">
      <c r="C161" s="22" t="str">
        <f>_xlfn.XLOOKUP(tbl_CONTENT[[#This Row],[TopicID]], tbl_TOPIC[TopicID], tbl_TOPIC[Subject], "")</f>
        <v>GPDE</v>
      </c>
      <c r="D1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GPDE-T12-03-05</v>
      </c>
      <c r="E161" s="22">
        <f>ROW()</f>
        <v>161</v>
      </c>
      <c r="F161" s="22" t="s">
        <v>1051</v>
      </c>
      <c r="G161" s="22" t="str">
        <f>_xlfn.XLOOKUP(tbl_CONTENT[[#This Row],[Topic]], tbl_TOPIC[Topic], tbl_TOPIC[TopicID], "")</f>
        <v>GPDE-1-03</v>
      </c>
      <c r="H161" s="22" cm="1">
        <f t="array" ref="H161">SUM((tbl_CONTENT[[#This Row],[TopicID]]=INDEX(tbl_CONTENT[TopicID],1):tbl_CONTENT[[#This Row],[TopicID]])*1)</f>
        <v>5</v>
      </c>
      <c r="I161" s="22" t="str">
        <f>_xlfn.XLOOKUP(tbl_CONTENT[[#This Row],[Topic]], tbl_TOPIC[Topic], tbl_TOPIC[TopicIndex], "")</f>
        <v>03</v>
      </c>
      <c r="J161" s="22" t="s">
        <v>328</v>
      </c>
      <c r="K161" s="22" t="s">
        <v>349</v>
      </c>
      <c r="L161" s="22" t="s">
        <v>152</v>
      </c>
      <c r="S161" s="35">
        <f>IFERROR(
 (1.907*EXP(1)^(-0.5*tbl_CONTENT[[#This Row],[Layer]])) *
 ((tbl_CONTENT[[#This Row],[RelInt]]-1)^(2.5)*4^(1-2.5)+1) +
 ((tbl_CONTENT[[#This Row],[Comp]]-1)^(2.5)*4^(1-2.5)+1)*(0.5*((tbl_CONTENT[[#This Row],[RelInt]]-1)/4)^(2.5)+1),
 0
)</f>
        <v>0</v>
      </c>
      <c r="T161" s="35">
        <f>IFERROR(
 (1.907*EXP(1)^(-0.5*VALUE(tbl_CONTENT[[#This Row],[Layer]]))) *
 ((VALUE(tbl_CONTENT[[#This Row],[RelId]])-1)^(2.5)*4^(1-2.5)+1) +
 ((VALUE(tbl_CONTENT[[#This Row],[Comp]])-1)^(2.5)*4^(1-2.5)+1)*(0.5*((VALUE(tbl_CONTENT[[#This Row],[RelId]])-1)/4)^(2.5)+1),
 0
)</f>
        <v>0</v>
      </c>
      <c r="W161" s="22" t="str">
        <f>IFERROR(
  IF(_xlfn.XLOOKUP(tbl_CONTENT[[#This Row],[Topic]], tbl_TOPIC[Topic], tbl_TOPIC[ParentTopic])="", "",
       _xlfn.XLOOKUP(tbl_CONTENT[[#This Row],[Topic]], tbl_TOPIC[Topic], tbl_TOPIC[ParentTopic])),
  ""
)</f>
        <v>GPDE Basics</v>
      </c>
      <c r="X161" s="22" t="str">
        <f>IFERROR(
  IF(_xlfn.XLOOKUP(tbl_CONTENT[[#This Row],[Topic]], tbl_TOPIC[Topic], tbl_TOPIC[TopicPath])="", "",
       _xlfn.XLOOKUP(tbl_CONTENT[[#This Row],[Topic]], tbl_TOPIC[Topic], tbl_TOPIC[TopicPath])),
  ""
)</f>
        <v>GPDE Basics/Regularitätsklassen</v>
      </c>
    </row>
    <row r="162" spans="3:24" ht="34" x14ac:dyDescent="0.2">
      <c r="C162" s="22" t="str">
        <f>_xlfn.XLOOKUP(tbl_CONTENT[[#This Row],[TopicID]], tbl_TOPIC[TopicID], tbl_TOPIC[Subject], "")</f>
        <v>GPDE</v>
      </c>
      <c r="D1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GPDE-T12-06-01</v>
      </c>
      <c r="E162" s="22">
        <f>ROW()</f>
        <v>162</v>
      </c>
      <c r="F162" s="22" t="s">
        <v>1051</v>
      </c>
      <c r="G162" s="22" t="str">
        <f>_xlfn.XLOOKUP(tbl_CONTENT[[#This Row],[Topic]], tbl_TOPIC[Topic], tbl_TOPIC[TopicID], "")</f>
        <v>GPDE-1-06</v>
      </c>
      <c r="H162" s="22" cm="1">
        <f t="array" ref="H162">SUM((tbl_CONTENT[[#This Row],[TopicID]]=INDEX(tbl_CONTENT[TopicID],1):tbl_CONTENT[[#This Row],[TopicID]])*1)</f>
        <v>1</v>
      </c>
      <c r="I162" s="22" t="str">
        <f>_xlfn.XLOOKUP(tbl_CONTENT[[#This Row],[Topic]], tbl_TOPIC[Topic], tbl_TOPIC[TopicIndex], "")</f>
        <v>06</v>
      </c>
      <c r="J162" s="22" t="s">
        <v>332</v>
      </c>
      <c r="K162" s="22" t="s">
        <v>351</v>
      </c>
      <c r="L162" s="22" t="s">
        <v>147</v>
      </c>
      <c r="S162" s="35">
        <f>IFERROR(
 (1.907*EXP(1)^(-0.5*tbl_CONTENT[[#This Row],[Layer]])) *
 ((tbl_CONTENT[[#This Row],[RelInt]]-1)^(2.5)*4^(1-2.5)+1) +
 ((tbl_CONTENT[[#This Row],[Comp]]-1)^(2.5)*4^(1-2.5)+1)*(0.5*((tbl_CONTENT[[#This Row],[RelInt]]-1)/4)^(2.5)+1),
 0
)</f>
        <v>0</v>
      </c>
      <c r="T162" s="35">
        <f>IFERROR(
 (1.907*EXP(1)^(-0.5*VALUE(tbl_CONTENT[[#This Row],[Layer]]))) *
 ((VALUE(tbl_CONTENT[[#This Row],[RelId]])-1)^(2.5)*4^(1-2.5)+1) +
 ((VALUE(tbl_CONTENT[[#This Row],[Comp]])-1)^(2.5)*4^(1-2.5)+1)*(0.5*((VALUE(tbl_CONTENT[[#This Row],[RelId]])-1)/4)^(2.5)+1),
 0
)</f>
        <v>0</v>
      </c>
      <c r="W162" s="22" t="str">
        <f>IFERROR(
  IF(_xlfn.XLOOKUP(tbl_CONTENT[[#This Row],[Topic]], tbl_TOPIC[Topic], tbl_TOPIC[ParentTopic])="", "",
       _xlfn.XLOOKUP(tbl_CONTENT[[#This Row],[Topic]], tbl_TOPIC[Topic], tbl_TOPIC[ParentTopic])),
  ""
)</f>
        <v>Maximum Prinzipien</v>
      </c>
      <c r="X162" s="22" t="str">
        <f>IFERROR(
  IF(_xlfn.XLOOKUP(tbl_CONTENT[[#This Row],[Topic]], tbl_TOPIC[Topic], tbl_TOPIC[TopicPath])="", "",
       _xlfn.XLOOKUP(tbl_CONTENT[[#This Row],[Topic]], tbl_TOPIC[Topic], tbl_TOPIC[TopicPath])),
  ""
)</f>
        <v>Maximum Prinzipien/Schwache Maximum Prinzipien</v>
      </c>
    </row>
    <row r="163" spans="3:24" ht="34" x14ac:dyDescent="0.2">
      <c r="C163" s="22" t="str">
        <f>_xlfn.XLOOKUP(tbl_CONTENT[[#This Row],[TopicID]], tbl_TOPIC[TopicID], tbl_TOPIC[Subject], "")</f>
        <v>GPDE</v>
      </c>
      <c r="D1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GPDE-T12-06-02</v>
      </c>
      <c r="E163" s="22">
        <f>ROW()</f>
        <v>163</v>
      </c>
      <c r="F163" s="22" t="s">
        <v>1051</v>
      </c>
      <c r="G163" s="22" t="str">
        <f>_xlfn.XLOOKUP(tbl_CONTENT[[#This Row],[Topic]], tbl_TOPIC[Topic], tbl_TOPIC[TopicID], "")</f>
        <v>GPDE-1-06</v>
      </c>
      <c r="H163" s="22" cm="1">
        <f t="array" ref="H163">SUM((tbl_CONTENT[[#This Row],[TopicID]]=INDEX(tbl_CONTENT[TopicID],1):tbl_CONTENT[[#This Row],[TopicID]])*1)</f>
        <v>2</v>
      </c>
      <c r="I163" s="22" t="str">
        <f>_xlfn.XLOOKUP(tbl_CONTENT[[#This Row],[Topic]], tbl_TOPIC[Topic], tbl_TOPIC[TopicIndex], "")</f>
        <v>06</v>
      </c>
      <c r="J163" s="22" t="s">
        <v>332</v>
      </c>
      <c r="K163" s="22" t="s">
        <v>352</v>
      </c>
      <c r="L163" s="22" t="s">
        <v>152</v>
      </c>
      <c r="M163" s="22">
        <v>1</v>
      </c>
      <c r="S163" s="35">
        <f>IFERROR(
 (1.907*EXP(1)^(-0.5*tbl_CONTENT[[#This Row],[Layer]])) *
 ((tbl_CONTENT[[#This Row],[RelInt]]-1)^(2.5)*4^(1-2.5)+1) +
 ((tbl_CONTENT[[#This Row],[Comp]]-1)^(2.5)*4^(1-2.5)+1)*(0.5*((tbl_CONTENT[[#This Row],[RelInt]]-1)/4)^(2.5)+1),
 0
)</f>
        <v>0</v>
      </c>
      <c r="T163" s="35">
        <f>IFERROR(
 (1.907*EXP(1)^(-0.5*VALUE(tbl_CONTENT[[#This Row],[Layer]]))) *
 ((VALUE(tbl_CONTENT[[#This Row],[RelId]])-1)^(2.5)*4^(1-2.5)+1) +
 ((VALUE(tbl_CONTENT[[#This Row],[Comp]])-1)^(2.5)*4^(1-2.5)+1)*(0.5*((VALUE(tbl_CONTENT[[#This Row],[RelId]])-1)/4)^(2.5)+1),
 0
)</f>
        <v>0</v>
      </c>
      <c r="W163" s="22" t="str">
        <f>IFERROR(
  IF(_xlfn.XLOOKUP(tbl_CONTENT[[#This Row],[Topic]], tbl_TOPIC[Topic], tbl_TOPIC[ParentTopic])="", "",
       _xlfn.XLOOKUP(tbl_CONTENT[[#This Row],[Topic]], tbl_TOPIC[Topic], tbl_TOPIC[ParentTopic])),
  ""
)</f>
        <v>Maximum Prinzipien</v>
      </c>
      <c r="X163" s="22" t="str">
        <f>IFERROR(
  IF(_xlfn.XLOOKUP(tbl_CONTENT[[#This Row],[Topic]], tbl_TOPIC[Topic], tbl_TOPIC[TopicPath])="", "",
       _xlfn.XLOOKUP(tbl_CONTENT[[#This Row],[Topic]], tbl_TOPIC[Topic], tbl_TOPIC[TopicPath])),
  ""
)</f>
        <v>Maximum Prinzipien/Schwache Maximum Prinzipien</v>
      </c>
    </row>
    <row r="164" spans="3:24" ht="34" x14ac:dyDescent="0.2">
      <c r="C164" s="22" t="str">
        <f>_xlfn.XLOOKUP(tbl_CONTENT[[#This Row],[TopicID]], tbl_TOPIC[TopicID], tbl_TOPIC[Subject], "")</f>
        <v>GPDE</v>
      </c>
      <c r="D1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GPDE-T12-06-03</v>
      </c>
      <c r="E164" s="22">
        <f>ROW()</f>
        <v>164</v>
      </c>
      <c r="F164" s="22" t="s">
        <v>1051</v>
      </c>
      <c r="G164" s="22" t="str">
        <f>_xlfn.XLOOKUP(tbl_CONTENT[[#This Row],[Topic]], tbl_TOPIC[Topic], tbl_TOPIC[TopicID], "")</f>
        <v>GPDE-1-06</v>
      </c>
      <c r="H164" s="22" cm="1">
        <f t="array" ref="H164">SUM((tbl_CONTENT[[#This Row],[TopicID]]=INDEX(tbl_CONTENT[TopicID],1):tbl_CONTENT[[#This Row],[TopicID]])*1)</f>
        <v>3</v>
      </c>
      <c r="I164" s="22" t="str">
        <f>_xlfn.XLOOKUP(tbl_CONTENT[[#This Row],[Topic]], tbl_TOPIC[Topic], tbl_TOPIC[TopicIndex], "")</f>
        <v>06</v>
      </c>
      <c r="J164" s="22" t="s">
        <v>332</v>
      </c>
      <c r="K164" s="22" t="s">
        <v>353</v>
      </c>
      <c r="L164" s="22" t="s">
        <v>150</v>
      </c>
      <c r="M164" s="22">
        <v>1</v>
      </c>
      <c r="S164" s="35">
        <f>IFERROR(
 (1.907*EXP(1)^(-0.5*tbl_CONTENT[[#This Row],[Layer]])) *
 ((tbl_CONTENT[[#This Row],[RelInt]]-1)^(2.5)*4^(1-2.5)+1) +
 ((tbl_CONTENT[[#This Row],[Comp]]-1)^(2.5)*4^(1-2.5)+1)*(0.5*((tbl_CONTENT[[#This Row],[RelInt]]-1)/4)^(2.5)+1),
 0
)</f>
        <v>0</v>
      </c>
      <c r="T164" s="35">
        <f>IFERROR(
 (1.907*EXP(1)^(-0.5*VALUE(tbl_CONTENT[[#This Row],[Layer]]))) *
 ((VALUE(tbl_CONTENT[[#This Row],[RelId]])-1)^(2.5)*4^(1-2.5)+1) +
 ((VALUE(tbl_CONTENT[[#This Row],[Comp]])-1)^(2.5)*4^(1-2.5)+1)*(0.5*((VALUE(tbl_CONTENT[[#This Row],[RelId]])-1)/4)^(2.5)+1),
 0
)</f>
        <v>0</v>
      </c>
      <c r="W164" s="22" t="str">
        <f>IFERROR(
  IF(_xlfn.XLOOKUP(tbl_CONTENT[[#This Row],[Topic]], tbl_TOPIC[Topic], tbl_TOPIC[ParentTopic])="", "",
       _xlfn.XLOOKUP(tbl_CONTENT[[#This Row],[Topic]], tbl_TOPIC[Topic], tbl_TOPIC[ParentTopic])),
  ""
)</f>
        <v>Maximum Prinzipien</v>
      </c>
      <c r="X164" s="22" t="str">
        <f>IFERROR(
  IF(_xlfn.XLOOKUP(tbl_CONTENT[[#This Row],[Topic]], tbl_TOPIC[Topic], tbl_TOPIC[TopicPath])="", "",
       _xlfn.XLOOKUP(tbl_CONTENT[[#This Row],[Topic]], tbl_TOPIC[Topic], tbl_TOPIC[TopicPath])),
  ""
)</f>
        <v>Maximum Prinzipien/Schwache Maximum Prinzipien</v>
      </c>
    </row>
    <row r="165" spans="3:24" ht="34" x14ac:dyDescent="0.2">
      <c r="C165" s="22" t="str">
        <f>_xlfn.XLOOKUP(tbl_CONTENT[[#This Row],[TopicID]], tbl_TOPIC[TopicID], tbl_TOPIC[Subject], "")</f>
        <v>GPDE</v>
      </c>
      <c r="D1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GPDE-T12-06-04</v>
      </c>
      <c r="E165" s="22">
        <f>ROW()</f>
        <v>165</v>
      </c>
      <c r="F165" s="22" t="s">
        <v>1051</v>
      </c>
      <c r="G165" s="22" t="str">
        <f>_xlfn.XLOOKUP(tbl_CONTENT[[#This Row],[Topic]], tbl_TOPIC[Topic], tbl_TOPIC[TopicID], "")</f>
        <v>GPDE-1-06</v>
      </c>
      <c r="H165" s="22" cm="1">
        <f t="array" ref="H165">SUM((tbl_CONTENT[[#This Row],[TopicID]]=INDEX(tbl_CONTENT[TopicID],1):tbl_CONTENT[[#This Row],[TopicID]])*1)</f>
        <v>4</v>
      </c>
      <c r="I165" s="22" t="str">
        <f>_xlfn.XLOOKUP(tbl_CONTENT[[#This Row],[Topic]], tbl_TOPIC[Topic], tbl_TOPIC[TopicIndex], "")</f>
        <v>06</v>
      </c>
      <c r="J165" s="22" t="s">
        <v>332</v>
      </c>
      <c r="K165" s="22" t="s">
        <v>354</v>
      </c>
      <c r="L165" s="22" t="s">
        <v>148</v>
      </c>
      <c r="M165" s="22">
        <v>1</v>
      </c>
      <c r="S165" s="35">
        <f>IFERROR(
 (1.907*EXP(1)^(-0.5*tbl_CONTENT[[#This Row],[Layer]])) *
 ((tbl_CONTENT[[#This Row],[RelInt]]-1)^(2.5)*4^(1-2.5)+1) +
 ((tbl_CONTENT[[#This Row],[Comp]]-1)^(2.5)*4^(1-2.5)+1)*(0.5*((tbl_CONTENT[[#This Row],[RelInt]]-1)/4)^(2.5)+1),
 0
)</f>
        <v>0</v>
      </c>
      <c r="T165" s="35">
        <f>IFERROR(
 (1.907*EXP(1)^(-0.5*VALUE(tbl_CONTENT[[#This Row],[Layer]]))) *
 ((VALUE(tbl_CONTENT[[#This Row],[RelId]])-1)^(2.5)*4^(1-2.5)+1) +
 ((VALUE(tbl_CONTENT[[#This Row],[Comp]])-1)^(2.5)*4^(1-2.5)+1)*(0.5*((VALUE(tbl_CONTENT[[#This Row],[RelId]])-1)/4)^(2.5)+1),
 0
)</f>
        <v>0</v>
      </c>
      <c r="W165" s="22" t="str">
        <f>IFERROR(
  IF(_xlfn.XLOOKUP(tbl_CONTENT[[#This Row],[Topic]], tbl_TOPIC[Topic], tbl_TOPIC[ParentTopic])="", "",
       _xlfn.XLOOKUP(tbl_CONTENT[[#This Row],[Topic]], tbl_TOPIC[Topic], tbl_TOPIC[ParentTopic])),
  ""
)</f>
        <v>Maximum Prinzipien</v>
      </c>
      <c r="X165" s="22" t="str">
        <f>IFERROR(
  IF(_xlfn.XLOOKUP(tbl_CONTENT[[#This Row],[Topic]], tbl_TOPIC[Topic], tbl_TOPIC[TopicPath])="", "",
       _xlfn.XLOOKUP(tbl_CONTENT[[#This Row],[Topic]], tbl_TOPIC[Topic], tbl_TOPIC[TopicPath])),
  ""
)</f>
        <v>Maximum Prinzipien/Schwache Maximum Prinzipien</v>
      </c>
    </row>
    <row r="166" spans="3:24" ht="34" x14ac:dyDescent="0.2">
      <c r="C166" s="22" t="str">
        <f>_xlfn.XLOOKUP(tbl_CONTENT[[#This Row],[TopicID]], tbl_TOPIC[TopicID], tbl_TOPIC[Subject], "")</f>
        <v>GPDE</v>
      </c>
      <c r="D1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GPDE-T12-06-05</v>
      </c>
      <c r="E166" s="22">
        <f>ROW()</f>
        <v>166</v>
      </c>
      <c r="F166" s="22" t="s">
        <v>1051</v>
      </c>
      <c r="G166" s="22" t="str">
        <f>_xlfn.XLOOKUP(tbl_CONTENT[[#This Row],[Topic]], tbl_TOPIC[Topic], tbl_TOPIC[TopicID], "")</f>
        <v>GPDE-1-06</v>
      </c>
      <c r="H166" s="22" cm="1">
        <f t="array" ref="H166">SUM((tbl_CONTENT[[#This Row],[TopicID]]=INDEX(tbl_CONTENT[TopicID],1):tbl_CONTENT[[#This Row],[TopicID]])*1)</f>
        <v>5</v>
      </c>
      <c r="I166" s="22" t="str">
        <f>_xlfn.XLOOKUP(tbl_CONTENT[[#This Row],[Topic]], tbl_TOPIC[Topic], tbl_TOPIC[TopicIndex], "")</f>
        <v>06</v>
      </c>
      <c r="J166" s="22" t="s">
        <v>332</v>
      </c>
      <c r="K166" s="22" t="s">
        <v>355</v>
      </c>
      <c r="L166" s="22" t="s">
        <v>150</v>
      </c>
      <c r="M166" s="22">
        <v>1</v>
      </c>
      <c r="S166" s="35">
        <f>IFERROR(
 (1.907*EXP(1)^(-0.5*tbl_CONTENT[[#This Row],[Layer]])) *
 ((tbl_CONTENT[[#This Row],[RelInt]]-1)^(2.5)*4^(1-2.5)+1) +
 ((tbl_CONTENT[[#This Row],[Comp]]-1)^(2.5)*4^(1-2.5)+1)*(0.5*((tbl_CONTENT[[#This Row],[RelInt]]-1)/4)^(2.5)+1),
 0
)</f>
        <v>0</v>
      </c>
      <c r="T166" s="35">
        <f>IFERROR(
 (1.907*EXP(1)^(-0.5*VALUE(tbl_CONTENT[[#This Row],[Layer]]))) *
 ((VALUE(tbl_CONTENT[[#This Row],[RelId]])-1)^(2.5)*4^(1-2.5)+1) +
 ((VALUE(tbl_CONTENT[[#This Row],[Comp]])-1)^(2.5)*4^(1-2.5)+1)*(0.5*((VALUE(tbl_CONTENT[[#This Row],[RelId]])-1)/4)^(2.5)+1),
 0
)</f>
        <v>0</v>
      </c>
      <c r="W166" s="22" t="str">
        <f>IFERROR(
  IF(_xlfn.XLOOKUP(tbl_CONTENT[[#This Row],[Topic]], tbl_TOPIC[Topic], tbl_TOPIC[ParentTopic])="", "",
       _xlfn.XLOOKUP(tbl_CONTENT[[#This Row],[Topic]], tbl_TOPIC[Topic], tbl_TOPIC[ParentTopic])),
  ""
)</f>
        <v>Maximum Prinzipien</v>
      </c>
      <c r="X166" s="22" t="str">
        <f>IFERROR(
  IF(_xlfn.XLOOKUP(tbl_CONTENT[[#This Row],[Topic]], tbl_TOPIC[Topic], tbl_TOPIC[TopicPath])="", "",
       _xlfn.XLOOKUP(tbl_CONTENT[[#This Row],[Topic]], tbl_TOPIC[Topic], tbl_TOPIC[TopicPath])),
  ""
)</f>
        <v>Maximum Prinzipien/Schwache Maximum Prinzipien</v>
      </c>
    </row>
    <row r="167" spans="3:24" ht="34" x14ac:dyDescent="0.2">
      <c r="C167" s="22" t="str">
        <f>_xlfn.XLOOKUP(tbl_CONTENT[[#This Row],[TopicID]], tbl_TOPIC[TopicID], tbl_TOPIC[Subject], "")</f>
        <v>GPDE</v>
      </c>
      <c r="D1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GPDE-T12-06-06</v>
      </c>
      <c r="E167" s="22">
        <f>ROW()</f>
        <v>167</v>
      </c>
      <c r="F167" s="22" t="s">
        <v>1051</v>
      </c>
      <c r="G167" s="22" t="str">
        <f>_xlfn.XLOOKUP(tbl_CONTENT[[#This Row],[Topic]], tbl_TOPIC[Topic], tbl_TOPIC[TopicID], "")</f>
        <v>GPDE-1-06</v>
      </c>
      <c r="H167" s="22" cm="1">
        <f t="array" ref="H167">SUM((tbl_CONTENT[[#This Row],[TopicID]]=INDEX(tbl_CONTENT[TopicID],1):tbl_CONTENT[[#This Row],[TopicID]])*1)</f>
        <v>6</v>
      </c>
      <c r="I167" s="22" t="str">
        <f>_xlfn.XLOOKUP(tbl_CONTENT[[#This Row],[Topic]], tbl_TOPIC[Topic], tbl_TOPIC[TopicIndex], "")</f>
        <v>06</v>
      </c>
      <c r="J167" s="22" t="s">
        <v>332</v>
      </c>
      <c r="K167" s="22" t="s">
        <v>356</v>
      </c>
      <c r="L167" s="22" t="s">
        <v>148</v>
      </c>
      <c r="M167" s="22">
        <v>1</v>
      </c>
      <c r="S167" s="35">
        <f>IFERROR(
 (1.907*EXP(1)^(-0.5*tbl_CONTENT[[#This Row],[Layer]])) *
 ((tbl_CONTENT[[#This Row],[RelInt]]-1)^(2.5)*4^(1-2.5)+1) +
 ((tbl_CONTENT[[#This Row],[Comp]]-1)^(2.5)*4^(1-2.5)+1)*(0.5*((tbl_CONTENT[[#This Row],[RelInt]]-1)/4)^(2.5)+1),
 0
)</f>
        <v>0</v>
      </c>
      <c r="T167" s="35">
        <f>IFERROR(
 (1.907*EXP(1)^(-0.5*VALUE(tbl_CONTENT[[#This Row],[Layer]]))) *
 ((VALUE(tbl_CONTENT[[#This Row],[RelId]])-1)^(2.5)*4^(1-2.5)+1) +
 ((VALUE(tbl_CONTENT[[#This Row],[Comp]])-1)^(2.5)*4^(1-2.5)+1)*(0.5*((VALUE(tbl_CONTENT[[#This Row],[RelId]])-1)/4)^(2.5)+1),
 0
)</f>
        <v>0</v>
      </c>
      <c r="W167" s="22" t="str">
        <f>IFERROR(
  IF(_xlfn.XLOOKUP(tbl_CONTENT[[#This Row],[Topic]], tbl_TOPIC[Topic], tbl_TOPIC[ParentTopic])="", "",
       _xlfn.XLOOKUP(tbl_CONTENT[[#This Row],[Topic]], tbl_TOPIC[Topic], tbl_TOPIC[ParentTopic])),
  ""
)</f>
        <v>Maximum Prinzipien</v>
      </c>
      <c r="X167" s="22" t="str">
        <f>IFERROR(
  IF(_xlfn.XLOOKUP(tbl_CONTENT[[#This Row],[Topic]], tbl_TOPIC[Topic], tbl_TOPIC[TopicPath])="", "",
       _xlfn.XLOOKUP(tbl_CONTENT[[#This Row],[Topic]], tbl_TOPIC[Topic], tbl_TOPIC[TopicPath])),
  ""
)</f>
        <v>Maximum Prinzipien/Schwache Maximum Prinzipien</v>
      </c>
    </row>
    <row r="168" spans="3:24" ht="34" x14ac:dyDescent="0.2">
      <c r="C168" s="22" t="str">
        <f>_xlfn.XLOOKUP(tbl_CONTENT[[#This Row],[TopicID]], tbl_TOPIC[TopicID], tbl_TOPIC[Subject], "")</f>
        <v>GPDE</v>
      </c>
      <c r="D1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GPDE-T12-07-01</v>
      </c>
      <c r="E168" s="22">
        <f>ROW()</f>
        <v>168</v>
      </c>
      <c r="F168" s="22" t="s">
        <v>1051</v>
      </c>
      <c r="G168" s="22" t="str">
        <f>_xlfn.XLOOKUP(tbl_CONTENT[[#This Row],[Topic]], tbl_TOPIC[Topic], tbl_TOPIC[TopicID], "")</f>
        <v>GPDE-1-07</v>
      </c>
      <c r="H168" s="22" cm="1">
        <f t="array" ref="H168">SUM((tbl_CONTENT[[#This Row],[TopicID]]=INDEX(tbl_CONTENT[TopicID],1):tbl_CONTENT[[#This Row],[TopicID]])*1)</f>
        <v>1</v>
      </c>
      <c r="I168" s="22" t="str">
        <f>_xlfn.XLOOKUP(tbl_CONTENT[[#This Row],[Topic]], tbl_TOPIC[Topic], tbl_TOPIC[TopicIndex], "")</f>
        <v>07</v>
      </c>
      <c r="J168" s="22" t="s">
        <v>333</v>
      </c>
      <c r="K168" s="22" t="s">
        <v>357</v>
      </c>
      <c r="L168" s="22" t="s">
        <v>147</v>
      </c>
      <c r="S168" s="35">
        <f>IFERROR(
 (1.907*EXP(1)^(-0.5*tbl_CONTENT[[#This Row],[Layer]])) *
 ((tbl_CONTENT[[#This Row],[RelInt]]-1)^(2.5)*4^(1-2.5)+1) +
 ((tbl_CONTENT[[#This Row],[Comp]]-1)^(2.5)*4^(1-2.5)+1)*(0.5*((tbl_CONTENT[[#This Row],[RelInt]]-1)/4)^(2.5)+1),
 0
)</f>
        <v>0</v>
      </c>
      <c r="T168" s="35">
        <f>IFERROR(
 (1.907*EXP(1)^(-0.5*VALUE(tbl_CONTENT[[#This Row],[Layer]]))) *
 ((VALUE(tbl_CONTENT[[#This Row],[RelId]])-1)^(2.5)*4^(1-2.5)+1) +
 ((VALUE(tbl_CONTENT[[#This Row],[Comp]])-1)^(2.5)*4^(1-2.5)+1)*(0.5*((VALUE(tbl_CONTENT[[#This Row],[RelId]])-1)/4)^(2.5)+1),
 0
)</f>
        <v>0</v>
      </c>
      <c r="W168" s="22" t="str">
        <f>IFERROR(
  IF(_xlfn.XLOOKUP(tbl_CONTENT[[#This Row],[Topic]], tbl_TOPIC[Topic], tbl_TOPIC[ParentTopic])="", "",
       _xlfn.XLOOKUP(tbl_CONTENT[[#This Row],[Topic]], tbl_TOPIC[Topic], tbl_TOPIC[ParentTopic])),
  ""
)</f>
        <v>Maximum Prinzipien</v>
      </c>
      <c r="X168" s="22" t="str">
        <f>IFERROR(
  IF(_xlfn.XLOOKUP(tbl_CONTENT[[#This Row],[Topic]], tbl_TOPIC[Topic], tbl_TOPIC[TopicPath])="", "",
       _xlfn.XLOOKUP(tbl_CONTENT[[#This Row],[Topic]], tbl_TOPIC[Topic], tbl_TOPIC[TopicPath])),
  ""
)</f>
        <v>Maximum Prinzipien/Starke Maximum Prinzipien</v>
      </c>
    </row>
    <row r="169" spans="3:24" ht="34" x14ac:dyDescent="0.2">
      <c r="C169" s="22" t="str">
        <f>_xlfn.XLOOKUP(tbl_CONTENT[[#This Row],[TopicID]], tbl_TOPIC[TopicID], tbl_TOPIC[Subject], "")</f>
        <v>GPDE</v>
      </c>
      <c r="D1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GPDE-T12-07-02</v>
      </c>
      <c r="E169" s="22">
        <f>ROW()</f>
        <v>169</v>
      </c>
      <c r="F169" s="22" t="s">
        <v>1051</v>
      </c>
      <c r="G169" s="22" t="str">
        <f>_xlfn.XLOOKUP(tbl_CONTENT[[#This Row],[Topic]], tbl_TOPIC[Topic], tbl_TOPIC[TopicID], "")</f>
        <v>GPDE-1-07</v>
      </c>
      <c r="H169" s="22" cm="1">
        <f t="array" ref="H169">SUM((tbl_CONTENT[[#This Row],[TopicID]]=INDEX(tbl_CONTENT[TopicID],1):tbl_CONTENT[[#This Row],[TopicID]])*1)</f>
        <v>2</v>
      </c>
      <c r="I169" s="22" t="str">
        <f>_xlfn.XLOOKUP(tbl_CONTENT[[#This Row],[Topic]], tbl_TOPIC[Topic], tbl_TOPIC[TopicIndex], "")</f>
        <v>07</v>
      </c>
      <c r="J169" s="22" t="s">
        <v>333</v>
      </c>
      <c r="K169" s="22" t="s">
        <v>358</v>
      </c>
      <c r="L169" s="22" t="s">
        <v>149</v>
      </c>
      <c r="M169" s="22">
        <v>1</v>
      </c>
      <c r="S169" s="35">
        <f>IFERROR(
 (1.907*EXP(1)^(-0.5*tbl_CONTENT[[#This Row],[Layer]])) *
 ((tbl_CONTENT[[#This Row],[RelInt]]-1)^(2.5)*4^(1-2.5)+1) +
 ((tbl_CONTENT[[#This Row],[Comp]]-1)^(2.5)*4^(1-2.5)+1)*(0.5*((tbl_CONTENT[[#This Row],[RelInt]]-1)/4)^(2.5)+1),
 0
)</f>
        <v>0</v>
      </c>
      <c r="T169" s="35">
        <f>IFERROR(
 (1.907*EXP(1)^(-0.5*VALUE(tbl_CONTENT[[#This Row],[Layer]]))) *
 ((VALUE(tbl_CONTENT[[#This Row],[RelId]])-1)^(2.5)*4^(1-2.5)+1) +
 ((VALUE(tbl_CONTENT[[#This Row],[Comp]])-1)^(2.5)*4^(1-2.5)+1)*(0.5*((VALUE(tbl_CONTENT[[#This Row],[RelId]])-1)/4)^(2.5)+1),
 0
)</f>
        <v>0</v>
      </c>
      <c r="W169" s="22" t="str">
        <f>IFERROR(
  IF(_xlfn.XLOOKUP(tbl_CONTENT[[#This Row],[Topic]], tbl_TOPIC[Topic], tbl_TOPIC[ParentTopic])="", "",
       _xlfn.XLOOKUP(tbl_CONTENT[[#This Row],[Topic]], tbl_TOPIC[Topic], tbl_TOPIC[ParentTopic])),
  ""
)</f>
        <v>Maximum Prinzipien</v>
      </c>
      <c r="X169" s="22" t="str">
        <f>IFERROR(
  IF(_xlfn.XLOOKUP(tbl_CONTENT[[#This Row],[Topic]], tbl_TOPIC[Topic], tbl_TOPIC[TopicPath])="", "",
       _xlfn.XLOOKUP(tbl_CONTENT[[#This Row],[Topic]], tbl_TOPIC[Topic], tbl_TOPIC[TopicPath])),
  ""
)</f>
        <v>Maximum Prinzipien/Starke Maximum Prinzipien</v>
      </c>
    </row>
    <row r="170" spans="3:24" ht="34" x14ac:dyDescent="0.2">
      <c r="C170" s="22" t="str">
        <f>_xlfn.XLOOKUP(tbl_CONTENT[[#This Row],[TopicID]], tbl_TOPIC[TopicID], tbl_TOPIC[Subject], "")</f>
        <v>GPDE</v>
      </c>
      <c r="D1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GPDE-T12-07-03</v>
      </c>
      <c r="E170" s="22">
        <f>ROW()</f>
        <v>170</v>
      </c>
      <c r="F170" s="22" t="s">
        <v>1051</v>
      </c>
      <c r="G170" s="22" t="str">
        <f>_xlfn.XLOOKUP(tbl_CONTENT[[#This Row],[Topic]], tbl_TOPIC[Topic], tbl_TOPIC[TopicID], "")</f>
        <v>GPDE-1-07</v>
      </c>
      <c r="H170" s="22" cm="1">
        <f t="array" ref="H170">SUM((tbl_CONTENT[[#This Row],[TopicID]]=INDEX(tbl_CONTENT[TopicID],1):tbl_CONTENT[[#This Row],[TopicID]])*1)</f>
        <v>3</v>
      </c>
      <c r="I170" s="22" t="str">
        <f>_xlfn.XLOOKUP(tbl_CONTENT[[#This Row],[Topic]], tbl_TOPIC[Topic], tbl_TOPIC[TopicIndex], "")</f>
        <v>07</v>
      </c>
      <c r="J170" s="22" t="s">
        <v>333</v>
      </c>
      <c r="K170" s="22" t="s">
        <v>360</v>
      </c>
      <c r="L170" s="22" t="s">
        <v>150</v>
      </c>
      <c r="M170" s="22">
        <v>1</v>
      </c>
      <c r="S170" s="35">
        <f>IFERROR(
 (1.907*EXP(1)^(-0.5*tbl_CONTENT[[#This Row],[Layer]])) *
 ((tbl_CONTENT[[#This Row],[RelInt]]-1)^(2.5)*4^(1-2.5)+1) +
 ((tbl_CONTENT[[#This Row],[Comp]]-1)^(2.5)*4^(1-2.5)+1)*(0.5*((tbl_CONTENT[[#This Row],[RelInt]]-1)/4)^(2.5)+1),
 0
)</f>
        <v>0</v>
      </c>
      <c r="T170" s="35">
        <f>IFERROR(
 (1.907*EXP(1)^(-0.5*VALUE(tbl_CONTENT[[#This Row],[Layer]]))) *
 ((VALUE(tbl_CONTENT[[#This Row],[RelId]])-1)^(2.5)*4^(1-2.5)+1) +
 ((VALUE(tbl_CONTENT[[#This Row],[Comp]])-1)^(2.5)*4^(1-2.5)+1)*(0.5*((VALUE(tbl_CONTENT[[#This Row],[RelId]])-1)/4)^(2.5)+1),
 0
)</f>
        <v>0</v>
      </c>
      <c r="W170" s="22" t="str">
        <f>IFERROR(
  IF(_xlfn.XLOOKUP(tbl_CONTENT[[#This Row],[Topic]], tbl_TOPIC[Topic], tbl_TOPIC[ParentTopic])="", "",
       _xlfn.XLOOKUP(tbl_CONTENT[[#This Row],[Topic]], tbl_TOPIC[Topic], tbl_TOPIC[ParentTopic])),
  ""
)</f>
        <v>Maximum Prinzipien</v>
      </c>
      <c r="X170" s="22" t="str">
        <f>IFERROR(
  IF(_xlfn.XLOOKUP(tbl_CONTENT[[#This Row],[Topic]], tbl_TOPIC[Topic], tbl_TOPIC[TopicPath])="", "",
       _xlfn.XLOOKUP(tbl_CONTENT[[#This Row],[Topic]], tbl_TOPIC[Topic], tbl_TOPIC[TopicPath])),
  ""
)</f>
        <v>Maximum Prinzipien/Starke Maximum Prinzipien</v>
      </c>
    </row>
    <row r="171" spans="3:24" ht="34" x14ac:dyDescent="0.2">
      <c r="C171" s="22" t="str">
        <f>_xlfn.XLOOKUP(tbl_CONTENT[[#This Row],[TopicID]], tbl_TOPIC[TopicID], tbl_TOPIC[Subject], "")</f>
        <v>GPDE</v>
      </c>
      <c r="D1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GPDE-T12-07-04</v>
      </c>
      <c r="E171" s="22">
        <f>ROW()</f>
        <v>171</v>
      </c>
      <c r="F171" s="22" t="s">
        <v>1051</v>
      </c>
      <c r="G171" s="22" t="str">
        <f>_xlfn.XLOOKUP(tbl_CONTENT[[#This Row],[Topic]], tbl_TOPIC[Topic], tbl_TOPIC[TopicID], "")</f>
        <v>GPDE-1-07</v>
      </c>
      <c r="H171" s="22" cm="1">
        <f t="array" ref="H171">SUM((tbl_CONTENT[[#This Row],[TopicID]]=INDEX(tbl_CONTENT[TopicID],1):tbl_CONTENT[[#This Row],[TopicID]])*1)</f>
        <v>4</v>
      </c>
      <c r="I171" s="22" t="str">
        <f>_xlfn.XLOOKUP(tbl_CONTENT[[#This Row],[Topic]], tbl_TOPIC[Topic], tbl_TOPIC[TopicIndex], "")</f>
        <v>07</v>
      </c>
      <c r="J171" s="22" t="s">
        <v>333</v>
      </c>
      <c r="K171" s="22" t="s">
        <v>359</v>
      </c>
      <c r="L171" s="22" t="s">
        <v>150</v>
      </c>
      <c r="M171" s="22">
        <v>1</v>
      </c>
      <c r="S171" s="35">
        <f>IFERROR(
 (1.907*EXP(1)^(-0.5*tbl_CONTENT[[#This Row],[Layer]])) *
 ((tbl_CONTENT[[#This Row],[RelInt]]-1)^(2.5)*4^(1-2.5)+1) +
 ((tbl_CONTENT[[#This Row],[Comp]]-1)^(2.5)*4^(1-2.5)+1)*(0.5*((tbl_CONTENT[[#This Row],[RelInt]]-1)/4)^(2.5)+1),
 0
)</f>
        <v>0</v>
      </c>
      <c r="T171" s="35">
        <f>IFERROR(
 (1.907*EXP(1)^(-0.5*VALUE(tbl_CONTENT[[#This Row],[Layer]]))) *
 ((VALUE(tbl_CONTENT[[#This Row],[RelId]])-1)^(2.5)*4^(1-2.5)+1) +
 ((VALUE(tbl_CONTENT[[#This Row],[Comp]])-1)^(2.5)*4^(1-2.5)+1)*(0.5*((VALUE(tbl_CONTENT[[#This Row],[RelId]])-1)/4)^(2.5)+1),
 0
)</f>
        <v>0</v>
      </c>
      <c r="W171" s="22" t="str">
        <f>IFERROR(
  IF(_xlfn.XLOOKUP(tbl_CONTENT[[#This Row],[Topic]], tbl_TOPIC[Topic], tbl_TOPIC[ParentTopic])="", "",
       _xlfn.XLOOKUP(tbl_CONTENT[[#This Row],[Topic]], tbl_TOPIC[Topic], tbl_TOPIC[ParentTopic])),
  ""
)</f>
        <v>Maximum Prinzipien</v>
      </c>
      <c r="X171" s="22" t="str">
        <f>IFERROR(
  IF(_xlfn.XLOOKUP(tbl_CONTENT[[#This Row],[Topic]], tbl_TOPIC[Topic], tbl_TOPIC[TopicPath])="", "",
       _xlfn.XLOOKUP(tbl_CONTENT[[#This Row],[Topic]], tbl_TOPIC[Topic], tbl_TOPIC[TopicPath])),
  ""
)</f>
        <v>Maximum Prinzipien/Starke Maximum Prinzipien</v>
      </c>
    </row>
    <row r="172" spans="3:24" ht="51" x14ac:dyDescent="0.2">
      <c r="C172" s="22" t="str">
        <f>_xlfn.XLOOKUP(tbl_CONTENT[[#This Row],[TopicID]], tbl_TOPIC[TopicID], tbl_TOPIC[Subject], "")</f>
        <v>QM</v>
      </c>
      <c r="D1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QM-T12-02-01</v>
      </c>
      <c r="E172" s="22">
        <f>ROW()</f>
        <v>172</v>
      </c>
      <c r="F172" s="22" t="s">
        <v>1051</v>
      </c>
      <c r="G172" s="22" t="str">
        <f>_xlfn.XLOOKUP(tbl_CONTENT[[#This Row],[Topic]], tbl_TOPIC[Topic], tbl_TOPIC[TopicID], "")</f>
        <v>QM-1-02</v>
      </c>
      <c r="H172" s="22" cm="1">
        <f t="array" ref="H172">SUM((tbl_CONTENT[[#This Row],[TopicID]]=INDEX(tbl_CONTENT[TopicID],1):tbl_CONTENT[[#This Row],[TopicID]])*1)</f>
        <v>1</v>
      </c>
      <c r="I172" s="22" t="str">
        <f>_xlfn.XLOOKUP(tbl_CONTENT[[#This Row],[Topic]], tbl_TOPIC[Topic], tbl_TOPIC[TopicIndex], "")</f>
        <v>02</v>
      </c>
      <c r="J172" s="22" t="s">
        <v>363</v>
      </c>
      <c r="K172" s="22" t="s">
        <v>381</v>
      </c>
      <c r="L172" s="22" t="s">
        <v>380</v>
      </c>
      <c r="M172" s="22">
        <v>1</v>
      </c>
      <c r="N172" s="22">
        <v>1</v>
      </c>
      <c r="S172" s="35">
        <f>IFERROR(
 (1.907*EXP(1)^(-0.5*tbl_CONTENT[[#This Row],[Layer]])) *
 ((tbl_CONTENT[[#This Row],[RelInt]]-1)^(2.5)*4^(1-2.5)+1) +
 ((tbl_CONTENT[[#This Row],[Comp]]-1)^(2.5)*4^(1-2.5)+1)*(0.5*((tbl_CONTENT[[#This Row],[RelInt]]-1)/4)^(2.5)+1),
 0
)</f>
        <v>0</v>
      </c>
      <c r="T172" s="35">
        <f>IFERROR(
 (1.907*EXP(1)^(-0.5*VALUE(tbl_CONTENT[[#This Row],[Layer]]))) *
 ((VALUE(tbl_CONTENT[[#This Row],[RelId]])-1)^(2.5)*4^(1-2.5)+1) +
 ((VALUE(tbl_CONTENT[[#This Row],[Comp]])-1)^(2.5)*4^(1-2.5)+1)*(0.5*((VALUE(tbl_CONTENT[[#This Row],[RelId]])-1)/4)^(2.5)+1),
 0
)</f>
        <v>0</v>
      </c>
      <c r="W172" s="22" t="str">
        <f>IFERROR(
  IF(_xlfn.XLOOKUP(tbl_CONTENT[[#This Row],[Topic]], tbl_TOPIC[Topic], tbl_TOPIC[ParentTopic])="", "",
       _xlfn.XLOOKUP(tbl_CONTENT[[#This Row],[Topic]], tbl_TOPIC[Topic], tbl_TOPIC[ParentTopic])),
  ""
)</f>
        <v/>
      </c>
      <c r="X172" s="22" t="str">
        <f>IFERROR(
  IF(_xlfn.XLOOKUP(tbl_CONTENT[[#This Row],[Topic]], tbl_TOPIC[Topic], tbl_TOPIC[TopicPath])="", "",
       _xlfn.XLOOKUP(tbl_CONTENT[[#This Row],[Topic]], tbl_TOPIC[Topic], tbl_TOPIC[TopicPath])),
  ""
)</f>
        <v>Schrödinger Gleichung</v>
      </c>
    </row>
    <row r="173" spans="3:24" ht="34" customHeight="1" x14ac:dyDescent="0.2">
      <c r="C173" s="22" t="str">
        <f>_xlfn.XLOOKUP(tbl_CONTENT[[#This Row],[TopicID]], tbl_TOPIC[TopicID], tbl_TOPIC[Subject], "")</f>
        <v>QM</v>
      </c>
      <c r="D1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QM-T12-03-01</v>
      </c>
      <c r="E173" s="22">
        <f>ROW()</f>
        <v>173</v>
      </c>
      <c r="F173" s="22" t="s">
        <v>1051</v>
      </c>
      <c r="G173" s="22" t="str">
        <f>_xlfn.XLOOKUP(tbl_CONTENT[[#This Row],[Topic]], tbl_TOPIC[Topic], tbl_TOPIC[TopicID], "")</f>
        <v>QM-1-03</v>
      </c>
      <c r="H173" s="22" cm="1">
        <f t="array" ref="H173">SUM((tbl_CONTENT[[#This Row],[TopicID]]=INDEX(tbl_CONTENT[TopicID],1):tbl_CONTENT[[#This Row],[TopicID]])*1)</f>
        <v>1</v>
      </c>
      <c r="I173" s="22" t="str">
        <f>_xlfn.XLOOKUP(tbl_CONTENT[[#This Row],[Topic]], tbl_TOPIC[Topic], tbl_TOPIC[TopicIndex], "")</f>
        <v>03</v>
      </c>
      <c r="J173" s="22" t="s">
        <v>364</v>
      </c>
      <c r="K173" s="22" t="s">
        <v>382</v>
      </c>
      <c r="L173" s="22" t="s">
        <v>152</v>
      </c>
      <c r="M173" s="22">
        <v>1</v>
      </c>
      <c r="S173" s="35">
        <f>IFERROR(
 (1.907*EXP(1)^(-0.5*tbl_CONTENT[[#This Row],[Layer]])) *
 ((tbl_CONTENT[[#This Row],[RelInt]]-1)^(2.5)*4^(1-2.5)+1) +
 ((tbl_CONTENT[[#This Row],[Comp]]-1)^(2.5)*4^(1-2.5)+1)*(0.5*((tbl_CONTENT[[#This Row],[RelInt]]-1)/4)^(2.5)+1),
 0
)</f>
        <v>0</v>
      </c>
      <c r="T173" s="35">
        <f>IFERROR(
 (1.907*EXP(1)^(-0.5*VALUE(tbl_CONTENT[[#This Row],[Layer]]))) *
 ((VALUE(tbl_CONTENT[[#This Row],[RelId]])-1)^(2.5)*4^(1-2.5)+1) +
 ((VALUE(tbl_CONTENT[[#This Row],[Comp]])-1)^(2.5)*4^(1-2.5)+1)*(0.5*((VALUE(tbl_CONTENT[[#This Row],[RelId]])-1)/4)^(2.5)+1),
 0
)</f>
        <v>0</v>
      </c>
      <c r="W173" s="22" t="str">
        <f>IFERROR(
  IF(_xlfn.XLOOKUP(tbl_CONTENT[[#This Row],[Topic]], tbl_TOPIC[Topic], tbl_TOPIC[ParentTopic])="", "",
       _xlfn.XLOOKUP(tbl_CONTENT[[#This Row],[Topic]], tbl_TOPIC[Topic], tbl_TOPIC[ParentTopic])),
  ""
)</f>
        <v>Schrödinger Gleichung</v>
      </c>
      <c r="X173" s="22" t="str">
        <f>IFERROR(
  IF(_xlfn.XLOOKUP(tbl_CONTENT[[#This Row],[Topic]], tbl_TOPIC[Topic], tbl_TOPIC[TopicPath])="", "",
       _xlfn.XLOOKUP(tbl_CONTENT[[#This Row],[Topic]], tbl_TOPIC[Topic], tbl_TOPIC[TopicPath])),
  ""
)</f>
        <v>Schrödinger Gleichung/Wellenpakete in QM</v>
      </c>
    </row>
    <row r="174" spans="3:24" ht="34" customHeight="1" x14ac:dyDescent="0.2">
      <c r="C174" s="22" t="str">
        <f>_xlfn.XLOOKUP(tbl_CONTENT[[#This Row],[TopicID]], tbl_TOPIC[TopicID], tbl_TOPIC[Subject], "")</f>
        <v>QM</v>
      </c>
      <c r="D1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QM-T12-03-02</v>
      </c>
      <c r="E174" s="22">
        <f>ROW()</f>
        <v>174</v>
      </c>
      <c r="F174" s="22" t="s">
        <v>1051</v>
      </c>
      <c r="G174" s="22" t="str">
        <f>_xlfn.XLOOKUP(tbl_CONTENT[[#This Row],[Topic]], tbl_TOPIC[Topic], tbl_TOPIC[TopicID], "")</f>
        <v>QM-1-03</v>
      </c>
      <c r="H174" s="22" cm="1">
        <f t="array" ref="H174">SUM((tbl_CONTENT[[#This Row],[TopicID]]=INDEX(tbl_CONTENT[TopicID],1):tbl_CONTENT[[#This Row],[TopicID]])*1)</f>
        <v>2</v>
      </c>
      <c r="I174" s="22" t="str">
        <f>_xlfn.XLOOKUP(tbl_CONTENT[[#This Row],[Topic]], tbl_TOPIC[Topic], tbl_TOPIC[TopicIndex], "")</f>
        <v>03</v>
      </c>
      <c r="J174" s="22" t="s">
        <v>364</v>
      </c>
      <c r="K174" s="22" t="s">
        <v>383</v>
      </c>
      <c r="L174" s="22" t="s">
        <v>152</v>
      </c>
      <c r="M174" s="22">
        <v>1</v>
      </c>
      <c r="S174" s="35">
        <f>IFERROR(
 (1.907*EXP(1)^(-0.5*tbl_CONTENT[[#This Row],[Layer]])) *
 ((tbl_CONTENT[[#This Row],[RelInt]]-1)^(2.5)*4^(1-2.5)+1) +
 ((tbl_CONTENT[[#This Row],[Comp]]-1)^(2.5)*4^(1-2.5)+1)*(0.5*((tbl_CONTENT[[#This Row],[RelInt]]-1)/4)^(2.5)+1),
 0
)</f>
        <v>0</v>
      </c>
      <c r="T174" s="35">
        <f>IFERROR(
 (1.907*EXP(1)^(-0.5*VALUE(tbl_CONTENT[[#This Row],[Layer]]))) *
 ((VALUE(tbl_CONTENT[[#This Row],[RelId]])-1)^(2.5)*4^(1-2.5)+1) +
 ((VALUE(tbl_CONTENT[[#This Row],[Comp]])-1)^(2.5)*4^(1-2.5)+1)*(0.5*((VALUE(tbl_CONTENT[[#This Row],[RelId]])-1)/4)^(2.5)+1),
 0
)</f>
        <v>0</v>
      </c>
      <c r="W174" s="22" t="str">
        <f>IFERROR(
  IF(_xlfn.XLOOKUP(tbl_CONTENT[[#This Row],[Topic]], tbl_TOPIC[Topic], tbl_TOPIC[ParentTopic])="", "",
       _xlfn.XLOOKUP(tbl_CONTENT[[#This Row],[Topic]], tbl_TOPIC[Topic], tbl_TOPIC[ParentTopic])),
  ""
)</f>
        <v>Schrödinger Gleichung</v>
      </c>
      <c r="X174" s="22" t="str">
        <f>IFERROR(
  IF(_xlfn.XLOOKUP(tbl_CONTENT[[#This Row],[Topic]], tbl_TOPIC[Topic], tbl_TOPIC[TopicPath])="", "",
       _xlfn.XLOOKUP(tbl_CONTENT[[#This Row],[Topic]], tbl_TOPIC[Topic], tbl_TOPIC[TopicPath])),
  ""
)</f>
        <v>Schrödinger Gleichung/Wellenpakete in QM</v>
      </c>
    </row>
    <row r="175" spans="3:24" ht="34" customHeight="1" x14ac:dyDescent="0.2">
      <c r="C175" s="22" t="str">
        <f>_xlfn.XLOOKUP(tbl_CONTENT[[#This Row],[TopicID]], tbl_TOPIC[TopicID], tbl_TOPIC[Subject], "")</f>
        <v>QM</v>
      </c>
      <c r="D1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QM-T12-03-03</v>
      </c>
      <c r="E175" s="22">
        <f>ROW()</f>
        <v>175</v>
      </c>
      <c r="F175" s="22" t="s">
        <v>1051</v>
      </c>
      <c r="G175" s="22" t="str">
        <f>_xlfn.XLOOKUP(tbl_CONTENT[[#This Row],[Topic]], tbl_TOPIC[Topic], tbl_TOPIC[TopicID], "")</f>
        <v>QM-1-03</v>
      </c>
      <c r="H175" s="22" cm="1">
        <f t="array" ref="H175">SUM((tbl_CONTENT[[#This Row],[TopicID]]=INDEX(tbl_CONTENT[TopicID],1):tbl_CONTENT[[#This Row],[TopicID]])*1)</f>
        <v>3</v>
      </c>
      <c r="I175" s="22" t="str">
        <f>_xlfn.XLOOKUP(tbl_CONTENT[[#This Row],[Topic]], tbl_TOPIC[Topic], tbl_TOPIC[TopicIndex], "")</f>
        <v>03</v>
      </c>
      <c r="J175" s="22" t="s">
        <v>364</v>
      </c>
      <c r="K175" s="22" t="s">
        <v>384</v>
      </c>
      <c r="L175" s="22" t="s">
        <v>179</v>
      </c>
      <c r="S175" s="35">
        <f>IFERROR(
 (1.907*EXP(1)^(-0.5*tbl_CONTENT[[#This Row],[Layer]])) *
 ((tbl_CONTENT[[#This Row],[RelInt]]-1)^(2.5)*4^(1-2.5)+1) +
 ((tbl_CONTENT[[#This Row],[Comp]]-1)^(2.5)*4^(1-2.5)+1)*(0.5*((tbl_CONTENT[[#This Row],[RelInt]]-1)/4)^(2.5)+1),
 0
)</f>
        <v>0</v>
      </c>
      <c r="T175" s="35">
        <f>IFERROR(
 (1.907*EXP(1)^(-0.5*VALUE(tbl_CONTENT[[#This Row],[Layer]]))) *
 ((VALUE(tbl_CONTENT[[#This Row],[RelId]])-1)^(2.5)*4^(1-2.5)+1) +
 ((VALUE(tbl_CONTENT[[#This Row],[Comp]])-1)^(2.5)*4^(1-2.5)+1)*(0.5*((VALUE(tbl_CONTENT[[#This Row],[RelId]])-1)/4)^(2.5)+1),
 0
)</f>
        <v>0</v>
      </c>
      <c r="W175" s="22" t="str">
        <f>IFERROR(
  IF(_xlfn.XLOOKUP(tbl_CONTENT[[#This Row],[Topic]], tbl_TOPIC[Topic], tbl_TOPIC[ParentTopic])="", "",
       _xlfn.XLOOKUP(tbl_CONTENT[[#This Row],[Topic]], tbl_TOPIC[Topic], tbl_TOPIC[ParentTopic])),
  ""
)</f>
        <v>Schrödinger Gleichung</v>
      </c>
      <c r="X175" s="22" t="str">
        <f>IFERROR(
  IF(_xlfn.XLOOKUP(tbl_CONTENT[[#This Row],[Topic]], tbl_TOPIC[Topic], tbl_TOPIC[TopicPath])="", "",
       _xlfn.XLOOKUP(tbl_CONTENT[[#This Row],[Topic]], tbl_TOPIC[Topic], tbl_TOPIC[TopicPath])),
  ""
)</f>
        <v>Schrödinger Gleichung/Wellenpakete in QM</v>
      </c>
    </row>
    <row r="176" spans="3:24" ht="34" customHeight="1" x14ac:dyDescent="0.2">
      <c r="C176" s="22" t="str">
        <f>_xlfn.XLOOKUP(tbl_CONTENT[[#This Row],[TopicID]], tbl_TOPIC[TopicID], tbl_TOPIC[Subject], "")</f>
        <v>QM</v>
      </c>
      <c r="D1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QM-T12-03-04</v>
      </c>
      <c r="E176" s="22">
        <f>ROW()</f>
        <v>176</v>
      </c>
      <c r="F176" s="22" t="s">
        <v>1051</v>
      </c>
      <c r="G176" s="22" t="str">
        <f>_xlfn.XLOOKUP(tbl_CONTENT[[#This Row],[Topic]], tbl_TOPIC[Topic], tbl_TOPIC[TopicID], "")</f>
        <v>QM-1-03</v>
      </c>
      <c r="H176" s="22" cm="1">
        <f t="array" ref="H176">SUM((tbl_CONTENT[[#This Row],[TopicID]]=INDEX(tbl_CONTENT[TopicID],1):tbl_CONTENT[[#This Row],[TopicID]])*1)</f>
        <v>4</v>
      </c>
      <c r="I176" s="22" t="str">
        <f>_xlfn.XLOOKUP(tbl_CONTENT[[#This Row],[Topic]], tbl_TOPIC[Topic], tbl_TOPIC[TopicIndex], "")</f>
        <v>03</v>
      </c>
      <c r="J176" s="22" t="s">
        <v>364</v>
      </c>
      <c r="K176" s="22" t="s">
        <v>385</v>
      </c>
      <c r="L176" s="22" t="s">
        <v>152</v>
      </c>
      <c r="M176" s="22">
        <v>1</v>
      </c>
      <c r="S176" s="35">
        <f>IFERROR(
 (1.907*EXP(1)^(-0.5*tbl_CONTENT[[#This Row],[Layer]])) *
 ((tbl_CONTENT[[#This Row],[RelInt]]-1)^(2.5)*4^(1-2.5)+1) +
 ((tbl_CONTENT[[#This Row],[Comp]]-1)^(2.5)*4^(1-2.5)+1)*(0.5*((tbl_CONTENT[[#This Row],[RelInt]]-1)/4)^(2.5)+1),
 0
)</f>
        <v>0</v>
      </c>
      <c r="T176" s="35">
        <f>IFERROR(
 (1.907*EXP(1)^(-0.5*VALUE(tbl_CONTENT[[#This Row],[Layer]]))) *
 ((VALUE(tbl_CONTENT[[#This Row],[RelId]])-1)^(2.5)*4^(1-2.5)+1) +
 ((VALUE(tbl_CONTENT[[#This Row],[Comp]])-1)^(2.5)*4^(1-2.5)+1)*(0.5*((VALUE(tbl_CONTENT[[#This Row],[RelId]])-1)/4)^(2.5)+1),
 0
)</f>
        <v>0</v>
      </c>
      <c r="W176" s="22" t="str">
        <f>IFERROR(
  IF(_xlfn.XLOOKUP(tbl_CONTENT[[#This Row],[Topic]], tbl_TOPIC[Topic], tbl_TOPIC[ParentTopic])="", "",
       _xlfn.XLOOKUP(tbl_CONTENT[[#This Row],[Topic]], tbl_TOPIC[Topic], tbl_TOPIC[ParentTopic])),
  ""
)</f>
        <v>Schrödinger Gleichung</v>
      </c>
      <c r="X176" s="22" t="str">
        <f>IFERROR(
  IF(_xlfn.XLOOKUP(tbl_CONTENT[[#This Row],[Topic]], tbl_TOPIC[Topic], tbl_TOPIC[TopicPath])="", "",
       _xlfn.XLOOKUP(tbl_CONTENT[[#This Row],[Topic]], tbl_TOPIC[Topic], tbl_TOPIC[TopicPath])),
  ""
)</f>
        <v>Schrödinger Gleichung/Wellenpakete in QM</v>
      </c>
    </row>
    <row r="177" spans="3:24" ht="34" customHeight="1" x14ac:dyDescent="0.2">
      <c r="C177" s="22" t="str">
        <f>_xlfn.XLOOKUP(tbl_CONTENT[[#This Row],[TopicID]], tbl_TOPIC[TopicID], tbl_TOPIC[Subject], "")</f>
        <v>QM</v>
      </c>
      <c r="D1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QM-T12-03-05</v>
      </c>
      <c r="E177" s="22">
        <f>ROW()</f>
        <v>177</v>
      </c>
      <c r="F177" s="22" t="s">
        <v>1051</v>
      </c>
      <c r="G177" s="22" t="str">
        <f>_xlfn.XLOOKUP(tbl_CONTENT[[#This Row],[Topic]], tbl_TOPIC[Topic], tbl_TOPIC[TopicID], "")</f>
        <v>QM-1-03</v>
      </c>
      <c r="H177" s="22" cm="1">
        <f t="array" ref="H177">SUM((tbl_CONTENT[[#This Row],[TopicID]]=INDEX(tbl_CONTENT[TopicID],1):tbl_CONTENT[[#This Row],[TopicID]])*1)</f>
        <v>5</v>
      </c>
      <c r="I177" s="22" t="str">
        <f>_xlfn.XLOOKUP(tbl_CONTENT[[#This Row],[Topic]], tbl_TOPIC[Topic], tbl_TOPIC[TopicIndex], "")</f>
        <v>03</v>
      </c>
      <c r="J177" s="22" t="s">
        <v>364</v>
      </c>
      <c r="K177" s="22" t="s">
        <v>386</v>
      </c>
      <c r="L177" s="22" t="s">
        <v>380</v>
      </c>
      <c r="M177" s="22">
        <v>1</v>
      </c>
      <c r="S177" s="35">
        <f>IFERROR(
 (1.907*EXP(1)^(-0.5*tbl_CONTENT[[#This Row],[Layer]])) *
 ((tbl_CONTENT[[#This Row],[RelInt]]-1)^(2.5)*4^(1-2.5)+1) +
 ((tbl_CONTENT[[#This Row],[Comp]]-1)^(2.5)*4^(1-2.5)+1)*(0.5*((tbl_CONTENT[[#This Row],[RelInt]]-1)/4)^(2.5)+1),
 0
)</f>
        <v>0</v>
      </c>
      <c r="T177" s="35">
        <f>IFERROR(
 (1.907*EXP(1)^(-0.5*VALUE(tbl_CONTENT[[#This Row],[Layer]]))) *
 ((VALUE(tbl_CONTENT[[#This Row],[RelId]])-1)^(2.5)*4^(1-2.5)+1) +
 ((VALUE(tbl_CONTENT[[#This Row],[Comp]])-1)^(2.5)*4^(1-2.5)+1)*(0.5*((VALUE(tbl_CONTENT[[#This Row],[RelId]])-1)/4)^(2.5)+1),
 0
)</f>
        <v>0</v>
      </c>
      <c r="W177" s="22" t="str">
        <f>IFERROR(
  IF(_xlfn.XLOOKUP(tbl_CONTENT[[#This Row],[Topic]], tbl_TOPIC[Topic], tbl_TOPIC[ParentTopic])="", "",
       _xlfn.XLOOKUP(tbl_CONTENT[[#This Row],[Topic]], tbl_TOPIC[Topic], tbl_TOPIC[ParentTopic])),
  ""
)</f>
        <v>Schrödinger Gleichung</v>
      </c>
      <c r="X177" s="22" t="str">
        <f>IFERROR(
  IF(_xlfn.XLOOKUP(tbl_CONTENT[[#This Row],[Topic]], tbl_TOPIC[Topic], tbl_TOPIC[TopicPath])="", "",
       _xlfn.XLOOKUP(tbl_CONTENT[[#This Row],[Topic]], tbl_TOPIC[Topic], tbl_TOPIC[TopicPath])),
  ""
)</f>
        <v>Schrödinger Gleichung/Wellenpakete in QM</v>
      </c>
    </row>
    <row r="178" spans="3:24" ht="34" customHeight="1" x14ac:dyDescent="0.2">
      <c r="C178" s="22" t="str">
        <f>_xlfn.XLOOKUP(tbl_CONTENT[[#This Row],[TopicID]], tbl_TOPIC[TopicID], tbl_TOPIC[Subject], "")</f>
        <v>QM</v>
      </c>
      <c r="D1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QM-T12-03-06</v>
      </c>
      <c r="E178" s="22">
        <f>ROW()</f>
        <v>178</v>
      </c>
      <c r="F178" s="22" t="s">
        <v>1051</v>
      </c>
      <c r="G178" s="22" t="str">
        <f>_xlfn.XLOOKUP(tbl_CONTENT[[#This Row],[Topic]], tbl_TOPIC[Topic], tbl_TOPIC[TopicID], "")</f>
        <v>QM-1-03</v>
      </c>
      <c r="H178" s="22" cm="1">
        <f t="array" ref="H178">SUM((tbl_CONTENT[[#This Row],[TopicID]]=INDEX(tbl_CONTENT[TopicID],1):tbl_CONTENT[[#This Row],[TopicID]])*1)</f>
        <v>6</v>
      </c>
      <c r="I178" s="22" t="str">
        <f>_xlfn.XLOOKUP(tbl_CONTENT[[#This Row],[Topic]], tbl_TOPIC[Topic], tbl_TOPIC[TopicIndex], "")</f>
        <v>03</v>
      </c>
      <c r="J178" s="22" t="s">
        <v>364</v>
      </c>
      <c r="K178" s="22" t="s">
        <v>387</v>
      </c>
      <c r="L178" s="22" t="s">
        <v>152</v>
      </c>
      <c r="M178" s="22">
        <v>1</v>
      </c>
      <c r="S178" s="35">
        <f>IFERROR(
 (1.907*EXP(1)^(-0.5*tbl_CONTENT[[#This Row],[Layer]])) *
 ((tbl_CONTENT[[#This Row],[RelInt]]-1)^(2.5)*4^(1-2.5)+1) +
 ((tbl_CONTENT[[#This Row],[Comp]]-1)^(2.5)*4^(1-2.5)+1)*(0.5*((tbl_CONTENT[[#This Row],[RelInt]]-1)/4)^(2.5)+1),
 0
)</f>
        <v>0</v>
      </c>
      <c r="T178" s="35">
        <f>IFERROR(
 (1.907*EXP(1)^(-0.5*VALUE(tbl_CONTENT[[#This Row],[Layer]]))) *
 ((VALUE(tbl_CONTENT[[#This Row],[RelId]])-1)^(2.5)*4^(1-2.5)+1) +
 ((VALUE(tbl_CONTENT[[#This Row],[Comp]])-1)^(2.5)*4^(1-2.5)+1)*(0.5*((VALUE(tbl_CONTENT[[#This Row],[RelId]])-1)/4)^(2.5)+1),
 0
)</f>
        <v>0</v>
      </c>
      <c r="W178" s="22" t="str">
        <f>IFERROR(
  IF(_xlfn.XLOOKUP(tbl_CONTENT[[#This Row],[Topic]], tbl_TOPIC[Topic], tbl_TOPIC[ParentTopic])="", "",
       _xlfn.XLOOKUP(tbl_CONTENT[[#This Row],[Topic]], tbl_TOPIC[Topic], tbl_TOPIC[ParentTopic])),
  ""
)</f>
        <v>Schrödinger Gleichung</v>
      </c>
      <c r="X178" s="22" t="str">
        <f>IFERROR(
  IF(_xlfn.XLOOKUP(tbl_CONTENT[[#This Row],[Topic]], tbl_TOPIC[Topic], tbl_TOPIC[TopicPath])="", "",
       _xlfn.XLOOKUP(tbl_CONTENT[[#This Row],[Topic]], tbl_TOPIC[Topic], tbl_TOPIC[TopicPath])),
  ""
)</f>
        <v>Schrödinger Gleichung/Wellenpakete in QM</v>
      </c>
    </row>
    <row r="179" spans="3:24" ht="34" customHeight="1" x14ac:dyDescent="0.2">
      <c r="C179" s="22" t="str">
        <f>_xlfn.XLOOKUP(tbl_CONTENT[[#This Row],[TopicID]], tbl_TOPIC[TopicID], tbl_TOPIC[Subject], "")</f>
        <v>QM</v>
      </c>
      <c r="D1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QM-T12-03-07</v>
      </c>
      <c r="E179" s="22">
        <f>ROW()</f>
        <v>179</v>
      </c>
      <c r="F179" s="22" t="s">
        <v>1051</v>
      </c>
      <c r="G179" s="22" t="str">
        <f>_xlfn.XLOOKUP(tbl_CONTENT[[#This Row],[Topic]], tbl_TOPIC[Topic], tbl_TOPIC[TopicID], "")</f>
        <v>QM-1-03</v>
      </c>
      <c r="H179" s="22" cm="1">
        <f t="array" ref="H179">SUM((tbl_CONTENT[[#This Row],[TopicID]]=INDEX(tbl_CONTENT[TopicID],1):tbl_CONTENT[[#This Row],[TopicID]])*1)</f>
        <v>7</v>
      </c>
      <c r="I179" s="22" t="str">
        <f>_xlfn.XLOOKUP(tbl_CONTENT[[#This Row],[Topic]], tbl_TOPIC[Topic], tbl_TOPIC[TopicIndex], "")</f>
        <v>03</v>
      </c>
      <c r="J179" s="22" t="s">
        <v>364</v>
      </c>
      <c r="K179" s="22" t="s">
        <v>388</v>
      </c>
      <c r="L179" s="22" t="s">
        <v>152</v>
      </c>
      <c r="M179" s="22">
        <v>1</v>
      </c>
      <c r="S179" s="35">
        <f>IFERROR(
 (1.907*EXP(1)^(-0.5*tbl_CONTENT[[#This Row],[Layer]])) *
 ((tbl_CONTENT[[#This Row],[RelInt]]-1)^(2.5)*4^(1-2.5)+1) +
 ((tbl_CONTENT[[#This Row],[Comp]]-1)^(2.5)*4^(1-2.5)+1)*(0.5*((tbl_CONTENT[[#This Row],[RelInt]]-1)/4)^(2.5)+1),
 0
)</f>
        <v>0</v>
      </c>
      <c r="T179" s="35">
        <f>IFERROR(
 (1.907*EXP(1)^(-0.5*VALUE(tbl_CONTENT[[#This Row],[Layer]]))) *
 ((VALUE(tbl_CONTENT[[#This Row],[RelId]])-1)^(2.5)*4^(1-2.5)+1) +
 ((VALUE(tbl_CONTENT[[#This Row],[Comp]])-1)^(2.5)*4^(1-2.5)+1)*(0.5*((VALUE(tbl_CONTENT[[#This Row],[RelId]])-1)/4)^(2.5)+1),
 0
)</f>
        <v>0</v>
      </c>
      <c r="W179" s="22" t="str">
        <f>IFERROR(
  IF(_xlfn.XLOOKUP(tbl_CONTENT[[#This Row],[Topic]], tbl_TOPIC[Topic], tbl_TOPIC[ParentTopic])="", "",
       _xlfn.XLOOKUP(tbl_CONTENT[[#This Row],[Topic]], tbl_TOPIC[Topic], tbl_TOPIC[ParentTopic])),
  ""
)</f>
        <v>Schrödinger Gleichung</v>
      </c>
      <c r="X179" s="22" t="str">
        <f>IFERROR(
  IF(_xlfn.XLOOKUP(tbl_CONTENT[[#This Row],[Topic]], tbl_TOPIC[Topic], tbl_TOPIC[TopicPath])="", "",
       _xlfn.XLOOKUP(tbl_CONTENT[[#This Row],[Topic]], tbl_TOPIC[Topic], tbl_TOPIC[TopicPath])),
  ""
)</f>
        <v>Schrödinger Gleichung/Wellenpakete in QM</v>
      </c>
    </row>
    <row r="180" spans="3:24" ht="34" customHeight="1" x14ac:dyDescent="0.2">
      <c r="C180" s="22" t="str">
        <f>_xlfn.XLOOKUP(tbl_CONTENT[[#This Row],[TopicID]], tbl_TOPIC[TopicID], tbl_TOPIC[Subject], "")</f>
        <v>QM</v>
      </c>
      <c r="D1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QM-T12-03-08</v>
      </c>
      <c r="E180" s="22">
        <f>ROW()</f>
        <v>180</v>
      </c>
      <c r="F180" s="22" t="s">
        <v>1051</v>
      </c>
      <c r="G180" s="22" t="str">
        <f>_xlfn.XLOOKUP(tbl_CONTENT[[#This Row],[Topic]], tbl_TOPIC[Topic], tbl_TOPIC[TopicID], "")</f>
        <v>QM-1-03</v>
      </c>
      <c r="H180" s="22" cm="1">
        <f t="array" ref="H180">SUM((tbl_CONTENT[[#This Row],[TopicID]]=INDEX(tbl_CONTENT[TopicID],1):tbl_CONTENT[[#This Row],[TopicID]])*1)</f>
        <v>8</v>
      </c>
      <c r="I180" s="22" t="str">
        <f>_xlfn.XLOOKUP(tbl_CONTENT[[#This Row],[Topic]], tbl_TOPIC[Topic], tbl_TOPIC[TopicIndex], "")</f>
        <v>03</v>
      </c>
      <c r="J180" s="22" t="s">
        <v>364</v>
      </c>
      <c r="K180" s="22" t="s">
        <v>389</v>
      </c>
      <c r="L180" s="22" t="s">
        <v>179</v>
      </c>
      <c r="M180" s="22">
        <v>1</v>
      </c>
      <c r="O180" s="22">
        <v>4</v>
      </c>
      <c r="S180" s="35">
        <f>IFERROR(
 (1.907*EXP(1)^(-0.5*tbl_CONTENT[[#This Row],[Layer]])) *
 ((tbl_CONTENT[[#This Row],[RelInt]]-1)^(2.5)*4^(1-2.5)+1) +
 ((tbl_CONTENT[[#This Row],[Comp]]-1)^(2.5)*4^(1-2.5)+1)*(0.5*((tbl_CONTENT[[#This Row],[RelInt]]-1)/4)^(2.5)+1),
 0
)</f>
        <v>0</v>
      </c>
      <c r="T180" s="35">
        <f>IFERROR(
 (1.907*EXP(1)^(-0.5*VALUE(tbl_CONTENT[[#This Row],[Layer]]))) *
 ((VALUE(tbl_CONTENT[[#This Row],[RelId]])-1)^(2.5)*4^(1-2.5)+1) +
 ((VALUE(tbl_CONTENT[[#This Row],[Comp]])-1)^(2.5)*4^(1-2.5)+1)*(0.5*((VALUE(tbl_CONTENT[[#This Row],[RelId]])-1)/4)^(2.5)+1),
 0
)</f>
        <v>0</v>
      </c>
      <c r="W180" s="22" t="str">
        <f>IFERROR(
  IF(_xlfn.XLOOKUP(tbl_CONTENT[[#This Row],[Topic]], tbl_TOPIC[Topic], tbl_TOPIC[ParentTopic])="", "",
       _xlfn.XLOOKUP(tbl_CONTENT[[#This Row],[Topic]], tbl_TOPIC[Topic], tbl_TOPIC[ParentTopic])),
  ""
)</f>
        <v>Schrödinger Gleichung</v>
      </c>
      <c r="X180" s="22" t="str">
        <f>IFERROR(
  IF(_xlfn.XLOOKUP(tbl_CONTENT[[#This Row],[Topic]], tbl_TOPIC[Topic], tbl_TOPIC[TopicPath])="", "",
       _xlfn.XLOOKUP(tbl_CONTENT[[#This Row],[Topic]], tbl_TOPIC[Topic], tbl_TOPIC[TopicPath])),
  ""
)</f>
        <v>Schrödinger Gleichung/Wellenpakete in QM</v>
      </c>
    </row>
    <row r="181" spans="3:24" ht="34" customHeight="1" x14ac:dyDescent="0.2">
      <c r="C181" s="22" t="str">
        <f>_xlfn.XLOOKUP(tbl_CONTENT[[#This Row],[TopicID]], tbl_TOPIC[TopicID], tbl_TOPIC[Subject], "")</f>
        <v>QM</v>
      </c>
      <c r="D1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QM-T12-03-09</v>
      </c>
      <c r="E181" s="22">
        <f>ROW()</f>
        <v>181</v>
      </c>
      <c r="F181" s="22" t="s">
        <v>1051</v>
      </c>
      <c r="G181" s="22" t="str">
        <f>_xlfn.XLOOKUP(tbl_CONTENT[[#This Row],[Topic]], tbl_TOPIC[Topic], tbl_TOPIC[TopicID], "")</f>
        <v>QM-1-03</v>
      </c>
      <c r="H181" s="22" cm="1">
        <f t="array" ref="H181">SUM((tbl_CONTENT[[#This Row],[TopicID]]=INDEX(tbl_CONTENT[TopicID],1):tbl_CONTENT[[#This Row],[TopicID]])*1)</f>
        <v>9</v>
      </c>
      <c r="I181" s="22" t="str">
        <f>_xlfn.XLOOKUP(tbl_CONTENT[[#This Row],[Topic]], tbl_TOPIC[Topic], tbl_TOPIC[TopicIndex], "")</f>
        <v>03</v>
      </c>
      <c r="J181" s="22" t="s">
        <v>364</v>
      </c>
      <c r="K181" s="22" t="s">
        <v>390</v>
      </c>
      <c r="L181" s="22" t="s">
        <v>152</v>
      </c>
      <c r="M181" s="22">
        <v>1</v>
      </c>
      <c r="S181" s="35">
        <f>IFERROR(
 (1.907*EXP(1)^(-0.5*tbl_CONTENT[[#This Row],[Layer]])) *
 ((tbl_CONTENT[[#This Row],[RelInt]]-1)^(2.5)*4^(1-2.5)+1) +
 ((tbl_CONTENT[[#This Row],[Comp]]-1)^(2.5)*4^(1-2.5)+1)*(0.5*((tbl_CONTENT[[#This Row],[RelInt]]-1)/4)^(2.5)+1),
 0
)</f>
        <v>0</v>
      </c>
      <c r="T181" s="35">
        <f>IFERROR(
 (1.907*EXP(1)^(-0.5*VALUE(tbl_CONTENT[[#This Row],[Layer]]))) *
 ((VALUE(tbl_CONTENT[[#This Row],[RelId]])-1)^(2.5)*4^(1-2.5)+1) +
 ((VALUE(tbl_CONTENT[[#This Row],[Comp]])-1)^(2.5)*4^(1-2.5)+1)*(0.5*((VALUE(tbl_CONTENT[[#This Row],[RelId]])-1)/4)^(2.5)+1),
 0
)</f>
        <v>0</v>
      </c>
      <c r="W181" s="22" t="str">
        <f>IFERROR(
  IF(_xlfn.XLOOKUP(tbl_CONTENT[[#This Row],[Topic]], tbl_TOPIC[Topic], tbl_TOPIC[ParentTopic])="", "",
       _xlfn.XLOOKUP(tbl_CONTENT[[#This Row],[Topic]], tbl_TOPIC[Topic], tbl_TOPIC[ParentTopic])),
  ""
)</f>
        <v>Schrödinger Gleichung</v>
      </c>
      <c r="X181" s="22" t="str">
        <f>IFERROR(
  IF(_xlfn.XLOOKUP(tbl_CONTENT[[#This Row],[Topic]], tbl_TOPIC[Topic], tbl_TOPIC[TopicPath])="", "",
       _xlfn.XLOOKUP(tbl_CONTENT[[#This Row],[Topic]], tbl_TOPIC[Topic], tbl_TOPIC[TopicPath])),
  ""
)</f>
        <v>Schrödinger Gleichung/Wellenpakete in QM</v>
      </c>
    </row>
    <row r="182" spans="3:24" ht="34" customHeight="1" x14ac:dyDescent="0.2">
      <c r="C182" s="22" t="str">
        <f>_xlfn.XLOOKUP(tbl_CONTENT[[#This Row],[TopicID]], tbl_TOPIC[TopicID], tbl_TOPIC[Subject], "")</f>
        <v>QM</v>
      </c>
      <c r="D1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QM-T12-03-10</v>
      </c>
      <c r="E182" s="22">
        <f>ROW()</f>
        <v>182</v>
      </c>
      <c r="F182" s="22" t="s">
        <v>1051</v>
      </c>
      <c r="G182" s="22" t="str">
        <f>_xlfn.XLOOKUP(tbl_CONTENT[[#This Row],[Topic]], tbl_TOPIC[Topic], tbl_TOPIC[TopicID], "")</f>
        <v>QM-1-03</v>
      </c>
      <c r="H182" s="22" cm="1">
        <f t="array" ref="H182">SUM((tbl_CONTENT[[#This Row],[TopicID]]=INDEX(tbl_CONTENT[TopicID],1):tbl_CONTENT[[#This Row],[TopicID]])*1)</f>
        <v>10</v>
      </c>
      <c r="I182" s="22" t="str">
        <f>_xlfn.XLOOKUP(tbl_CONTENT[[#This Row],[Topic]], tbl_TOPIC[Topic], tbl_TOPIC[TopicIndex], "")</f>
        <v>03</v>
      </c>
      <c r="J182" s="22" t="s">
        <v>364</v>
      </c>
      <c r="K182" s="22" t="s">
        <v>391</v>
      </c>
      <c r="L182" s="22" t="s">
        <v>152</v>
      </c>
      <c r="M182" s="22">
        <v>1</v>
      </c>
      <c r="S182" s="35">
        <f>IFERROR(
 (1.907*EXP(1)^(-0.5*tbl_CONTENT[[#This Row],[Layer]])) *
 ((tbl_CONTENT[[#This Row],[RelInt]]-1)^(2.5)*4^(1-2.5)+1) +
 ((tbl_CONTENT[[#This Row],[Comp]]-1)^(2.5)*4^(1-2.5)+1)*(0.5*((tbl_CONTENT[[#This Row],[RelInt]]-1)/4)^(2.5)+1),
 0
)</f>
        <v>0</v>
      </c>
      <c r="T182" s="35">
        <f>IFERROR(
 (1.907*EXP(1)^(-0.5*VALUE(tbl_CONTENT[[#This Row],[Layer]]))) *
 ((VALUE(tbl_CONTENT[[#This Row],[RelId]])-1)^(2.5)*4^(1-2.5)+1) +
 ((VALUE(tbl_CONTENT[[#This Row],[Comp]])-1)^(2.5)*4^(1-2.5)+1)*(0.5*((VALUE(tbl_CONTENT[[#This Row],[RelId]])-1)/4)^(2.5)+1),
 0
)</f>
        <v>0</v>
      </c>
      <c r="W182" s="22" t="str">
        <f>IFERROR(
  IF(_xlfn.XLOOKUP(tbl_CONTENT[[#This Row],[Topic]], tbl_TOPIC[Topic], tbl_TOPIC[ParentTopic])="", "",
       _xlfn.XLOOKUP(tbl_CONTENT[[#This Row],[Topic]], tbl_TOPIC[Topic], tbl_TOPIC[ParentTopic])),
  ""
)</f>
        <v>Schrödinger Gleichung</v>
      </c>
      <c r="X182" s="22" t="str">
        <f>IFERROR(
  IF(_xlfn.XLOOKUP(tbl_CONTENT[[#This Row],[Topic]], tbl_TOPIC[Topic], tbl_TOPIC[TopicPath])="", "",
       _xlfn.XLOOKUP(tbl_CONTENT[[#This Row],[Topic]], tbl_TOPIC[Topic], tbl_TOPIC[TopicPath])),
  ""
)</f>
        <v>Schrödinger Gleichung/Wellenpakete in QM</v>
      </c>
    </row>
    <row r="183" spans="3:24" ht="34" customHeight="1" x14ac:dyDescent="0.2">
      <c r="C183" s="22" t="str">
        <f>_xlfn.XLOOKUP(tbl_CONTENT[[#This Row],[TopicID]], tbl_TOPIC[TopicID], tbl_TOPIC[Subject], "")</f>
        <v>QM</v>
      </c>
      <c r="D1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QM-T12-03-11</v>
      </c>
      <c r="E183" s="22">
        <f>ROW()</f>
        <v>183</v>
      </c>
      <c r="F183" s="22" t="s">
        <v>1051</v>
      </c>
      <c r="G183" s="22" t="str">
        <f>_xlfn.XLOOKUP(tbl_CONTENT[[#This Row],[Topic]], tbl_TOPIC[Topic], tbl_TOPIC[TopicID], "")</f>
        <v>QM-1-03</v>
      </c>
      <c r="H183" s="22" cm="1">
        <f t="array" ref="H183">SUM((tbl_CONTENT[[#This Row],[TopicID]]=INDEX(tbl_CONTENT[TopicID],1):tbl_CONTENT[[#This Row],[TopicID]])*1)</f>
        <v>11</v>
      </c>
      <c r="I183" s="22" t="str">
        <f>_xlfn.XLOOKUP(tbl_CONTENT[[#This Row],[Topic]], tbl_TOPIC[Topic], tbl_TOPIC[TopicIndex], "")</f>
        <v>03</v>
      </c>
      <c r="J183" s="22" t="s">
        <v>364</v>
      </c>
      <c r="K183" s="22" t="s">
        <v>686</v>
      </c>
      <c r="L183" s="22" t="s">
        <v>380</v>
      </c>
      <c r="M183" s="22">
        <v>1</v>
      </c>
      <c r="S183" s="35">
        <f>IFERROR(
 (1.907*EXP(1)^(-0.5*tbl_CONTENT[[#This Row],[Layer]])) *
 ((tbl_CONTENT[[#This Row],[RelInt]]-1)^(2.5)*4^(1-2.5)+1) +
 ((tbl_CONTENT[[#This Row],[Comp]]-1)^(2.5)*4^(1-2.5)+1)*(0.5*((tbl_CONTENT[[#This Row],[RelInt]]-1)/4)^(2.5)+1),
 0
)</f>
        <v>0</v>
      </c>
      <c r="T183" s="35">
        <f>IFERROR(
 (1.907*EXP(1)^(-0.5*VALUE(tbl_CONTENT[[#This Row],[Layer]]))) *
 ((VALUE(tbl_CONTENT[[#This Row],[RelId]])-1)^(2.5)*4^(1-2.5)+1) +
 ((VALUE(tbl_CONTENT[[#This Row],[Comp]])-1)^(2.5)*4^(1-2.5)+1)*(0.5*((VALUE(tbl_CONTENT[[#This Row],[RelId]])-1)/4)^(2.5)+1),
 0
)</f>
        <v>0</v>
      </c>
      <c r="W183" s="22" t="str">
        <f>IFERROR(
  IF(_xlfn.XLOOKUP(tbl_CONTENT[[#This Row],[Topic]], tbl_TOPIC[Topic], tbl_TOPIC[ParentTopic])="", "",
       _xlfn.XLOOKUP(tbl_CONTENT[[#This Row],[Topic]], tbl_TOPIC[Topic], tbl_TOPIC[ParentTopic])),
  ""
)</f>
        <v>Schrödinger Gleichung</v>
      </c>
      <c r="X183" s="22" t="str">
        <f>IFERROR(
  IF(_xlfn.XLOOKUP(tbl_CONTENT[[#This Row],[Topic]], tbl_TOPIC[Topic], tbl_TOPIC[TopicPath])="", "",
       _xlfn.XLOOKUP(tbl_CONTENT[[#This Row],[Topic]], tbl_TOPIC[Topic], tbl_TOPIC[TopicPath])),
  ""
)</f>
        <v>Schrödinger Gleichung/Wellenpakete in QM</v>
      </c>
    </row>
    <row r="184" spans="3:24" ht="34" customHeight="1" x14ac:dyDescent="0.2">
      <c r="C184" s="22" t="str">
        <f>_xlfn.XLOOKUP(tbl_CONTENT[[#This Row],[TopicID]], tbl_TOPIC[TopicID], tbl_TOPIC[Subject], "")</f>
        <v>QM</v>
      </c>
      <c r="D1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QM-T12-03-12</v>
      </c>
      <c r="E184" s="22">
        <f>ROW()</f>
        <v>184</v>
      </c>
      <c r="F184" s="22" t="s">
        <v>1051</v>
      </c>
      <c r="G184" s="22" t="str">
        <f>_xlfn.XLOOKUP(tbl_CONTENT[[#This Row],[Topic]], tbl_TOPIC[Topic], tbl_TOPIC[TopicID], "")</f>
        <v>QM-1-03</v>
      </c>
      <c r="H184" s="22" cm="1">
        <f t="array" ref="H184">SUM((tbl_CONTENT[[#This Row],[TopicID]]=INDEX(tbl_CONTENT[TopicID],1):tbl_CONTENT[[#This Row],[TopicID]])*1)</f>
        <v>12</v>
      </c>
      <c r="I184" s="22" t="str">
        <f>_xlfn.XLOOKUP(tbl_CONTENT[[#This Row],[Topic]], tbl_TOPIC[Topic], tbl_TOPIC[TopicIndex], "")</f>
        <v>03</v>
      </c>
      <c r="J184" s="22" t="s">
        <v>364</v>
      </c>
      <c r="K184" s="22" t="s">
        <v>392</v>
      </c>
      <c r="L184" s="22" t="s">
        <v>380</v>
      </c>
      <c r="M184" s="22">
        <v>1</v>
      </c>
      <c r="S184" s="35">
        <f>IFERROR(
 (1.907*EXP(1)^(-0.5*tbl_CONTENT[[#This Row],[Layer]])) *
 ((tbl_CONTENT[[#This Row],[RelInt]]-1)^(2.5)*4^(1-2.5)+1) +
 ((tbl_CONTENT[[#This Row],[Comp]]-1)^(2.5)*4^(1-2.5)+1)*(0.5*((tbl_CONTENT[[#This Row],[RelInt]]-1)/4)^(2.5)+1),
 0
)</f>
        <v>0</v>
      </c>
      <c r="T184" s="35">
        <f>IFERROR(
 (1.907*EXP(1)^(-0.5*VALUE(tbl_CONTENT[[#This Row],[Layer]]))) *
 ((VALUE(tbl_CONTENT[[#This Row],[RelId]])-1)^(2.5)*4^(1-2.5)+1) +
 ((VALUE(tbl_CONTENT[[#This Row],[Comp]])-1)^(2.5)*4^(1-2.5)+1)*(0.5*((VALUE(tbl_CONTENT[[#This Row],[RelId]])-1)/4)^(2.5)+1),
 0
)</f>
        <v>0</v>
      </c>
      <c r="W184" s="22" t="str">
        <f>IFERROR(
  IF(_xlfn.XLOOKUP(tbl_CONTENT[[#This Row],[Topic]], tbl_TOPIC[Topic], tbl_TOPIC[ParentTopic])="", "",
       _xlfn.XLOOKUP(tbl_CONTENT[[#This Row],[Topic]], tbl_TOPIC[Topic], tbl_TOPIC[ParentTopic])),
  ""
)</f>
        <v>Schrödinger Gleichung</v>
      </c>
      <c r="X184" s="22" t="str">
        <f>IFERROR(
  IF(_xlfn.XLOOKUP(tbl_CONTENT[[#This Row],[Topic]], tbl_TOPIC[Topic], tbl_TOPIC[TopicPath])="", "",
       _xlfn.XLOOKUP(tbl_CONTENT[[#This Row],[Topic]], tbl_TOPIC[Topic], tbl_TOPIC[TopicPath])),
  ""
)</f>
        <v>Schrödinger Gleichung/Wellenpakete in QM</v>
      </c>
    </row>
    <row r="185" spans="3:24" ht="34" customHeight="1" x14ac:dyDescent="0.2">
      <c r="C185" s="22" t="str">
        <f>_xlfn.XLOOKUP(tbl_CONTENT[[#This Row],[TopicID]], tbl_TOPIC[TopicID], tbl_TOPIC[Subject], "")</f>
        <v>QM</v>
      </c>
      <c r="D1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QM-T12-05-01</v>
      </c>
      <c r="E185" s="22">
        <f>ROW()</f>
        <v>185</v>
      </c>
      <c r="F185" s="22" t="s">
        <v>1051</v>
      </c>
      <c r="G185" s="22" t="str">
        <f>_xlfn.XLOOKUP(tbl_CONTENT[[#This Row],[Topic]], tbl_TOPIC[Topic], tbl_TOPIC[TopicID], "")</f>
        <v>QM-1-05</v>
      </c>
      <c r="H185" s="22" cm="1">
        <f t="array" ref="H185">SUM((tbl_CONTENT[[#This Row],[TopicID]]=INDEX(tbl_CONTENT[TopicID],1):tbl_CONTENT[[#This Row],[TopicID]])*1)</f>
        <v>1</v>
      </c>
      <c r="I185" s="22" t="str">
        <f>_xlfn.XLOOKUP(tbl_CONTENT[[#This Row],[Topic]], tbl_TOPIC[Topic], tbl_TOPIC[TopicIndex], "")</f>
        <v>05</v>
      </c>
      <c r="J185" s="22" t="s">
        <v>366</v>
      </c>
      <c r="K185" s="22" t="s">
        <v>393</v>
      </c>
      <c r="L185" s="22" t="s">
        <v>152</v>
      </c>
      <c r="M185" s="22">
        <v>1</v>
      </c>
      <c r="S185" s="35">
        <f>IFERROR(
 (1.907*EXP(1)^(-0.5*tbl_CONTENT[[#This Row],[Layer]])) *
 ((tbl_CONTENT[[#This Row],[RelInt]]-1)^(2.5)*4^(1-2.5)+1) +
 ((tbl_CONTENT[[#This Row],[Comp]]-1)^(2.5)*4^(1-2.5)+1)*(0.5*((tbl_CONTENT[[#This Row],[RelInt]]-1)/4)^(2.5)+1),
 0
)</f>
        <v>0</v>
      </c>
      <c r="T185" s="35">
        <f>IFERROR(
 (1.907*EXP(1)^(-0.5*VALUE(tbl_CONTENT[[#This Row],[Layer]]))) *
 ((VALUE(tbl_CONTENT[[#This Row],[RelId]])-1)^(2.5)*4^(1-2.5)+1) +
 ((VALUE(tbl_CONTENT[[#This Row],[Comp]])-1)^(2.5)*4^(1-2.5)+1)*(0.5*((VALUE(tbl_CONTENT[[#This Row],[RelId]])-1)/4)^(2.5)+1),
 0
)</f>
        <v>0</v>
      </c>
      <c r="W185" s="22" t="str">
        <f>IFERROR(
  IF(_xlfn.XLOOKUP(tbl_CONTENT[[#This Row],[Topic]], tbl_TOPIC[Topic], tbl_TOPIC[ParentTopic])="", "",
       _xlfn.XLOOKUP(tbl_CONTENT[[#This Row],[Topic]], tbl_TOPIC[Topic], tbl_TOPIC[ParentTopic])),
  ""
)</f>
        <v>Einführung der Schrödinger Gleichung</v>
      </c>
      <c r="X185" s="22" t="str">
        <f>IFERROR(
  IF(_xlfn.XLOOKUP(tbl_CONTENT[[#This Row],[Topic]], tbl_TOPIC[Topic], tbl_TOPIC[TopicPath])="", "",
       _xlfn.XLOOKUP(tbl_CONTENT[[#This Row],[Topic]], tbl_TOPIC[Topic], tbl_TOPIC[TopicPath])),
  ""
)</f>
        <v>Schrödinger Gleichung/Einführung der Schrödinger Gleichung/Herleitung für freie Teilchen</v>
      </c>
    </row>
    <row r="186" spans="3:24" ht="34" customHeight="1" x14ac:dyDescent="0.2">
      <c r="C186" s="22" t="str">
        <f>_xlfn.XLOOKUP(tbl_CONTENT[[#This Row],[TopicID]], tbl_TOPIC[TopicID], tbl_TOPIC[Subject], "")</f>
        <v>QM</v>
      </c>
      <c r="D1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QM-T12-05-02</v>
      </c>
      <c r="E186" s="22">
        <f>ROW()</f>
        <v>186</v>
      </c>
      <c r="F186" s="22" t="s">
        <v>1051</v>
      </c>
      <c r="G186" s="22" t="str">
        <f>_xlfn.XLOOKUP(tbl_CONTENT[[#This Row],[Topic]], tbl_TOPIC[Topic], tbl_TOPIC[TopicID], "")</f>
        <v>QM-1-05</v>
      </c>
      <c r="H186" s="22" cm="1">
        <f t="array" ref="H186">SUM((tbl_CONTENT[[#This Row],[TopicID]]=INDEX(tbl_CONTENT[TopicID],1):tbl_CONTENT[[#This Row],[TopicID]])*1)</f>
        <v>2</v>
      </c>
      <c r="I186" s="22" t="str">
        <f>_xlfn.XLOOKUP(tbl_CONTENT[[#This Row],[Topic]], tbl_TOPIC[Topic], tbl_TOPIC[TopicIndex], "")</f>
        <v>05</v>
      </c>
      <c r="J186" s="22" t="s">
        <v>366</v>
      </c>
      <c r="K186" s="22" t="s">
        <v>394</v>
      </c>
      <c r="L186" s="22" t="s">
        <v>152</v>
      </c>
      <c r="M186" s="22">
        <v>1</v>
      </c>
      <c r="S186" s="35">
        <f>IFERROR(
 (1.907*EXP(1)^(-0.5*tbl_CONTENT[[#This Row],[Layer]])) *
 ((tbl_CONTENT[[#This Row],[RelInt]]-1)^(2.5)*4^(1-2.5)+1) +
 ((tbl_CONTENT[[#This Row],[Comp]]-1)^(2.5)*4^(1-2.5)+1)*(0.5*((tbl_CONTENT[[#This Row],[RelInt]]-1)/4)^(2.5)+1),
 0
)</f>
        <v>0</v>
      </c>
      <c r="T186" s="35">
        <f>IFERROR(
 (1.907*EXP(1)^(-0.5*VALUE(tbl_CONTENT[[#This Row],[Layer]]))) *
 ((VALUE(tbl_CONTENT[[#This Row],[RelId]])-1)^(2.5)*4^(1-2.5)+1) +
 ((VALUE(tbl_CONTENT[[#This Row],[Comp]])-1)^(2.5)*4^(1-2.5)+1)*(0.5*((VALUE(tbl_CONTENT[[#This Row],[RelId]])-1)/4)^(2.5)+1),
 0
)</f>
        <v>0</v>
      </c>
      <c r="W186" s="22" t="str">
        <f>IFERROR(
  IF(_xlfn.XLOOKUP(tbl_CONTENT[[#This Row],[Topic]], tbl_TOPIC[Topic], tbl_TOPIC[ParentTopic])="", "",
       _xlfn.XLOOKUP(tbl_CONTENT[[#This Row],[Topic]], tbl_TOPIC[Topic], tbl_TOPIC[ParentTopic])),
  ""
)</f>
        <v>Einführung der Schrödinger Gleichung</v>
      </c>
      <c r="X186" s="22" t="str">
        <f>IFERROR(
  IF(_xlfn.XLOOKUP(tbl_CONTENT[[#This Row],[Topic]], tbl_TOPIC[Topic], tbl_TOPIC[TopicPath])="", "",
       _xlfn.XLOOKUP(tbl_CONTENT[[#This Row],[Topic]], tbl_TOPIC[Topic], tbl_TOPIC[TopicPath])),
  ""
)</f>
        <v>Schrödinger Gleichung/Einführung der Schrödinger Gleichung/Herleitung für freie Teilchen</v>
      </c>
    </row>
    <row r="187" spans="3:24" ht="34" customHeight="1" x14ac:dyDescent="0.2">
      <c r="C187" s="22" t="str">
        <f>_xlfn.XLOOKUP(tbl_CONTENT[[#This Row],[TopicID]], tbl_TOPIC[TopicID], tbl_TOPIC[Subject], "")</f>
        <v>QM</v>
      </c>
      <c r="D1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QM-T12-05-03</v>
      </c>
      <c r="E187" s="22">
        <f>ROW()</f>
        <v>187</v>
      </c>
      <c r="F187" s="22" t="s">
        <v>1051</v>
      </c>
      <c r="G187" s="22" t="str">
        <f>_xlfn.XLOOKUP(tbl_CONTENT[[#This Row],[Topic]], tbl_TOPIC[Topic], tbl_TOPIC[TopicID], "")</f>
        <v>QM-1-05</v>
      </c>
      <c r="H187" s="22" cm="1">
        <f t="array" ref="H187">SUM((tbl_CONTENT[[#This Row],[TopicID]]=INDEX(tbl_CONTENT[TopicID],1):tbl_CONTENT[[#This Row],[TopicID]])*1)</f>
        <v>3</v>
      </c>
      <c r="I187" s="22" t="str">
        <f>_xlfn.XLOOKUP(tbl_CONTENT[[#This Row],[Topic]], tbl_TOPIC[Topic], tbl_TOPIC[TopicIndex], "")</f>
        <v>05</v>
      </c>
      <c r="J187" s="22" t="s">
        <v>366</v>
      </c>
      <c r="K187" s="22" t="s">
        <v>395</v>
      </c>
      <c r="L187" s="22" t="s">
        <v>380</v>
      </c>
      <c r="M187" s="22">
        <v>1</v>
      </c>
      <c r="S187" s="35">
        <f>IFERROR(
 (1.907*EXP(1)^(-0.5*tbl_CONTENT[[#This Row],[Layer]])) *
 ((tbl_CONTENT[[#This Row],[RelInt]]-1)^(2.5)*4^(1-2.5)+1) +
 ((tbl_CONTENT[[#This Row],[Comp]]-1)^(2.5)*4^(1-2.5)+1)*(0.5*((tbl_CONTENT[[#This Row],[RelInt]]-1)/4)^(2.5)+1),
 0
)</f>
        <v>0</v>
      </c>
      <c r="T187" s="35">
        <f>IFERROR(
 (1.907*EXP(1)^(-0.5*VALUE(tbl_CONTENT[[#This Row],[Layer]]))) *
 ((VALUE(tbl_CONTENT[[#This Row],[RelId]])-1)^(2.5)*4^(1-2.5)+1) +
 ((VALUE(tbl_CONTENT[[#This Row],[Comp]])-1)^(2.5)*4^(1-2.5)+1)*(0.5*((VALUE(tbl_CONTENT[[#This Row],[RelId]])-1)/4)^(2.5)+1),
 0
)</f>
        <v>0</v>
      </c>
      <c r="W187" s="22" t="str">
        <f>IFERROR(
  IF(_xlfn.XLOOKUP(tbl_CONTENT[[#This Row],[Topic]], tbl_TOPIC[Topic], tbl_TOPIC[ParentTopic])="", "",
       _xlfn.XLOOKUP(tbl_CONTENT[[#This Row],[Topic]], tbl_TOPIC[Topic], tbl_TOPIC[ParentTopic])),
  ""
)</f>
        <v>Einführung der Schrödinger Gleichung</v>
      </c>
      <c r="X187" s="22" t="str">
        <f>IFERROR(
  IF(_xlfn.XLOOKUP(tbl_CONTENT[[#This Row],[Topic]], tbl_TOPIC[Topic], tbl_TOPIC[TopicPath])="", "",
       _xlfn.XLOOKUP(tbl_CONTENT[[#This Row],[Topic]], tbl_TOPIC[Topic], tbl_TOPIC[TopicPath])),
  ""
)</f>
        <v>Schrödinger Gleichung/Einführung der Schrödinger Gleichung/Herleitung für freie Teilchen</v>
      </c>
    </row>
    <row r="188" spans="3:24" ht="34" customHeight="1" x14ac:dyDescent="0.2">
      <c r="C188" s="22" t="str">
        <f>_xlfn.XLOOKUP(tbl_CONTENT[[#This Row],[TopicID]], tbl_TOPIC[TopicID], tbl_TOPIC[Subject], "")</f>
        <v>QM</v>
      </c>
      <c r="D1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QM-T12-05-04</v>
      </c>
      <c r="E188" s="22">
        <f>ROW()</f>
        <v>188</v>
      </c>
      <c r="F188" s="22" t="s">
        <v>1051</v>
      </c>
      <c r="G188" s="22" t="str">
        <f>_xlfn.XLOOKUP(tbl_CONTENT[[#This Row],[Topic]], tbl_TOPIC[Topic], tbl_TOPIC[TopicID], "")</f>
        <v>QM-1-05</v>
      </c>
      <c r="H188" s="22" cm="1">
        <f t="array" ref="H188">SUM((tbl_CONTENT[[#This Row],[TopicID]]=INDEX(tbl_CONTENT[TopicID],1):tbl_CONTENT[[#This Row],[TopicID]])*1)</f>
        <v>4</v>
      </c>
      <c r="I188" s="22" t="str">
        <f>_xlfn.XLOOKUP(tbl_CONTENT[[#This Row],[Topic]], tbl_TOPIC[Topic], tbl_TOPIC[TopicIndex], "")</f>
        <v>05</v>
      </c>
      <c r="J188" s="22" t="s">
        <v>366</v>
      </c>
      <c r="K188" s="22" t="s">
        <v>363</v>
      </c>
      <c r="L188" s="22" t="s">
        <v>152</v>
      </c>
      <c r="M188" s="22">
        <v>1</v>
      </c>
      <c r="S188" s="35">
        <f>IFERROR(
 (1.907*EXP(1)^(-0.5*tbl_CONTENT[[#This Row],[Layer]])) *
 ((tbl_CONTENT[[#This Row],[RelInt]]-1)^(2.5)*4^(1-2.5)+1) +
 ((tbl_CONTENT[[#This Row],[Comp]]-1)^(2.5)*4^(1-2.5)+1)*(0.5*((tbl_CONTENT[[#This Row],[RelInt]]-1)/4)^(2.5)+1),
 0
)</f>
        <v>0</v>
      </c>
      <c r="T188" s="35">
        <f>IFERROR(
 (1.907*EXP(1)^(-0.5*VALUE(tbl_CONTENT[[#This Row],[Layer]]))) *
 ((VALUE(tbl_CONTENT[[#This Row],[RelId]])-1)^(2.5)*4^(1-2.5)+1) +
 ((VALUE(tbl_CONTENT[[#This Row],[Comp]])-1)^(2.5)*4^(1-2.5)+1)*(0.5*((VALUE(tbl_CONTENT[[#This Row],[RelId]])-1)/4)^(2.5)+1),
 0
)</f>
        <v>0</v>
      </c>
      <c r="W188" s="22" t="str">
        <f>IFERROR(
  IF(_xlfn.XLOOKUP(tbl_CONTENT[[#This Row],[Topic]], tbl_TOPIC[Topic], tbl_TOPIC[ParentTopic])="", "",
       _xlfn.XLOOKUP(tbl_CONTENT[[#This Row],[Topic]], tbl_TOPIC[Topic], tbl_TOPIC[ParentTopic])),
  ""
)</f>
        <v>Einführung der Schrödinger Gleichung</v>
      </c>
      <c r="X188" s="22" t="str">
        <f>IFERROR(
  IF(_xlfn.XLOOKUP(tbl_CONTENT[[#This Row],[Topic]], tbl_TOPIC[Topic], tbl_TOPIC[TopicPath])="", "",
       _xlfn.XLOOKUP(tbl_CONTENT[[#This Row],[Topic]], tbl_TOPIC[Topic], tbl_TOPIC[TopicPath])),
  ""
)</f>
        <v>Schrödinger Gleichung/Einführung der Schrödinger Gleichung/Herleitung für freie Teilchen</v>
      </c>
    </row>
    <row r="189" spans="3:24" ht="34" customHeight="1" x14ac:dyDescent="0.2">
      <c r="C189" s="22" t="str">
        <f>_xlfn.XLOOKUP(tbl_CONTENT[[#This Row],[TopicID]], tbl_TOPIC[TopicID], tbl_TOPIC[Subject], "")</f>
        <v>QM</v>
      </c>
      <c r="D1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QM-T12-05-05</v>
      </c>
      <c r="E189" s="22">
        <f>ROW()</f>
        <v>189</v>
      </c>
      <c r="F189" s="22" t="s">
        <v>1051</v>
      </c>
      <c r="G189" s="22" t="str">
        <f>_xlfn.XLOOKUP(tbl_CONTENT[[#This Row],[Topic]], tbl_TOPIC[Topic], tbl_TOPIC[TopicID], "")</f>
        <v>QM-1-05</v>
      </c>
      <c r="H189" s="22" cm="1">
        <f t="array" ref="H189">SUM((tbl_CONTENT[[#This Row],[TopicID]]=INDEX(tbl_CONTENT[TopicID],1):tbl_CONTENT[[#This Row],[TopicID]])*1)</f>
        <v>5</v>
      </c>
      <c r="I189" s="22" t="str">
        <f>_xlfn.XLOOKUP(tbl_CONTENT[[#This Row],[Topic]], tbl_TOPIC[Topic], tbl_TOPIC[TopicIndex], "")</f>
        <v>05</v>
      </c>
      <c r="J189" s="22" t="s">
        <v>366</v>
      </c>
      <c r="K189" s="22" t="s">
        <v>396</v>
      </c>
      <c r="L189" s="22" t="s">
        <v>147</v>
      </c>
      <c r="M189" s="22">
        <v>1</v>
      </c>
      <c r="S189" s="35">
        <f>IFERROR(
 (1.907*EXP(1)^(-0.5*tbl_CONTENT[[#This Row],[Layer]])) *
 ((tbl_CONTENT[[#This Row],[RelInt]]-1)^(2.5)*4^(1-2.5)+1) +
 ((tbl_CONTENT[[#This Row],[Comp]]-1)^(2.5)*4^(1-2.5)+1)*(0.5*((tbl_CONTENT[[#This Row],[RelInt]]-1)/4)^(2.5)+1),
 0
)</f>
        <v>0</v>
      </c>
      <c r="T189" s="35">
        <f>IFERROR(
 (1.907*EXP(1)^(-0.5*VALUE(tbl_CONTENT[[#This Row],[Layer]]))) *
 ((VALUE(tbl_CONTENT[[#This Row],[RelId]])-1)^(2.5)*4^(1-2.5)+1) +
 ((VALUE(tbl_CONTENT[[#This Row],[Comp]])-1)^(2.5)*4^(1-2.5)+1)*(0.5*((VALUE(tbl_CONTENT[[#This Row],[RelId]])-1)/4)^(2.5)+1),
 0
)</f>
        <v>0</v>
      </c>
      <c r="W189" s="22" t="str">
        <f>IFERROR(
  IF(_xlfn.XLOOKUP(tbl_CONTENT[[#This Row],[Topic]], tbl_TOPIC[Topic], tbl_TOPIC[ParentTopic])="", "",
       _xlfn.XLOOKUP(tbl_CONTENT[[#This Row],[Topic]], tbl_TOPIC[Topic], tbl_TOPIC[ParentTopic])),
  ""
)</f>
        <v>Einführung der Schrödinger Gleichung</v>
      </c>
      <c r="X189" s="22" t="str">
        <f>IFERROR(
  IF(_xlfn.XLOOKUP(tbl_CONTENT[[#This Row],[Topic]], tbl_TOPIC[Topic], tbl_TOPIC[TopicPath])="", "",
       _xlfn.XLOOKUP(tbl_CONTENT[[#This Row],[Topic]], tbl_TOPIC[Topic], tbl_TOPIC[TopicPath])),
  ""
)</f>
        <v>Schrödinger Gleichung/Einführung der Schrödinger Gleichung/Herleitung für freie Teilchen</v>
      </c>
    </row>
    <row r="190" spans="3:24" ht="34" customHeight="1" x14ac:dyDescent="0.2">
      <c r="C190" s="22" t="str">
        <f>_xlfn.XLOOKUP(tbl_CONTENT[[#This Row],[TopicID]], tbl_TOPIC[TopicID], tbl_TOPIC[Subject], "")</f>
        <v>QM</v>
      </c>
      <c r="D1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QM-T12-05-06</v>
      </c>
      <c r="E190" s="22">
        <f>ROW()</f>
        <v>190</v>
      </c>
      <c r="F190" s="22" t="s">
        <v>1051</v>
      </c>
      <c r="G190" s="22" t="str">
        <f>_xlfn.XLOOKUP(tbl_CONTENT[[#This Row],[Topic]], tbl_TOPIC[Topic], tbl_TOPIC[TopicID], "")</f>
        <v>QM-1-05</v>
      </c>
      <c r="H190" s="22" cm="1">
        <f t="array" ref="H190">SUM((tbl_CONTENT[[#This Row],[TopicID]]=INDEX(tbl_CONTENT[TopicID],1):tbl_CONTENT[[#This Row],[TopicID]])*1)</f>
        <v>6</v>
      </c>
      <c r="I190" s="22" t="str">
        <f>_xlfn.XLOOKUP(tbl_CONTENT[[#This Row],[Topic]], tbl_TOPIC[Topic], tbl_TOPIC[TopicIndex], "")</f>
        <v>05</v>
      </c>
      <c r="J190" s="22" t="s">
        <v>366</v>
      </c>
      <c r="K190" s="22" t="s">
        <v>397</v>
      </c>
      <c r="L190" s="22" t="s">
        <v>380</v>
      </c>
      <c r="M190" s="22">
        <v>1</v>
      </c>
      <c r="S190" s="35">
        <f>IFERROR(
 (1.907*EXP(1)^(-0.5*tbl_CONTENT[[#This Row],[Layer]])) *
 ((tbl_CONTENT[[#This Row],[RelInt]]-1)^(2.5)*4^(1-2.5)+1) +
 ((tbl_CONTENT[[#This Row],[Comp]]-1)^(2.5)*4^(1-2.5)+1)*(0.5*((tbl_CONTENT[[#This Row],[RelInt]]-1)/4)^(2.5)+1),
 0
)</f>
        <v>0</v>
      </c>
      <c r="T190" s="35">
        <f>IFERROR(
 (1.907*EXP(1)^(-0.5*VALUE(tbl_CONTENT[[#This Row],[Layer]]))) *
 ((VALUE(tbl_CONTENT[[#This Row],[RelId]])-1)^(2.5)*4^(1-2.5)+1) +
 ((VALUE(tbl_CONTENT[[#This Row],[Comp]])-1)^(2.5)*4^(1-2.5)+1)*(0.5*((VALUE(tbl_CONTENT[[#This Row],[RelId]])-1)/4)^(2.5)+1),
 0
)</f>
        <v>0</v>
      </c>
      <c r="W190" s="22" t="str">
        <f>IFERROR(
  IF(_xlfn.XLOOKUP(tbl_CONTENT[[#This Row],[Topic]], tbl_TOPIC[Topic], tbl_TOPIC[ParentTopic])="", "",
       _xlfn.XLOOKUP(tbl_CONTENT[[#This Row],[Topic]], tbl_TOPIC[Topic], tbl_TOPIC[ParentTopic])),
  ""
)</f>
        <v>Einführung der Schrödinger Gleichung</v>
      </c>
      <c r="X190" s="22" t="str">
        <f>IFERROR(
  IF(_xlfn.XLOOKUP(tbl_CONTENT[[#This Row],[Topic]], tbl_TOPIC[Topic], tbl_TOPIC[TopicPath])="", "",
       _xlfn.XLOOKUP(tbl_CONTENT[[#This Row],[Topic]], tbl_TOPIC[Topic], tbl_TOPIC[TopicPath])),
  ""
)</f>
        <v>Schrödinger Gleichung/Einführung der Schrödinger Gleichung/Herleitung für freie Teilchen</v>
      </c>
    </row>
    <row r="191" spans="3:24" ht="34" customHeight="1" x14ac:dyDescent="0.2">
      <c r="C191" s="22" t="str">
        <f>_xlfn.XLOOKUP(tbl_CONTENT[[#This Row],[TopicID]], tbl_TOPIC[TopicID], tbl_TOPIC[Subject], "")</f>
        <v>QMS</v>
      </c>
      <c r="D1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QMS-T12-02-01</v>
      </c>
      <c r="E191" s="22">
        <f>ROW()</f>
        <v>191</v>
      </c>
      <c r="F191" s="22" t="s">
        <v>1051</v>
      </c>
      <c r="G191" s="22" t="str">
        <f>_xlfn.XLOOKUP(tbl_CONTENT[[#This Row],[Topic]], tbl_TOPIC[Topic], tbl_TOPIC[TopicID], "")</f>
        <v>QMS-1-02</v>
      </c>
      <c r="H191" s="22" cm="1">
        <f t="array" ref="H191">SUM((tbl_CONTENT[[#This Row],[TopicID]]=INDEX(tbl_CONTENT[TopicID],1):tbl_CONTENT[[#This Row],[TopicID]])*1)</f>
        <v>1</v>
      </c>
      <c r="I191" s="22" t="str">
        <f>_xlfn.XLOOKUP(tbl_CONTENT[[#This Row],[Topic]], tbl_TOPIC[Topic], tbl_TOPIC[TopicIndex], "")</f>
        <v>02</v>
      </c>
      <c r="J191" s="22" t="s">
        <v>399</v>
      </c>
      <c r="K191" s="22" t="s">
        <v>413</v>
      </c>
      <c r="L191" s="22" t="s">
        <v>380</v>
      </c>
      <c r="M191" s="22">
        <v>1</v>
      </c>
      <c r="S191" s="35">
        <f>IFERROR(
 (1.907*EXP(1)^(-0.5*tbl_CONTENT[[#This Row],[Layer]])) *
 ((tbl_CONTENT[[#This Row],[RelInt]]-1)^(2.5)*4^(1-2.5)+1) +
 ((tbl_CONTENT[[#This Row],[Comp]]-1)^(2.5)*4^(1-2.5)+1)*(0.5*((tbl_CONTENT[[#This Row],[RelInt]]-1)/4)^(2.5)+1),
 0
)</f>
        <v>0</v>
      </c>
      <c r="T191" s="35">
        <f>IFERROR(
 (1.907*EXP(1)^(-0.5*VALUE(tbl_CONTENT[[#This Row],[Layer]]))) *
 ((VALUE(tbl_CONTENT[[#This Row],[RelId]])-1)^(2.5)*4^(1-2.5)+1) +
 ((VALUE(tbl_CONTENT[[#This Row],[Comp]])-1)^(2.5)*4^(1-2.5)+1)*(0.5*((VALUE(tbl_CONTENT[[#This Row],[RelId]])-1)/4)^(2.5)+1),
 0
)</f>
        <v>0</v>
      </c>
      <c r="W191" s="22" t="str">
        <f>IFERROR(
  IF(_xlfn.XLOOKUP(tbl_CONTENT[[#This Row],[Topic]], tbl_TOPIC[Topic], tbl_TOPIC[ParentTopic])="", "",
       _xlfn.XLOOKUP(tbl_CONTENT[[#This Row],[Topic]], tbl_TOPIC[Topic], tbl_TOPIC[ParentTopic])),
  ""
)</f>
        <v>Symmetrie in Quantenmechanik</v>
      </c>
      <c r="X191" s="22" t="str">
        <f>IFERROR(
  IF(_xlfn.XLOOKUP(tbl_CONTENT[[#This Row],[Topic]], tbl_TOPIC[Topic], tbl_TOPIC[TopicPath])="", "",
       _xlfn.XLOOKUP(tbl_CONTENT[[#This Row],[Topic]], tbl_TOPIC[Topic], tbl_TOPIC[TopicPath])),
  ""
)</f>
        <v>Symmetrie in Quantenmechanik/Raum Translation</v>
      </c>
    </row>
    <row r="192" spans="3:24" ht="34" customHeight="1" x14ac:dyDescent="0.2">
      <c r="C192" s="22" t="str">
        <f>_xlfn.XLOOKUP(tbl_CONTENT[[#This Row],[TopicID]], tbl_TOPIC[TopicID], tbl_TOPIC[Subject], "")</f>
        <v>QMS</v>
      </c>
      <c r="D1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QMS-T12-02-02</v>
      </c>
      <c r="E192" s="22">
        <f>ROW()</f>
        <v>192</v>
      </c>
      <c r="F192" s="22" t="s">
        <v>1051</v>
      </c>
      <c r="G192" s="22" t="str">
        <f>_xlfn.XLOOKUP(tbl_CONTENT[[#This Row],[Topic]], tbl_TOPIC[Topic], tbl_TOPIC[TopicID], "")</f>
        <v>QMS-1-02</v>
      </c>
      <c r="H192" s="22" cm="1">
        <f t="array" ref="H192">SUM((tbl_CONTENT[[#This Row],[TopicID]]=INDEX(tbl_CONTENT[TopicID],1):tbl_CONTENT[[#This Row],[TopicID]])*1)</f>
        <v>2</v>
      </c>
      <c r="I192" s="22" t="str">
        <f>_xlfn.XLOOKUP(tbl_CONTENT[[#This Row],[Topic]], tbl_TOPIC[Topic], tbl_TOPIC[TopicIndex], "")</f>
        <v>02</v>
      </c>
      <c r="J192" s="22" t="s">
        <v>399</v>
      </c>
      <c r="K192" s="22" t="s">
        <v>399</v>
      </c>
      <c r="L192" s="22" t="s">
        <v>152</v>
      </c>
      <c r="M192" s="22">
        <v>1</v>
      </c>
      <c r="S192" s="35">
        <f>IFERROR(
 (1.907*EXP(1)^(-0.5*tbl_CONTENT[[#This Row],[Layer]])) *
 ((tbl_CONTENT[[#This Row],[RelInt]]-1)^(2.5)*4^(1-2.5)+1) +
 ((tbl_CONTENT[[#This Row],[Comp]]-1)^(2.5)*4^(1-2.5)+1)*(0.5*((tbl_CONTENT[[#This Row],[RelInt]]-1)/4)^(2.5)+1),
 0
)</f>
        <v>0</v>
      </c>
      <c r="T192" s="35">
        <f>IFERROR(
 (1.907*EXP(1)^(-0.5*VALUE(tbl_CONTENT[[#This Row],[Layer]]))) *
 ((VALUE(tbl_CONTENT[[#This Row],[RelId]])-1)^(2.5)*4^(1-2.5)+1) +
 ((VALUE(tbl_CONTENT[[#This Row],[Comp]])-1)^(2.5)*4^(1-2.5)+1)*(0.5*((VALUE(tbl_CONTENT[[#This Row],[RelId]])-1)/4)^(2.5)+1),
 0
)</f>
        <v>0</v>
      </c>
      <c r="W192" s="22" t="str">
        <f>IFERROR(
  IF(_xlfn.XLOOKUP(tbl_CONTENT[[#This Row],[Topic]], tbl_TOPIC[Topic], tbl_TOPIC[ParentTopic])="", "",
       _xlfn.XLOOKUP(tbl_CONTENT[[#This Row],[Topic]], tbl_TOPIC[Topic], tbl_TOPIC[ParentTopic])),
  ""
)</f>
        <v>Symmetrie in Quantenmechanik</v>
      </c>
      <c r="X192" s="22" t="str">
        <f>IFERROR(
  IF(_xlfn.XLOOKUP(tbl_CONTENT[[#This Row],[Topic]], tbl_TOPIC[Topic], tbl_TOPIC[TopicPath])="", "",
       _xlfn.XLOOKUP(tbl_CONTENT[[#This Row],[Topic]], tbl_TOPIC[Topic], tbl_TOPIC[TopicPath])),
  ""
)</f>
        <v>Symmetrie in Quantenmechanik/Raum Translation</v>
      </c>
    </row>
    <row r="193" spans="3:24" ht="34" customHeight="1" x14ac:dyDescent="0.2">
      <c r="C193" s="22" t="str">
        <f>_xlfn.XLOOKUP(tbl_CONTENT[[#This Row],[TopicID]], tbl_TOPIC[TopicID], tbl_TOPIC[Subject], "")</f>
        <v>QMS</v>
      </c>
      <c r="D1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QMS-T12-02-03</v>
      </c>
      <c r="E193" s="22">
        <f>ROW()</f>
        <v>193</v>
      </c>
      <c r="F193" s="22" t="s">
        <v>1051</v>
      </c>
      <c r="G193" s="22" t="str">
        <f>_xlfn.XLOOKUP(tbl_CONTENT[[#This Row],[Topic]], tbl_TOPIC[Topic], tbl_TOPIC[TopicID], "")</f>
        <v>QMS-1-02</v>
      </c>
      <c r="H193" s="22" cm="1">
        <f t="array" ref="H193">SUM((tbl_CONTENT[[#This Row],[TopicID]]=INDEX(tbl_CONTENT[TopicID],1):tbl_CONTENT[[#This Row],[TopicID]])*1)</f>
        <v>3</v>
      </c>
      <c r="I193" s="22" t="str">
        <f>_xlfn.XLOOKUP(tbl_CONTENT[[#This Row],[Topic]], tbl_TOPIC[Topic], tbl_TOPIC[TopicIndex], "")</f>
        <v>02</v>
      </c>
      <c r="J193" s="22" t="s">
        <v>399</v>
      </c>
      <c r="K193" s="22" t="s">
        <v>414</v>
      </c>
      <c r="L193" s="22" t="s">
        <v>152</v>
      </c>
      <c r="M193" s="22">
        <v>1</v>
      </c>
      <c r="S193" s="35">
        <f>IFERROR(
 (1.907*EXP(1)^(-0.5*tbl_CONTENT[[#This Row],[Layer]])) *
 ((tbl_CONTENT[[#This Row],[RelInt]]-1)^(2.5)*4^(1-2.5)+1) +
 ((tbl_CONTENT[[#This Row],[Comp]]-1)^(2.5)*4^(1-2.5)+1)*(0.5*((tbl_CONTENT[[#This Row],[RelInt]]-1)/4)^(2.5)+1),
 0
)</f>
        <v>0</v>
      </c>
      <c r="T193" s="35">
        <f>IFERROR(
 (1.907*EXP(1)^(-0.5*VALUE(tbl_CONTENT[[#This Row],[Layer]]))) *
 ((VALUE(tbl_CONTENT[[#This Row],[RelId]])-1)^(2.5)*4^(1-2.5)+1) +
 ((VALUE(tbl_CONTENT[[#This Row],[Comp]])-1)^(2.5)*4^(1-2.5)+1)*(0.5*((VALUE(tbl_CONTENT[[#This Row],[RelId]])-1)/4)^(2.5)+1),
 0
)</f>
        <v>0</v>
      </c>
      <c r="W193" s="22" t="str">
        <f>IFERROR(
  IF(_xlfn.XLOOKUP(tbl_CONTENT[[#This Row],[Topic]], tbl_TOPIC[Topic], tbl_TOPIC[ParentTopic])="", "",
       _xlfn.XLOOKUP(tbl_CONTENT[[#This Row],[Topic]], tbl_TOPIC[Topic], tbl_TOPIC[ParentTopic])),
  ""
)</f>
        <v>Symmetrie in Quantenmechanik</v>
      </c>
      <c r="X193" s="22" t="str">
        <f>IFERROR(
  IF(_xlfn.XLOOKUP(tbl_CONTENT[[#This Row],[Topic]], tbl_TOPIC[Topic], tbl_TOPIC[TopicPath])="", "",
       _xlfn.XLOOKUP(tbl_CONTENT[[#This Row],[Topic]], tbl_TOPIC[Topic], tbl_TOPIC[TopicPath])),
  ""
)</f>
        <v>Symmetrie in Quantenmechanik/Raum Translation</v>
      </c>
    </row>
    <row r="194" spans="3:24" ht="34" customHeight="1" x14ac:dyDescent="0.2">
      <c r="C194" s="22" t="str">
        <f>_xlfn.XLOOKUP(tbl_CONTENT[[#This Row],[TopicID]], tbl_TOPIC[TopicID], tbl_TOPIC[Subject], "")</f>
        <v>QMS</v>
      </c>
      <c r="D1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QMS-T12-02-04</v>
      </c>
      <c r="E194" s="22">
        <f>ROW()</f>
        <v>194</v>
      </c>
      <c r="F194" s="22" t="s">
        <v>1051</v>
      </c>
      <c r="G194" s="22" t="str">
        <f>_xlfn.XLOOKUP(tbl_CONTENT[[#This Row],[Topic]], tbl_TOPIC[Topic], tbl_TOPIC[TopicID], "")</f>
        <v>QMS-1-02</v>
      </c>
      <c r="H194" s="22" cm="1">
        <f t="array" ref="H194">SUM((tbl_CONTENT[[#This Row],[TopicID]]=INDEX(tbl_CONTENT[TopicID],1):tbl_CONTENT[[#This Row],[TopicID]])*1)</f>
        <v>4</v>
      </c>
      <c r="I194" s="22" t="str">
        <f>_xlfn.XLOOKUP(tbl_CONTENT[[#This Row],[Topic]], tbl_TOPIC[Topic], tbl_TOPIC[TopicIndex], "")</f>
        <v>02</v>
      </c>
      <c r="J194" s="22" t="s">
        <v>399</v>
      </c>
      <c r="K194" s="22" t="s">
        <v>416</v>
      </c>
      <c r="L194" s="22" t="s">
        <v>152</v>
      </c>
      <c r="M194" s="22">
        <v>1</v>
      </c>
      <c r="S194" s="35">
        <f>IFERROR(
 (1.907*EXP(1)^(-0.5*tbl_CONTENT[[#This Row],[Layer]])) *
 ((tbl_CONTENT[[#This Row],[RelInt]]-1)^(2.5)*4^(1-2.5)+1) +
 ((tbl_CONTENT[[#This Row],[Comp]]-1)^(2.5)*4^(1-2.5)+1)*(0.5*((tbl_CONTENT[[#This Row],[RelInt]]-1)/4)^(2.5)+1),
 0
)</f>
        <v>0</v>
      </c>
      <c r="T194" s="35">
        <f>IFERROR(
 (1.907*EXP(1)^(-0.5*VALUE(tbl_CONTENT[[#This Row],[Layer]]))) *
 ((VALUE(tbl_CONTENT[[#This Row],[RelId]])-1)^(2.5)*4^(1-2.5)+1) +
 ((VALUE(tbl_CONTENT[[#This Row],[Comp]])-1)^(2.5)*4^(1-2.5)+1)*(0.5*((VALUE(tbl_CONTENT[[#This Row],[RelId]])-1)/4)^(2.5)+1),
 0
)</f>
        <v>0</v>
      </c>
      <c r="W194" s="22" t="str">
        <f>IFERROR(
  IF(_xlfn.XLOOKUP(tbl_CONTENT[[#This Row],[Topic]], tbl_TOPIC[Topic], tbl_TOPIC[ParentTopic])="", "",
       _xlfn.XLOOKUP(tbl_CONTENT[[#This Row],[Topic]], tbl_TOPIC[Topic], tbl_TOPIC[ParentTopic])),
  ""
)</f>
        <v>Symmetrie in Quantenmechanik</v>
      </c>
      <c r="X194" s="22" t="str">
        <f>IFERROR(
  IF(_xlfn.XLOOKUP(tbl_CONTENT[[#This Row],[Topic]], tbl_TOPIC[Topic], tbl_TOPIC[TopicPath])="", "",
       _xlfn.XLOOKUP(tbl_CONTENT[[#This Row],[Topic]], tbl_TOPIC[Topic], tbl_TOPIC[TopicPath])),
  ""
)</f>
        <v>Symmetrie in Quantenmechanik/Raum Translation</v>
      </c>
    </row>
    <row r="195" spans="3:24" ht="64" customHeight="1" x14ac:dyDescent="0.2">
      <c r="C195" s="22" t="str">
        <f>_xlfn.XLOOKUP(tbl_CONTENT[[#This Row],[TopicID]], tbl_TOPIC[TopicID], tbl_TOPIC[Subject], "")</f>
        <v>QMS</v>
      </c>
      <c r="D1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QMS-T12-02-05</v>
      </c>
      <c r="E195" s="22">
        <f>ROW()</f>
        <v>195</v>
      </c>
      <c r="F195" s="22" t="s">
        <v>1051</v>
      </c>
      <c r="G195" s="22" t="str">
        <f>_xlfn.XLOOKUP(tbl_CONTENT[[#This Row],[Topic]], tbl_TOPIC[Topic], tbl_TOPIC[TopicID], "")</f>
        <v>QMS-1-02</v>
      </c>
      <c r="H195" s="22" cm="1">
        <f t="array" ref="H195">SUM((tbl_CONTENT[[#This Row],[TopicID]]=INDEX(tbl_CONTENT[TopicID],1):tbl_CONTENT[[#This Row],[TopicID]])*1)</f>
        <v>5</v>
      </c>
      <c r="I195" s="22" t="str">
        <f>_xlfn.XLOOKUP(tbl_CONTENT[[#This Row],[Topic]], tbl_TOPIC[Topic], tbl_TOPIC[TopicIndex], "")</f>
        <v>02</v>
      </c>
      <c r="J195" s="22" t="s">
        <v>399</v>
      </c>
      <c r="K195" s="22" t="s">
        <v>417</v>
      </c>
      <c r="L195" s="22" t="s">
        <v>380</v>
      </c>
      <c r="S195" s="35">
        <f>IFERROR(
 (1.907*EXP(1)^(-0.5*tbl_CONTENT[[#This Row],[Layer]])) *
 ((tbl_CONTENT[[#This Row],[RelInt]]-1)^(2.5)*4^(1-2.5)+1) +
 ((tbl_CONTENT[[#This Row],[Comp]]-1)^(2.5)*4^(1-2.5)+1)*(0.5*((tbl_CONTENT[[#This Row],[RelInt]]-1)/4)^(2.5)+1),
 0
)</f>
        <v>0</v>
      </c>
      <c r="T195" s="35">
        <f>IFERROR(
 (1.907*EXP(1)^(-0.5*VALUE(tbl_CONTENT[[#This Row],[Layer]]))) *
 ((VALUE(tbl_CONTENT[[#This Row],[RelId]])-1)^(2.5)*4^(1-2.5)+1) +
 ((VALUE(tbl_CONTENT[[#This Row],[Comp]])-1)^(2.5)*4^(1-2.5)+1)*(0.5*((VALUE(tbl_CONTENT[[#This Row],[RelId]])-1)/4)^(2.5)+1),
 0
)</f>
        <v>0</v>
      </c>
      <c r="W195" s="22" t="str">
        <f>IFERROR(
  IF(_xlfn.XLOOKUP(tbl_CONTENT[[#This Row],[Topic]], tbl_TOPIC[Topic], tbl_TOPIC[ParentTopic])="", "",
       _xlfn.XLOOKUP(tbl_CONTENT[[#This Row],[Topic]], tbl_TOPIC[Topic], tbl_TOPIC[ParentTopic])),
  ""
)</f>
        <v>Symmetrie in Quantenmechanik</v>
      </c>
      <c r="X195" s="22" t="str">
        <f>IFERROR(
  IF(_xlfn.XLOOKUP(tbl_CONTENT[[#This Row],[Topic]], tbl_TOPIC[Topic], tbl_TOPIC[TopicPath])="", "",
       _xlfn.XLOOKUP(tbl_CONTENT[[#This Row],[Topic]], tbl_TOPIC[Topic], tbl_TOPIC[TopicPath])),
  ""
)</f>
        <v>Symmetrie in Quantenmechanik/Raum Translation</v>
      </c>
    </row>
    <row r="196" spans="3:24" ht="48" customHeight="1" x14ac:dyDescent="0.2">
      <c r="C196" s="22" t="str">
        <f>_xlfn.XLOOKUP(tbl_CONTENT[[#This Row],[TopicID]], tbl_TOPIC[TopicID], tbl_TOPIC[Subject], "")</f>
        <v>QMS</v>
      </c>
      <c r="D1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QMS-T12-02-06</v>
      </c>
      <c r="E196" s="22">
        <f>ROW()</f>
        <v>196</v>
      </c>
      <c r="F196" s="22" t="s">
        <v>1051</v>
      </c>
      <c r="G196" s="22" t="str">
        <f>_xlfn.XLOOKUP(tbl_CONTENT[[#This Row],[Topic]], tbl_TOPIC[Topic], tbl_TOPIC[TopicID], "")</f>
        <v>QMS-1-02</v>
      </c>
      <c r="H196" s="22" cm="1">
        <f t="array" ref="H196">SUM((tbl_CONTENT[[#This Row],[TopicID]]=INDEX(tbl_CONTENT[TopicID],1):tbl_CONTENT[[#This Row],[TopicID]])*1)</f>
        <v>6</v>
      </c>
      <c r="I196" s="22" t="str">
        <f>_xlfn.XLOOKUP(tbl_CONTENT[[#This Row],[Topic]], tbl_TOPIC[Topic], tbl_TOPIC[TopicIndex], "")</f>
        <v>02</v>
      </c>
      <c r="J196" s="22" t="s">
        <v>399</v>
      </c>
      <c r="K196" s="22" t="s">
        <v>419</v>
      </c>
      <c r="L196" s="22" t="s">
        <v>151</v>
      </c>
      <c r="M196" s="22">
        <v>1</v>
      </c>
      <c r="S196" s="35">
        <f>IFERROR(
 (1.907*EXP(1)^(-0.5*tbl_CONTENT[[#This Row],[Layer]])) *
 ((tbl_CONTENT[[#This Row],[RelInt]]-1)^(2.5)*4^(1-2.5)+1) +
 ((tbl_CONTENT[[#This Row],[Comp]]-1)^(2.5)*4^(1-2.5)+1)*(0.5*((tbl_CONTENT[[#This Row],[RelInt]]-1)/4)^(2.5)+1),
 0
)</f>
        <v>0</v>
      </c>
      <c r="T196" s="35">
        <f>IFERROR(
 (1.907*EXP(1)^(-0.5*VALUE(tbl_CONTENT[[#This Row],[Layer]]))) *
 ((VALUE(tbl_CONTENT[[#This Row],[RelId]])-1)^(2.5)*4^(1-2.5)+1) +
 ((VALUE(tbl_CONTENT[[#This Row],[Comp]])-1)^(2.5)*4^(1-2.5)+1)*(0.5*((VALUE(tbl_CONTENT[[#This Row],[RelId]])-1)/4)^(2.5)+1),
 0
)</f>
        <v>0</v>
      </c>
      <c r="W196" s="22" t="str">
        <f>IFERROR(
  IF(_xlfn.XLOOKUP(tbl_CONTENT[[#This Row],[Topic]], tbl_TOPIC[Topic], tbl_TOPIC[ParentTopic])="", "",
       _xlfn.XLOOKUP(tbl_CONTENT[[#This Row],[Topic]], tbl_TOPIC[Topic], tbl_TOPIC[ParentTopic])),
  ""
)</f>
        <v>Symmetrie in Quantenmechanik</v>
      </c>
      <c r="X196" s="22" t="str">
        <f>IFERROR(
  IF(_xlfn.XLOOKUP(tbl_CONTENT[[#This Row],[Topic]], tbl_TOPIC[Topic], tbl_TOPIC[TopicPath])="", "",
       _xlfn.XLOOKUP(tbl_CONTENT[[#This Row],[Topic]], tbl_TOPIC[Topic], tbl_TOPIC[TopicPath])),
  ""
)</f>
        <v>Symmetrie in Quantenmechanik/Raum Translation</v>
      </c>
    </row>
    <row r="197" spans="3:24" ht="34" customHeight="1" x14ac:dyDescent="0.2">
      <c r="C197" s="22" t="str">
        <f>_xlfn.XLOOKUP(tbl_CONTENT[[#This Row],[TopicID]], tbl_TOPIC[TopicID], tbl_TOPIC[Subject], "")</f>
        <v>QMS</v>
      </c>
      <c r="D1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QMS-T12-02-07</v>
      </c>
      <c r="E197" s="22">
        <f>ROW()</f>
        <v>197</v>
      </c>
      <c r="F197" s="22" t="s">
        <v>1051</v>
      </c>
      <c r="G197" s="22" t="str">
        <f>_xlfn.XLOOKUP(tbl_CONTENT[[#This Row],[Topic]], tbl_TOPIC[Topic], tbl_TOPIC[TopicID], "")</f>
        <v>QMS-1-02</v>
      </c>
      <c r="H197" s="22" cm="1">
        <f t="array" ref="H197">SUM((tbl_CONTENT[[#This Row],[TopicID]]=INDEX(tbl_CONTENT[TopicID],1):tbl_CONTENT[[#This Row],[TopicID]])*1)</f>
        <v>7</v>
      </c>
      <c r="I197" s="22" t="str">
        <f>_xlfn.XLOOKUP(tbl_CONTENT[[#This Row],[Topic]], tbl_TOPIC[Topic], tbl_TOPIC[TopicIndex], "")</f>
        <v>02</v>
      </c>
      <c r="J197" s="22" t="s">
        <v>399</v>
      </c>
      <c r="K197" s="22" t="s">
        <v>418</v>
      </c>
      <c r="L197" s="22" t="s">
        <v>151</v>
      </c>
      <c r="M197" s="22">
        <v>1</v>
      </c>
      <c r="S197" s="35">
        <f>IFERROR(
 (1.907*EXP(1)^(-0.5*tbl_CONTENT[[#This Row],[Layer]])) *
 ((tbl_CONTENT[[#This Row],[RelInt]]-1)^(2.5)*4^(1-2.5)+1) +
 ((tbl_CONTENT[[#This Row],[Comp]]-1)^(2.5)*4^(1-2.5)+1)*(0.5*((tbl_CONTENT[[#This Row],[RelInt]]-1)/4)^(2.5)+1),
 0
)</f>
        <v>0</v>
      </c>
      <c r="T197" s="35">
        <f>IFERROR(
 (1.907*EXP(1)^(-0.5*VALUE(tbl_CONTENT[[#This Row],[Layer]]))) *
 ((VALUE(tbl_CONTENT[[#This Row],[RelId]])-1)^(2.5)*4^(1-2.5)+1) +
 ((VALUE(tbl_CONTENT[[#This Row],[Comp]])-1)^(2.5)*4^(1-2.5)+1)*(0.5*((VALUE(tbl_CONTENT[[#This Row],[RelId]])-1)/4)^(2.5)+1),
 0
)</f>
        <v>0</v>
      </c>
      <c r="W197" s="22" t="str">
        <f>IFERROR(
  IF(_xlfn.XLOOKUP(tbl_CONTENT[[#This Row],[Topic]], tbl_TOPIC[Topic], tbl_TOPIC[ParentTopic])="", "",
       _xlfn.XLOOKUP(tbl_CONTENT[[#This Row],[Topic]], tbl_TOPIC[Topic], tbl_TOPIC[ParentTopic])),
  ""
)</f>
        <v>Symmetrie in Quantenmechanik</v>
      </c>
      <c r="X197" s="22" t="str">
        <f>IFERROR(
  IF(_xlfn.XLOOKUP(tbl_CONTENT[[#This Row],[Topic]], tbl_TOPIC[Topic], tbl_TOPIC[TopicPath])="", "",
       _xlfn.XLOOKUP(tbl_CONTENT[[#This Row],[Topic]], tbl_TOPIC[Topic], tbl_TOPIC[TopicPath])),
  ""
)</f>
        <v>Symmetrie in Quantenmechanik/Raum Translation</v>
      </c>
    </row>
    <row r="198" spans="3:24" ht="34" customHeight="1" x14ac:dyDescent="0.2">
      <c r="C198" s="22" t="str">
        <f>_xlfn.XLOOKUP(tbl_CONTENT[[#This Row],[TopicID]], tbl_TOPIC[TopicID], tbl_TOPIC[Subject], "")</f>
        <v>QMS</v>
      </c>
      <c r="D1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QMS-T12-02-08</v>
      </c>
      <c r="E198" s="22">
        <f>ROW()</f>
        <v>198</v>
      </c>
      <c r="F198" s="22" t="s">
        <v>1051</v>
      </c>
      <c r="G198" s="22" t="str">
        <f>_xlfn.XLOOKUP(tbl_CONTENT[[#This Row],[Topic]], tbl_TOPIC[Topic], tbl_TOPIC[TopicID], "")</f>
        <v>QMS-1-02</v>
      </c>
      <c r="H198" s="22" cm="1">
        <f t="array" ref="H198">SUM((tbl_CONTENT[[#This Row],[TopicID]]=INDEX(tbl_CONTENT[TopicID],1):tbl_CONTENT[[#This Row],[TopicID]])*1)</f>
        <v>8</v>
      </c>
      <c r="I198" s="22" t="str">
        <f>_xlfn.XLOOKUP(tbl_CONTENT[[#This Row],[Topic]], tbl_TOPIC[Topic], tbl_TOPIC[TopicIndex], "")</f>
        <v>02</v>
      </c>
      <c r="J198" s="22" t="s">
        <v>399</v>
      </c>
      <c r="K198" s="22" t="s">
        <v>420</v>
      </c>
      <c r="L198" s="22" t="s">
        <v>151</v>
      </c>
      <c r="S198" s="35">
        <f>IFERROR(
 (1.907*EXP(1)^(-0.5*tbl_CONTENT[[#This Row],[Layer]])) *
 ((tbl_CONTENT[[#This Row],[RelInt]]-1)^(2.5)*4^(1-2.5)+1) +
 ((tbl_CONTENT[[#This Row],[Comp]]-1)^(2.5)*4^(1-2.5)+1)*(0.5*((tbl_CONTENT[[#This Row],[RelInt]]-1)/4)^(2.5)+1),
 0
)</f>
        <v>0</v>
      </c>
      <c r="T198" s="35">
        <f>IFERROR(
 (1.907*EXP(1)^(-0.5*VALUE(tbl_CONTENT[[#This Row],[Layer]]))) *
 ((VALUE(tbl_CONTENT[[#This Row],[RelId]])-1)^(2.5)*4^(1-2.5)+1) +
 ((VALUE(tbl_CONTENT[[#This Row],[Comp]])-1)^(2.5)*4^(1-2.5)+1)*(0.5*((VALUE(tbl_CONTENT[[#This Row],[RelId]])-1)/4)^(2.5)+1),
 0
)</f>
        <v>0</v>
      </c>
      <c r="W198" s="22" t="str">
        <f>IFERROR(
  IF(_xlfn.XLOOKUP(tbl_CONTENT[[#This Row],[Topic]], tbl_TOPIC[Topic], tbl_TOPIC[ParentTopic])="", "",
       _xlfn.XLOOKUP(tbl_CONTENT[[#This Row],[Topic]], tbl_TOPIC[Topic], tbl_TOPIC[ParentTopic])),
  ""
)</f>
        <v>Symmetrie in Quantenmechanik</v>
      </c>
      <c r="X198" s="22" t="str">
        <f>IFERROR(
  IF(_xlfn.XLOOKUP(tbl_CONTENT[[#This Row],[Topic]], tbl_TOPIC[Topic], tbl_TOPIC[TopicPath])="", "",
       _xlfn.XLOOKUP(tbl_CONTENT[[#This Row],[Topic]], tbl_TOPIC[Topic], tbl_TOPIC[TopicPath])),
  ""
)</f>
        <v>Symmetrie in Quantenmechanik/Raum Translation</v>
      </c>
    </row>
    <row r="199" spans="3:24" ht="34" customHeight="1" x14ac:dyDescent="0.2">
      <c r="C199" s="22" t="str">
        <f>_xlfn.XLOOKUP(tbl_CONTENT[[#This Row],[TopicID]], tbl_TOPIC[TopicID], tbl_TOPIC[Subject], "")</f>
        <v>QMS</v>
      </c>
      <c r="D1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QMS-T12-02-09</v>
      </c>
      <c r="E199" s="22">
        <f>ROW()</f>
        <v>199</v>
      </c>
      <c r="F199" s="22" t="s">
        <v>1051</v>
      </c>
      <c r="G199" s="22" t="str">
        <f>_xlfn.XLOOKUP(tbl_CONTENT[[#This Row],[Topic]], tbl_TOPIC[Topic], tbl_TOPIC[TopicID], "")</f>
        <v>QMS-1-02</v>
      </c>
      <c r="H199" s="22" cm="1">
        <f t="array" ref="H199">SUM((tbl_CONTENT[[#This Row],[TopicID]]=INDEX(tbl_CONTENT[TopicID],1):tbl_CONTENT[[#This Row],[TopicID]])*1)</f>
        <v>9</v>
      </c>
      <c r="I199" s="22" t="str">
        <f>_xlfn.XLOOKUP(tbl_CONTENT[[#This Row],[Topic]], tbl_TOPIC[Topic], tbl_TOPIC[TopicIndex], "")</f>
        <v>02</v>
      </c>
      <c r="J199" s="22" t="s">
        <v>399</v>
      </c>
      <c r="K199" s="22" t="s">
        <v>421</v>
      </c>
      <c r="L199" s="22" t="s">
        <v>380</v>
      </c>
      <c r="M199" s="22">
        <v>1</v>
      </c>
      <c r="S199" s="35">
        <f>IFERROR(
 (1.907*EXP(1)^(-0.5*tbl_CONTENT[[#This Row],[Layer]])) *
 ((tbl_CONTENT[[#This Row],[RelInt]]-1)^(2.5)*4^(1-2.5)+1) +
 ((tbl_CONTENT[[#This Row],[Comp]]-1)^(2.5)*4^(1-2.5)+1)*(0.5*((tbl_CONTENT[[#This Row],[RelInt]]-1)/4)^(2.5)+1),
 0
)</f>
        <v>0</v>
      </c>
      <c r="T199" s="35">
        <f>IFERROR(
 (1.907*EXP(1)^(-0.5*VALUE(tbl_CONTENT[[#This Row],[Layer]]))) *
 ((VALUE(tbl_CONTENT[[#This Row],[RelId]])-1)^(2.5)*4^(1-2.5)+1) +
 ((VALUE(tbl_CONTENT[[#This Row],[Comp]])-1)^(2.5)*4^(1-2.5)+1)*(0.5*((VALUE(tbl_CONTENT[[#This Row],[RelId]])-1)/4)^(2.5)+1),
 0
)</f>
        <v>0</v>
      </c>
      <c r="W199" s="22" t="str">
        <f>IFERROR(
  IF(_xlfn.XLOOKUP(tbl_CONTENT[[#This Row],[Topic]], tbl_TOPIC[Topic], tbl_TOPIC[ParentTopic])="", "",
       _xlfn.XLOOKUP(tbl_CONTENT[[#This Row],[Topic]], tbl_TOPIC[Topic], tbl_TOPIC[ParentTopic])),
  ""
)</f>
        <v>Symmetrie in Quantenmechanik</v>
      </c>
      <c r="X199" s="22" t="str">
        <f>IFERROR(
  IF(_xlfn.XLOOKUP(tbl_CONTENT[[#This Row],[Topic]], tbl_TOPIC[Topic], tbl_TOPIC[TopicPath])="", "",
       _xlfn.XLOOKUP(tbl_CONTENT[[#This Row],[Topic]], tbl_TOPIC[Topic], tbl_TOPIC[TopicPath])),
  ""
)</f>
        <v>Symmetrie in Quantenmechanik/Raum Translation</v>
      </c>
    </row>
    <row r="200" spans="3:24" ht="52" customHeight="1" x14ac:dyDescent="0.2">
      <c r="C200" s="22" t="str">
        <f>_xlfn.XLOOKUP(tbl_CONTENT[[#This Row],[TopicID]], tbl_TOPIC[TopicID], tbl_TOPIC[Subject], "")</f>
        <v>QMS</v>
      </c>
      <c r="D2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QMS-T12-02-10</v>
      </c>
      <c r="E200" s="22">
        <f>ROW()</f>
        <v>200</v>
      </c>
      <c r="F200" s="22" t="s">
        <v>1051</v>
      </c>
      <c r="G200" s="22" t="str">
        <f>_xlfn.XLOOKUP(tbl_CONTENT[[#This Row],[Topic]], tbl_TOPIC[Topic], tbl_TOPIC[TopicID], "")</f>
        <v>QMS-1-02</v>
      </c>
      <c r="H200" s="22" cm="1">
        <f t="array" ref="H200">SUM((tbl_CONTENT[[#This Row],[TopicID]]=INDEX(tbl_CONTENT[TopicID],1):tbl_CONTENT[[#This Row],[TopicID]])*1)</f>
        <v>10</v>
      </c>
      <c r="I200" s="22" t="str">
        <f>_xlfn.XLOOKUP(tbl_CONTENT[[#This Row],[Topic]], tbl_TOPIC[Topic], tbl_TOPIC[TopicIndex], "")</f>
        <v>02</v>
      </c>
      <c r="J200" s="22" t="s">
        <v>399</v>
      </c>
      <c r="K200" s="22" t="s">
        <v>422</v>
      </c>
      <c r="L200" s="22" t="s">
        <v>380</v>
      </c>
      <c r="M200" s="22">
        <v>1</v>
      </c>
      <c r="S200" s="35">
        <f>IFERROR(
 (1.907*EXP(1)^(-0.5*tbl_CONTENT[[#This Row],[Layer]])) *
 ((tbl_CONTENT[[#This Row],[RelInt]]-1)^(2.5)*4^(1-2.5)+1) +
 ((tbl_CONTENT[[#This Row],[Comp]]-1)^(2.5)*4^(1-2.5)+1)*(0.5*((tbl_CONTENT[[#This Row],[RelInt]]-1)/4)^(2.5)+1),
 0
)</f>
        <v>0</v>
      </c>
      <c r="T200" s="35">
        <f>IFERROR(
 (1.907*EXP(1)^(-0.5*VALUE(tbl_CONTENT[[#This Row],[Layer]]))) *
 ((VALUE(tbl_CONTENT[[#This Row],[RelId]])-1)^(2.5)*4^(1-2.5)+1) +
 ((VALUE(tbl_CONTENT[[#This Row],[Comp]])-1)^(2.5)*4^(1-2.5)+1)*(0.5*((VALUE(tbl_CONTENT[[#This Row],[RelId]])-1)/4)^(2.5)+1),
 0
)</f>
        <v>0</v>
      </c>
      <c r="W200" s="22" t="str">
        <f>IFERROR(
  IF(_xlfn.XLOOKUP(tbl_CONTENT[[#This Row],[Topic]], tbl_TOPIC[Topic], tbl_TOPIC[ParentTopic])="", "",
       _xlfn.XLOOKUP(tbl_CONTENT[[#This Row],[Topic]], tbl_TOPIC[Topic], tbl_TOPIC[ParentTopic])),
  ""
)</f>
        <v>Symmetrie in Quantenmechanik</v>
      </c>
      <c r="X200" s="22" t="str">
        <f>IFERROR(
  IF(_xlfn.XLOOKUP(tbl_CONTENT[[#This Row],[Topic]], tbl_TOPIC[Topic], tbl_TOPIC[TopicPath])="", "",
       _xlfn.XLOOKUP(tbl_CONTENT[[#This Row],[Topic]], tbl_TOPIC[Topic], tbl_TOPIC[TopicPath])),
  ""
)</f>
        <v>Symmetrie in Quantenmechanik/Raum Translation</v>
      </c>
    </row>
    <row r="201" spans="3:24" ht="51" x14ac:dyDescent="0.2">
      <c r="C201" s="22" t="str">
        <f>_xlfn.XLOOKUP(tbl_CONTENT[[#This Row],[TopicID]], tbl_TOPIC[TopicID], tbl_TOPIC[Subject], "")</f>
        <v>QMS</v>
      </c>
      <c r="D2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QMS-T12-02-11</v>
      </c>
      <c r="E201" s="22">
        <f>ROW()</f>
        <v>201</v>
      </c>
      <c r="F201" s="22" t="s">
        <v>1051</v>
      </c>
      <c r="G201" s="22" t="str">
        <f>_xlfn.XLOOKUP(tbl_CONTENT[[#This Row],[Topic]], tbl_TOPIC[Topic], tbl_TOPIC[TopicID], "")</f>
        <v>QMS-1-02</v>
      </c>
      <c r="H201" s="22" cm="1">
        <f t="array" ref="H201">SUM((tbl_CONTENT[[#This Row],[TopicID]]=INDEX(tbl_CONTENT[TopicID],1):tbl_CONTENT[[#This Row],[TopicID]])*1)</f>
        <v>11</v>
      </c>
      <c r="I201" s="22" t="str">
        <f>_xlfn.XLOOKUP(tbl_CONTENT[[#This Row],[Topic]], tbl_TOPIC[Topic], tbl_TOPIC[TopicIndex], "")</f>
        <v>02</v>
      </c>
      <c r="J201" s="22" t="s">
        <v>399</v>
      </c>
      <c r="K201" s="22" t="s">
        <v>423</v>
      </c>
      <c r="L201" s="22" t="s">
        <v>380</v>
      </c>
      <c r="M201" s="22">
        <v>1</v>
      </c>
      <c r="S201" s="35">
        <f>IFERROR(
 (1.907*EXP(1)^(-0.5*tbl_CONTENT[[#This Row],[Layer]])) *
 ((tbl_CONTENT[[#This Row],[RelInt]]-1)^(2.5)*4^(1-2.5)+1) +
 ((tbl_CONTENT[[#This Row],[Comp]]-1)^(2.5)*4^(1-2.5)+1)*(0.5*((tbl_CONTENT[[#This Row],[RelInt]]-1)/4)^(2.5)+1),
 0
)</f>
        <v>0</v>
      </c>
      <c r="T201" s="35">
        <f>IFERROR(
 (1.907*EXP(1)^(-0.5*VALUE(tbl_CONTENT[[#This Row],[Layer]]))) *
 ((VALUE(tbl_CONTENT[[#This Row],[RelId]])-1)^(2.5)*4^(1-2.5)+1) +
 ((VALUE(tbl_CONTENT[[#This Row],[Comp]])-1)^(2.5)*4^(1-2.5)+1)*(0.5*((VALUE(tbl_CONTENT[[#This Row],[RelId]])-1)/4)^(2.5)+1),
 0
)</f>
        <v>0</v>
      </c>
      <c r="V201" s="22" t="s">
        <v>415</v>
      </c>
      <c r="W201" s="22" t="str">
        <f>IFERROR(
  IF(_xlfn.XLOOKUP(tbl_CONTENT[[#This Row],[Topic]], tbl_TOPIC[Topic], tbl_TOPIC[ParentTopic])="", "",
       _xlfn.XLOOKUP(tbl_CONTENT[[#This Row],[Topic]], tbl_TOPIC[Topic], tbl_TOPIC[ParentTopic])),
  ""
)</f>
        <v>Symmetrie in Quantenmechanik</v>
      </c>
      <c r="X201" s="22" t="str">
        <f>IFERROR(
  IF(_xlfn.XLOOKUP(tbl_CONTENT[[#This Row],[Topic]], tbl_TOPIC[Topic], tbl_TOPIC[TopicPath])="", "",
       _xlfn.XLOOKUP(tbl_CONTENT[[#This Row],[Topic]], tbl_TOPIC[Topic], tbl_TOPIC[TopicPath])),
  ""
)</f>
        <v>Symmetrie in Quantenmechanik/Raum Translation</v>
      </c>
    </row>
    <row r="202" spans="3:24" ht="17" x14ac:dyDescent="0.2">
      <c r="C202" s="22" t="str">
        <f>_xlfn.XLOOKUP(tbl_CONTENT[[#This Row],[TopicID]], tbl_TOPIC[TopicID], tbl_TOPIC[Subject], "")</f>
        <v>QM</v>
      </c>
      <c r="D2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QM-T12-07-01</v>
      </c>
      <c r="E202" s="22">
        <f>ROW()</f>
        <v>202</v>
      </c>
      <c r="F202" s="22" t="s">
        <v>1051</v>
      </c>
      <c r="G202" s="22" t="str">
        <f>_xlfn.XLOOKUP(tbl_CONTENT[[#This Row],[Topic]], tbl_TOPIC[Topic], tbl_TOPIC[TopicID], "")</f>
        <v>QM-1-07</v>
      </c>
      <c r="H202" s="22" cm="1">
        <f t="array" ref="H202">SUM((tbl_CONTENT[[#This Row],[TopicID]]=INDEX(tbl_CONTENT[TopicID],1):tbl_CONTENT[[#This Row],[TopicID]])*1)</f>
        <v>1</v>
      </c>
      <c r="I202" s="22" t="str">
        <f>_xlfn.XLOOKUP(tbl_CONTENT[[#This Row],[Topic]], tbl_TOPIC[Topic], tbl_TOPIC[TopicIndex], "")</f>
        <v>07</v>
      </c>
      <c r="J202" s="22" t="s">
        <v>368</v>
      </c>
      <c r="K202" s="22" t="s">
        <v>424</v>
      </c>
      <c r="L202" s="22" t="s">
        <v>152</v>
      </c>
      <c r="S202" s="35">
        <f>IFERROR(
 (1.907*EXP(1)^(-0.5*tbl_CONTENT[[#This Row],[Layer]])) *
 ((tbl_CONTENT[[#This Row],[RelInt]]-1)^(2.5)*4^(1-2.5)+1) +
 ((tbl_CONTENT[[#This Row],[Comp]]-1)^(2.5)*4^(1-2.5)+1)*(0.5*((tbl_CONTENT[[#This Row],[RelInt]]-1)/4)^(2.5)+1),
 0
)</f>
        <v>0</v>
      </c>
      <c r="T202" s="35">
        <f>IFERROR(
 (1.907*EXP(1)^(-0.5*VALUE(tbl_CONTENT[[#This Row],[Layer]]))) *
 ((VALUE(tbl_CONTENT[[#This Row],[RelId]])-1)^(2.5)*4^(1-2.5)+1) +
 ((VALUE(tbl_CONTENT[[#This Row],[Comp]])-1)^(2.5)*4^(1-2.5)+1)*(0.5*((VALUE(tbl_CONTENT[[#This Row],[RelId]])-1)/4)^(2.5)+1),
 0
)</f>
        <v>0</v>
      </c>
      <c r="W202" s="22" t="str">
        <f>IFERROR(
  IF(_xlfn.XLOOKUP(tbl_CONTENT[[#This Row],[Topic]], tbl_TOPIC[Topic], tbl_TOPIC[ParentTopic])="", "",
       _xlfn.XLOOKUP(tbl_CONTENT[[#This Row],[Topic]], tbl_TOPIC[Topic], tbl_TOPIC[ParentTopic])),
  ""
)</f>
        <v>Einführung der Schrödinger Gleichung</v>
      </c>
      <c r="X202" s="22" t="str">
        <f>IFERROR(
  IF(_xlfn.XLOOKUP(tbl_CONTENT[[#This Row],[Topic]], tbl_TOPIC[Topic], tbl_TOPIC[TopicPath])="", "",
       _xlfn.XLOOKUP(tbl_CONTENT[[#This Row],[Topic]], tbl_TOPIC[Topic], tbl_TOPIC[TopicPath])),
  ""
)</f>
        <v>Schrödinger Gleichung/Einführung der Schrödinger Gleichung/Operatoren</v>
      </c>
    </row>
    <row r="203" spans="3:24" ht="17" x14ac:dyDescent="0.2">
      <c r="C203" s="22" t="str">
        <f>_xlfn.XLOOKUP(tbl_CONTENT[[#This Row],[TopicID]], tbl_TOPIC[TopicID], tbl_TOPIC[Subject], "")</f>
        <v>QM</v>
      </c>
      <c r="D2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QM-T12-07-02</v>
      </c>
      <c r="E203" s="22">
        <f>ROW()</f>
        <v>203</v>
      </c>
      <c r="F203" s="22" t="s">
        <v>1051</v>
      </c>
      <c r="G203" s="22" t="str">
        <f>_xlfn.XLOOKUP(tbl_CONTENT[[#This Row],[Topic]], tbl_TOPIC[Topic], tbl_TOPIC[TopicID], "")</f>
        <v>QM-1-07</v>
      </c>
      <c r="H203" s="22" cm="1">
        <f t="array" ref="H203">SUM((tbl_CONTENT[[#This Row],[TopicID]]=INDEX(tbl_CONTENT[TopicID],1):tbl_CONTENT[[#This Row],[TopicID]])*1)</f>
        <v>2</v>
      </c>
      <c r="I203" s="22" t="str">
        <f>_xlfn.XLOOKUP(tbl_CONTENT[[#This Row],[Topic]], tbl_TOPIC[Topic], tbl_TOPIC[TopicIndex], "")</f>
        <v>07</v>
      </c>
      <c r="J203" s="22" t="s">
        <v>368</v>
      </c>
      <c r="K203" s="22" t="s">
        <v>425</v>
      </c>
      <c r="L203" s="22" t="s">
        <v>179</v>
      </c>
      <c r="S203" s="35">
        <f>IFERROR(
 (1.907*EXP(1)^(-0.5*tbl_CONTENT[[#This Row],[Layer]])) *
 ((tbl_CONTENT[[#This Row],[RelInt]]-1)^(2.5)*4^(1-2.5)+1) +
 ((tbl_CONTENT[[#This Row],[Comp]]-1)^(2.5)*4^(1-2.5)+1)*(0.5*((tbl_CONTENT[[#This Row],[RelInt]]-1)/4)^(2.5)+1),
 0
)</f>
        <v>0</v>
      </c>
      <c r="T203" s="35">
        <f>IFERROR(
 (1.907*EXP(1)^(-0.5*VALUE(tbl_CONTENT[[#This Row],[Layer]]))) *
 ((VALUE(tbl_CONTENT[[#This Row],[RelId]])-1)^(2.5)*4^(1-2.5)+1) +
 ((VALUE(tbl_CONTENT[[#This Row],[Comp]])-1)^(2.5)*4^(1-2.5)+1)*(0.5*((VALUE(tbl_CONTENT[[#This Row],[RelId]])-1)/4)^(2.5)+1),
 0
)</f>
        <v>0</v>
      </c>
      <c r="W203" s="22" t="str">
        <f>IFERROR(
  IF(_xlfn.XLOOKUP(tbl_CONTENT[[#This Row],[Topic]], tbl_TOPIC[Topic], tbl_TOPIC[ParentTopic])="", "",
       _xlfn.XLOOKUP(tbl_CONTENT[[#This Row],[Topic]], tbl_TOPIC[Topic], tbl_TOPIC[ParentTopic])),
  ""
)</f>
        <v>Einführung der Schrödinger Gleichung</v>
      </c>
      <c r="X203" s="22" t="str">
        <f>IFERROR(
  IF(_xlfn.XLOOKUP(tbl_CONTENT[[#This Row],[Topic]], tbl_TOPIC[Topic], tbl_TOPIC[TopicPath])="", "",
       _xlfn.XLOOKUP(tbl_CONTENT[[#This Row],[Topic]], tbl_TOPIC[Topic], tbl_TOPIC[TopicPath])),
  ""
)</f>
        <v>Schrödinger Gleichung/Einführung der Schrödinger Gleichung/Operatoren</v>
      </c>
    </row>
    <row r="204" spans="3:24" ht="17" x14ac:dyDescent="0.2">
      <c r="C204" s="22" t="str">
        <f>_xlfn.XLOOKUP(tbl_CONTENT[[#This Row],[TopicID]], tbl_TOPIC[TopicID], tbl_TOPIC[Subject], "")</f>
        <v>QM</v>
      </c>
      <c r="D2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QM-T12-07-03</v>
      </c>
      <c r="E204" s="22">
        <f>ROW()</f>
        <v>204</v>
      </c>
      <c r="F204" s="22" t="s">
        <v>1051</v>
      </c>
      <c r="G204" s="22" t="str">
        <f>_xlfn.XLOOKUP(tbl_CONTENT[[#This Row],[Topic]], tbl_TOPIC[Topic], tbl_TOPIC[TopicID], "")</f>
        <v>QM-1-07</v>
      </c>
      <c r="H204" s="22" cm="1">
        <f t="array" ref="H204">SUM((tbl_CONTENT[[#This Row],[TopicID]]=INDEX(tbl_CONTENT[TopicID],1):tbl_CONTENT[[#This Row],[TopicID]])*1)</f>
        <v>3</v>
      </c>
      <c r="I204" s="22" t="str">
        <f>_xlfn.XLOOKUP(tbl_CONTENT[[#This Row],[Topic]], tbl_TOPIC[Topic], tbl_TOPIC[TopicIndex], "")</f>
        <v>07</v>
      </c>
      <c r="J204" s="22" t="s">
        <v>368</v>
      </c>
      <c r="K204" s="22" t="s">
        <v>426</v>
      </c>
      <c r="L204" s="22" t="s">
        <v>152</v>
      </c>
      <c r="S204" s="35">
        <f>IFERROR(
 (1.907*EXP(1)^(-0.5*tbl_CONTENT[[#This Row],[Layer]])) *
 ((tbl_CONTENT[[#This Row],[RelInt]]-1)^(2.5)*4^(1-2.5)+1) +
 ((tbl_CONTENT[[#This Row],[Comp]]-1)^(2.5)*4^(1-2.5)+1)*(0.5*((tbl_CONTENT[[#This Row],[RelInt]]-1)/4)^(2.5)+1),
 0
)</f>
        <v>0</v>
      </c>
      <c r="T204" s="35">
        <f>IFERROR(
 (1.907*EXP(1)^(-0.5*VALUE(tbl_CONTENT[[#This Row],[Layer]]))) *
 ((VALUE(tbl_CONTENT[[#This Row],[RelId]])-1)^(2.5)*4^(1-2.5)+1) +
 ((VALUE(tbl_CONTENT[[#This Row],[Comp]])-1)^(2.5)*4^(1-2.5)+1)*(0.5*((VALUE(tbl_CONTENT[[#This Row],[RelId]])-1)/4)^(2.5)+1),
 0
)</f>
        <v>0</v>
      </c>
      <c r="W204" s="22" t="str">
        <f>IFERROR(
  IF(_xlfn.XLOOKUP(tbl_CONTENT[[#This Row],[Topic]], tbl_TOPIC[Topic], tbl_TOPIC[ParentTopic])="", "",
       _xlfn.XLOOKUP(tbl_CONTENT[[#This Row],[Topic]], tbl_TOPIC[Topic], tbl_TOPIC[ParentTopic])),
  ""
)</f>
        <v>Einführung der Schrödinger Gleichung</v>
      </c>
      <c r="X204" s="22" t="str">
        <f>IFERROR(
  IF(_xlfn.XLOOKUP(tbl_CONTENT[[#This Row],[Topic]], tbl_TOPIC[Topic], tbl_TOPIC[TopicPath])="", "",
       _xlfn.XLOOKUP(tbl_CONTENT[[#This Row],[Topic]], tbl_TOPIC[Topic], tbl_TOPIC[TopicPath])),
  ""
)</f>
        <v>Schrödinger Gleichung/Einführung der Schrödinger Gleichung/Operatoren</v>
      </c>
    </row>
    <row r="205" spans="3:24" ht="17" x14ac:dyDescent="0.2">
      <c r="C205" s="22" t="str">
        <f>_xlfn.XLOOKUP(tbl_CONTENT[[#This Row],[TopicID]], tbl_TOPIC[TopicID], tbl_TOPIC[Subject], "")</f>
        <v>QM</v>
      </c>
      <c r="D2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QM-T12-07-04</v>
      </c>
      <c r="E205" s="22">
        <f>ROW()</f>
        <v>205</v>
      </c>
      <c r="F205" s="22" t="s">
        <v>1051</v>
      </c>
      <c r="G205" s="22" t="str">
        <f>_xlfn.XLOOKUP(tbl_CONTENT[[#This Row],[Topic]], tbl_TOPIC[Topic], tbl_TOPIC[TopicID], "")</f>
        <v>QM-1-07</v>
      </c>
      <c r="H205" s="22" cm="1">
        <f t="array" ref="H205">SUM((tbl_CONTENT[[#This Row],[TopicID]]=INDEX(tbl_CONTENT[TopicID],1):tbl_CONTENT[[#This Row],[TopicID]])*1)</f>
        <v>4</v>
      </c>
      <c r="I205" s="22" t="str">
        <f>_xlfn.XLOOKUP(tbl_CONTENT[[#This Row],[Topic]], tbl_TOPIC[Topic], tbl_TOPIC[TopicIndex], "")</f>
        <v>07</v>
      </c>
      <c r="J205" s="22" t="s">
        <v>368</v>
      </c>
      <c r="K205" s="22" t="s">
        <v>427</v>
      </c>
      <c r="L205" s="22" t="s">
        <v>147</v>
      </c>
      <c r="S205" s="35">
        <f>IFERROR(
 (1.907*EXP(1)^(-0.5*tbl_CONTENT[[#This Row],[Layer]])) *
 ((tbl_CONTENT[[#This Row],[RelInt]]-1)^(2.5)*4^(1-2.5)+1) +
 ((tbl_CONTENT[[#This Row],[Comp]]-1)^(2.5)*4^(1-2.5)+1)*(0.5*((tbl_CONTENT[[#This Row],[RelInt]]-1)/4)^(2.5)+1),
 0
)</f>
        <v>0</v>
      </c>
      <c r="T205" s="35">
        <f>IFERROR(
 (1.907*EXP(1)^(-0.5*VALUE(tbl_CONTENT[[#This Row],[Layer]]))) *
 ((VALUE(tbl_CONTENT[[#This Row],[RelId]])-1)^(2.5)*4^(1-2.5)+1) +
 ((VALUE(tbl_CONTENT[[#This Row],[Comp]])-1)^(2.5)*4^(1-2.5)+1)*(0.5*((VALUE(tbl_CONTENT[[#This Row],[RelId]])-1)/4)^(2.5)+1),
 0
)</f>
        <v>0</v>
      </c>
      <c r="W205" s="22" t="str">
        <f>IFERROR(
  IF(_xlfn.XLOOKUP(tbl_CONTENT[[#This Row],[Topic]], tbl_TOPIC[Topic], tbl_TOPIC[ParentTopic])="", "",
       _xlfn.XLOOKUP(tbl_CONTENT[[#This Row],[Topic]], tbl_TOPIC[Topic], tbl_TOPIC[ParentTopic])),
  ""
)</f>
        <v>Einführung der Schrödinger Gleichung</v>
      </c>
      <c r="X205" s="22" t="str">
        <f>IFERROR(
  IF(_xlfn.XLOOKUP(tbl_CONTENT[[#This Row],[Topic]], tbl_TOPIC[Topic], tbl_TOPIC[TopicPath])="", "",
       _xlfn.XLOOKUP(tbl_CONTENT[[#This Row],[Topic]], tbl_TOPIC[Topic], tbl_TOPIC[TopicPath])),
  ""
)</f>
        <v>Schrödinger Gleichung/Einführung der Schrödinger Gleichung/Operatoren</v>
      </c>
    </row>
    <row r="206" spans="3:24" ht="17" x14ac:dyDescent="0.2">
      <c r="C206" s="22" t="str">
        <f>_xlfn.XLOOKUP(tbl_CONTENT[[#This Row],[TopicID]], tbl_TOPIC[TopicID], tbl_TOPIC[Subject], "")</f>
        <v>QM</v>
      </c>
      <c r="D2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QM-T12-07-05</v>
      </c>
      <c r="E206" s="22">
        <f>ROW()</f>
        <v>206</v>
      </c>
      <c r="F206" s="22" t="s">
        <v>1051</v>
      </c>
      <c r="G206" s="22" t="str">
        <f>_xlfn.XLOOKUP(tbl_CONTENT[[#This Row],[Topic]], tbl_TOPIC[Topic], tbl_TOPIC[TopicID], "")</f>
        <v>QM-1-07</v>
      </c>
      <c r="H206" s="22" cm="1">
        <f t="array" ref="H206">SUM((tbl_CONTENT[[#This Row],[TopicID]]=INDEX(tbl_CONTENT[TopicID],1):tbl_CONTENT[[#This Row],[TopicID]])*1)</f>
        <v>5</v>
      </c>
      <c r="I206" s="22" t="str">
        <f>_xlfn.XLOOKUP(tbl_CONTENT[[#This Row],[Topic]], tbl_TOPIC[Topic], tbl_TOPIC[TopicIndex], "")</f>
        <v>07</v>
      </c>
      <c r="J206" s="22" t="s">
        <v>368</v>
      </c>
      <c r="K206" s="22" t="s">
        <v>428</v>
      </c>
      <c r="L206" s="22" t="s">
        <v>152</v>
      </c>
      <c r="S206" s="35">
        <f>IFERROR(
 (1.907*EXP(1)^(-0.5*tbl_CONTENT[[#This Row],[Layer]])) *
 ((tbl_CONTENT[[#This Row],[RelInt]]-1)^(2.5)*4^(1-2.5)+1) +
 ((tbl_CONTENT[[#This Row],[Comp]]-1)^(2.5)*4^(1-2.5)+1)*(0.5*((tbl_CONTENT[[#This Row],[RelInt]]-1)/4)^(2.5)+1),
 0
)</f>
        <v>0</v>
      </c>
      <c r="T206" s="35">
        <f>IFERROR(
 (1.907*EXP(1)^(-0.5*VALUE(tbl_CONTENT[[#This Row],[Layer]]))) *
 ((VALUE(tbl_CONTENT[[#This Row],[RelId]])-1)^(2.5)*4^(1-2.5)+1) +
 ((VALUE(tbl_CONTENT[[#This Row],[Comp]])-1)^(2.5)*4^(1-2.5)+1)*(0.5*((VALUE(tbl_CONTENT[[#This Row],[RelId]])-1)/4)^(2.5)+1),
 0
)</f>
        <v>0</v>
      </c>
      <c r="W206" s="22" t="str">
        <f>IFERROR(
  IF(_xlfn.XLOOKUP(tbl_CONTENT[[#This Row],[Topic]], tbl_TOPIC[Topic], tbl_TOPIC[ParentTopic])="", "",
       _xlfn.XLOOKUP(tbl_CONTENT[[#This Row],[Topic]], tbl_TOPIC[Topic], tbl_TOPIC[ParentTopic])),
  ""
)</f>
        <v>Einführung der Schrödinger Gleichung</v>
      </c>
      <c r="X206" s="22" t="str">
        <f>IFERROR(
  IF(_xlfn.XLOOKUP(tbl_CONTENT[[#This Row],[Topic]], tbl_TOPIC[Topic], tbl_TOPIC[TopicPath])="", "",
       _xlfn.XLOOKUP(tbl_CONTENT[[#This Row],[Topic]], tbl_TOPIC[Topic], tbl_TOPIC[TopicPath])),
  ""
)</f>
        <v>Schrödinger Gleichung/Einführung der Schrödinger Gleichung/Operatoren</v>
      </c>
    </row>
    <row r="207" spans="3:24" ht="17" x14ac:dyDescent="0.2">
      <c r="C207" s="22" t="str">
        <f>_xlfn.XLOOKUP(tbl_CONTENT[[#This Row],[TopicID]], tbl_TOPIC[TopicID], tbl_TOPIC[Subject], "")</f>
        <v>QM</v>
      </c>
      <c r="D2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QM-T12-07-06</v>
      </c>
      <c r="E207" s="22">
        <f>ROW()</f>
        <v>207</v>
      </c>
      <c r="F207" s="22" t="s">
        <v>1051</v>
      </c>
      <c r="G207" s="22" t="str">
        <f>_xlfn.XLOOKUP(tbl_CONTENT[[#This Row],[Topic]], tbl_TOPIC[Topic], tbl_TOPIC[TopicID], "")</f>
        <v>QM-1-07</v>
      </c>
      <c r="H207" s="22" cm="1">
        <f t="array" ref="H207">SUM((tbl_CONTENT[[#This Row],[TopicID]]=INDEX(tbl_CONTENT[TopicID],1):tbl_CONTENT[[#This Row],[TopicID]])*1)</f>
        <v>6</v>
      </c>
      <c r="I207" s="22" t="str">
        <f>_xlfn.XLOOKUP(tbl_CONTENT[[#This Row],[Topic]], tbl_TOPIC[Topic], tbl_TOPIC[TopicIndex], "")</f>
        <v>07</v>
      </c>
      <c r="J207" s="22" t="s">
        <v>368</v>
      </c>
      <c r="K207" s="22" t="s">
        <v>429</v>
      </c>
      <c r="L207" s="22" t="s">
        <v>152</v>
      </c>
      <c r="S207" s="35">
        <f>IFERROR(
 (1.907*EXP(1)^(-0.5*tbl_CONTENT[[#This Row],[Layer]])) *
 ((tbl_CONTENT[[#This Row],[RelInt]]-1)^(2.5)*4^(1-2.5)+1) +
 ((tbl_CONTENT[[#This Row],[Comp]]-1)^(2.5)*4^(1-2.5)+1)*(0.5*((tbl_CONTENT[[#This Row],[RelInt]]-1)/4)^(2.5)+1),
 0
)</f>
        <v>0</v>
      </c>
      <c r="T207" s="35">
        <f>IFERROR(
 (1.907*EXP(1)^(-0.5*VALUE(tbl_CONTENT[[#This Row],[Layer]]))) *
 ((VALUE(tbl_CONTENT[[#This Row],[RelId]])-1)^(2.5)*4^(1-2.5)+1) +
 ((VALUE(tbl_CONTENT[[#This Row],[Comp]])-1)^(2.5)*4^(1-2.5)+1)*(0.5*((VALUE(tbl_CONTENT[[#This Row],[RelId]])-1)/4)^(2.5)+1),
 0
)</f>
        <v>0</v>
      </c>
      <c r="W207" s="22" t="str">
        <f>IFERROR(
  IF(_xlfn.XLOOKUP(tbl_CONTENT[[#This Row],[Topic]], tbl_TOPIC[Topic], tbl_TOPIC[ParentTopic])="", "",
       _xlfn.XLOOKUP(tbl_CONTENT[[#This Row],[Topic]], tbl_TOPIC[Topic], tbl_TOPIC[ParentTopic])),
  ""
)</f>
        <v>Einführung der Schrödinger Gleichung</v>
      </c>
      <c r="X207" s="22" t="str">
        <f>IFERROR(
  IF(_xlfn.XLOOKUP(tbl_CONTENT[[#This Row],[Topic]], tbl_TOPIC[Topic], tbl_TOPIC[TopicPath])="", "",
       _xlfn.XLOOKUP(tbl_CONTENT[[#This Row],[Topic]], tbl_TOPIC[Topic], tbl_TOPIC[TopicPath])),
  ""
)</f>
        <v>Schrödinger Gleichung/Einführung der Schrödinger Gleichung/Operatoren</v>
      </c>
    </row>
    <row r="208" spans="3:24" ht="34" x14ac:dyDescent="0.2">
      <c r="C208" s="22" t="str">
        <f>_xlfn.XLOOKUP(tbl_CONTENT[[#This Row],[TopicID]], tbl_TOPIC[TopicID], tbl_TOPIC[Subject], "")</f>
        <v>QM</v>
      </c>
      <c r="D2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QM-T12-08-01</v>
      </c>
      <c r="E208" s="22">
        <f>ROW()</f>
        <v>208</v>
      </c>
      <c r="F208" s="22" t="s">
        <v>1051</v>
      </c>
      <c r="G208" s="22" t="str">
        <f>_xlfn.XLOOKUP(tbl_CONTENT[[#This Row],[Topic]], tbl_TOPIC[Topic], tbl_TOPIC[TopicID], "")</f>
        <v>QM-1-08</v>
      </c>
      <c r="H208" s="22" cm="1">
        <f t="array" ref="H208">SUM((tbl_CONTENT[[#This Row],[TopicID]]=INDEX(tbl_CONTENT[TopicID],1):tbl_CONTENT[[#This Row],[TopicID]])*1)</f>
        <v>1</v>
      </c>
      <c r="I208" s="22" t="str">
        <f>_xlfn.XLOOKUP(tbl_CONTENT[[#This Row],[Topic]], tbl_TOPIC[Topic], tbl_TOPIC[TopicIndex], "")</f>
        <v>08</v>
      </c>
      <c r="J208" s="22" t="s">
        <v>369</v>
      </c>
      <c r="K208" s="22" t="s">
        <v>433</v>
      </c>
      <c r="L208" s="22" t="s">
        <v>152</v>
      </c>
      <c r="M208" s="22">
        <v>1</v>
      </c>
      <c r="S208" s="35">
        <f>IFERROR(
 (1.907*EXP(1)^(-0.5*tbl_CONTENT[[#This Row],[Layer]])) *
 ((tbl_CONTENT[[#This Row],[RelInt]]-1)^(2.5)*4^(1-2.5)+1) +
 ((tbl_CONTENT[[#This Row],[Comp]]-1)^(2.5)*4^(1-2.5)+1)*(0.5*((tbl_CONTENT[[#This Row],[RelInt]]-1)/4)^(2.5)+1),
 0
)</f>
        <v>0</v>
      </c>
      <c r="T208" s="35">
        <f>IFERROR(
 (1.907*EXP(1)^(-0.5*VALUE(tbl_CONTENT[[#This Row],[Layer]]))) *
 ((VALUE(tbl_CONTENT[[#This Row],[RelId]])-1)^(2.5)*4^(1-2.5)+1) +
 ((VALUE(tbl_CONTENT[[#This Row],[Comp]])-1)^(2.5)*4^(1-2.5)+1)*(0.5*((VALUE(tbl_CONTENT[[#This Row],[RelId]])-1)/4)^(2.5)+1),
 0
)</f>
        <v>0</v>
      </c>
      <c r="W208" s="22" t="str">
        <f>IFERROR(
  IF(_xlfn.XLOOKUP(tbl_CONTENT[[#This Row],[Topic]], tbl_TOPIC[Topic], tbl_TOPIC[ParentTopic])="", "",
       _xlfn.XLOOKUP(tbl_CONTENT[[#This Row],[Topic]], tbl_TOPIC[Topic], tbl_TOPIC[ParentTopic])),
  ""
)</f>
        <v>Einführung der Schrödinger Gleichung</v>
      </c>
      <c r="X208" s="22" t="str">
        <f>IFERROR(
  IF(_xlfn.XLOOKUP(tbl_CONTENT[[#This Row],[Topic]], tbl_TOPIC[Topic], tbl_TOPIC[TopicPath])="", "",
       _xlfn.XLOOKUP(tbl_CONTENT[[#This Row],[Topic]], tbl_TOPIC[Topic], tbl_TOPIC[TopicPath])),
  ""
)</f>
        <v>Schrödinger Gleichung/Einführung der Schrödinger Gleichung/Korrespondenz Prinzip</v>
      </c>
    </row>
    <row r="209" spans="3:24" ht="34" x14ac:dyDescent="0.2">
      <c r="C209" s="22" t="str">
        <f>_xlfn.XLOOKUP(tbl_CONTENT[[#This Row],[TopicID]], tbl_TOPIC[TopicID], tbl_TOPIC[Subject], "")</f>
        <v>QM</v>
      </c>
      <c r="D2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QM-T12-08-02</v>
      </c>
      <c r="E209" s="22">
        <f>ROW()</f>
        <v>209</v>
      </c>
      <c r="F209" s="22" t="s">
        <v>1051</v>
      </c>
      <c r="G209" s="22" t="str">
        <f>_xlfn.XLOOKUP(tbl_CONTENT[[#This Row],[Topic]], tbl_TOPIC[Topic], tbl_TOPIC[TopicID], "")</f>
        <v>QM-1-08</v>
      </c>
      <c r="H209" s="22" cm="1">
        <f t="array" ref="H209">SUM((tbl_CONTENT[[#This Row],[TopicID]]=INDEX(tbl_CONTENT[TopicID],1):tbl_CONTENT[[#This Row],[TopicID]])*1)</f>
        <v>2</v>
      </c>
      <c r="I209" s="22" t="str">
        <f>_xlfn.XLOOKUP(tbl_CONTENT[[#This Row],[Topic]], tbl_TOPIC[Topic], tbl_TOPIC[TopicIndex], "")</f>
        <v>08</v>
      </c>
      <c r="J209" s="22" t="s">
        <v>369</v>
      </c>
      <c r="K209" s="22" t="s">
        <v>434</v>
      </c>
      <c r="L209" s="22" t="s">
        <v>152</v>
      </c>
      <c r="M209" s="22">
        <v>1</v>
      </c>
      <c r="S209" s="35">
        <f>IFERROR(
 (1.907*EXP(1)^(-0.5*tbl_CONTENT[[#This Row],[Layer]])) *
 ((tbl_CONTENT[[#This Row],[RelInt]]-1)^(2.5)*4^(1-2.5)+1) +
 ((tbl_CONTENT[[#This Row],[Comp]]-1)^(2.5)*4^(1-2.5)+1)*(0.5*((tbl_CONTENT[[#This Row],[RelInt]]-1)/4)^(2.5)+1),
 0
)</f>
        <v>0</v>
      </c>
      <c r="T209" s="35">
        <f>IFERROR(
 (1.907*EXP(1)^(-0.5*VALUE(tbl_CONTENT[[#This Row],[Layer]]))) *
 ((VALUE(tbl_CONTENT[[#This Row],[RelId]])-1)^(2.5)*4^(1-2.5)+1) +
 ((VALUE(tbl_CONTENT[[#This Row],[Comp]])-1)^(2.5)*4^(1-2.5)+1)*(0.5*((VALUE(tbl_CONTENT[[#This Row],[RelId]])-1)/4)^(2.5)+1),
 0
)</f>
        <v>0</v>
      </c>
      <c r="W209" s="22" t="str">
        <f>IFERROR(
  IF(_xlfn.XLOOKUP(tbl_CONTENT[[#This Row],[Topic]], tbl_TOPIC[Topic], tbl_TOPIC[ParentTopic])="", "",
       _xlfn.XLOOKUP(tbl_CONTENT[[#This Row],[Topic]], tbl_TOPIC[Topic], tbl_TOPIC[ParentTopic])),
  ""
)</f>
        <v>Einführung der Schrödinger Gleichung</v>
      </c>
      <c r="X209" s="22" t="str">
        <f>IFERROR(
  IF(_xlfn.XLOOKUP(tbl_CONTENT[[#This Row],[Topic]], tbl_TOPIC[Topic], tbl_TOPIC[TopicPath])="", "",
       _xlfn.XLOOKUP(tbl_CONTENT[[#This Row],[Topic]], tbl_TOPIC[Topic], tbl_TOPIC[TopicPath])),
  ""
)</f>
        <v>Schrödinger Gleichung/Einführung der Schrödinger Gleichung/Korrespondenz Prinzip</v>
      </c>
    </row>
    <row r="210" spans="3:24" ht="17" x14ac:dyDescent="0.2">
      <c r="C210" s="22" t="str">
        <f>_xlfn.XLOOKUP(tbl_CONTENT[[#This Row],[TopicID]], tbl_TOPIC[TopicID], tbl_TOPIC[Subject], "")</f>
        <v>QM</v>
      </c>
      <c r="D2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QM-T12-08-03</v>
      </c>
      <c r="E210" s="22">
        <f>ROW()</f>
        <v>210</v>
      </c>
      <c r="F210" s="22" t="s">
        <v>1051</v>
      </c>
      <c r="G210" s="22" t="str">
        <f>_xlfn.XLOOKUP(tbl_CONTENT[[#This Row],[Topic]], tbl_TOPIC[Topic], tbl_TOPIC[TopicID], "")</f>
        <v>QM-1-08</v>
      </c>
      <c r="H210" s="22" cm="1">
        <f t="array" ref="H210">SUM((tbl_CONTENT[[#This Row],[TopicID]]=INDEX(tbl_CONTENT[TopicID],1):tbl_CONTENT[[#This Row],[TopicID]])*1)</f>
        <v>3</v>
      </c>
      <c r="I210" s="22" t="str">
        <f>_xlfn.XLOOKUP(tbl_CONTENT[[#This Row],[Topic]], tbl_TOPIC[Topic], tbl_TOPIC[TopicIndex], "")</f>
        <v>08</v>
      </c>
      <c r="J210" s="22" t="s">
        <v>369</v>
      </c>
      <c r="K210" s="22" t="s">
        <v>430</v>
      </c>
      <c r="L210" s="22" t="s">
        <v>152</v>
      </c>
      <c r="M210" s="22">
        <v>1</v>
      </c>
      <c r="S210" s="35">
        <f>IFERROR(
 (1.907*EXP(1)^(-0.5*tbl_CONTENT[[#This Row],[Layer]])) *
 ((tbl_CONTENT[[#This Row],[RelInt]]-1)^(2.5)*4^(1-2.5)+1) +
 ((tbl_CONTENT[[#This Row],[Comp]]-1)^(2.5)*4^(1-2.5)+1)*(0.5*((tbl_CONTENT[[#This Row],[RelInt]]-1)/4)^(2.5)+1),
 0
)</f>
        <v>0</v>
      </c>
      <c r="T210" s="35">
        <f>IFERROR(
 (1.907*EXP(1)^(-0.5*VALUE(tbl_CONTENT[[#This Row],[Layer]]))) *
 ((VALUE(tbl_CONTENT[[#This Row],[RelId]])-1)^(2.5)*4^(1-2.5)+1) +
 ((VALUE(tbl_CONTENT[[#This Row],[Comp]])-1)^(2.5)*4^(1-2.5)+1)*(0.5*((VALUE(tbl_CONTENT[[#This Row],[RelId]])-1)/4)^(2.5)+1),
 0
)</f>
        <v>0</v>
      </c>
      <c r="W210" s="22" t="str">
        <f>IFERROR(
  IF(_xlfn.XLOOKUP(tbl_CONTENT[[#This Row],[Topic]], tbl_TOPIC[Topic], tbl_TOPIC[ParentTopic])="", "",
       _xlfn.XLOOKUP(tbl_CONTENT[[#This Row],[Topic]], tbl_TOPIC[Topic], tbl_TOPIC[ParentTopic])),
  ""
)</f>
        <v>Einführung der Schrödinger Gleichung</v>
      </c>
      <c r="X210" s="22" t="str">
        <f>IFERROR(
  IF(_xlfn.XLOOKUP(tbl_CONTENT[[#This Row],[Topic]], tbl_TOPIC[Topic], tbl_TOPIC[TopicPath])="", "",
       _xlfn.XLOOKUP(tbl_CONTENT[[#This Row],[Topic]], tbl_TOPIC[Topic], tbl_TOPIC[TopicPath])),
  ""
)</f>
        <v>Schrödinger Gleichung/Einführung der Schrödinger Gleichung/Korrespondenz Prinzip</v>
      </c>
    </row>
    <row r="211" spans="3:24" ht="17" x14ac:dyDescent="0.2">
      <c r="C211" s="22" t="str">
        <f>_xlfn.XLOOKUP(tbl_CONTENT[[#This Row],[TopicID]], tbl_TOPIC[TopicID], tbl_TOPIC[Subject], "")</f>
        <v>QM</v>
      </c>
      <c r="D2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QM-T12-08-04</v>
      </c>
      <c r="E211" s="22">
        <f>ROW()</f>
        <v>211</v>
      </c>
      <c r="F211" s="22" t="s">
        <v>1051</v>
      </c>
      <c r="G211" s="22" t="str">
        <f>_xlfn.XLOOKUP(tbl_CONTENT[[#This Row],[Topic]], tbl_TOPIC[Topic], tbl_TOPIC[TopicID], "")</f>
        <v>QM-1-08</v>
      </c>
      <c r="H211" s="22" cm="1">
        <f t="array" ref="H211">SUM((tbl_CONTENT[[#This Row],[TopicID]]=INDEX(tbl_CONTENT[TopicID],1):tbl_CONTENT[[#This Row],[TopicID]])*1)</f>
        <v>4</v>
      </c>
      <c r="I211" s="22" t="str">
        <f>_xlfn.XLOOKUP(tbl_CONTENT[[#This Row],[Topic]], tbl_TOPIC[Topic], tbl_TOPIC[TopicIndex], "")</f>
        <v>08</v>
      </c>
      <c r="J211" s="22" t="s">
        <v>369</v>
      </c>
      <c r="K211" s="22" t="s">
        <v>431</v>
      </c>
      <c r="L211" s="22" t="s">
        <v>147</v>
      </c>
      <c r="M211" s="22">
        <v>1</v>
      </c>
      <c r="S211" s="35">
        <f>IFERROR(
 (1.907*EXP(1)^(-0.5*tbl_CONTENT[[#This Row],[Layer]])) *
 ((tbl_CONTENT[[#This Row],[RelInt]]-1)^(2.5)*4^(1-2.5)+1) +
 ((tbl_CONTENT[[#This Row],[Comp]]-1)^(2.5)*4^(1-2.5)+1)*(0.5*((tbl_CONTENT[[#This Row],[RelInt]]-1)/4)^(2.5)+1),
 0
)</f>
        <v>0</v>
      </c>
      <c r="T211" s="35">
        <f>IFERROR(
 (1.907*EXP(1)^(-0.5*VALUE(tbl_CONTENT[[#This Row],[Layer]]))) *
 ((VALUE(tbl_CONTENT[[#This Row],[RelId]])-1)^(2.5)*4^(1-2.5)+1) +
 ((VALUE(tbl_CONTENT[[#This Row],[Comp]])-1)^(2.5)*4^(1-2.5)+1)*(0.5*((VALUE(tbl_CONTENT[[#This Row],[RelId]])-1)/4)^(2.5)+1),
 0
)</f>
        <v>0</v>
      </c>
      <c r="W211" s="22" t="str">
        <f>IFERROR(
  IF(_xlfn.XLOOKUP(tbl_CONTENT[[#This Row],[Topic]], tbl_TOPIC[Topic], tbl_TOPIC[ParentTopic])="", "",
       _xlfn.XLOOKUP(tbl_CONTENT[[#This Row],[Topic]], tbl_TOPIC[Topic], tbl_TOPIC[ParentTopic])),
  ""
)</f>
        <v>Einführung der Schrödinger Gleichung</v>
      </c>
      <c r="X211" s="22" t="str">
        <f>IFERROR(
  IF(_xlfn.XLOOKUP(tbl_CONTENT[[#This Row],[Topic]], tbl_TOPIC[Topic], tbl_TOPIC[TopicPath])="", "",
       _xlfn.XLOOKUP(tbl_CONTENT[[#This Row],[Topic]], tbl_TOPIC[Topic], tbl_TOPIC[TopicPath])),
  ""
)</f>
        <v>Schrödinger Gleichung/Einführung der Schrödinger Gleichung/Korrespondenz Prinzip</v>
      </c>
    </row>
    <row r="212" spans="3:24" ht="34" x14ac:dyDescent="0.2">
      <c r="C212" s="22" t="str">
        <f>_xlfn.XLOOKUP(tbl_CONTENT[[#This Row],[TopicID]], tbl_TOPIC[TopicID], tbl_TOPIC[Subject], "")</f>
        <v>QM</v>
      </c>
      <c r="D2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QM-T12-08-05</v>
      </c>
      <c r="E212" s="22">
        <f>ROW()</f>
        <v>212</v>
      </c>
      <c r="F212" s="22" t="s">
        <v>1051</v>
      </c>
      <c r="G212" s="22" t="str">
        <f>_xlfn.XLOOKUP(tbl_CONTENT[[#This Row],[Topic]], tbl_TOPIC[Topic], tbl_TOPIC[TopicID], "")</f>
        <v>QM-1-08</v>
      </c>
      <c r="H212" s="22" cm="1">
        <f t="array" ref="H212">SUM((tbl_CONTENT[[#This Row],[TopicID]]=INDEX(tbl_CONTENT[TopicID],1):tbl_CONTENT[[#This Row],[TopicID]])*1)</f>
        <v>5</v>
      </c>
      <c r="I212" s="22" t="str">
        <f>_xlfn.XLOOKUP(tbl_CONTENT[[#This Row],[Topic]], tbl_TOPIC[Topic], tbl_TOPIC[TopicIndex], "")</f>
        <v>08</v>
      </c>
      <c r="J212" s="22" t="s">
        <v>369</v>
      </c>
      <c r="K212" s="22" t="s">
        <v>432</v>
      </c>
      <c r="L212" s="22" t="s">
        <v>147</v>
      </c>
      <c r="M212" s="22">
        <v>1</v>
      </c>
      <c r="S212" s="35">
        <f>IFERROR(
 (1.907*EXP(1)^(-0.5*tbl_CONTENT[[#This Row],[Layer]])) *
 ((tbl_CONTENT[[#This Row],[RelInt]]-1)^(2.5)*4^(1-2.5)+1) +
 ((tbl_CONTENT[[#This Row],[Comp]]-1)^(2.5)*4^(1-2.5)+1)*(0.5*((tbl_CONTENT[[#This Row],[RelInt]]-1)/4)^(2.5)+1),
 0
)</f>
        <v>0</v>
      </c>
      <c r="T212" s="35">
        <f>IFERROR(
 (1.907*EXP(1)^(-0.5*VALUE(tbl_CONTENT[[#This Row],[Layer]]))) *
 ((VALUE(tbl_CONTENT[[#This Row],[RelId]])-1)^(2.5)*4^(1-2.5)+1) +
 ((VALUE(tbl_CONTENT[[#This Row],[Comp]])-1)^(2.5)*4^(1-2.5)+1)*(0.5*((VALUE(tbl_CONTENT[[#This Row],[RelId]])-1)/4)^(2.5)+1),
 0
)</f>
        <v>0</v>
      </c>
      <c r="W212" s="22" t="str">
        <f>IFERROR(
  IF(_xlfn.XLOOKUP(tbl_CONTENT[[#This Row],[Topic]], tbl_TOPIC[Topic], tbl_TOPIC[ParentTopic])="", "",
       _xlfn.XLOOKUP(tbl_CONTENT[[#This Row],[Topic]], tbl_TOPIC[Topic], tbl_TOPIC[ParentTopic])),
  ""
)</f>
        <v>Einführung der Schrödinger Gleichung</v>
      </c>
      <c r="X212" s="22" t="str">
        <f>IFERROR(
  IF(_xlfn.XLOOKUP(tbl_CONTENT[[#This Row],[Topic]], tbl_TOPIC[Topic], tbl_TOPIC[TopicPath])="", "",
       _xlfn.XLOOKUP(tbl_CONTENT[[#This Row],[Topic]], tbl_TOPIC[Topic], tbl_TOPIC[TopicPath])),
  ""
)</f>
        <v>Schrödinger Gleichung/Einführung der Schrödinger Gleichung/Korrespondenz Prinzip</v>
      </c>
    </row>
    <row r="213" spans="3:24" ht="34" x14ac:dyDescent="0.2">
      <c r="C213" s="22" t="str">
        <f>_xlfn.XLOOKUP(tbl_CONTENT[[#This Row],[TopicID]], tbl_TOPIC[TopicID], tbl_TOPIC[Subject], "")</f>
        <v>QM</v>
      </c>
      <c r="D2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QM-T12-08-06</v>
      </c>
      <c r="E213" s="22">
        <f>ROW()</f>
        <v>213</v>
      </c>
      <c r="F213" s="22" t="s">
        <v>1051</v>
      </c>
      <c r="G213" s="22" t="str">
        <f>_xlfn.XLOOKUP(tbl_CONTENT[[#This Row],[Topic]], tbl_TOPIC[Topic], tbl_TOPIC[TopicID], "")</f>
        <v>QM-1-08</v>
      </c>
      <c r="H213" s="22" cm="1">
        <f t="array" ref="H213">SUM((tbl_CONTENT[[#This Row],[TopicID]]=INDEX(tbl_CONTENT[TopicID],1):tbl_CONTENT[[#This Row],[TopicID]])*1)</f>
        <v>6</v>
      </c>
      <c r="I213" s="22" t="str">
        <f>_xlfn.XLOOKUP(tbl_CONTENT[[#This Row],[Topic]], tbl_TOPIC[Topic], tbl_TOPIC[TopicIndex], "")</f>
        <v>08</v>
      </c>
      <c r="J213" s="22" t="s">
        <v>369</v>
      </c>
      <c r="K213" s="22" t="s">
        <v>435</v>
      </c>
      <c r="L213" s="22" t="s">
        <v>147</v>
      </c>
      <c r="M213" s="22">
        <v>1</v>
      </c>
      <c r="S213" s="35">
        <f>IFERROR(
 (1.907*EXP(1)^(-0.5*tbl_CONTENT[[#This Row],[Layer]])) *
 ((tbl_CONTENT[[#This Row],[RelInt]]-1)^(2.5)*4^(1-2.5)+1) +
 ((tbl_CONTENT[[#This Row],[Comp]]-1)^(2.5)*4^(1-2.5)+1)*(0.5*((tbl_CONTENT[[#This Row],[RelInt]]-1)/4)^(2.5)+1),
 0
)</f>
        <v>0</v>
      </c>
      <c r="T213" s="35">
        <f>IFERROR(
 (1.907*EXP(1)^(-0.5*VALUE(tbl_CONTENT[[#This Row],[Layer]]))) *
 ((VALUE(tbl_CONTENT[[#This Row],[RelId]])-1)^(2.5)*4^(1-2.5)+1) +
 ((VALUE(tbl_CONTENT[[#This Row],[Comp]])-1)^(2.5)*4^(1-2.5)+1)*(0.5*((VALUE(tbl_CONTENT[[#This Row],[RelId]])-1)/4)^(2.5)+1),
 0
)</f>
        <v>0</v>
      </c>
      <c r="W213" s="22" t="str">
        <f>IFERROR(
  IF(_xlfn.XLOOKUP(tbl_CONTENT[[#This Row],[Topic]], tbl_TOPIC[Topic], tbl_TOPIC[ParentTopic])="", "",
       _xlfn.XLOOKUP(tbl_CONTENT[[#This Row],[Topic]], tbl_TOPIC[Topic], tbl_TOPIC[ParentTopic])),
  ""
)</f>
        <v>Einführung der Schrödinger Gleichung</v>
      </c>
      <c r="X213" s="22" t="str">
        <f>IFERROR(
  IF(_xlfn.XLOOKUP(tbl_CONTENT[[#This Row],[Topic]], tbl_TOPIC[Topic], tbl_TOPIC[TopicPath])="", "",
       _xlfn.XLOOKUP(tbl_CONTENT[[#This Row],[Topic]], tbl_TOPIC[Topic], tbl_TOPIC[TopicPath])),
  ""
)</f>
        <v>Schrödinger Gleichung/Einführung der Schrödinger Gleichung/Korrespondenz Prinzip</v>
      </c>
    </row>
    <row r="214" spans="3:24" ht="34" x14ac:dyDescent="0.2">
      <c r="C214" s="22" t="str">
        <f>_xlfn.XLOOKUP(tbl_CONTENT[[#This Row],[TopicID]], tbl_TOPIC[TopicID], tbl_TOPIC[Subject], "")</f>
        <v>QM</v>
      </c>
      <c r="D2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QM-T12-08-07</v>
      </c>
      <c r="E214" s="22">
        <f>ROW()</f>
        <v>214</v>
      </c>
      <c r="F214" s="22" t="s">
        <v>1051</v>
      </c>
      <c r="G214" s="22" t="str">
        <f>_xlfn.XLOOKUP(tbl_CONTENT[[#This Row],[Topic]], tbl_TOPIC[Topic], tbl_TOPIC[TopicID], "")</f>
        <v>QM-1-08</v>
      </c>
      <c r="H214" s="22" cm="1">
        <f t="array" ref="H214">SUM((tbl_CONTENT[[#This Row],[TopicID]]=INDEX(tbl_CONTENT[TopicID],1):tbl_CONTENT[[#This Row],[TopicID]])*1)</f>
        <v>7</v>
      </c>
      <c r="I214" s="22" t="str">
        <f>_xlfn.XLOOKUP(tbl_CONTENT[[#This Row],[Topic]], tbl_TOPIC[Topic], tbl_TOPIC[TopicIndex], "")</f>
        <v>08</v>
      </c>
      <c r="J214" s="22" t="s">
        <v>369</v>
      </c>
      <c r="K214" s="22" t="s">
        <v>436</v>
      </c>
      <c r="L214" s="22" t="s">
        <v>147</v>
      </c>
      <c r="M214" s="22">
        <v>1</v>
      </c>
      <c r="S214" s="35">
        <f>IFERROR(
 (1.907*EXP(1)^(-0.5*tbl_CONTENT[[#This Row],[Layer]])) *
 ((tbl_CONTENT[[#This Row],[RelInt]]-1)^(2.5)*4^(1-2.5)+1) +
 ((tbl_CONTENT[[#This Row],[Comp]]-1)^(2.5)*4^(1-2.5)+1)*(0.5*((tbl_CONTENT[[#This Row],[RelInt]]-1)/4)^(2.5)+1),
 0
)</f>
        <v>0</v>
      </c>
      <c r="T214" s="35">
        <f>IFERROR(
 (1.907*EXP(1)^(-0.5*VALUE(tbl_CONTENT[[#This Row],[Layer]]))) *
 ((VALUE(tbl_CONTENT[[#This Row],[RelId]])-1)^(2.5)*4^(1-2.5)+1) +
 ((VALUE(tbl_CONTENT[[#This Row],[Comp]])-1)^(2.5)*4^(1-2.5)+1)*(0.5*((VALUE(tbl_CONTENT[[#This Row],[RelId]])-1)/4)^(2.5)+1),
 0
)</f>
        <v>0</v>
      </c>
      <c r="W214" s="22" t="str">
        <f>IFERROR(
  IF(_xlfn.XLOOKUP(tbl_CONTENT[[#This Row],[Topic]], tbl_TOPIC[Topic], tbl_TOPIC[ParentTopic])="", "",
       _xlfn.XLOOKUP(tbl_CONTENT[[#This Row],[Topic]], tbl_TOPIC[Topic], tbl_TOPIC[ParentTopic])),
  ""
)</f>
        <v>Einführung der Schrödinger Gleichung</v>
      </c>
      <c r="X214" s="22" t="str">
        <f>IFERROR(
  IF(_xlfn.XLOOKUP(tbl_CONTENT[[#This Row],[Topic]], tbl_TOPIC[Topic], tbl_TOPIC[TopicPath])="", "",
       _xlfn.XLOOKUP(tbl_CONTENT[[#This Row],[Topic]], tbl_TOPIC[Topic], tbl_TOPIC[TopicPath])),
  ""
)</f>
        <v>Schrödinger Gleichung/Einführung der Schrödinger Gleichung/Korrespondenz Prinzip</v>
      </c>
    </row>
    <row r="215" spans="3:24" ht="51" x14ac:dyDescent="0.2">
      <c r="C215" s="22" t="str">
        <f>_xlfn.XLOOKUP(tbl_CONTENT[[#This Row],[TopicID]], tbl_TOPIC[TopicID], tbl_TOPIC[Subject], "")</f>
        <v>QM</v>
      </c>
      <c r="D2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QM-T12-08-08</v>
      </c>
      <c r="E215" s="22">
        <f>ROW()</f>
        <v>215</v>
      </c>
      <c r="F215" s="22" t="s">
        <v>1051</v>
      </c>
      <c r="G215" s="22" t="str">
        <f>_xlfn.XLOOKUP(tbl_CONTENT[[#This Row],[Topic]], tbl_TOPIC[Topic], tbl_TOPIC[TopicID], "")</f>
        <v>QM-1-08</v>
      </c>
      <c r="H215" s="22" cm="1">
        <f t="array" ref="H215">SUM((tbl_CONTENT[[#This Row],[TopicID]]=INDEX(tbl_CONTENT[TopicID],1):tbl_CONTENT[[#This Row],[TopicID]])*1)</f>
        <v>8</v>
      </c>
      <c r="I215" s="22" t="str">
        <f>_xlfn.XLOOKUP(tbl_CONTENT[[#This Row],[Topic]], tbl_TOPIC[Topic], tbl_TOPIC[TopicIndex], "")</f>
        <v>08</v>
      </c>
      <c r="J215" s="22" t="s">
        <v>369</v>
      </c>
      <c r="K215" s="22" t="s">
        <v>437</v>
      </c>
      <c r="L215" s="22" t="s">
        <v>380</v>
      </c>
      <c r="M215" s="22">
        <v>1</v>
      </c>
      <c r="S215" s="35">
        <f>IFERROR(
 (1.907*EXP(1)^(-0.5*tbl_CONTENT[[#This Row],[Layer]])) *
 ((tbl_CONTENT[[#This Row],[RelInt]]-1)^(2.5)*4^(1-2.5)+1) +
 ((tbl_CONTENT[[#This Row],[Comp]]-1)^(2.5)*4^(1-2.5)+1)*(0.5*((tbl_CONTENT[[#This Row],[RelInt]]-1)/4)^(2.5)+1),
 0
)</f>
        <v>0</v>
      </c>
      <c r="T215" s="35">
        <f>IFERROR(
 (1.907*EXP(1)^(-0.5*VALUE(tbl_CONTENT[[#This Row],[Layer]]))) *
 ((VALUE(tbl_CONTENT[[#This Row],[RelId]])-1)^(2.5)*4^(1-2.5)+1) +
 ((VALUE(tbl_CONTENT[[#This Row],[Comp]])-1)^(2.5)*4^(1-2.5)+1)*(0.5*((VALUE(tbl_CONTENT[[#This Row],[RelId]])-1)/4)^(2.5)+1),
 0
)</f>
        <v>0</v>
      </c>
      <c r="W215" s="22" t="str">
        <f>IFERROR(
  IF(_xlfn.XLOOKUP(tbl_CONTENT[[#This Row],[Topic]], tbl_TOPIC[Topic], tbl_TOPIC[ParentTopic])="", "",
       _xlfn.XLOOKUP(tbl_CONTENT[[#This Row],[Topic]], tbl_TOPIC[Topic], tbl_TOPIC[ParentTopic])),
  ""
)</f>
        <v>Einführung der Schrödinger Gleichung</v>
      </c>
      <c r="X215" s="22" t="str">
        <f>IFERROR(
  IF(_xlfn.XLOOKUP(tbl_CONTENT[[#This Row],[Topic]], tbl_TOPIC[Topic], tbl_TOPIC[TopicPath])="", "",
       _xlfn.XLOOKUP(tbl_CONTENT[[#This Row],[Topic]], tbl_TOPIC[Topic], tbl_TOPIC[TopicPath])),
  ""
)</f>
        <v>Schrödinger Gleichung/Einführung der Schrödinger Gleichung/Korrespondenz Prinzip</v>
      </c>
    </row>
    <row r="216" spans="3:24" ht="17" x14ac:dyDescent="0.2">
      <c r="C216" s="22" t="str">
        <f>_xlfn.XLOOKUP(tbl_CONTENT[[#This Row],[TopicID]], tbl_TOPIC[TopicID], tbl_TOPIC[Subject], "")</f>
        <v>QM</v>
      </c>
      <c r="D2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QM-T12-08-09</v>
      </c>
      <c r="E216" s="22">
        <f>ROW()</f>
        <v>216</v>
      </c>
      <c r="F216" s="22" t="s">
        <v>1051</v>
      </c>
      <c r="G216" s="22" t="str">
        <f>_xlfn.XLOOKUP(tbl_CONTENT[[#This Row],[Topic]], tbl_TOPIC[Topic], tbl_TOPIC[TopicID], "")</f>
        <v>QM-1-08</v>
      </c>
      <c r="H216" s="22" cm="1">
        <f t="array" ref="H216">SUM((tbl_CONTENT[[#This Row],[TopicID]]=INDEX(tbl_CONTENT[TopicID],1):tbl_CONTENT[[#This Row],[TopicID]])*1)</f>
        <v>9</v>
      </c>
      <c r="I216" s="22" t="str">
        <f>_xlfn.XLOOKUP(tbl_CONTENT[[#This Row],[Topic]], tbl_TOPIC[Topic], tbl_TOPIC[TopicIndex], "")</f>
        <v>08</v>
      </c>
      <c r="J216" s="22" t="s">
        <v>369</v>
      </c>
      <c r="K216" s="22" t="s">
        <v>438</v>
      </c>
      <c r="L216" s="22" t="s">
        <v>152</v>
      </c>
      <c r="M216" s="22">
        <v>1</v>
      </c>
      <c r="S216" s="35">
        <f>IFERROR(
 (1.907*EXP(1)^(-0.5*tbl_CONTENT[[#This Row],[Layer]])) *
 ((tbl_CONTENT[[#This Row],[RelInt]]-1)^(2.5)*4^(1-2.5)+1) +
 ((tbl_CONTENT[[#This Row],[Comp]]-1)^(2.5)*4^(1-2.5)+1)*(0.5*((tbl_CONTENT[[#This Row],[RelInt]]-1)/4)^(2.5)+1),
 0
)</f>
        <v>0</v>
      </c>
      <c r="T216" s="35">
        <f>IFERROR(
 (1.907*EXP(1)^(-0.5*VALUE(tbl_CONTENT[[#This Row],[Layer]]))) *
 ((VALUE(tbl_CONTENT[[#This Row],[RelId]])-1)^(2.5)*4^(1-2.5)+1) +
 ((VALUE(tbl_CONTENT[[#This Row],[Comp]])-1)^(2.5)*4^(1-2.5)+1)*(0.5*((VALUE(tbl_CONTENT[[#This Row],[RelId]])-1)/4)^(2.5)+1),
 0
)</f>
        <v>0</v>
      </c>
      <c r="W216" s="22" t="str">
        <f>IFERROR(
  IF(_xlfn.XLOOKUP(tbl_CONTENT[[#This Row],[Topic]], tbl_TOPIC[Topic], tbl_TOPIC[ParentTopic])="", "",
       _xlfn.XLOOKUP(tbl_CONTENT[[#This Row],[Topic]], tbl_TOPIC[Topic], tbl_TOPIC[ParentTopic])),
  ""
)</f>
        <v>Einführung der Schrödinger Gleichung</v>
      </c>
      <c r="X216" s="22" t="str">
        <f>IFERROR(
  IF(_xlfn.XLOOKUP(tbl_CONTENT[[#This Row],[Topic]], tbl_TOPIC[Topic], tbl_TOPIC[TopicPath])="", "",
       _xlfn.XLOOKUP(tbl_CONTENT[[#This Row],[Topic]], tbl_TOPIC[Topic], tbl_TOPIC[TopicPath])),
  ""
)</f>
        <v>Schrödinger Gleichung/Einführung der Schrödinger Gleichung/Korrespondenz Prinzip</v>
      </c>
    </row>
    <row r="217" spans="3:24" ht="51" x14ac:dyDescent="0.2">
      <c r="C217" s="22" t="s">
        <v>361</v>
      </c>
      <c r="D2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QM-T12-10-01</v>
      </c>
      <c r="E217" s="22">
        <f>ROW()</f>
        <v>217</v>
      </c>
      <c r="F217" s="22" t="s">
        <v>1051</v>
      </c>
      <c r="G217" s="22" t="str">
        <f>_xlfn.XLOOKUP(tbl_CONTENT[[#This Row],[Topic]], tbl_TOPIC[Topic], tbl_TOPIC[TopicID], "")</f>
        <v>QM-1-10</v>
      </c>
      <c r="H217" s="22" cm="1">
        <f t="array" ref="H217">SUM((tbl_CONTENT[[#This Row],[TopicID]]=INDEX(tbl_CONTENT[TopicID],1):tbl_CONTENT[[#This Row],[TopicID]])*1)</f>
        <v>1</v>
      </c>
      <c r="I217" s="22" t="str">
        <f>_xlfn.XLOOKUP(tbl_CONTENT[[#This Row],[Topic]], tbl_TOPIC[Topic], tbl_TOPIC[TopicIndex], "")</f>
        <v>10</v>
      </c>
      <c r="J217" s="22" t="s">
        <v>371</v>
      </c>
      <c r="K217" s="22" t="s">
        <v>439</v>
      </c>
      <c r="L217" s="22" t="s">
        <v>152</v>
      </c>
      <c r="M217" s="22">
        <v>1</v>
      </c>
      <c r="S217" s="35">
        <f>IFERROR(
 (1.907*EXP(1)^(-0.5*tbl_CONTENT[[#This Row],[Layer]])) *
 ((tbl_CONTENT[[#This Row],[RelInt]]-1)^(2.5)*4^(1-2.5)+1) +
 ((tbl_CONTENT[[#This Row],[Comp]]-1)^(2.5)*4^(1-2.5)+1)*(0.5*((tbl_CONTENT[[#This Row],[RelInt]]-1)/4)^(2.5)+1),
 0
)</f>
        <v>0</v>
      </c>
      <c r="T217" s="35">
        <f>IFERROR(
 (1.907*EXP(1)^(-0.5*VALUE(tbl_CONTENT[[#This Row],[Layer]]))) *
 ((VALUE(tbl_CONTENT[[#This Row],[RelId]])-1)^(2.5)*4^(1-2.5)+1) +
 ((VALUE(tbl_CONTENT[[#This Row],[Comp]])-1)^(2.5)*4^(1-2.5)+1)*(0.5*((VALUE(tbl_CONTENT[[#This Row],[RelId]])-1)/4)^(2.5)+1),
 0
)</f>
        <v>0</v>
      </c>
      <c r="W217" s="22" t="str">
        <f>IFERROR(
  IF(_xlfn.XLOOKUP(tbl_CONTENT[[#This Row],[Topic]], tbl_TOPIC[Topic], tbl_TOPIC[ParentTopic])="", "",
       _xlfn.XLOOKUP(tbl_CONTENT[[#This Row],[Topic]], tbl_TOPIC[Topic], tbl_TOPIC[ParentTopic])),
  ""
)</f>
        <v>Interpretation der Wellenfunktion</v>
      </c>
      <c r="X217" s="22" t="str">
        <f>IFERROR(
  IF(_xlfn.XLOOKUP(tbl_CONTENT[[#This Row],[Topic]], tbl_TOPIC[Topic], tbl_TOPIC[TopicPath])="", "",
       _xlfn.XLOOKUP(tbl_CONTENT[[#This Row],[Topic]], tbl_TOPIC[Topic], tbl_TOPIC[TopicPath])),
  ""
)</f>
        <v>Schrödinger Gleichung/Interpretation der Wellenfunktion/Wahrscheinlichkeitsdichte</v>
      </c>
    </row>
    <row r="218" spans="3:24" ht="34" x14ac:dyDescent="0.2">
      <c r="C218" s="22" t="str">
        <f>_xlfn.XLOOKUP(tbl_CONTENT[[#This Row],[TopicID]], tbl_TOPIC[TopicID], tbl_TOPIC[Subject], "")</f>
        <v>QM</v>
      </c>
      <c r="D2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QM-T12-10-02</v>
      </c>
      <c r="E218" s="22">
        <f>ROW()</f>
        <v>218</v>
      </c>
      <c r="F218" s="22" t="s">
        <v>1051</v>
      </c>
      <c r="G218" s="22" t="str">
        <f>_xlfn.XLOOKUP(tbl_CONTENT[[#This Row],[Topic]], tbl_TOPIC[Topic], tbl_TOPIC[TopicID], "")</f>
        <v>QM-1-10</v>
      </c>
      <c r="H218" s="22" cm="1">
        <f t="array" ref="H218">SUM((tbl_CONTENT[[#This Row],[TopicID]]=INDEX(tbl_CONTENT[TopicID],1):tbl_CONTENT[[#This Row],[TopicID]])*1)</f>
        <v>2</v>
      </c>
      <c r="I218" s="22" t="str">
        <f>_xlfn.XLOOKUP(tbl_CONTENT[[#This Row],[Topic]], tbl_TOPIC[Topic], tbl_TOPIC[TopicIndex], "")</f>
        <v>10</v>
      </c>
      <c r="J218" s="22" t="s">
        <v>371</v>
      </c>
      <c r="K218" s="22" t="s">
        <v>440</v>
      </c>
      <c r="L218" s="22" t="s">
        <v>147</v>
      </c>
      <c r="M218" s="22">
        <v>1</v>
      </c>
      <c r="S218" s="35">
        <f>IFERROR(
 (1.907*EXP(1)^(-0.5*tbl_CONTENT[[#This Row],[Layer]])) *
 ((tbl_CONTENT[[#This Row],[RelInt]]-1)^(2.5)*4^(1-2.5)+1) +
 ((tbl_CONTENT[[#This Row],[Comp]]-1)^(2.5)*4^(1-2.5)+1)*(0.5*((tbl_CONTENT[[#This Row],[RelInt]]-1)/4)^(2.5)+1),
 0
)</f>
        <v>0</v>
      </c>
      <c r="T218" s="35">
        <f>IFERROR(
 (1.907*EXP(1)^(-0.5*VALUE(tbl_CONTENT[[#This Row],[Layer]]))) *
 ((VALUE(tbl_CONTENT[[#This Row],[RelId]])-1)^(2.5)*4^(1-2.5)+1) +
 ((VALUE(tbl_CONTENT[[#This Row],[Comp]])-1)^(2.5)*4^(1-2.5)+1)*(0.5*((VALUE(tbl_CONTENT[[#This Row],[RelId]])-1)/4)^(2.5)+1),
 0
)</f>
        <v>0</v>
      </c>
      <c r="W218" s="22" t="str">
        <f>IFERROR(
  IF(_xlfn.XLOOKUP(tbl_CONTENT[[#This Row],[Topic]], tbl_TOPIC[Topic], tbl_TOPIC[ParentTopic])="", "",
       _xlfn.XLOOKUP(tbl_CONTENT[[#This Row],[Topic]], tbl_TOPIC[Topic], tbl_TOPIC[ParentTopic])),
  ""
)</f>
        <v>Interpretation der Wellenfunktion</v>
      </c>
      <c r="X218" s="22" t="str">
        <f>IFERROR(
  IF(_xlfn.XLOOKUP(tbl_CONTENT[[#This Row],[Topic]], tbl_TOPIC[Topic], tbl_TOPIC[TopicPath])="", "",
       _xlfn.XLOOKUP(tbl_CONTENT[[#This Row],[Topic]], tbl_TOPIC[Topic], tbl_TOPIC[TopicPath])),
  ""
)</f>
        <v>Schrödinger Gleichung/Interpretation der Wellenfunktion/Wahrscheinlichkeitsdichte</v>
      </c>
    </row>
    <row r="219" spans="3:24" ht="34" x14ac:dyDescent="0.2">
      <c r="C219" s="22" t="str">
        <f>_xlfn.XLOOKUP(tbl_CONTENT[[#This Row],[TopicID]], tbl_TOPIC[TopicID], tbl_TOPIC[Subject], "")</f>
        <v>QM</v>
      </c>
      <c r="D2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QM-T12-10-03</v>
      </c>
      <c r="E219" s="22">
        <f>ROW()</f>
        <v>219</v>
      </c>
      <c r="F219" s="22" t="s">
        <v>1051</v>
      </c>
      <c r="G219" s="22" t="str">
        <f>_xlfn.XLOOKUP(tbl_CONTENT[[#This Row],[Topic]], tbl_TOPIC[Topic], tbl_TOPIC[TopicID], "")</f>
        <v>QM-1-10</v>
      </c>
      <c r="H219" s="22" cm="1">
        <f t="array" ref="H219">SUM((tbl_CONTENT[[#This Row],[TopicID]]=INDEX(tbl_CONTENT[TopicID],1):tbl_CONTENT[[#This Row],[TopicID]])*1)</f>
        <v>3</v>
      </c>
      <c r="I219" s="22" t="str">
        <f>_xlfn.XLOOKUP(tbl_CONTENT[[#This Row],[Topic]], tbl_TOPIC[Topic], tbl_TOPIC[TopicIndex], "")</f>
        <v>10</v>
      </c>
      <c r="J219" s="22" t="s">
        <v>371</v>
      </c>
      <c r="K219" s="22" t="s">
        <v>1041</v>
      </c>
      <c r="L219" s="22" t="s">
        <v>179</v>
      </c>
      <c r="M219" s="22">
        <v>1</v>
      </c>
      <c r="S219" s="35">
        <f>IFERROR(
 (1.907*EXP(1)^(-0.5*tbl_CONTENT[[#This Row],[Layer]])) *
 ((tbl_CONTENT[[#This Row],[RelInt]]-1)^(2.5)*4^(1-2.5)+1) +
 ((tbl_CONTENT[[#This Row],[Comp]]-1)^(2.5)*4^(1-2.5)+1)*(0.5*((tbl_CONTENT[[#This Row],[RelInt]]-1)/4)^(2.5)+1),
 0
)</f>
        <v>0</v>
      </c>
      <c r="T219" s="35">
        <f>IFERROR(
 (1.907*EXP(1)^(-0.5*VALUE(tbl_CONTENT[[#This Row],[Layer]]))) *
 ((VALUE(tbl_CONTENT[[#This Row],[RelId]])-1)^(2.5)*4^(1-2.5)+1) +
 ((VALUE(tbl_CONTENT[[#This Row],[Comp]])-1)^(2.5)*4^(1-2.5)+1)*(0.5*((VALUE(tbl_CONTENT[[#This Row],[RelId]])-1)/4)^(2.5)+1),
 0
)</f>
        <v>0</v>
      </c>
      <c r="W219" s="22" t="str">
        <f>IFERROR(
  IF(_xlfn.XLOOKUP(tbl_CONTENT[[#This Row],[Topic]], tbl_TOPIC[Topic], tbl_TOPIC[ParentTopic])="", "",
       _xlfn.XLOOKUP(tbl_CONTENT[[#This Row],[Topic]], tbl_TOPIC[Topic], tbl_TOPIC[ParentTopic])),
  ""
)</f>
        <v>Interpretation der Wellenfunktion</v>
      </c>
      <c r="X219" s="22" t="str">
        <f>IFERROR(
  IF(_xlfn.XLOOKUP(tbl_CONTENT[[#This Row],[Topic]], tbl_TOPIC[Topic], tbl_TOPIC[TopicPath])="", "",
       _xlfn.XLOOKUP(tbl_CONTENT[[#This Row],[Topic]], tbl_TOPIC[Topic], tbl_TOPIC[TopicPath])),
  ""
)</f>
        <v>Schrödinger Gleichung/Interpretation der Wellenfunktion/Wahrscheinlichkeitsdichte</v>
      </c>
    </row>
    <row r="220" spans="3:24" ht="34" x14ac:dyDescent="0.2">
      <c r="C220" s="22" t="str">
        <f>_xlfn.XLOOKUP(tbl_CONTENT[[#This Row],[TopicID]], tbl_TOPIC[TopicID], tbl_TOPIC[Subject], "")</f>
        <v>QM</v>
      </c>
      <c r="D2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QM-T12-11-01</v>
      </c>
      <c r="E220" s="22">
        <f>ROW()</f>
        <v>220</v>
      </c>
      <c r="F220" s="22" t="s">
        <v>1051</v>
      </c>
      <c r="G220" s="22" t="str">
        <f>_xlfn.XLOOKUP(tbl_CONTENT[[#This Row],[Topic]], tbl_TOPIC[Topic], tbl_TOPIC[TopicID], "")</f>
        <v>QM-1-11</v>
      </c>
      <c r="H220" s="22" cm="1">
        <f t="array" ref="H220">SUM((tbl_CONTENT[[#This Row],[TopicID]]=INDEX(tbl_CONTENT[TopicID],1):tbl_CONTENT[[#This Row],[TopicID]])*1)</f>
        <v>1</v>
      </c>
      <c r="I220" s="22" t="str">
        <f>_xlfn.XLOOKUP(tbl_CONTENT[[#This Row],[Topic]], tbl_TOPIC[Topic], tbl_TOPIC[TopicIndex], "")</f>
        <v>11</v>
      </c>
      <c r="J220" s="22" t="s">
        <v>372</v>
      </c>
      <c r="K220" s="22" t="s">
        <v>442</v>
      </c>
      <c r="L220" s="22" t="s">
        <v>147</v>
      </c>
      <c r="M220" s="22">
        <v>1</v>
      </c>
      <c r="S220" s="35">
        <f>IFERROR(
 (1.907*EXP(1)^(-0.5*tbl_CONTENT[[#This Row],[Layer]])) *
 ((tbl_CONTENT[[#This Row],[RelInt]]-1)^(2.5)*4^(1-2.5)+1) +
 ((tbl_CONTENT[[#This Row],[Comp]]-1)^(2.5)*4^(1-2.5)+1)*(0.5*((tbl_CONTENT[[#This Row],[RelInt]]-1)/4)^(2.5)+1),
 0
)</f>
        <v>0</v>
      </c>
      <c r="T220" s="35">
        <f>IFERROR(
 (1.907*EXP(1)^(-0.5*VALUE(tbl_CONTENT[[#This Row],[Layer]]))) *
 ((VALUE(tbl_CONTENT[[#This Row],[RelId]])-1)^(2.5)*4^(1-2.5)+1) +
 ((VALUE(tbl_CONTENT[[#This Row],[Comp]])-1)^(2.5)*4^(1-2.5)+1)*(0.5*((VALUE(tbl_CONTENT[[#This Row],[RelId]])-1)/4)^(2.5)+1),
 0
)</f>
        <v>0</v>
      </c>
      <c r="W220" s="22" t="str">
        <f>IFERROR(
  IF(_xlfn.XLOOKUP(tbl_CONTENT[[#This Row],[Topic]], tbl_TOPIC[Topic], tbl_TOPIC[ParentTopic])="", "",
       _xlfn.XLOOKUP(tbl_CONTENT[[#This Row],[Topic]], tbl_TOPIC[Topic], tbl_TOPIC[ParentTopic])),
  ""
)</f>
        <v>Interpretation der Wellenfunktion</v>
      </c>
      <c r="X220" s="22" t="str">
        <f>IFERROR(
  IF(_xlfn.XLOOKUP(tbl_CONTENT[[#This Row],[Topic]], tbl_TOPIC[Topic], tbl_TOPIC[TopicPath])="", "",
       _xlfn.XLOOKUP(tbl_CONTENT[[#This Row],[Topic]], tbl_TOPIC[Topic], tbl_TOPIC[TopicPath])),
  ""
)</f>
        <v>Schrödinger Gleichung/Interpretation der Wellenfunktion/Kontinuitätsgleichung</v>
      </c>
    </row>
    <row r="221" spans="3:24" ht="34" x14ac:dyDescent="0.2">
      <c r="C221" s="22" t="str">
        <f>_xlfn.XLOOKUP(tbl_CONTENT[[#This Row],[TopicID]], tbl_TOPIC[TopicID], tbl_TOPIC[Subject], "")</f>
        <v>QM</v>
      </c>
      <c r="D2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QM-T12-11-02</v>
      </c>
      <c r="E221" s="22">
        <f>ROW()</f>
        <v>221</v>
      </c>
      <c r="F221" s="22" t="s">
        <v>1051</v>
      </c>
      <c r="G221" s="22" t="str">
        <f>_xlfn.XLOOKUP(tbl_CONTENT[[#This Row],[Topic]], tbl_TOPIC[Topic], tbl_TOPIC[TopicID], "")</f>
        <v>QM-1-11</v>
      </c>
      <c r="H221" s="22" cm="1">
        <f t="array" ref="H221">SUM((tbl_CONTENT[[#This Row],[TopicID]]=INDEX(tbl_CONTENT[TopicID],1):tbl_CONTENT[[#This Row],[TopicID]])*1)</f>
        <v>2</v>
      </c>
      <c r="I221" s="22" t="str">
        <f>_xlfn.XLOOKUP(tbl_CONTENT[[#This Row],[Topic]], tbl_TOPIC[Topic], tbl_TOPIC[TopicIndex], "")</f>
        <v>11</v>
      </c>
      <c r="J221" s="22" t="s">
        <v>372</v>
      </c>
      <c r="K221" s="22" t="s">
        <v>445</v>
      </c>
      <c r="L221" s="22" t="s">
        <v>152</v>
      </c>
      <c r="M221" s="22">
        <v>1</v>
      </c>
      <c r="S221" s="35">
        <f>IFERROR(
 (1.907*EXP(1)^(-0.5*tbl_CONTENT[[#This Row],[Layer]])) *
 ((tbl_CONTENT[[#This Row],[RelInt]]-1)^(2.5)*4^(1-2.5)+1) +
 ((tbl_CONTENT[[#This Row],[Comp]]-1)^(2.5)*4^(1-2.5)+1)*(0.5*((tbl_CONTENT[[#This Row],[RelInt]]-1)/4)^(2.5)+1),
 0
)</f>
        <v>0</v>
      </c>
      <c r="T221" s="35">
        <f>IFERROR(
 (1.907*EXP(1)^(-0.5*VALUE(tbl_CONTENT[[#This Row],[Layer]]))) *
 ((VALUE(tbl_CONTENT[[#This Row],[RelId]])-1)^(2.5)*4^(1-2.5)+1) +
 ((VALUE(tbl_CONTENT[[#This Row],[Comp]])-1)^(2.5)*4^(1-2.5)+1)*(0.5*((VALUE(tbl_CONTENT[[#This Row],[RelId]])-1)/4)^(2.5)+1),
 0
)</f>
        <v>0</v>
      </c>
      <c r="W221" s="22" t="str">
        <f>IFERROR(
  IF(_xlfn.XLOOKUP(tbl_CONTENT[[#This Row],[Topic]], tbl_TOPIC[Topic], tbl_TOPIC[ParentTopic])="", "",
       _xlfn.XLOOKUP(tbl_CONTENT[[#This Row],[Topic]], tbl_TOPIC[Topic], tbl_TOPIC[ParentTopic])),
  ""
)</f>
        <v>Interpretation der Wellenfunktion</v>
      </c>
      <c r="X221" s="22" t="str">
        <f>IFERROR(
  IF(_xlfn.XLOOKUP(tbl_CONTENT[[#This Row],[Topic]], tbl_TOPIC[Topic], tbl_TOPIC[TopicPath])="", "",
       _xlfn.XLOOKUP(tbl_CONTENT[[#This Row],[Topic]], tbl_TOPIC[Topic], tbl_TOPIC[TopicPath])),
  ""
)</f>
        <v>Schrödinger Gleichung/Interpretation der Wellenfunktion/Kontinuitätsgleichung</v>
      </c>
    </row>
    <row r="222" spans="3:24" ht="34" x14ac:dyDescent="0.2">
      <c r="C222" s="22" t="str">
        <f>_xlfn.XLOOKUP(tbl_CONTENT[[#This Row],[TopicID]], tbl_TOPIC[TopicID], tbl_TOPIC[Subject], "")</f>
        <v>QM</v>
      </c>
      <c r="D2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QM-T12-11-03</v>
      </c>
      <c r="E222" s="22">
        <f>ROW()</f>
        <v>222</v>
      </c>
      <c r="F222" s="22" t="s">
        <v>1051</v>
      </c>
      <c r="G222" s="22" t="str">
        <f>_xlfn.XLOOKUP(tbl_CONTENT[[#This Row],[Topic]], tbl_TOPIC[Topic], tbl_TOPIC[TopicID], "")</f>
        <v>QM-1-11</v>
      </c>
      <c r="H222" s="22" cm="1">
        <f t="array" ref="H222">SUM((tbl_CONTENT[[#This Row],[TopicID]]=INDEX(tbl_CONTENT[TopicID],1):tbl_CONTENT[[#This Row],[TopicID]])*1)</f>
        <v>3</v>
      </c>
      <c r="I222" s="22" t="str">
        <f>_xlfn.XLOOKUP(tbl_CONTENT[[#This Row],[Topic]], tbl_TOPIC[Topic], tbl_TOPIC[TopicIndex], "")</f>
        <v>11</v>
      </c>
      <c r="J222" s="22" t="s">
        <v>372</v>
      </c>
      <c r="K222" s="22" t="s">
        <v>443</v>
      </c>
      <c r="L222" s="22" t="s">
        <v>380</v>
      </c>
      <c r="M222" s="22">
        <v>1</v>
      </c>
      <c r="S222" s="35">
        <f>IFERROR(
 (1.907*EXP(1)^(-0.5*tbl_CONTENT[[#This Row],[Layer]])) *
 ((tbl_CONTENT[[#This Row],[RelInt]]-1)^(2.5)*4^(1-2.5)+1) +
 ((tbl_CONTENT[[#This Row],[Comp]]-1)^(2.5)*4^(1-2.5)+1)*(0.5*((tbl_CONTENT[[#This Row],[RelInt]]-1)/4)^(2.5)+1),
 0
)</f>
        <v>0</v>
      </c>
      <c r="T222" s="35">
        <f>IFERROR(
 (1.907*EXP(1)^(-0.5*VALUE(tbl_CONTENT[[#This Row],[Layer]]))) *
 ((VALUE(tbl_CONTENT[[#This Row],[RelId]])-1)^(2.5)*4^(1-2.5)+1) +
 ((VALUE(tbl_CONTENT[[#This Row],[Comp]])-1)^(2.5)*4^(1-2.5)+1)*(0.5*((VALUE(tbl_CONTENT[[#This Row],[RelId]])-1)/4)^(2.5)+1),
 0
)</f>
        <v>0</v>
      </c>
      <c r="W222" s="22" t="str">
        <f>IFERROR(
  IF(_xlfn.XLOOKUP(tbl_CONTENT[[#This Row],[Topic]], tbl_TOPIC[Topic], tbl_TOPIC[ParentTopic])="", "",
       _xlfn.XLOOKUP(tbl_CONTENT[[#This Row],[Topic]], tbl_TOPIC[Topic], tbl_TOPIC[ParentTopic])),
  ""
)</f>
        <v>Interpretation der Wellenfunktion</v>
      </c>
      <c r="X222" s="22" t="str">
        <f>IFERROR(
  IF(_xlfn.XLOOKUP(tbl_CONTENT[[#This Row],[Topic]], tbl_TOPIC[Topic], tbl_TOPIC[TopicPath])="", "",
       _xlfn.XLOOKUP(tbl_CONTENT[[#This Row],[Topic]], tbl_TOPIC[Topic], tbl_TOPIC[TopicPath])),
  ""
)</f>
        <v>Schrödinger Gleichung/Interpretation der Wellenfunktion/Kontinuitätsgleichung</v>
      </c>
    </row>
    <row r="223" spans="3:24" ht="34" x14ac:dyDescent="0.2">
      <c r="C223" s="22" t="str">
        <f>_xlfn.XLOOKUP(tbl_CONTENT[[#This Row],[TopicID]], tbl_TOPIC[TopicID], tbl_TOPIC[Subject], "")</f>
        <v>QM</v>
      </c>
      <c r="D2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QM-T12-11-04</v>
      </c>
      <c r="E223" s="22">
        <f>ROW()</f>
        <v>223</v>
      </c>
      <c r="F223" s="22" t="s">
        <v>1051</v>
      </c>
      <c r="G223" s="22" t="str">
        <f>_xlfn.XLOOKUP(tbl_CONTENT[[#This Row],[Topic]], tbl_TOPIC[Topic], tbl_TOPIC[TopicID], "")</f>
        <v>QM-1-11</v>
      </c>
      <c r="H223" s="22" cm="1">
        <f t="array" ref="H223">SUM((tbl_CONTENT[[#This Row],[TopicID]]=INDEX(tbl_CONTENT[TopicID],1):tbl_CONTENT[[#This Row],[TopicID]])*1)</f>
        <v>4</v>
      </c>
      <c r="I223" s="22" t="str">
        <f>_xlfn.XLOOKUP(tbl_CONTENT[[#This Row],[Topic]], tbl_TOPIC[Topic], tbl_TOPIC[TopicIndex], "")</f>
        <v>11</v>
      </c>
      <c r="J223" s="22" t="s">
        <v>372</v>
      </c>
      <c r="K223" s="22" t="s">
        <v>444</v>
      </c>
      <c r="L223" s="22" t="s">
        <v>147</v>
      </c>
      <c r="M223" s="22">
        <v>1</v>
      </c>
      <c r="S223" s="35">
        <f>IFERROR(
 (1.907*EXP(1)^(-0.5*tbl_CONTENT[[#This Row],[Layer]])) *
 ((tbl_CONTENT[[#This Row],[RelInt]]-1)^(2.5)*4^(1-2.5)+1) +
 ((tbl_CONTENT[[#This Row],[Comp]]-1)^(2.5)*4^(1-2.5)+1)*(0.5*((tbl_CONTENT[[#This Row],[RelInt]]-1)/4)^(2.5)+1),
 0
)</f>
        <v>0</v>
      </c>
      <c r="T223" s="35">
        <f>IFERROR(
 (1.907*EXP(1)^(-0.5*VALUE(tbl_CONTENT[[#This Row],[Layer]]))) *
 ((VALUE(tbl_CONTENT[[#This Row],[RelId]])-1)^(2.5)*4^(1-2.5)+1) +
 ((VALUE(tbl_CONTENT[[#This Row],[Comp]])-1)^(2.5)*4^(1-2.5)+1)*(0.5*((VALUE(tbl_CONTENT[[#This Row],[RelId]])-1)/4)^(2.5)+1),
 0
)</f>
        <v>0</v>
      </c>
      <c r="W223" s="22" t="str">
        <f>IFERROR(
  IF(_xlfn.XLOOKUP(tbl_CONTENT[[#This Row],[Topic]], tbl_TOPIC[Topic], tbl_TOPIC[ParentTopic])="", "",
       _xlfn.XLOOKUP(tbl_CONTENT[[#This Row],[Topic]], tbl_TOPIC[Topic], tbl_TOPIC[ParentTopic])),
  ""
)</f>
        <v>Interpretation der Wellenfunktion</v>
      </c>
      <c r="X223" s="22" t="str">
        <f>IFERROR(
  IF(_xlfn.XLOOKUP(tbl_CONTENT[[#This Row],[Topic]], tbl_TOPIC[Topic], tbl_TOPIC[TopicPath])="", "",
       _xlfn.XLOOKUP(tbl_CONTENT[[#This Row],[Topic]], tbl_TOPIC[Topic], tbl_TOPIC[TopicPath])),
  ""
)</f>
        <v>Schrödinger Gleichung/Interpretation der Wellenfunktion/Kontinuitätsgleichung</v>
      </c>
    </row>
    <row r="224" spans="3:24" ht="34" x14ac:dyDescent="0.2">
      <c r="C224" s="22" t="str">
        <f>_xlfn.XLOOKUP(tbl_CONTENT[[#This Row],[TopicID]], tbl_TOPIC[TopicID], tbl_TOPIC[Subject], "")</f>
        <v>QM</v>
      </c>
      <c r="D2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QM-T12-11-05</v>
      </c>
      <c r="E224" s="22">
        <f>ROW()</f>
        <v>224</v>
      </c>
      <c r="F224" s="22" t="s">
        <v>1051</v>
      </c>
      <c r="G224" s="22" t="str">
        <f>_xlfn.XLOOKUP(tbl_CONTENT[[#This Row],[Topic]], tbl_TOPIC[Topic], tbl_TOPIC[TopicID], "")</f>
        <v>QM-1-11</v>
      </c>
      <c r="H224" s="22" cm="1">
        <f t="array" ref="H224">SUM((tbl_CONTENT[[#This Row],[TopicID]]=INDEX(tbl_CONTENT[TopicID],1):tbl_CONTENT[[#This Row],[TopicID]])*1)</f>
        <v>5</v>
      </c>
      <c r="I224" s="22" t="str">
        <f>_xlfn.XLOOKUP(tbl_CONTENT[[#This Row],[Topic]], tbl_TOPIC[Topic], tbl_TOPIC[TopicIndex], "")</f>
        <v>11</v>
      </c>
      <c r="J224" s="22" t="s">
        <v>372</v>
      </c>
      <c r="K224" s="22" t="s">
        <v>446</v>
      </c>
      <c r="L224" s="22" t="s">
        <v>380</v>
      </c>
      <c r="O224" s="22">
        <v>4</v>
      </c>
      <c r="S224" s="35">
        <f>IFERROR(
 (1.907*EXP(1)^(-0.5*tbl_CONTENT[[#This Row],[Layer]])) *
 ((tbl_CONTENT[[#This Row],[RelInt]]-1)^(2.5)*4^(1-2.5)+1) +
 ((tbl_CONTENT[[#This Row],[Comp]]-1)^(2.5)*4^(1-2.5)+1)*(0.5*((tbl_CONTENT[[#This Row],[RelInt]]-1)/4)^(2.5)+1),
 0
)</f>
        <v>0</v>
      </c>
      <c r="T224" s="35">
        <f>IFERROR(
 (1.907*EXP(1)^(-0.5*VALUE(tbl_CONTENT[[#This Row],[Layer]]))) *
 ((VALUE(tbl_CONTENT[[#This Row],[RelId]])-1)^(2.5)*4^(1-2.5)+1) +
 ((VALUE(tbl_CONTENT[[#This Row],[Comp]])-1)^(2.5)*4^(1-2.5)+1)*(0.5*((VALUE(tbl_CONTENT[[#This Row],[RelId]])-1)/4)^(2.5)+1),
 0
)</f>
        <v>0</v>
      </c>
      <c r="W224" s="22" t="str">
        <f>IFERROR(
  IF(_xlfn.XLOOKUP(tbl_CONTENT[[#This Row],[Topic]], tbl_TOPIC[Topic], tbl_TOPIC[ParentTopic])="", "",
       _xlfn.XLOOKUP(tbl_CONTENT[[#This Row],[Topic]], tbl_TOPIC[Topic], tbl_TOPIC[ParentTopic])),
  ""
)</f>
        <v>Interpretation der Wellenfunktion</v>
      </c>
      <c r="X224" s="22" t="str">
        <f>IFERROR(
  IF(_xlfn.XLOOKUP(tbl_CONTENT[[#This Row],[Topic]], tbl_TOPIC[Topic], tbl_TOPIC[TopicPath])="", "",
       _xlfn.XLOOKUP(tbl_CONTENT[[#This Row],[Topic]], tbl_TOPIC[Topic], tbl_TOPIC[TopicPath])),
  ""
)</f>
        <v>Schrödinger Gleichung/Interpretation der Wellenfunktion/Kontinuitätsgleichung</v>
      </c>
    </row>
    <row r="225" spans="3:24" ht="51" x14ac:dyDescent="0.2">
      <c r="C225" s="22" t="str">
        <f>_xlfn.XLOOKUP(tbl_CONTENT[[#This Row],[TopicID]], tbl_TOPIC[TopicID], tbl_TOPIC[Subject], "")</f>
        <v>QM</v>
      </c>
      <c r="D2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QM-T12-11-06</v>
      </c>
      <c r="E225" s="22">
        <f>ROW()</f>
        <v>225</v>
      </c>
      <c r="F225" s="22" t="s">
        <v>1051</v>
      </c>
      <c r="G225" s="22" t="str">
        <f>_xlfn.XLOOKUP(tbl_CONTENT[[#This Row],[Topic]], tbl_TOPIC[Topic], tbl_TOPIC[TopicID], "")</f>
        <v>QM-1-11</v>
      </c>
      <c r="H225" s="22" cm="1">
        <f t="array" ref="H225">SUM((tbl_CONTENT[[#This Row],[TopicID]]=INDEX(tbl_CONTENT[TopicID],1):tbl_CONTENT[[#This Row],[TopicID]])*1)</f>
        <v>6</v>
      </c>
      <c r="I225" s="22" t="str">
        <f>_xlfn.XLOOKUP(tbl_CONTENT[[#This Row],[Topic]], tbl_TOPIC[Topic], tbl_TOPIC[TopicIndex], "")</f>
        <v>11</v>
      </c>
      <c r="J225" s="22" t="s">
        <v>372</v>
      </c>
      <c r="K225" s="22" t="s">
        <v>447</v>
      </c>
      <c r="L225" s="22" t="s">
        <v>179</v>
      </c>
      <c r="S225" s="35">
        <f>IFERROR(
 (1.907*EXP(1)^(-0.5*tbl_CONTENT[[#This Row],[Layer]])) *
 ((tbl_CONTENT[[#This Row],[RelInt]]-1)^(2.5)*4^(1-2.5)+1) +
 ((tbl_CONTENT[[#This Row],[Comp]]-1)^(2.5)*4^(1-2.5)+1)*(0.5*((tbl_CONTENT[[#This Row],[RelInt]]-1)/4)^(2.5)+1),
 0
)</f>
        <v>0</v>
      </c>
      <c r="T225" s="35">
        <f>IFERROR(
 (1.907*EXP(1)^(-0.5*VALUE(tbl_CONTENT[[#This Row],[Layer]]))) *
 ((VALUE(tbl_CONTENT[[#This Row],[RelId]])-1)^(2.5)*4^(1-2.5)+1) +
 ((VALUE(tbl_CONTENT[[#This Row],[Comp]])-1)^(2.5)*4^(1-2.5)+1)*(0.5*((VALUE(tbl_CONTENT[[#This Row],[RelId]])-1)/4)^(2.5)+1),
 0
)</f>
        <v>0</v>
      </c>
      <c r="W225" s="22" t="str">
        <f>IFERROR(
  IF(_xlfn.XLOOKUP(tbl_CONTENT[[#This Row],[Topic]], tbl_TOPIC[Topic], tbl_TOPIC[ParentTopic])="", "",
       _xlfn.XLOOKUP(tbl_CONTENT[[#This Row],[Topic]], tbl_TOPIC[Topic], tbl_TOPIC[ParentTopic])),
  ""
)</f>
        <v>Interpretation der Wellenfunktion</v>
      </c>
      <c r="X225" s="22" t="str">
        <f>IFERROR(
  IF(_xlfn.XLOOKUP(tbl_CONTENT[[#This Row],[Topic]], tbl_TOPIC[Topic], tbl_TOPIC[TopicPath])="", "",
       _xlfn.XLOOKUP(tbl_CONTENT[[#This Row],[Topic]], tbl_TOPIC[Topic], tbl_TOPIC[TopicPath])),
  ""
)</f>
        <v>Schrödinger Gleichung/Interpretation der Wellenfunktion/Kontinuitätsgleichung</v>
      </c>
    </row>
    <row r="226" spans="3:24" ht="68" x14ac:dyDescent="0.2">
      <c r="C226" s="22" t="str">
        <f>_xlfn.XLOOKUP(tbl_CONTENT[[#This Row],[TopicID]], tbl_TOPIC[TopicID], tbl_TOPIC[Subject], "")</f>
        <v>QM</v>
      </c>
      <c r="D2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QM-T12-11-07</v>
      </c>
      <c r="E226" s="22">
        <f>ROW()</f>
        <v>226</v>
      </c>
      <c r="F226" s="22" t="s">
        <v>1051</v>
      </c>
      <c r="G226" s="22" t="str">
        <f>_xlfn.XLOOKUP(tbl_CONTENT[[#This Row],[Topic]], tbl_TOPIC[Topic], tbl_TOPIC[TopicID], "")</f>
        <v>QM-1-11</v>
      </c>
      <c r="H226" s="22" cm="1">
        <f t="array" ref="H226">SUM((tbl_CONTENT[[#This Row],[TopicID]]=INDEX(tbl_CONTENT[TopicID],1):tbl_CONTENT[[#This Row],[TopicID]])*1)</f>
        <v>7</v>
      </c>
      <c r="I226" s="22" t="str">
        <f>_xlfn.XLOOKUP(tbl_CONTENT[[#This Row],[Topic]], tbl_TOPIC[Topic], tbl_TOPIC[TopicIndex], "")</f>
        <v>11</v>
      </c>
      <c r="J226" s="22" t="s">
        <v>372</v>
      </c>
      <c r="K226" s="22" t="s">
        <v>1042</v>
      </c>
      <c r="L226" s="22" t="s">
        <v>147</v>
      </c>
      <c r="S226" s="35">
        <f>IFERROR(
 (1.907*EXP(1)^(-0.5*tbl_CONTENT[[#This Row],[Layer]])) *
 ((tbl_CONTENT[[#This Row],[RelInt]]-1)^(2.5)*4^(1-2.5)+1) +
 ((tbl_CONTENT[[#This Row],[Comp]]-1)^(2.5)*4^(1-2.5)+1)*(0.5*((tbl_CONTENT[[#This Row],[RelInt]]-1)/4)^(2.5)+1),
 0
)</f>
        <v>0</v>
      </c>
      <c r="T226" s="35">
        <f>IFERROR(
 (1.907*EXP(1)^(-0.5*VALUE(tbl_CONTENT[[#This Row],[Layer]]))) *
 ((VALUE(tbl_CONTENT[[#This Row],[RelId]])-1)^(2.5)*4^(1-2.5)+1) +
 ((VALUE(tbl_CONTENT[[#This Row],[Comp]])-1)^(2.5)*4^(1-2.5)+1)*(0.5*((VALUE(tbl_CONTENT[[#This Row],[RelId]])-1)/4)^(2.5)+1),
 0
)</f>
        <v>0</v>
      </c>
      <c r="W226" s="22" t="str">
        <f>IFERROR(
  IF(_xlfn.XLOOKUP(tbl_CONTENT[[#This Row],[Topic]], tbl_TOPIC[Topic], tbl_TOPIC[ParentTopic])="", "",
       _xlfn.XLOOKUP(tbl_CONTENT[[#This Row],[Topic]], tbl_TOPIC[Topic], tbl_TOPIC[ParentTopic])),
  ""
)</f>
        <v>Interpretation der Wellenfunktion</v>
      </c>
      <c r="X226" s="22" t="str">
        <f>IFERROR(
  IF(_xlfn.XLOOKUP(tbl_CONTENT[[#This Row],[Topic]], tbl_TOPIC[Topic], tbl_TOPIC[TopicPath])="", "",
       _xlfn.XLOOKUP(tbl_CONTENT[[#This Row],[Topic]], tbl_TOPIC[Topic], tbl_TOPIC[TopicPath])),
  ""
)</f>
        <v>Schrödinger Gleichung/Interpretation der Wellenfunktion/Kontinuitätsgleichung</v>
      </c>
    </row>
    <row r="227" spans="3:24" ht="68" x14ac:dyDescent="0.2">
      <c r="C227" s="22" t="str">
        <f>_xlfn.XLOOKUP(tbl_CONTENT[[#This Row],[TopicID]], tbl_TOPIC[TopicID], tbl_TOPIC[Subject], "")</f>
        <v>QM</v>
      </c>
      <c r="D2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QM-T12-12-01</v>
      </c>
      <c r="E227" s="22">
        <f>ROW()</f>
        <v>227</v>
      </c>
      <c r="F227" s="22" t="s">
        <v>1051</v>
      </c>
      <c r="G227" s="22" t="str">
        <f>_xlfn.XLOOKUP(tbl_CONTENT[[#This Row],[Topic]], tbl_TOPIC[Topic], tbl_TOPIC[TopicID], "")</f>
        <v>QM-1-12</v>
      </c>
      <c r="H227" s="22" cm="1">
        <f t="array" ref="H227">SUM((tbl_CONTENT[[#This Row],[TopicID]]=INDEX(tbl_CONTENT[TopicID],1):tbl_CONTENT[[#This Row],[TopicID]])*1)</f>
        <v>1</v>
      </c>
      <c r="I227" s="22" t="str">
        <f>_xlfn.XLOOKUP(tbl_CONTENT[[#This Row],[Topic]], tbl_TOPIC[Topic], tbl_TOPIC[TopicIndex], "")</f>
        <v>12</v>
      </c>
      <c r="J227" s="22" t="s">
        <v>373</v>
      </c>
      <c r="K227" s="22" t="s">
        <v>448</v>
      </c>
      <c r="L227" s="22" t="s">
        <v>179</v>
      </c>
      <c r="M227" s="22">
        <v>1</v>
      </c>
      <c r="S227" s="35">
        <f>IFERROR(
 (1.907*EXP(1)^(-0.5*tbl_CONTENT[[#This Row],[Layer]])) *
 ((tbl_CONTENT[[#This Row],[RelInt]]-1)^(2.5)*4^(1-2.5)+1) +
 ((tbl_CONTENT[[#This Row],[Comp]]-1)^(2.5)*4^(1-2.5)+1)*(0.5*((tbl_CONTENT[[#This Row],[RelInt]]-1)/4)^(2.5)+1),
 0
)</f>
        <v>0</v>
      </c>
      <c r="T227" s="35">
        <f>IFERROR(
 (1.907*EXP(1)^(-0.5*VALUE(tbl_CONTENT[[#This Row],[Layer]]))) *
 ((VALUE(tbl_CONTENT[[#This Row],[RelId]])-1)^(2.5)*4^(1-2.5)+1) +
 ((VALUE(tbl_CONTENT[[#This Row],[Comp]])-1)^(2.5)*4^(1-2.5)+1)*(0.5*((VALUE(tbl_CONTENT[[#This Row],[RelId]])-1)/4)^(2.5)+1),
 0
)</f>
        <v>0</v>
      </c>
      <c r="W227" s="22" t="str">
        <f>IFERROR(
  IF(_xlfn.XLOOKUP(tbl_CONTENT[[#This Row],[Topic]], tbl_TOPIC[Topic], tbl_TOPIC[ParentTopic])="", "",
       _xlfn.XLOOKUP(tbl_CONTENT[[#This Row],[Topic]], tbl_TOPIC[Topic], tbl_TOPIC[ParentTopic])),
  ""
)</f>
        <v>Interpretation der Wellenfunktion</v>
      </c>
      <c r="X227" s="22" t="str">
        <f>IFERROR(
  IF(_xlfn.XLOOKUP(tbl_CONTENT[[#This Row],[Topic]], tbl_TOPIC[Topic], tbl_TOPIC[TopicPath])="", "",
       _xlfn.XLOOKUP(tbl_CONTENT[[#This Row],[Topic]], tbl_TOPIC[Topic], tbl_TOPIC[TopicPath])),
  ""
)</f>
        <v>Schrödinger Gleichung/Interpretation der Wellenfunktion/Impulsraum</v>
      </c>
    </row>
    <row r="228" spans="3:24" ht="68" x14ac:dyDescent="0.2">
      <c r="C228" s="22" t="str">
        <f>_xlfn.XLOOKUP(tbl_CONTENT[[#This Row],[TopicID]], tbl_TOPIC[TopicID], tbl_TOPIC[Subject], "")</f>
        <v>QM</v>
      </c>
      <c r="D2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QM-T12-12-02</v>
      </c>
      <c r="E228" s="22">
        <f>ROW()</f>
        <v>228</v>
      </c>
      <c r="F228" s="22" t="s">
        <v>1051</v>
      </c>
      <c r="G228" s="22" t="str">
        <f>_xlfn.XLOOKUP(tbl_CONTENT[[#This Row],[Topic]], tbl_TOPIC[Topic], tbl_TOPIC[TopicID], "")</f>
        <v>QM-1-12</v>
      </c>
      <c r="H228" s="22" cm="1">
        <f t="array" ref="H228">SUM((tbl_CONTENT[[#This Row],[TopicID]]=INDEX(tbl_CONTENT[TopicID],1):tbl_CONTENT[[#This Row],[TopicID]])*1)</f>
        <v>2</v>
      </c>
      <c r="I228" s="22" t="str">
        <f>_xlfn.XLOOKUP(tbl_CONTENT[[#This Row],[Topic]], tbl_TOPIC[Topic], tbl_TOPIC[TopicIndex], "")</f>
        <v>12</v>
      </c>
      <c r="J228" s="22" t="s">
        <v>373</v>
      </c>
      <c r="K228" s="22" t="s">
        <v>449</v>
      </c>
      <c r="L228" s="22" t="s">
        <v>152</v>
      </c>
      <c r="M228" s="22">
        <v>1</v>
      </c>
      <c r="S228" s="35">
        <f>IFERROR(
 (1.907*EXP(1)^(-0.5*tbl_CONTENT[[#This Row],[Layer]])) *
 ((tbl_CONTENT[[#This Row],[RelInt]]-1)^(2.5)*4^(1-2.5)+1) +
 ((tbl_CONTENT[[#This Row],[Comp]]-1)^(2.5)*4^(1-2.5)+1)*(0.5*((tbl_CONTENT[[#This Row],[RelInt]]-1)/4)^(2.5)+1),
 0
)</f>
        <v>0</v>
      </c>
      <c r="T228" s="35">
        <f>IFERROR(
 (1.907*EXP(1)^(-0.5*VALUE(tbl_CONTENT[[#This Row],[Layer]]))) *
 ((VALUE(tbl_CONTENT[[#This Row],[RelId]])-1)^(2.5)*4^(1-2.5)+1) +
 ((VALUE(tbl_CONTENT[[#This Row],[Comp]])-1)^(2.5)*4^(1-2.5)+1)*(0.5*((VALUE(tbl_CONTENT[[#This Row],[RelId]])-1)/4)^(2.5)+1),
 0
)</f>
        <v>0</v>
      </c>
      <c r="W228" s="22" t="str">
        <f>IFERROR(
  IF(_xlfn.XLOOKUP(tbl_CONTENT[[#This Row],[Topic]], tbl_TOPIC[Topic], tbl_TOPIC[ParentTopic])="", "",
       _xlfn.XLOOKUP(tbl_CONTENT[[#This Row],[Topic]], tbl_TOPIC[Topic], tbl_TOPIC[ParentTopic])),
  ""
)</f>
        <v>Interpretation der Wellenfunktion</v>
      </c>
      <c r="X228" s="22" t="str">
        <f>IFERROR(
  IF(_xlfn.XLOOKUP(tbl_CONTENT[[#This Row],[Topic]], tbl_TOPIC[Topic], tbl_TOPIC[TopicPath])="", "",
       _xlfn.XLOOKUP(tbl_CONTENT[[#This Row],[Topic]], tbl_TOPIC[Topic], tbl_TOPIC[TopicPath])),
  ""
)</f>
        <v>Schrödinger Gleichung/Interpretation der Wellenfunktion/Impulsraum</v>
      </c>
    </row>
    <row r="229" spans="3:24" ht="51" x14ac:dyDescent="0.2">
      <c r="C229" s="22" t="str">
        <f>_xlfn.XLOOKUP(tbl_CONTENT[[#This Row],[TopicID]], tbl_TOPIC[TopicID], tbl_TOPIC[Subject], "")</f>
        <v>QM</v>
      </c>
      <c r="D2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QM-T12-12-03</v>
      </c>
      <c r="E229" s="22">
        <f>ROW()</f>
        <v>229</v>
      </c>
      <c r="F229" s="22" t="s">
        <v>1051</v>
      </c>
      <c r="G229" s="22" t="str">
        <f>_xlfn.XLOOKUP(tbl_CONTENT[[#This Row],[Topic]], tbl_TOPIC[Topic], tbl_TOPIC[TopicID], "")</f>
        <v>QM-1-12</v>
      </c>
      <c r="H229" s="22" cm="1">
        <f t="array" ref="H229">SUM((tbl_CONTENT[[#This Row],[TopicID]]=INDEX(tbl_CONTENT[TopicID],1):tbl_CONTENT[[#This Row],[TopicID]])*1)</f>
        <v>3</v>
      </c>
      <c r="I229" s="22" t="str">
        <f>_xlfn.XLOOKUP(tbl_CONTENT[[#This Row],[Topic]], tbl_TOPIC[Topic], tbl_TOPIC[TopicIndex], "")</f>
        <v>12</v>
      </c>
      <c r="J229" s="22" t="s">
        <v>373</v>
      </c>
      <c r="K229" s="22" t="s">
        <v>450</v>
      </c>
      <c r="L229" s="22" t="s">
        <v>147</v>
      </c>
      <c r="M229" s="22">
        <v>1</v>
      </c>
      <c r="S229" s="35">
        <f>IFERROR(
 (1.907*EXP(1)^(-0.5*tbl_CONTENT[[#This Row],[Layer]])) *
 ((tbl_CONTENT[[#This Row],[RelInt]]-1)^(2.5)*4^(1-2.5)+1) +
 ((tbl_CONTENT[[#This Row],[Comp]]-1)^(2.5)*4^(1-2.5)+1)*(0.5*((tbl_CONTENT[[#This Row],[RelInt]]-1)/4)^(2.5)+1),
 0
)</f>
        <v>0</v>
      </c>
      <c r="T229" s="35">
        <f>IFERROR(
 (1.907*EXP(1)^(-0.5*VALUE(tbl_CONTENT[[#This Row],[Layer]]))) *
 ((VALUE(tbl_CONTENT[[#This Row],[RelId]])-1)^(2.5)*4^(1-2.5)+1) +
 ((VALUE(tbl_CONTENT[[#This Row],[Comp]])-1)^(2.5)*4^(1-2.5)+1)*(0.5*((VALUE(tbl_CONTENT[[#This Row],[RelId]])-1)/4)^(2.5)+1),
 0
)</f>
        <v>0</v>
      </c>
      <c r="W229" s="22" t="str">
        <f>IFERROR(
  IF(_xlfn.XLOOKUP(tbl_CONTENT[[#This Row],[Topic]], tbl_TOPIC[Topic], tbl_TOPIC[ParentTopic])="", "",
       _xlfn.XLOOKUP(tbl_CONTENT[[#This Row],[Topic]], tbl_TOPIC[Topic], tbl_TOPIC[ParentTopic])),
  ""
)</f>
        <v>Interpretation der Wellenfunktion</v>
      </c>
      <c r="X229" s="22" t="str">
        <f>IFERROR(
  IF(_xlfn.XLOOKUP(tbl_CONTENT[[#This Row],[Topic]], tbl_TOPIC[Topic], tbl_TOPIC[TopicPath])="", "",
       _xlfn.XLOOKUP(tbl_CONTENT[[#This Row],[Topic]], tbl_TOPIC[Topic], tbl_TOPIC[TopicPath])),
  ""
)</f>
        <v>Schrödinger Gleichung/Interpretation der Wellenfunktion/Impulsraum</v>
      </c>
    </row>
    <row r="230" spans="3:24" ht="34" x14ac:dyDescent="0.2">
      <c r="C230" s="22" t="str">
        <f>_xlfn.XLOOKUP(tbl_CONTENT[[#This Row],[TopicID]], tbl_TOPIC[TopicID], tbl_TOPIC[Subject], "")</f>
        <v>QM</v>
      </c>
      <c r="D2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QM-T12-12-04</v>
      </c>
      <c r="E230" s="22">
        <f>ROW()</f>
        <v>230</v>
      </c>
      <c r="F230" s="22" t="s">
        <v>1051</v>
      </c>
      <c r="G230" s="22" t="str">
        <f>_xlfn.XLOOKUP(tbl_CONTENT[[#This Row],[Topic]], tbl_TOPIC[Topic], tbl_TOPIC[TopicID], "")</f>
        <v>QM-1-12</v>
      </c>
      <c r="H230" s="22" cm="1">
        <f t="array" ref="H230">SUM((tbl_CONTENT[[#This Row],[TopicID]]=INDEX(tbl_CONTENT[TopicID],1):tbl_CONTENT[[#This Row],[TopicID]])*1)</f>
        <v>4</v>
      </c>
      <c r="I230" s="22" t="str">
        <f>_xlfn.XLOOKUP(tbl_CONTENT[[#This Row],[Topic]], tbl_TOPIC[Topic], tbl_TOPIC[TopicIndex], "")</f>
        <v>12</v>
      </c>
      <c r="J230" s="22" t="s">
        <v>373</v>
      </c>
      <c r="K230" s="22" t="s">
        <v>451</v>
      </c>
      <c r="L230" s="22" t="s">
        <v>380</v>
      </c>
      <c r="M230" s="22">
        <v>1</v>
      </c>
      <c r="S230" s="35">
        <f>IFERROR(
 (1.907*EXP(1)^(-0.5*tbl_CONTENT[[#This Row],[Layer]])) *
 ((tbl_CONTENT[[#This Row],[RelInt]]-1)^(2.5)*4^(1-2.5)+1) +
 ((tbl_CONTENT[[#This Row],[Comp]]-1)^(2.5)*4^(1-2.5)+1)*(0.5*((tbl_CONTENT[[#This Row],[RelInt]]-1)/4)^(2.5)+1),
 0
)</f>
        <v>0</v>
      </c>
      <c r="T230" s="35">
        <f>IFERROR(
 (1.907*EXP(1)^(-0.5*VALUE(tbl_CONTENT[[#This Row],[Layer]]))) *
 ((VALUE(tbl_CONTENT[[#This Row],[RelId]])-1)^(2.5)*4^(1-2.5)+1) +
 ((VALUE(tbl_CONTENT[[#This Row],[Comp]])-1)^(2.5)*4^(1-2.5)+1)*(0.5*((VALUE(tbl_CONTENT[[#This Row],[RelId]])-1)/4)^(2.5)+1),
 0
)</f>
        <v>0</v>
      </c>
      <c r="V230" s="22" t="s">
        <v>452</v>
      </c>
      <c r="W230" s="22" t="str">
        <f>IFERROR(
  IF(_xlfn.XLOOKUP(tbl_CONTENT[[#This Row],[Topic]], tbl_TOPIC[Topic], tbl_TOPIC[ParentTopic])="", "",
       _xlfn.XLOOKUP(tbl_CONTENT[[#This Row],[Topic]], tbl_TOPIC[Topic], tbl_TOPIC[ParentTopic])),
  ""
)</f>
        <v>Interpretation der Wellenfunktion</v>
      </c>
      <c r="X230" s="22" t="str">
        <f>IFERROR(
  IF(_xlfn.XLOOKUP(tbl_CONTENT[[#This Row],[Topic]], tbl_TOPIC[Topic], tbl_TOPIC[TopicPath])="", "",
       _xlfn.XLOOKUP(tbl_CONTENT[[#This Row],[Topic]], tbl_TOPIC[Topic], tbl_TOPIC[TopicPath])),
  ""
)</f>
        <v>Schrödinger Gleichung/Interpretation der Wellenfunktion/Impulsraum</v>
      </c>
    </row>
    <row r="231" spans="3:24" ht="34" x14ac:dyDescent="0.2">
      <c r="C231" s="22" t="str">
        <f>_xlfn.XLOOKUP(tbl_CONTENT[[#This Row],[TopicID]], tbl_TOPIC[TopicID], tbl_TOPIC[Subject], "")</f>
        <v>CM</v>
      </c>
      <c r="D2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CM-T12-01-01</v>
      </c>
      <c r="E231" s="22">
        <f>ROW()</f>
        <v>231</v>
      </c>
      <c r="F231" s="22" t="s">
        <v>1051</v>
      </c>
      <c r="G231" s="22" t="str">
        <f>_xlfn.XLOOKUP(tbl_CONTENT[[#This Row],[Topic]], tbl_TOPIC[Topic], tbl_TOPIC[TopicID], "")</f>
        <v>CM-1-01</v>
      </c>
      <c r="H231" s="22" cm="1">
        <f t="array" ref="H231">SUM((tbl_CONTENT[[#This Row],[TopicID]]=INDEX(tbl_CONTENT[TopicID],1):tbl_CONTENT[[#This Row],[TopicID]])*1)</f>
        <v>1</v>
      </c>
      <c r="I231" s="22" t="str">
        <f>_xlfn.XLOOKUP(tbl_CONTENT[[#This Row],[Topic]], tbl_TOPIC[Topic], tbl_TOPIC[TopicIndex], "")</f>
        <v>01</v>
      </c>
      <c r="J231" s="22" t="s">
        <v>460</v>
      </c>
      <c r="K231" s="22" t="s">
        <v>464</v>
      </c>
      <c r="L231" s="22" t="s">
        <v>380</v>
      </c>
      <c r="S231" s="35">
        <f>IFERROR(
 (1.907*EXP(1)^(-0.5*tbl_CONTENT[[#This Row],[Layer]])) *
 ((tbl_CONTENT[[#This Row],[RelInt]]-1)^(2.5)*4^(1-2.5)+1) +
 ((tbl_CONTENT[[#This Row],[Comp]]-1)^(2.5)*4^(1-2.5)+1)*(0.5*((tbl_CONTENT[[#This Row],[RelInt]]-1)/4)^(2.5)+1),
 0
)</f>
        <v>0</v>
      </c>
      <c r="T231" s="35">
        <f>IFERROR(
 (1.907*EXP(1)^(-0.5*VALUE(tbl_CONTENT[[#This Row],[Layer]]))) *
 ((VALUE(tbl_CONTENT[[#This Row],[RelId]])-1)^(2.5)*4^(1-2.5)+1) +
 ((VALUE(tbl_CONTENT[[#This Row],[Comp]])-1)^(2.5)*4^(1-2.5)+1)*(0.5*((VALUE(tbl_CONTENT[[#This Row],[RelId]])-1)/4)^(2.5)+1),
 0
)</f>
        <v>0</v>
      </c>
      <c r="W231" s="22" t="str">
        <f>IFERROR(
  IF(_xlfn.XLOOKUP(tbl_CONTENT[[#This Row],[Topic]], tbl_TOPIC[Topic], tbl_TOPIC[ParentTopic])="", "",
       _xlfn.XLOOKUP(tbl_CONTENT[[#This Row],[Topic]], tbl_TOPIC[Topic], tbl_TOPIC[ParentTopic])),
  ""
)</f>
        <v/>
      </c>
      <c r="X231" s="22" t="str">
        <f>IFERROR(
  IF(_xlfn.XLOOKUP(tbl_CONTENT[[#This Row],[Topic]], tbl_TOPIC[Topic], tbl_TOPIC[TopicPath])="", "",
       _xlfn.XLOOKUP(tbl_CONTENT[[#This Row],[Topic]], tbl_TOPIC[Topic], tbl_TOPIC[TopicPath])),
  ""
)</f>
        <v>Klassische Streutheorie</v>
      </c>
    </row>
    <row r="232" spans="3:24" ht="17" x14ac:dyDescent="0.2">
      <c r="C232" s="22" t="str">
        <f>_xlfn.XLOOKUP(tbl_CONTENT[[#This Row],[TopicID]], tbl_TOPIC[TopicID], tbl_TOPIC[Subject], "")</f>
        <v>CM</v>
      </c>
      <c r="D2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CM-T12-01-02</v>
      </c>
      <c r="E232" s="22">
        <f>ROW()</f>
        <v>232</v>
      </c>
      <c r="F232" s="22" t="s">
        <v>1051</v>
      </c>
      <c r="G232" s="22" t="str">
        <f>_xlfn.XLOOKUP(tbl_CONTENT[[#This Row],[Topic]], tbl_TOPIC[Topic], tbl_TOPIC[TopicID], "")</f>
        <v>CM-1-01</v>
      </c>
      <c r="H232" s="22" cm="1">
        <f t="array" ref="H232">SUM((tbl_CONTENT[[#This Row],[TopicID]]=INDEX(tbl_CONTENT[TopicID],1):tbl_CONTENT[[#This Row],[TopicID]])*1)</f>
        <v>2</v>
      </c>
      <c r="I232" s="22" t="str">
        <f>_xlfn.XLOOKUP(tbl_CONTENT[[#This Row],[Topic]], tbl_TOPIC[Topic], tbl_TOPIC[TopicIndex], "")</f>
        <v>01</v>
      </c>
      <c r="J232" s="22" t="s">
        <v>460</v>
      </c>
      <c r="K232" s="22" t="s">
        <v>465</v>
      </c>
      <c r="L232" s="22" t="s">
        <v>380</v>
      </c>
      <c r="S232" s="35">
        <f>IFERROR(
 (1.907*EXP(1)^(-0.5*tbl_CONTENT[[#This Row],[Layer]])) *
 ((tbl_CONTENT[[#This Row],[RelInt]]-1)^(2.5)*4^(1-2.5)+1) +
 ((tbl_CONTENT[[#This Row],[Comp]]-1)^(2.5)*4^(1-2.5)+1)*(0.5*((tbl_CONTENT[[#This Row],[RelInt]]-1)/4)^(2.5)+1),
 0
)</f>
        <v>0</v>
      </c>
      <c r="T232" s="35">
        <f>IFERROR(
 (1.907*EXP(1)^(-0.5*VALUE(tbl_CONTENT[[#This Row],[Layer]]))) *
 ((VALUE(tbl_CONTENT[[#This Row],[RelId]])-1)^(2.5)*4^(1-2.5)+1) +
 ((VALUE(tbl_CONTENT[[#This Row],[Comp]])-1)^(2.5)*4^(1-2.5)+1)*(0.5*((VALUE(tbl_CONTENT[[#This Row],[RelId]])-1)/4)^(2.5)+1),
 0
)</f>
        <v>0</v>
      </c>
      <c r="W232" s="22" t="str">
        <f>IFERROR(
  IF(_xlfn.XLOOKUP(tbl_CONTENT[[#This Row],[Topic]], tbl_TOPIC[Topic], tbl_TOPIC[ParentTopic])="", "",
       _xlfn.XLOOKUP(tbl_CONTENT[[#This Row],[Topic]], tbl_TOPIC[Topic], tbl_TOPIC[ParentTopic])),
  ""
)</f>
        <v/>
      </c>
      <c r="X232" s="22" t="str">
        <f>IFERROR(
  IF(_xlfn.XLOOKUP(tbl_CONTENT[[#This Row],[Topic]], tbl_TOPIC[Topic], tbl_TOPIC[TopicPath])="", "",
       _xlfn.XLOOKUP(tbl_CONTENT[[#This Row],[Topic]], tbl_TOPIC[Topic], tbl_TOPIC[TopicPath])),
  ""
)</f>
        <v>Klassische Streutheorie</v>
      </c>
    </row>
    <row r="233" spans="3:24" ht="17" x14ac:dyDescent="0.2">
      <c r="C233" s="22" t="str">
        <f>_xlfn.XLOOKUP(tbl_CONTENT[[#This Row],[TopicID]], tbl_TOPIC[TopicID], tbl_TOPIC[Subject], "")</f>
        <v>CM</v>
      </c>
      <c r="D2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CM-T12-02-01</v>
      </c>
      <c r="E233" s="22">
        <f>ROW()</f>
        <v>233</v>
      </c>
      <c r="F233" s="22" t="s">
        <v>1051</v>
      </c>
      <c r="G233" s="22" t="str">
        <f>_xlfn.XLOOKUP(tbl_CONTENT[[#This Row],[Topic]], tbl_TOPIC[Topic], tbl_TOPIC[TopicID], "")</f>
        <v>CM-1-02</v>
      </c>
      <c r="H233" s="22" cm="1">
        <f t="array" ref="H233">SUM((tbl_CONTENT[[#This Row],[TopicID]]=INDEX(tbl_CONTENT[TopicID],1):tbl_CONTENT[[#This Row],[TopicID]])*1)</f>
        <v>1</v>
      </c>
      <c r="I233" s="22" t="str">
        <f>_xlfn.XLOOKUP(tbl_CONTENT[[#This Row],[Topic]], tbl_TOPIC[Topic], tbl_TOPIC[TopicIndex], "")</f>
        <v>02</v>
      </c>
      <c r="J233" s="22" t="s">
        <v>461</v>
      </c>
      <c r="K233" s="22" t="s">
        <v>466</v>
      </c>
      <c r="L233" s="22" t="s">
        <v>380</v>
      </c>
      <c r="M233" s="22">
        <v>1</v>
      </c>
      <c r="S233" s="35">
        <f>IFERROR(
 (1.907*EXP(1)^(-0.5*tbl_CONTENT[[#This Row],[Layer]])) *
 ((tbl_CONTENT[[#This Row],[RelInt]]-1)^(2.5)*4^(1-2.5)+1) +
 ((tbl_CONTENT[[#This Row],[Comp]]-1)^(2.5)*4^(1-2.5)+1)*(0.5*((tbl_CONTENT[[#This Row],[RelInt]]-1)/4)^(2.5)+1),
 0
)</f>
        <v>0</v>
      </c>
      <c r="T233" s="35">
        <f>IFERROR(
 (1.907*EXP(1)^(-0.5*VALUE(tbl_CONTENT[[#This Row],[Layer]]))) *
 ((VALUE(tbl_CONTENT[[#This Row],[RelId]])-1)^(2.5)*4^(1-2.5)+1) +
 ((VALUE(tbl_CONTENT[[#This Row],[Comp]])-1)^(2.5)*4^(1-2.5)+1)*(0.5*((VALUE(tbl_CONTENT[[#This Row],[RelId]])-1)/4)^(2.5)+1),
 0
)</f>
        <v>0</v>
      </c>
      <c r="W233" s="22" t="str">
        <f>IFERROR(
  IF(_xlfn.XLOOKUP(tbl_CONTENT[[#This Row],[Topic]], tbl_TOPIC[Topic], tbl_TOPIC[ParentTopic])="", "",
       _xlfn.XLOOKUP(tbl_CONTENT[[#This Row],[Topic]], tbl_TOPIC[Topic], tbl_TOPIC[ParentTopic])),
  ""
)</f>
        <v>Klassische Streutheorie</v>
      </c>
      <c r="X233" s="22" t="str">
        <f>IFERROR(
  IF(_xlfn.XLOOKUP(tbl_CONTENT[[#This Row],[Topic]], tbl_TOPIC[Topic], tbl_TOPIC[TopicPath])="", "",
       _xlfn.XLOOKUP(tbl_CONTENT[[#This Row],[Topic]], tbl_TOPIC[Topic], tbl_TOPIC[TopicPath])),
  ""
)</f>
        <v>Klassische Streutheorie/Wirkungsquerschnitt</v>
      </c>
    </row>
    <row r="234" spans="3:24" ht="102" x14ac:dyDescent="0.2">
      <c r="C234" s="22" t="str">
        <f>_xlfn.XLOOKUP(tbl_CONTENT[[#This Row],[TopicID]], tbl_TOPIC[TopicID], tbl_TOPIC[Subject], "")</f>
        <v>CM</v>
      </c>
      <c r="D2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CM-T12-02-02</v>
      </c>
      <c r="E234" s="22">
        <f>ROW()</f>
        <v>234</v>
      </c>
      <c r="F234" s="22" t="s">
        <v>1051</v>
      </c>
      <c r="G234" s="22" t="str">
        <f>_xlfn.XLOOKUP(tbl_CONTENT[[#This Row],[Topic]], tbl_TOPIC[Topic], tbl_TOPIC[TopicID], "")</f>
        <v>CM-1-02</v>
      </c>
      <c r="H234" s="22" cm="1">
        <f t="array" ref="H234">SUM((tbl_CONTENT[[#This Row],[TopicID]]=INDEX(tbl_CONTENT[TopicID],1):tbl_CONTENT[[#This Row],[TopicID]])*1)</f>
        <v>2</v>
      </c>
      <c r="I234" s="22" t="str">
        <f>_xlfn.XLOOKUP(tbl_CONTENT[[#This Row],[Topic]], tbl_TOPIC[Topic], tbl_TOPIC[TopicIndex], "")</f>
        <v>02</v>
      </c>
      <c r="J234" s="22" t="s">
        <v>461</v>
      </c>
      <c r="K234" s="22" t="s">
        <v>467</v>
      </c>
      <c r="L234" s="22" t="s">
        <v>152</v>
      </c>
      <c r="M234" s="22">
        <v>1</v>
      </c>
      <c r="S234" s="35">
        <f>IFERROR(
 (1.907*EXP(1)^(-0.5*tbl_CONTENT[[#This Row],[Layer]])) *
 ((tbl_CONTENT[[#This Row],[RelInt]]-1)^(2.5)*4^(1-2.5)+1) +
 ((tbl_CONTENT[[#This Row],[Comp]]-1)^(2.5)*4^(1-2.5)+1)*(0.5*((tbl_CONTENT[[#This Row],[RelInt]]-1)/4)^(2.5)+1),
 0
)</f>
        <v>0</v>
      </c>
      <c r="T234" s="35">
        <f>IFERROR(
 (1.907*EXP(1)^(-0.5*VALUE(tbl_CONTENT[[#This Row],[Layer]]))) *
 ((VALUE(tbl_CONTENT[[#This Row],[RelId]])-1)^(2.5)*4^(1-2.5)+1) +
 ((VALUE(tbl_CONTENT[[#This Row],[Comp]])-1)^(2.5)*4^(1-2.5)+1)*(0.5*((VALUE(tbl_CONTENT[[#This Row],[RelId]])-1)/4)^(2.5)+1),
 0
)</f>
        <v>0</v>
      </c>
      <c r="W234" s="22" t="str">
        <f>IFERROR(
  IF(_xlfn.XLOOKUP(tbl_CONTENT[[#This Row],[Topic]], tbl_TOPIC[Topic], tbl_TOPIC[ParentTopic])="", "",
       _xlfn.XLOOKUP(tbl_CONTENT[[#This Row],[Topic]], tbl_TOPIC[Topic], tbl_TOPIC[ParentTopic])),
  ""
)</f>
        <v>Klassische Streutheorie</v>
      </c>
      <c r="X234" s="22" t="str">
        <f>IFERROR(
  IF(_xlfn.XLOOKUP(tbl_CONTENT[[#This Row],[Topic]], tbl_TOPIC[Topic], tbl_TOPIC[TopicPath])="", "",
       _xlfn.XLOOKUP(tbl_CONTENT[[#This Row],[Topic]], tbl_TOPIC[Topic], tbl_TOPIC[TopicPath])),
  ""
)</f>
        <v>Klassische Streutheorie/Wirkungsquerschnitt</v>
      </c>
    </row>
    <row r="235" spans="3:24" ht="102" x14ac:dyDescent="0.2">
      <c r="C235" s="22" t="str">
        <f>_xlfn.XLOOKUP(tbl_CONTENT[[#This Row],[TopicID]], tbl_TOPIC[TopicID], tbl_TOPIC[Subject], "")</f>
        <v>CM</v>
      </c>
      <c r="D2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CM-T12-02-03</v>
      </c>
      <c r="E235" s="22">
        <f>ROW()</f>
        <v>235</v>
      </c>
      <c r="F235" s="22" t="s">
        <v>1051</v>
      </c>
      <c r="G235" s="22" t="str">
        <f>_xlfn.XLOOKUP(tbl_CONTENT[[#This Row],[Topic]], tbl_TOPIC[Topic], tbl_TOPIC[TopicID], "")</f>
        <v>CM-1-02</v>
      </c>
      <c r="H235" s="22" cm="1">
        <f t="array" ref="H235">SUM((tbl_CONTENT[[#This Row],[TopicID]]=INDEX(tbl_CONTENT[TopicID],1):tbl_CONTENT[[#This Row],[TopicID]])*1)</f>
        <v>3</v>
      </c>
      <c r="I235" s="22" t="str">
        <f>_xlfn.XLOOKUP(tbl_CONTENT[[#This Row],[Topic]], tbl_TOPIC[Topic], tbl_TOPIC[TopicIndex], "")</f>
        <v>02</v>
      </c>
      <c r="J235" s="22" t="s">
        <v>461</v>
      </c>
      <c r="K235" s="22" t="s">
        <v>468</v>
      </c>
      <c r="L235" s="22" t="s">
        <v>152</v>
      </c>
      <c r="M235" s="22">
        <v>1</v>
      </c>
      <c r="S235" s="35">
        <f>IFERROR(
 (1.907*EXP(1)^(-0.5*tbl_CONTENT[[#This Row],[Layer]])) *
 ((tbl_CONTENT[[#This Row],[RelInt]]-1)^(2.5)*4^(1-2.5)+1) +
 ((tbl_CONTENT[[#This Row],[Comp]]-1)^(2.5)*4^(1-2.5)+1)*(0.5*((tbl_CONTENT[[#This Row],[RelInt]]-1)/4)^(2.5)+1),
 0
)</f>
        <v>0</v>
      </c>
      <c r="T235" s="35">
        <f>IFERROR(
 (1.907*EXP(1)^(-0.5*VALUE(tbl_CONTENT[[#This Row],[Layer]]))) *
 ((VALUE(tbl_CONTENT[[#This Row],[RelId]])-1)^(2.5)*4^(1-2.5)+1) +
 ((VALUE(tbl_CONTENT[[#This Row],[Comp]])-1)^(2.5)*4^(1-2.5)+1)*(0.5*((VALUE(tbl_CONTENT[[#This Row],[RelId]])-1)/4)^(2.5)+1),
 0
)</f>
        <v>0</v>
      </c>
      <c r="V235" s="22" t="s">
        <v>495</v>
      </c>
      <c r="W235" s="22" t="str">
        <f>IFERROR(
  IF(_xlfn.XLOOKUP(tbl_CONTENT[[#This Row],[Topic]], tbl_TOPIC[Topic], tbl_TOPIC[ParentTopic])="", "",
       _xlfn.XLOOKUP(tbl_CONTENT[[#This Row],[Topic]], tbl_TOPIC[Topic], tbl_TOPIC[ParentTopic])),
  ""
)</f>
        <v>Klassische Streutheorie</v>
      </c>
      <c r="X235" s="22" t="str">
        <f>IFERROR(
  IF(_xlfn.XLOOKUP(tbl_CONTENT[[#This Row],[Topic]], tbl_TOPIC[Topic], tbl_TOPIC[TopicPath])="", "",
       _xlfn.XLOOKUP(tbl_CONTENT[[#This Row],[Topic]], tbl_TOPIC[Topic], tbl_TOPIC[TopicPath])),
  ""
)</f>
        <v>Klassische Streutheorie/Wirkungsquerschnitt</v>
      </c>
    </row>
    <row r="236" spans="3:24" ht="34" x14ac:dyDescent="0.2">
      <c r="C236" s="22" t="str">
        <f>_xlfn.XLOOKUP(tbl_CONTENT[[#This Row],[TopicID]], tbl_TOPIC[TopicID], tbl_TOPIC[Subject], "")</f>
        <v>CM</v>
      </c>
      <c r="D2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CM-T12-02-04</v>
      </c>
      <c r="E236" s="22">
        <f>ROW()</f>
        <v>236</v>
      </c>
      <c r="F236" s="22" t="s">
        <v>1051</v>
      </c>
      <c r="G236" s="22" t="str">
        <f>_xlfn.XLOOKUP(tbl_CONTENT[[#This Row],[Topic]], tbl_TOPIC[Topic], tbl_TOPIC[TopicID], "")</f>
        <v>CM-1-02</v>
      </c>
      <c r="H236" s="22" cm="1">
        <f t="array" ref="H236">SUM((tbl_CONTENT[[#This Row],[TopicID]]=INDEX(tbl_CONTENT[TopicID],1):tbl_CONTENT[[#This Row],[TopicID]])*1)</f>
        <v>4</v>
      </c>
      <c r="I236" s="22" t="str">
        <f>_xlfn.XLOOKUP(tbl_CONTENT[[#This Row],[Topic]], tbl_TOPIC[Topic], tbl_TOPIC[TopicIndex], "")</f>
        <v>02</v>
      </c>
      <c r="J236" s="22" t="s">
        <v>461</v>
      </c>
      <c r="K236" s="22" t="s">
        <v>469</v>
      </c>
      <c r="L236" s="22" t="s">
        <v>380</v>
      </c>
      <c r="S236" s="35">
        <f>IFERROR(
 (1.907*EXP(1)^(-0.5*tbl_CONTENT[[#This Row],[Layer]])) *
 ((tbl_CONTENT[[#This Row],[RelInt]]-1)^(2.5)*4^(1-2.5)+1) +
 ((tbl_CONTENT[[#This Row],[Comp]]-1)^(2.5)*4^(1-2.5)+1)*(0.5*((tbl_CONTENT[[#This Row],[RelInt]]-1)/4)^(2.5)+1),
 0
)</f>
        <v>0</v>
      </c>
      <c r="T236" s="35">
        <f>IFERROR(
 (1.907*EXP(1)^(-0.5*VALUE(tbl_CONTENT[[#This Row],[Layer]]))) *
 ((VALUE(tbl_CONTENT[[#This Row],[RelId]])-1)^(2.5)*4^(1-2.5)+1) +
 ((VALUE(tbl_CONTENT[[#This Row],[Comp]])-1)^(2.5)*4^(1-2.5)+1)*(0.5*((VALUE(tbl_CONTENT[[#This Row],[RelId]])-1)/4)^(2.5)+1),
 0
)</f>
        <v>0</v>
      </c>
      <c r="W236" s="22" t="str">
        <f>IFERROR(
  IF(_xlfn.XLOOKUP(tbl_CONTENT[[#This Row],[Topic]], tbl_TOPIC[Topic], tbl_TOPIC[ParentTopic])="", "",
       _xlfn.XLOOKUP(tbl_CONTENT[[#This Row],[Topic]], tbl_TOPIC[Topic], tbl_TOPIC[ParentTopic])),
  ""
)</f>
        <v>Klassische Streutheorie</v>
      </c>
      <c r="X236" s="22" t="str">
        <f>IFERROR(
  IF(_xlfn.XLOOKUP(tbl_CONTENT[[#This Row],[Topic]], tbl_TOPIC[Topic], tbl_TOPIC[TopicPath])="", "",
       _xlfn.XLOOKUP(tbl_CONTENT[[#This Row],[Topic]], tbl_TOPIC[Topic], tbl_TOPIC[TopicPath])),
  ""
)</f>
        <v>Klassische Streutheorie/Wirkungsquerschnitt</v>
      </c>
    </row>
    <row r="237" spans="3:24" ht="51" x14ac:dyDescent="0.2">
      <c r="C237" s="22" t="str">
        <f>_xlfn.XLOOKUP(tbl_CONTENT[[#This Row],[TopicID]], tbl_TOPIC[TopicID], tbl_TOPIC[Subject], "")</f>
        <v>CM</v>
      </c>
      <c r="D2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CM-T12-02-05</v>
      </c>
      <c r="E237" s="22">
        <f>ROW()</f>
        <v>237</v>
      </c>
      <c r="F237" s="22" t="s">
        <v>1051</v>
      </c>
      <c r="G237" s="22" t="str">
        <f>_xlfn.XLOOKUP(tbl_CONTENT[[#This Row],[Topic]], tbl_TOPIC[Topic], tbl_TOPIC[TopicID], "")</f>
        <v>CM-1-02</v>
      </c>
      <c r="H237" s="22" cm="1">
        <f t="array" ref="H237">SUM((tbl_CONTENT[[#This Row],[TopicID]]=INDEX(tbl_CONTENT[TopicID],1):tbl_CONTENT[[#This Row],[TopicID]])*1)</f>
        <v>5</v>
      </c>
      <c r="I237" s="22" t="str">
        <f>_xlfn.XLOOKUP(tbl_CONTENT[[#This Row],[Topic]], tbl_TOPIC[Topic], tbl_TOPIC[TopicIndex], "")</f>
        <v>02</v>
      </c>
      <c r="J237" s="22" t="s">
        <v>461</v>
      </c>
      <c r="K237" s="22" t="s">
        <v>1043</v>
      </c>
      <c r="L237" s="22" t="s">
        <v>380</v>
      </c>
      <c r="M237" s="22">
        <v>1</v>
      </c>
      <c r="S237" s="35">
        <f>IFERROR(
 (1.907*EXP(1)^(-0.5*tbl_CONTENT[[#This Row],[Layer]])) *
 ((tbl_CONTENT[[#This Row],[RelInt]]-1)^(2.5)*4^(1-2.5)+1) +
 ((tbl_CONTENT[[#This Row],[Comp]]-1)^(2.5)*4^(1-2.5)+1)*(0.5*((tbl_CONTENT[[#This Row],[RelInt]]-1)/4)^(2.5)+1),
 0
)</f>
        <v>0</v>
      </c>
      <c r="T237" s="35">
        <f>IFERROR(
 (1.907*EXP(1)^(-0.5*VALUE(tbl_CONTENT[[#This Row],[Layer]]))) *
 ((VALUE(tbl_CONTENT[[#This Row],[RelId]])-1)^(2.5)*4^(1-2.5)+1) +
 ((VALUE(tbl_CONTENT[[#This Row],[Comp]])-1)^(2.5)*4^(1-2.5)+1)*(0.5*((VALUE(tbl_CONTENT[[#This Row],[RelId]])-1)/4)^(2.5)+1),
 0
)</f>
        <v>0</v>
      </c>
      <c r="W237" s="22" t="str">
        <f>IFERROR(
  IF(_xlfn.XLOOKUP(tbl_CONTENT[[#This Row],[Topic]], tbl_TOPIC[Topic], tbl_TOPIC[ParentTopic])="", "",
       _xlfn.XLOOKUP(tbl_CONTENT[[#This Row],[Topic]], tbl_TOPIC[Topic], tbl_TOPIC[ParentTopic])),
  ""
)</f>
        <v>Klassische Streutheorie</v>
      </c>
      <c r="X237" s="22" t="str">
        <f>IFERROR(
  IF(_xlfn.XLOOKUP(tbl_CONTENT[[#This Row],[Topic]], tbl_TOPIC[Topic], tbl_TOPIC[TopicPath])="", "",
       _xlfn.XLOOKUP(tbl_CONTENT[[#This Row],[Topic]], tbl_TOPIC[Topic], tbl_TOPIC[TopicPath])),
  ""
)</f>
        <v>Klassische Streutheorie/Wirkungsquerschnitt</v>
      </c>
    </row>
    <row r="238" spans="3:24" ht="51" x14ac:dyDescent="0.2">
      <c r="C238" s="22" t="str">
        <f>_xlfn.XLOOKUP(tbl_CONTENT[[#This Row],[TopicID]], tbl_TOPIC[TopicID], tbl_TOPIC[Subject], "")</f>
        <v>CM</v>
      </c>
      <c r="D2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CM-T12-02-06</v>
      </c>
      <c r="E238" s="22">
        <f>ROW()</f>
        <v>238</v>
      </c>
      <c r="F238" s="22" t="s">
        <v>1051</v>
      </c>
      <c r="G238" s="22" t="str">
        <f>_xlfn.XLOOKUP(tbl_CONTENT[[#This Row],[Topic]], tbl_TOPIC[Topic], tbl_TOPIC[TopicID], "")</f>
        <v>CM-1-02</v>
      </c>
      <c r="H238" s="22" cm="1">
        <f t="array" ref="H238">SUM((tbl_CONTENT[[#This Row],[TopicID]]=INDEX(tbl_CONTENT[TopicID],1):tbl_CONTENT[[#This Row],[TopicID]])*1)</f>
        <v>6</v>
      </c>
      <c r="I238" s="22" t="str">
        <f>_xlfn.XLOOKUP(tbl_CONTENT[[#This Row],[Topic]], tbl_TOPIC[Topic], tbl_TOPIC[TopicIndex], "")</f>
        <v>02</v>
      </c>
      <c r="J238" s="22" t="s">
        <v>461</v>
      </c>
      <c r="K238" s="22" t="s">
        <v>470</v>
      </c>
      <c r="L238" s="22" t="s">
        <v>380</v>
      </c>
      <c r="S238" s="35">
        <f>IFERROR(
 (1.907*EXP(1)^(-0.5*tbl_CONTENT[[#This Row],[Layer]])) *
 ((tbl_CONTENT[[#This Row],[RelInt]]-1)^(2.5)*4^(1-2.5)+1) +
 ((tbl_CONTENT[[#This Row],[Comp]]-1)^(2.5)*4^(1-2.5)+1)*(0.5*((tbl_CONTENT[[#This Row],[RelInt]]-1)/4)^(2.5)+1),
 0
)</f>
        <v>0</v>
      </c>
      <c r="T238" s="35">
        <f>IFERROR(
 (1.907*EXP(1)^(-0.5*VALUE(tbl_CONTENT[[#This Row],[Layer]]))) *
 ((VALUE(tbl_CONTENT[[#This Row],[RelId]])-1)^(2.5)*4^(1-2.5)+1) +
 ((VALUE(tbl_CONTENT[[#This Row],[Comp]])-1)^(2.5)*4^(1-2.5)+1)*(0.5*((VALUE(tbl_CONTENT[[#This Row],[RelId]])-1)/4)^(2.5)+1),
 0
)</f>
        <v>0</v>
      </c>
      <c r="W238" s="22" t="str">
        <f>IFERROR(
  IF(_xlfn.XLOOKUP(tbl_CONTENT[[#This Row],[Topic]], tbl_TOPIC[Topic], tbl_TOPIC[ParentTopic])="", "",
       _xlfn.XLOOKUP(tbl_CONTENT[[#This Row],[Topic]], tbl_TOPIC[Topic], tbl_TOPIC[ParentTopic])),
  ""
)</f>
        <v>Klassische Streutheorie</v>
      </c>
      <c r="X238" s="22" t="str">
        <f>IFERROR(
  IF(_xlfn.XLOOKUP(tbl_CONTENT[[#This Row],[Topic]], tbl_TOPIC[Topic], tbl_TOPIC[TopicPath])="", "",
       _xlfn.XLOOKUP(tbl_CONTENT[[#This Row],[Topic]], tbl_TOPIC[Topic], tbl_TOPIC[TopicPath])),
  ""
)</f>
        <v>Klassische Streutheorie/Wirkungsquerschnitt</v>
      </c>
    </row>
    <row r="239" spans="3:24" ht="17" x14ac:dyDescent="0.2">
      <c r="C239" s="22" t="str">
        <f>_xlfn.XLOOKUP(tbl_CONTENT[[#This Row],[TopicID]], tbl_TOPIC[TopicID], tbl_TOPIC[Subject], "")</f>
        <v>CM</v>
      </c>
      <c r="D2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CM-T12-02-07</v>
      </c>
      <c r="E239" s="22">
        <f>ROW()</f>
        <v>239</v>
      </c>
      <c r="F239" s="22" t="s">
        <v>1051</v>
      </c>
      <c r="G239" s="22" t="str">
        <f>_xlfn.XLOOKUP(tbl_CONTENT[[#This Row],[Topic]], tbl_TOPIC[Topic], tbl_TOPIC[TopicID], "")</f>
        <v>CM-1-02</v>
      </c>
      <c r="H239" s="22" cm="1">
        <f t="array" ref="H239">SUM((tbl_CONTENT[[#This Row],[TopicID]]=INDEX(tbl_CONTENT[TopicID],1):tbl_CONTENT[[#This Row],[TopicID]])*1)</f>
        <v>7</v>
      </c>
      <c r="I239" s="22" t="str">
        <f>_xlfn.XLOOKUP(tbl_CONTENT[[#This Row],[Topic]], tbl_TOPIC[Topic], tbl_TOPIC[TopicIndex], "")</f>
        <v>02</v>
      </c>
      <c r="J239" s="22" t="s">
        <v>461</v>
      </c>
      <c r="K239" s="22" t="s">
        <v>471</v>
      </c>
      <c r="L239" s="22" t="s">
        <v>179</v>
      </c>
      <c r="S239" s="35">
        <f>IFERROR(
 (1.907*EXP(1)^(-0.5*tbl_CONTENT[[#This Row],[Layer]])) *
 ((tbl_CONTENT[[#This Row],[RelInt]]-1)^(2.5)*4^(1-2.5)+1) +
 ((tbl_CONTENT[[#This Row],[Comp]]-1)^(2.5)*4^(1-2.5)+1)*(0.5*((tbl_CONTENT[[#This Row],[RelInt]]-1)/4)^(2.5)+1),
 0
)</f>
        <v>0</v>
      </c>
      <c r="T239" s="35">
        <f>IFERROR(
 (1.907*EXP(1)^(-0.5*VALUE(tbl_CONTENT[[#This Row],[Layer]]))) *
 ((VALUE(tbl_CONTENT[[#This Row],[RelId]])-1)^(2.5)*4^(1-2.5)+1) +
 ((VALUE(tbl_CONTENT[[#This Row],[Comp]])-1)^(2.5)*4^(1-2.5)+1)*(0.5*((VALUE(tbl_CONTENT[[#This Row],[RelId]])-1)/4)^(2.5)+1),
 0
)</f>
        <v>0</v>
      </c>
      <c r="W239" s="22" t="str">
        <f>IFERROR(
  IF(_xlfn.XLOOKUP(tbl_CONTENT[[#This Row],[Topic]], tbl_TOPIC[Topic], tbl_TOPIC[ParentTopic])="", "",
       _xlfn.XLOOKUP(tbl_CONTENT[[#This Row],[Topic]], tbl_TOPIC[Topic], tbl_TOPIC[ParentTopic])),
  ""
)</f>
        <v>Klassische Streutheorie</v>
      </c>
      <c r="X239" s="22" t="str">
        <f>IFERROR(
  IF(_xlfn.XLOOKUP(tbl_CONTENT[[#This Row],[Topic]], tbl_TOPIC[Topic], tbl_TOPIC[TopicPath])="", "",
       _xlfn.XLOOKUP(tbl_CONTENT[[#This Row],[Topic]], tbl_TOPIC[Topic], tbl_TOPIC[TopicPath])),
  ""
)</f>
        <v>Klassische Streutheorie/Wirkungsquerschnitt</v>
      </c>
    </row>
    <row r="240" spans="3:24" ht="34" x14ac:dyDescent="0.2">
      <c r="C240" s="22" t="str">
        <f>_xlfn.XLOOKUP(tbl_CONTENT[[#This Row],[TopicID]], tbl_TOPIC[TopicID], tbl_TOPIC[Subject], "")</f>
        <v>CM</v>
      </c>
      <c r="D2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CM-T12-02-08</v>
      </c>
      <c r="E240" s="22">
        <f>ROW()</f>
        <v>240</v>
      </c>
      <c r="F240" s="22" t="s">
        <v>1051</v>
      </c>
      <c r="G240" s="22" t="str">
        <f>_xlfn.XLOOKUP(tbl_CONTENT[[#This Row],[Topic]], tbl_TOPIC[Topic], tbl_TOPIC[TopicID], "")</f>
        <v>CM-1-02</v>
      </c>
      <c r="H240" s="22" cm="1">
        <f t="array" ref="H240">SUM((tbl_CONTENT[[#This Row],[TopicID]]=INDEX(tbl_CONTENT[TopicID],1):tbl_CONTENT[[#This Row],[TopicID]])*1)</f>
        <v>8</v>
      </c>
      <c r="I240" s="22" t="str">
        <f>_xlfn.XLOOKUP(tbl_CONTENT[[#This Row],[Topic]], tbl_TOPIC[Topic], tbl_TOPIC[TopicIndex], "")</f>
        <v>02</v>
      </c>
      <c r="J240" s="22" t="s">
        <v>461</v>
      </c>
      <c r="K240" s="22" t="s">
        <v>472</v>
      </c>
      <c r="L240" s="22" t="s">
        <v>147</v>
      </c>
      <c r="S240" s="35">
        <f>IFERROR(
 (1.907*EXP(1)^(-0.5*tbl_CONTENT[[#This Row],[Layer]])) *
 ((tbl_CONTENT[[#This Row],[RelInt]]-1)^(2.5)*4^(1-2.5)+1) +
 ((tbl_CONTENT[[#This Row],[Comp]]-1)^(2.5)*4^(1-2.5)+1)*(0.5*((tbl_CONTENT[[#This Row],[RelInt]]-1)/4)^(2.5)+1),
 0
)</f>
        <v>0</v>
      </c>
      <c r="T240" s="35">
        <f>IFERROR(
 (1.907*EXP(1)^(-0.5*VALUE(tbl_CONTENT[[#This Row],[Layer]]))) *
 ((VALUE(tbl_CONTENT[[#This Row],[RelId]])-1)^(2.5)*4^(1-2.5)+1) +
 ((VALUE(tbl_CONTENT[[#This Row],[Comp]])-1)^(2.5)*4^(1-2.5)+1)*(0.5*((VALUE(tbl_CONTENT[[#This Row],[RelId]])-1)/4)^(2.5)+1),
 0
)</f>
        <v>0</v>
      </c>
      <c r="W240" s="22" t="str">
        <f>IFERROR(
  IF(_xlfn.XLOOKUP(tbl_CONTENT[[#This Row],[Topic]], tbl_TOPIC[Topic], tbl_TOPIC[ParentTopic])="", "",
       _xlfn.XLOOKUP(tbl_CONTENT[[#This Row],[Topic]], tbl_TOPIC[Topic], tbl_TOPIC[ParentTopic])),
  ""
)</f>
        <v>Klassische Streutheorie</v>
      </c>
      <c r="X240" s="22" t="str">
        <f>IFERROR(
  IF(_xlfn.XLOOKUP(tbl_CONTENT[[#This Row],[Topic]], tbl_TOPIC[Topic], tbl_TOPIC[TopicPath])="", "",
       _xlfn.XLOOKUP(tbl_CONTENT[[#This Row],[Topic]], tbl_TOPIC[Topic], tbl_TOPIC[TopicPath])),
  ""
)</f>
        <v>Klassische Streutheorie/Wirkungsquerschnitt</v>
      </c>
    </row>
    <row r="241" spans="3:24" ht="136" x14ac:dyDescent="0.2">
      <c r="C241" s="22" t="str">
        <f>_xlfn.XLOOKUP(tbl_CONTENT[[#This Row],[TopicID]], tbl_TOPIC[TopicID], tbl_TOPIC[Subject], "")</f>
        <v>CM</v>
      </c>
      <c r="D2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CM-T12-03-01</v>
      </c>
      <c r="E241" s="22">
        <f>ROW()</f>
        <v>241</v>
      </c>
      <c r="F241" s="22" t="s">
        <v>1051</v>
      </c>
      <c r="G241" s="22" t="str">
        <f>_xlfn.XLOOKUP(tbl_CONTENT[[#This Row],[Topic]], tbl_TOPIC[Topic], tbl_TOPIC[TopicID], "")</f>
        <v>CM-1-03</v>
      </c>
      <c r="H241" s="22" cm="1">
        <f t="array" ref="H241">SUM((tbl_CONTENT[[#This Row],[TopicID]]=INDEX(tbl_CONTENT[TopicID],1):tbl_CONTENT[[#This Row],[TopicID]])*1)</f>
        <v>1</v>
      </c>
      <c r="I241" s="22" t="str">
        <f>_xlfn.XLOOKUP(tbl_CONTENT[[#This Row],[Topic]], tbl_TOPIC[Topic], tbl_TOPIC[TopicIndex], "")</f>
        <v>03</v>
      </c>
      <c r="J241" s="22" t="s">
        <v>462</v>
      </c>
      <c r="K241" s="22" t="s">
        <v>473</v>
      </c>
      <c r="L241" s="22" t="s">
        <v>147</v>
      </c>
      <c r="M241" s="22">
        <v>1</v>
      </c>
      <c r="S241" s="35">
        <f>IFERROR(
 (1.907*EXP(1)^(-0.5*tbl_CONTENT[[#This Row],[Layer]])) *
 ((tbl_CONTENT[[#This Row],[RelInt]]-1)^(2.5)*4^(1-2.5)+1) +
 ((tbl_CONTENT[[#This Row],[Comp]]-1)^(2.5)*4^(1-2.5)+1)*(0.5*((tbl_CONTENT[[#This Row],[RelInt]]-1)/4)^(2.5)+1),
 0
)</f>
        <v>0</v>
      </c>
      <c r="T241" s="35">
        <f>IFERROR(
 (1.907*EXP(1)^(-0.5*VALUE(tbl_CONTENT[[#This Row],[Layer]]))) *
 ((VALUE(tbl_CONTENT[[#This Row],[RelId]])-1)^(2.5)*4^(1-2.5)+1) +
 ((VALUE(tbl_CONTENT[[#This Row],[Comp]])-1)^(2.5)*4^(1-2.5)+1)*(0.5*((VALUE(tbl_CONTENT[[#This Row],[RelId]])-1)/4)^(2.5)+1),
 0
)</f>
        <v>0</v>
      </c>
      <c r="W241" s="22" t="str">
        <f>IFERROR(
  IF(_xlfn.XLOOKUP(tbl_CONTENT[[#This Row],[Topic]], tbl_TOPIC[Topic], tbl_TOPIC[ParentTopic])="", "",
       _xlfn.XLOOKUP(tbl_CONTENT[[#This Row],[Topic]], tbl_TOPIC[Topic], tbl_TOPIC[ParentTopic])),
  ""
)</f>
        <v>Klassische Streutheorie</v>
      </c>
      <c r="X241"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2" spans="3:24" ht="68" x14ac:dyDescent="0.2">
      <c r="C242" s="22" t="str">
        <f>_xlfn.XLOOKUP(tbl_CONTENT[[#This Row],[TopicID]], tbl_TOPIC[TopicID], tbl_TOPIC[Subject], "")</f>
        <v>CM</v>
      </c>
      <c r="D2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CM-T12-03-02</v>
      </c>
      <c r="E242" s="22">
        <f>ROW()</f>
        <v>242</v>
      </c>
      <c r="F242" s="22" t="s">
        <v>1051</v>
      </c>
      <c r="G242" s="22" t="str">
        <f>_xlfn.XLOOKUP(tbl_CONTENT[[#This Row],[Topic]], tbl_TOPIC[Topic], tbl_TOPIC[TopicID], "")</f>
        <v>CM-1-03</v>
      </c>
      <c r="H242" s="22" cm="1">
        <f t="array" ref="H242">SUM((tbl_CONTENT[[#This Row],[TopicID]]=INDEX(tbl_CONTENT[TopicID],1):tbl_CONTENT[[#This Row],[TopicID]])*1)</f>
        <v>2</v>
      </c>
      <c r="I242" s="22" t="str">
        <f>_xlfn.XLOOKUP(tbl_CONTENT[[#This Row],[Topic]], tbl_TOPIC[Topic], tbl_TOPIC[TopicIndex], "")</f>
        <v>03</v>
      </c>
      <c r="J242" s="22" t="s">
        <v>462</v>
      </c>
      <c r="K242" s="22" t="s">
        <v>474</v>
      </c>
      <c r="L242" s="22" t="s">
        <v>179</v>
      </c>
      <c r="M242" s="22">
        <v>1</v>
      </c>
      <c r="S242" s="35">
        <f>IFERROR(
 (1.907*EXP(1)^(-0.5*tbl_CONTENT[[#This Row],[Layer]])) *
 ((tbl_CONTENT[[#This Row],[RelInt]]-1)^(2.5)*4^(1-2.5)+1) +
 ((tbl_CONTENT[[#This Row],[Comp]]-1)^(2.5)*4^(1-2.5)+1)*(0.5*((tbl_CONTENT[[#This Row],[RelInt]]-1)/4)^(2.5)+1),
 0
)</f>
        <v>0</v>
      </c>
      <c r="T242" s="35">
        <f>IFERROR(
 (1.907*EXP(1)^(-0.5*VALUE(tbl_CONTENT[[#This Row],[Layer]]))) *
 ((VALUE(tbl_CONTENT[[#This Row],[RelId]])-1)^(2.5)*4^(1-2.5)+1) +
 ((VALUE(tbl_CONTENT[[#This Row],[Comp]])-1)^(2.5)*4^(1-2.5)+1)*(0.5*((VALUE(tbl_CONTENT[[#This Row],[RelId]])-1)/4)^(2.5)+1),
 0
)</f>
        <v>0</v>
      </c>
      <c r="W242" s="22" t="str">
        <f>IFERROR(
  IF(_xlfn.XLOOKUP(tbl_CONTENT[[#This Row],[Topic]], tbl_TOPIC[Topic], tbl_TOPIC[ParentTopic])="", "",
       _xlfn.XLOOKUP(tbl_CONTENT[[#This Row],[Topic]], tbl_TOPIC[Topic], tbl_TOPIC[ParentTopic])),
  ""
)</f>
        <v>Klassische Streutheorie</v>
      </c>
      <c r="X242"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3" spans="3:24" ht="68" x14ac:dyDescent="0.2">
      <c r="C243" s="22" t="str">
        <f>_xlfn.XLOOKUP(tbl_CONTENT[[#This Row],[TopicID]], tbl_TOPIC[TopicID], tbl_TOPIC[Subject], "")</f>
        <v>CM</v>
      </c>
      <c r="D2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CM-T12-03-03</v>
      </c>
      <c r="E243" s="22">
        <f>ROW()</f>
        <v>243</v>
      </c>
      <c r="F243" s="22" t="s">
        <v>1051</v>
      </c>
      <c r="G243" s="22" t="str">
        <f>_xlfn.XLOOKUP(tbl_CONTENT[[#This Row],[Topic]], tbl_TOPIC[Topic], tbl_TOPIC[TopicID], "")</f>
        <v>CM-1-03</v>
      </c>
      <c r="H243" s="22" cm="1">
        <f t="array" ref="H243">SUM((tbl_CONTENT[[#This Row],[TopicID]]=INDEX(tbl_CONTENT[TopicID],1):tbl_CONTENT[[#This Row],[TopicID]])*1)</f>
        <v>3</v>
      </c>
      <c r="I243" s="22" t="str">
        <f>_xlfn.XLOOKUP(tbl_CONTENT[[#This Row],[Topic]], tbl_TOPIC[Topic], tbl_TOPIC[TopicIndex], "")</f>
        <v>03</v>
      </c>
      <c r="J243" s="22" t="s">
        <v>462</v>
      </c>
      <c r="K243" s="22" t="s">
        <v>1044</v>
      </c>
      <c r="L243" s="22" t="s">
        <v>380</v>
      </c>
      <c r="M243" s="22">
        <v>1</v>
      </c>
      <c r="S243" s="35">
        <f>IFERROR(
 (1.907*EXP(1)^(-0.5*tbl_CONTENT[[#This Row],[Layer]])) *
 ((tbl_CONTENT[[#This Row],[RelInt]]-1)^(2.5)*4^(1-2.5)+1) +
 ((tbl_CONTENT[[#This Row],[Comp]]-1)^(2.5)*4^(1-2.5)+1)*(0.5*((tbl_CONTENT[[#This Row],[RelInt]]-1)/4)^(2.5)+1),
 0
)</f>
        <v>0</v>
      </c>
      <c r="T243" s="35">
        <f>IFERROR(
 (1.907*EXP(1)^(-0.5*VALUE(tbl_CONTENT[[#This Row],[Layer]]))) *
 ((VALUE(tbl_CONTENT[[#This Row],[RelId]])-1)^(2.5)*4^(1-2.5)+1) +
 ((VALUE(tbl_CONTENT[[#This Row],[Comp]])-1)^(2.5)*4^(1-2.5)+1)*(0.5*((VALUE(tbl_CONTENT[[#This Row],[RelId]])-1)/4)^(2.5)+1),
 0
)</f>
        <v>0</v>
      </c>
      <c r="W243" s="22" t="str">
        <f>IFERROR(
  IF(_xlfn.XLOOKUP(tbl_CONTENT[[#This Row],[Topic]], tbl_TOPIC[Topic], tbl_TOPIC[ParentTopic])="", "",
       _xlfn.XLOOKUP(tbl_CONTENT[[#This Row],[Topic]], tbl_TOPIC[Topic], tbl_TOPIC[ParentTopic])),
  ""
)</f>
        <v>Klassische Streutheorie</v>
      </c>
      <c r="X243"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4" spans="3:24" ht="68" x14ac:dyDescent="0.2">
      <c r="C244" s="22" t="str">
        <f>_xlfn.XLOOKUP(tbl_CONTENT[[#This Row],[TopicID]], tbl_TOPIC[TopicID], tbl_TOPIC[Subject], "")</f>
        <v>CM</v>
      </c>
      <c r="D2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CM-T12-03-04</v>
      </c>
      <c r="E244" s="22">
        <f>ROW()</f>
        <v>244</v>
      </c>
      <c r="F244" s="22" t="s">
        <v>1051</v>
      </c>
      <c r="G244" s="22" t="str">
        <f>_xlfn.XLOOKUP(tbl_CONTENT[[#This Row],[Topic]], tbl_TOPIC[Topic], tbl_TOPIC[TopicID], "")</f>
        <v>CM-1-03</v>
      </c>
      <c r="H244" s="22" cm="1">
        <f t="array" ref="H244">SUM((tbl_CONTENT[[#This Row],[TopicID]]=INDEX(tbl_CONTENT[TopicID],1):tbl_CONTENT[[#This Row],[TopicID]])*1)</f>
        <v>4</v>
      </c>
      <c r="I244" s="22" t="str">
        <f>_xlfn.XLOOKUP(tbl_CONTENT[[#This Row],[Topic]], tbl_TOPIC[Topic], tbl_TOPIC[TopicIndex], "")</f>
        <v>03</v>
      </c>
      <c r="J244" s="22" t="s">
        <v>462</v>
      </c>
      <c r="K244" s="22" t="s">
        <v>479</v>
      </c>
      <c r="L244" s="22" t="s">
        <v>380</v>
      </c>
      <c r="M244" s="22">
        <v>1</v>
      </c>
      <c r="S244" s="35">
        <f>IFERROR(
 (1.907*EXP(1)^(-0.5*tbl_CONTENT[[#This Row],[Layer]])) *
 ((tbl_CONTENT[[#This Row],[RelInt]]-1)^(2.5)*4^(1-2.5)+1) +
 ((tbl_CONTENT[[#This Row],[Comp]]-1)^(2.5)*4^(1-2.5)+1)*(0.5*((tbl_CONTENT[[#This Row],[RelInt]]-1)/4)^(2.5)+1),
 0
)</f>
        <v>0</v>
      </c>
      <c r="T244" s="35">
        <f>IFERROR(
 (1.907*EXP(1)^(-0.5*VALUE(tbl_CONTENT[[#This Row],[Layer]]))) *
 ((VALUE(tbl_CONTENT[[#This Row],[RelId]])-1)^(2.5)*4^(1-2.5)+1) +
 ((VALUE(tbl_CONTENT[[#This Row],[Comp]])-1)^(2.5)*4^(1-2.5)+1)*(0.5*((VALUE(tbl_CONTENT[[#This Row],[RelId]])-1)/4)^(2.5)+1),
 0
)</f>
        <v>0</v>
      </c>
      <c r="W244" s="22" t="str">
        <f>IFERROR(
  IF(_xlfn.XLOOKUP(tbl_CONTENT[[#This Row],[Topic]], tbl_TOPIC[Topic], tbl_TOPIC[ParentTopic])="", "",
       _xlfn.XLOOKUP(tbl_CONTENT[[#This Row],[Topic]], tbl_TOPIC[Topic], tbl_TOPIC[ParentTopic])),
  ""
)</f>
        <v>Klassische Streutheorie</v>
      </c>
      <c r="X244"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5" spans="3:24" ht="68" x14ac:dyDescent="0.2">
      <c r="C245" s="22" t="str">
        <f>_xlfn.XLOOKUP(tbl_CONTENT[[#This Row],[TopicID]], tbl_TOPIC[TopicID], tbl_TOPIC[Subject], "")</f>
        <v>CM</v>
      </c>
      <c r="D2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CM-T12-03-05</v>
      </c>
      <c r="E245" s="22">
        <f>ROW()</f>
        <v>245</v>
      </c>
      <c r="F245" s="22" t="s">
        <v>1051</v>
      </c>
      <c r="G245" s="22" t="str">
        <f>_xlfn.XLOOKUP(tbl_CONTENT[[#This Row],[Topic]], tbl_TOPIC[Topic], tbl_TOPIC[TopicID], "")</f>
        <v>CM-1-03</v>
      </c>
      <c r="H245" s="22" cm="1">
        <f t="array" ref="H245">SUM((tbl_CONTENT[[#This Row],[TopicID]]=INDEX(tbl_CONTENT[TopicID],1):tbl_CONTENT[[#This Row],[TopicID]])*1)</f>
        <v>5</v>
      </c>
      <c r="I245" s="22" t="str">
        <f>_xlfn.XLOOKUP(tbl_CONTENT[[#This Row],[Topic]], tbl_TOPIC[Topic], tbl_TOPIC[TopicIndex], "")</f>
        <v>03</v>
      </c>
      <c r="J245" s="22" t="s">
        <v>462</v>
      </c>
      <c r="K245" s="22" t="s">
        <v>475</v>
      </c>
      <c r="L245" s="22" t="s">
        <v>151</v>
      </c>
      <c r="M245" s="22">
        <v>1</v>
      </c>
      <c r="S245" s="35">
        <f>IFERROR(
 (1.907*EXP(1)^(-0.5*tbl_CONTENT[[#This Row],[Layer]])) *
 ((tbl_CONTENT[[#This Row],[RelInt]]-1)^(2.5)*4^(1-2.5)+1) +
 ((tbl_CONTENT[[#This Row],[Comp]]-1)^(2.5)*4^(1-2.5)+1)*(0.5*((tbl_CONTENT[[#This Row],[RelInt]]-1)/4)^(2.5)+1),
 0
)</f>
        <v>0</v>
      </c>
      <c r="T245" s="35">
        <f>IFERROR(
 (1.907*EXP(1)^(-0.5*VALUE(tbl_CONTENT[[#This Row],[Layer]]))) *
 ((VALUE(tbl_CONTENT[[#This Row],[RelId]])-1)^(2.5)*4^(1-2.5)+1) +
 ((VALUE(tbl_CONTENT[[#This Row],[Comp]])-1)^(2.5)*4^(1-2.5)+1)*(0.5*((VALUE(tbl_CONTENT[[#This Row],[RelId]])-1)/4)^(2.5)+1),
 0
)</f>
        <v>0</v>
      </c>
      <c r="W245" s="22" t="str">
        <f>IFERROR(
  IF(_xlfn.XLOOKUP(tbl_CONTENT[[#This Row],[Topic]], tbl_TOPIC[Topic], tbl_TOPIC[ParentTopic])="", "",
       _xlfn.XLOOKUP(tbl_CONTENT[[#This Row],[Topic]], tbl_TOPIC[Topic], tbl_TOPIC[ParentTopic])),
  ""
)</f>
        <v>Klassische Streutheorie</v>
      </c>
      <c r="X245"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6" spans="3:24" ht="68" x14ac:dyDescent="0.2">
      <c r="C246" s="22" t="str">
        <f>_xlfn.XLOOKUP(tbl_CONTENT[[#This Row],[TopicID]], tbl_TOPIC[TopicID], tbl_TOPIC[Subject], "")</f>
        <v>CM</v>
      </c>
      <c r="D2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CM-T12-03-06</v>
      </c>
      <c r="E246" s="22">
        <f>ROW()</f>
        <v>246</v>
      </c>
      <c r="F246" s="22" t="s">
        <v>1051</v>
      </c>
      <c r="G246" s="22" t="str">
        <f>_xlfn.XLOOKUP(tbl_CONTENT[[#This Row],[Topic]], tbl_TOPIC[Topic], tbl_TOPIC[TopicID], "")</f>
        <v>CM-1-03</v>
      </c>
      <c r="H246" s="22" cm="1">
        <f t="array" ref="H246">SUM((tbl_CONTENT[[#This Row],[TopicID]]=INDEX(tbl_CONTENT[TopicID],1):tbl_CONTENT[[#This Row],[TopicID]])*1)</f>
        <v>6</v>
      </c>
      <c r="I246" s="22" t="str">
        <f>_xlfn.XLOOKUP(tbl_CONTENT[[#This Row],[Topic]], tbl_TOPIC[Topic], tbl_TOPIC[TopicIndex], "")</f>
        <v>03</v>
      </c>
      <c r="J246" s="22" t="s">
        <v>462</v>
      </c>
      <c r="K246" s="22" t="s">
        <v>476</v>
      </c>
      <c r="L246" s="22" t="s">
        <v>151</v>
      </c>
      <c r="S246" s="35">
        <f>IFERROR(
 (1.907*EXP(1)^(-0.5*tbl_CONTENT[[#This Row],[Layer]])) *
 ((tbl_CONTENT[[#This Row],[RelInt]]-1)^(2.5)*4^(1-2.5)+1) +
 ((tbl_CONTENT[[#This Row],[Comp]]-1)^(2.5)*4^(1-2.5)+1)*(0.5*((tbl_CONTENT[[#This Row],[RelInt]]-1)/4)^(2.5)+1),
 0
)</f>
        <v>0</v>
      </c>
      <c r="T246" s="35">
        <f>IFERROR(
 (1.907*EXP(1)^(-0.5*VALUE(tbl_CONTENT[[#This Row],[Layer]]))) *
 ((VALUE(tbl_CONTENT[[#This Row],[RelId]])-1)^(2.5)*4^(1-2.5)+1) +
 ((VALUE(tbl_CONTENT[[#This Row],[Comp]])-1)^(2.5)*4^(1-2.5)+1)*(0.5*((VALUE(tbl_CONTENT[[#This Row],[RelId]])-1)/4)^(2.5)+1),
 0
)</f>
        <v>0</v>
      </c>
      <c r="W246" s="22" t="str">
        <f>IFERROR(
  IF(_xlfn.XLOOKUP(tbl_CONTENT[[#This Row],[Topic]], tbl_TOPIC[Topic], tbl_TOPIC[ParentTopic])="", "",
       _xlfn.XLOOKUP(tbl_CONTENT[[#This Row],[Topic]], tbl_TOPIC[Topic], tbl_TOPIC[ParentTopic])),
  ""
)</f>
        <v>Klassische Streutheorie</v>
      </c>
      <c r="X246"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7" spans="3:24" ht="68" x14ac:dyDescent="0.2">
      <c r="C247" s="22" t="str">
        <f>_xlfn.XLOOKUP(tbl_CONTENT[[#This Row],[TopicID]], tbl_TOPIC[TopicID], tbl_TOPIC[Subject], "")</f>
        <v>CM</v>
      </c>
      <c r="D2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CM-T12-03-07</v>
      </c>
      <c r="E247" s="22">
        <f>ROW()</f>
        <v>247</v>
      </c>
      <c r="F247" s="22" t="s">
        <v>1051</v>
      </c>
      <c r="G247" s="22" t="str">
        <f>_xlfn.XLOOKUP(tbl_CONTENT[[#This Row],[Topic]], tbl_TOPIC[Topic], tbl_TOPIC[TopicID], "")</f>
        <v>CM-1-03</v>
      </c>
      <c r="H247" s="22" cm="1">
        <f t="array" ref="H247">SUM((tbl_CONTENT[[#This Row],[TopicID]]=INDEX(tbl_CONTENT[TopicID],1):tbl_CONTENT[[#This Row],[TopicID]])*1)</f>
        <v>7</v>
      </c>
      <c r="I247" s="22" t="str">
        <f>_xlfn.XLOOKUP(tbl_CONTENT[[#This Row],[Topic]], tbl_TOPIC[Topic], tbl_TOPIC[TopicIndex], "")</f>
        <v>03</v>
      </c>
      <c r="J247" s="22" t="s">
        <v>462</v>
      </c>
      <c r="K247" s="22" t="s">
        <v>477</v>
      </c>
      <c r="L247" s="22" t="s">
        <v>380</v>
      </c>
      <c r="M247" s="22">
        <v>1</v>
      </c>
      <c r="S247" s="35">
        <f>IFERROR(
 (1.907*EXP(1)^(-0.5*tbl_CONTENT[[#This Row],[Layer]])) *
 ((tbl_CONTENT[[#This Row],[RelInt]]-1)^(2.5)*4^(1-2.5)+1) +
 ((tbl_CONTENT[[#This Row],[Comp]]-1)^(2.5)*4^(1-2.5)+1)*(0.5*((tbl_CONTENT[[#This Row],[RelInt]]-1)/4)^(2.5)+1),
 0
)</f>
        <v>0</v>
      </c>
      <c r="T247" s="35">
        <f>IFERROR(
 (1.907*EXP(1)^(-0.5*VALUE(tbl_CONTENT[[#This Row],[Layer]]))) *
 ((VALUE(tbl_CONTENT[[#This Row],[RelId]])-1)^(2.5)*4^(1-2.5)+1) +
 ((VALUE(tbl_CONTENT[[#This Row],[Comp]])-1)^(2.5)*4^(1-2.5)+1)*(0.5*((VALUE(tbl_CONTENT[[#This Row],[RelId]])-1)/4)^(2.5)+1),
 0
)</f>
        <v>0</v>
      </c>
      <c r="W247" s="22" t="str">
        <f>IFERROR(
  IF(_xlfn.XLOOKUP(tbl_CONTENT[[#This Row],[Topic]], tbl_TOPIC[Topic], tbl_TOPIC[ParentTopic])="", "",
       _xlfn.XLOOKUP(tbl_CONTENT[[#This Row],[Topic]], tbl_TOPIC[Topic], tbl_TOPIC[ParentTopic])),
  ""
)</f>
        <v>Klassische Streutheorie</v>
      </c>
      <c r="X247"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8" spans="3:24" ht="68" x14ac:dyDescent="0.2">
      <c r="C248" s="22" t="str">
        <f>_xlfn.XLOOKUP(tbl_CONTENT[[#This Row],[TopicID]], tbl_TOPIC[TopicID], tbl_TOPIC[Subject], "")</f>
        <v>CM</v>
      </c>
      <c r="D2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CM-T12-03-08</v>
      </c>
      <c r="E248" s="22">
        <f>ROW()</f>
        <v>248</v>
      </c>
      <c r="F248" s="22" t="s">
        <v>1051</v>
      </c>
      <c r="G248" s="22" t="str">
        <f>_xlfn.XLOOKUP(tbl_CONTENT[[#This Row],[Topic]], tbl_TOPIC[Topic], tbl_TOPIC[TopicID], "")</f>
        <v>CM-1-03</v>
      </c>
      <c r="H248" s="22" cm="1">
        <f t="array" ref="H248">SUM((tbl_CONTENT[[#This Row],[TopicID]]=INDEX(tbl_CONTENT[TopicID],1):tbl_CONTENT[[#This Row],[TopicID]])*1)</f>
        <v>8</v>
      </c>
      <c r="I248" s="22" t="str">
        <f>_xlfn.XLOOKUP(tbl_CONTENT[[#This Row],[Topic]], tbl_TOPIC[Topic], tbl_TOPIC[TopicIndex], "")</f>
        <v>03</v>
      </c>
      <c r="J248" s="22" t="s">
        <v>462</v>
      </c>
      <c r="K248" s="22" t="s">
        <v>478</v>
      </c>
      <c r="L248" s="22" t="s">
        <v>151</v>
      </c>
      <c r="M248" s="22">
        <v>1</v>
      </c>
      <c r="S248" s="35">
        <f>IFERROR(
 (1.907*EXP(1)^(-0.5*tbl_CONTENT[[#This Row],[Layer]])) *
 ((tbl_CONTENT[[#This Row],[RelInt]]-1)^(2.5)*4^(1-2.5)+1) +
 ((tbl_CONTENT[[#This Row],[Comp]]-1)^(2.5)*4^(1-2.5)+1)*(0.5*((tbl_CONTENT[[#This Row],[RelInt]]-1)/4)^(2.5)+1),
 0
)</f>
        <v>0</v>
      </c>
      <c r="T248" s="35">
        <f>IFERROR(
 (1.907*EXP(1)^(-0.5*VALUE(tbl_CONTENT[[#This Row],[Layer]]))) *
 ((VALUE(tbl_CONTENT[[#This Row],[RelId]])-1)^(2.5)*4^(1-2.5)+1) +
 ((VALUE(tbl_CONTENT[[#This Row],[Comp]])-1)^(2.5)*4^(1-2.5)+1)*(0.5*((VALUE(tbl_CONTENT[[#This Row],[RelId]])-1)/4)^(2.5)+1),
 0
)</f>
        <v>0</v>
      </c>
      <c r="W248" s="22" t="str">
        <f>IFERROR(
  IF(_xlfn.XLOOKUP(tbl_CONTENT[[#This Row],[Topic]], tbl_TOPIC[Topic], tbl_TOPIC[ParentTopic])="", "",
       _xlfn.XLOOKUP(tbl_CONTENT[[#This Row],[Topic]], tbl_TOPIC[Topic], tbl_TOPIC[ParentTopic])),
  ""
)</f>
        <v>Klassische Streutheorie</v>
      </c>
      <c r="X248"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9" spans="3:24" ht="68" x14ac:dyDescent="0.2">
      <c r="C249" s="22" t="str">
        <f>_xlfn.XLOOKUP(tbl_CONTENT[[#This Row],[TopicID]], tbl_TOPIC[TopicID], tbl_TOPIC[Subject], "")</f>
        <v>CM</v>
      </c>
      <c r="D2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CM-T12-03-09</v>
      </c>
      <c r="E249" s="22">
        <f>ROW()</f>
        <v>249</v>
      </c>
      <c r="F249" s="22" t="s">
        <v>1051</v>
      </c>
      <c r="G249" s="22" t="str">
        <f>_xlfn.XLOOKUP(tbl_CONTENT[[#This Row],[Topic]], tbl_TOPIC[Topic], tbl_TOPIC[TopicID], "")</f>
        <v>CM-1-03</v>
      </c>
      <c r="H249" s="22" cm="1">
        <f t="array" ref="H249">SUM((tbl_CONTENT[[#This Row],[TopicID]]=INDEX(tbl_CONTENT[TopicID],1):tbl_CONTENT[[#This Row],[TopicID]])*1)</f>
        <v>9</v>
      </c>
      <c r="I249" s="22" t="str">
        <f>_xlfn.XLOOKUP(tbl_CONTENT[[#This Row],[Topic]], tbl_TOPIC[Topic], tbl_TOPIC[TopicIndex], "")</f>
        <v>03</v>
      </c>
      <c r="J249" s="22" t="s">
        <v>462</v>
      </c>
      <c r="K249" s="22" t="s">
        <v>480</v>
      </c>
      <c r="L249" s="22" t="s">
        <v>179</v>
      </c>
      <c r="S249" s="35">
        <f>IFERROR(
 (1.907*EXP(1)^(-0.5*tbl_CONTENT[[#This Row],[Layer]])) *
 ((tbl_CONTENT[[#This Row],[RelInt]]-1)^(2.5)*4^(1-2.5)+1) +
 ((tbl_CONTENT[[#This Row],[Comp]]-1)^(2.5)*4^(1-2.5)+1)*(0.5*((tbl_CONTENT[[#This Row],[RelInt]]-1)/4)^(2.5)+1),
 0
)</f>
        <v>0</v>
      </c>
      <c r="T249" s="35">
        <f>IFERROR(
 (1.907*EXP(1)^(-0.5*VALUE(tbl_CONTENT[[#This Row],[Layer]]))) *
 ((VALUE(tbl_CONTENT[[#This Row],[RelId]])-1)^(2.5)*4^(1-2.5)+1) +
 ((VALUE(tbl_CONTENT[[#This Row],[Comp]])-1)^(2.5)*4^(1-2.5)+1)*(0.5*((VALUE(tbl_CONTENT[[#This Row],[RelId]])-1)/4)^(2.5)+1),
 0
)</f>
        <v>0</v>
      </c>
      <c r="W249" s="22" t="str">
        <f>IFERROR(
  IF(_xlfn.XLOOKUP(tbl_CONTENT[[#This Row],[Topic]], tbl_TOPIC[Topic], tbl_TOPIC[ParentTopic])="", "",
       _xlfn.XLOOKUP(tbl_CONTENT[[#This Row],[Topic]], tbl_TOPIC[Topic], tbl_TOPIC[ParentTopic])),
  ""
)</f>
        <v>Klassische Streutheorie</v>
      </c>
      <c r="X249"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0" spans="3:24" ht="68" x14ac:dyDescent="0.2">
      <c r="C250" s="22" t="str">
        <f>_xlfn.XLOOKUP(tbl_CONTENT[[#This Row],[TopicID]], tbl_TOPIC[TopicID], tbl_TOPIC[Subject], "")</f>
        <v>CM</v>
      </c>
      <c r="D2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CM-T12-03-10</v>
      </c>
      <c r="E250" s="22">
        <f>ROW()</f>
        <v>250</v>
      </c>
      <c r="F250" s="22" t="s">
        <v>1051</v>
      </c>
      <c r="G250" s="22" t="str">
        <f>_xlfn.XLOOKUP(tbl_CONTENT[[#This Row],[Topic]], tbl_TOPIC[Topic], tbl_TOPIC[TopicID], "")</f>
        <v>CM-1-03</v>
      </c>
      <c r="H250" s="22" cm="1">
        <f t="array" ref="H250">SUM((tbl_CONTENT[[#This Row],[TopicID]]=INDEX(tbl_CONTENT[TopicID],1):tbl_CONTENT[[#This Row],[TopicID]])*1)</f>
        <v>10</v>
      </c>
      <c r="I250" s="22" t="str">
        <f>_xlfn.XLOOKUP(tbl_CONTENT[[#This Row],[Topic]], tbl_TOPIC[Topic], tbl_TOPIC[TopicIndex], "")</f>
        <v>03</v>
      </c>
      <c r="J250" s="22" t="s">
        <v>462</v>
      </c>
      <c r="K250" s="22" t="s">
        <v>481</v>
      </c>
      <c r="L250" s="22" t="s">
        <v>147</v>
      </c>
      <c r="S250" s="35">
        <f>IFERROR(
 (1.907*EXP(1)^(-0.5*tbl_CONTENT[[#This Row],[Layer]])) *
 ((tbl_CONTENT[[#This Row],[RelInt]]-1)^(2.5)*4^(1-2.5)+1) +
 ((tbl_CONTENT[[#This Row],[Comp]]-1)^(2.5)*4^(1-2.5)+1)*(0.5*((tbl_CONTENT[[#This Row],[RelInt]]-1)/4)^(2.5)+1),
 0
)</f>
        <v>0</v>
      </c>
      <c r="T250" s="35">
        <f>IFERROR(
 (1.907*EXP(1)^(-0.5*VALUE(tbl_CONTENT[[#This Row],[Layer]]))) *
 ((VALUE(tbl_CONTENT[[#This Row],[RelId]])-1)^(2.5)*4^(1-2.5)+1) +
 ((VALUE(tbl_CONTENT[[#This Row],[Comp]])-1)^(2.5)*4^(1-2.5)+1)*(0.5*((VALUE(tbl_CONTENT[[#This Row],[RelId]])-1)/4)^(2.5)+1),
 0
)</f>
        <v>0</v>
      </c>
      <c r="W250" s="22" t="str">
        <f>IFERROR(
  IF(_xlfn.XLOOKUP(tbl_CONTENT[[#This Row],[Topic]], tbl_TOPIC[Topic], tbl_TOPIC[ParentTopic])="", "",
       _xlfn.XLOOKUP(tbl_CONTENT[[#This Row],[Topic]], tbl_TOPIC[Topic], tbl_TOPIC[ParentTopic])),
  ""
)</f>
        <v>Klassische Streutheorie</v>
      </c>
      <c r="X250"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1" spans="3:24" ht="34" x14ac:dyDescent="0.2">
      <c r="C251" s="22" t="str">
        <f>_xlfn.XLOOKUP(tbl_CONTENT[[#This Row],[TopicID]], tbl_TOPIC[TopicID], tbl_TOPIC[Subject], "")</f>
        <v>CM</v>
      </c>
      <c r="D2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CM-T12-04-01</v>
      </c>
      <c r="E251" s="22">
        <f>ROW()</f>
        <v>251</v>
      </c>
      <c r="F251" s="22" t="s">
        <v>1051</v>
      </c>
      <c r="G251" s="22" t="str">
        <f>_xlfn.XLOOKUP(tbl_CONTENT[[#This Row],[Topic]], tbl_TOPIC[Topic], tbl_TOPIC[TopicID], "")</f>
        <v>CM-1-04</v>
      </c>
      <c r="H251" s="22" cm="1">
        <f t="array" ref="H251">SUM((tbl_CONTENT[[#This Row],[TopicID]]=INDEX(tbl_CONTENT[TopicID],1):tbl_CONTENT[[#This Row],[TopicID]])*1)</f>
        <v>1</v>
      </c>
      <c r="I251" s="22" t="str">
        <f>_xlfn.XLOOKUP(tbl_CONTENT[[#This Row],[Topic]], tbl_TOPIC[Topic], tbl_TOPIC[TopicIndex], "")</f>
        <v>04</v>
      </c>
      <c r="J251" s="22" t="s">
        <v>463</v>
      </c>
      <c r="S251" s="35">
        <f>IFERROR(
 (1.907*EXP(1)^(-0.5*tbl_CONTENT[[#This Row],[Layer]])) *
 ((tbl_CONTENT[[#This Row],[RelInt]]-1)^(2.5)*4^(1-2.5)+1) +
 ((tbl_CONTENT[[#This Row],[Comp]]-1)^(2.5)*4^(1-2.5)+1)*(0.5*((tbl_CONTENT[[#This Row],[RelInt]]-1)/4)^(2.5)+1),
 0
)</f>
        <v>0</v>
      </c>
      <c r="T251" s="35">
        <f>IFERROR(
 (1.907*EXP(1)^(-0.5*VALUE(tbl_CONTENT[[#This Row],[Layer]]))) *
 ((VALUE(tbl_CONTENT[[#This Row],[RelId]])-1)^(2.5)*4^(1-2.5)+1) +
 ((VALUE(tbl_CONTENT[[#This Row],[Comp]])-1)^(2.5)*4^(1-2.5)+1)*(0.5*((VALUE(tbl_CONTENT[[#This Row],[RelId]])-1)/4)^(2.5)+1),
 0
)</f>
        <v>0</v>
      </c>
      <c r="W251" s="22" t="str">
        <f>IFERROR(
  IF(_xlfn.XLOOKUP(tbl_CONTENT[[#This Row],[Topic]], tbl_TOPIC[Topic], tbl_TOPIC[ParentTopic])="", "",
       _xlfn.XLOOKUP(tbl_CONTENT[[#This Row],[Topic]], tbl_TOPIC[Topic], tbl_TOPIC[ParentTopic])),
  ""
)</f>
        <v>Klassische Streutheorie</v>
      </c>
      <c r="X251" s="22" t="str">
        <f>IFERROR(
  IF(_xlfn.XLOOKUP(tbl_CONTENT[[#This Row],[Topic]], tbl_TOPIC[Topic], tbl_TOPIC[TopicPath])="", "",
       _xlfn.XLOOKUP(tbl_CONTENT[[#This Row],[Topic]], tbl_TOPIC[Topic], tbl_TOPIC[TopicPath])),
  ""
)</f>
        <v>Klassische Streutheorie/Rücktransformation ins Laborsystem</v>
      </c>
    </row>
    <row r="252" spans="3:24" ht="34" x14ac:dyDescent="0.2">
      <c r="C252" s="22" t="str">
        <f>_xlfn.XLOOKUP(tbl_CONTENT[[#This Row],[TopicID]], tbl_TOPIC[TopicID], tbl_TOPIC[Subject], "")</f>
        <v>CM</v>
      </c>
      <c r="D2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CM-T12-05-01</v>
      </c>
      <c r="E252" s="22">
        <f>ROW()</f>
        <v>252</v>
      </c>
      <c r="F252" s="22" t="s">
        <v>1051</v>
      </c>
      <c r="G252" s="22" t="str">
        <f>_xlfn.XLOOKUP(tbl_CONTENT[[#This Row],[Topic]], tbl_TOPIC[Topic], tbl_TOPIC[TopicID], "")</f>
        <v>CM-1-05</v>
      </c>
      <c r="H252" s="22" cm="1">
        <f t="array" ref="H252">SUM((tbl_CONTENT[[#This Row],[TopicID]]=INDEX(tbl_CONTENT[TopicID],1):tbl_CONTENT[[#This Row],[TopicID]])*1)</f>
        <v>1</v>
      </c>
      <c r="I252" s="22" t="str">
        <f>_xlfn.XLOOKUP(tbl_CONTENT[[#This Row],[Topic]], tbl_TOPIC[Topic], tbl_TOPIC[TopicIndex], "")</f>
        <v>05</v>
      </c>
      <c r="J252" s="22" t="s">
        <v>482</v>
      </c>
      <c r="K252" s="22" t="s">
        <v>483</v>
      </c>
      <c r="L252" s="22" t="s">
        <v>380</v>
      </c>
      <c r="M252" s="22">
        <v>1</v>
      </c>
      <c r="S252" s="35">
        <f>IFERROR(
 (1.907*EXP(1)^(-0.5*tbl_CONTENT[[#This Row],[Layer]])) *
 ((tbl_CONTENT[[#This Row],[RelInt]]-1)^(2.5)*4^(1-2.5)+1) +
 ((tbl_CONTENT[[#This Row],[Comp]]-1)^(2.5)*4^(1-2.5)+1)*(0.5*((tbl_CONTENT[[#This Row],[RelInt]]-1)/4)^(2.5)+1),
 0
)</f>
        <v>0</v>
      </c>
      <c r="T252" s="35">
        <f>IFERROR(
 (1.907*EXP(1)^(-0.5*VALUE(tbl_CONTENT[[#This Row],[Layer]]))) *
 ((VALUE(tbl_CONTENT[[#This Row],[RelId]])-1)^(2.5)*4^(1-2.5)+1) +
 ((VALUE(tbl_CONTENT[[#This Row],[Comp]])-1)^(2.5)*4^(1-2.5)+1)*(0.5*((VALUE(tbl_CONTENT[[#This Row],[RelId]])-1)/4)^(2.5)+1),
 0
)</f>
        <v>0</v>
      </c>
      <c r="W252" s="22" t="str">
        <f>IFERROR(
  IF(_xlfn.XLOOKUP(tbl_CONTENT[[#This Row],[Topic]], tbl_TOPIC[Topic], tbl_TOPIC[ParentTopic])="", "",
       _xlfn.XLOOKUP(tbl_CONTENT[[#This Row],[Topic]], tbl_TOPIC[Topic], tbl_TOPIC[ParentTopic])),
  ""
)</f>
        <v/>
      </c>
      <c r="X252" s="22" t="str">
        <f>IFERROR(
  IF(_xlfn.XLOOKUP(tbl_CONTENT[[#This Row],[Topic]], tbl_TOPIC[Topic], tbl_TOPIC[TopicPath])="", "",
       _xlfn.XLOOKUP(tbl_CONTENT[[#This Row],[Topic]], tbl_TOPIC[Topic], tbl_TOPIC[TopicPath])),
  ""
)</f>
        <v>2-Körper und effektives 1-Körper Problem</v>
      </c>
    </row>
    <row r="253" spans="3:24" ht="34" x14ac:dyDescent="0.2">
      <c r="C253" s="22" t="str">
        <f>_xlfn.XLOOKUP(tbl_CONTENT[[#This Row],[TopicID]], tbl_TOPIC[TopicID], tbl_TOPIC[Subject], "")</f>
        <v>CM</v>
      </c>
      <c r="D2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CM-T12-05-02</v>
      </c>
      <c r="E253" s="22">
        <f>ROW()</f>
        <v>253</v>
      </c>
      <c r="F253" s="22" t="s">
        <v>1051</v>
      </c>
      <c r="G253" s="22" t="str">
        <f>_xlfn.XLOOKUP(tbl_CONTENT[[#This Row],[Topic]], tbl_TOPIC[Topic], tbl_TOPIC[TopicID], "")</f>
        <v>CM-1-05</v>
      </c>
      <c r="H253" s="22" cm="1">
        <f t="array" ref="H253">SUM((tbl_CONTENT[[#This Row],[TopicID]]=INDEX(tbl_CONTENT[TopicID],1):tbl_CONTENT[[#This Row],[TopicID]])*1)</f>
        <v>2</v>
      </c>
      <c r="I253" s="22" t="str">
        <f>_xlfn.XLOOKUP(tbl_CONTENT[[#This Row],[Topic]], tbl_TOPIC[Topic], tbl_TOPIC[TopicIndex], "")</f>
        <v>05</v>
      </c>
      <c r="J253" s="22" t="s">
        <v>482</v>
      </c>
      <c r="K253" s="22" t="s">
        <v>484</v>
      </c>
      <c r="L253" s="22" t="s">
        <v>380</v>
      </c>
      <c r="M253" s="22">
        <v>1</v>
      </c>
      <c r="S253" s="35">
        <f>IFERROR(
 (1.907*EXP(1)^(-0.5*tbl_CONTENT[[#This Row],[Layer]])) *
 ((tbl_CONTENT[[#This Row],[RelInt]]-1)^(2.5)*4^(1-2.5)+1) +
 ((tbl_CONTENT[[#This Row],[Comp]]-1)^(2.5)*4^(1-2.5)+1)*(0.5*((tbl_CONTENT[[#This Row],[RelInt]]-1)/4)^(2.5)+1),
 0
)</f>
        <v>0</v>
      </c>
      <c r="T253" s="35">
        <f>IFERROR(
 (1.907*EXP(1)^(-0.5*VALUE(tbl_CONTENT[[#This Row],[Layer]]))) *
 ((VALUE(tbl_CONTENT[[#This Row],[RelId]])-1)^(2.5)*4^(1-2.5)+1) +
 ((VALUE(tbl_CONTENT[[#This Row],[Comp]])-1)^(2.5)*4^(1-2.5)+1)*(0.5*((VALUE(tbl_CONTENT[[#This Row],[RelId]])-1)/4)^(2.5)+1),
 0
)</f>
        <v>0</v>
      </c>
      <c r="W253" s="22" t="str">
        <f>IFERROR(
  IF(_xlfn.XLOOKUP(tbl_CONTENT[[#This Row],[Topic]], tbl_TOPIC[Topic], tbl_TOPIC[ParentTopic])="", "",
       _xlfn.XLOOKUP(tbl_CONTENT[[#This Row],[Topic]], tbl_TOPIC[Topic], tbl_TOPIC[ParentTopic])),
  ""
)</f>
        <v/>
      </c>
      <c r="X253" s="22" t="str">
        <f>IFERROR(
  IF(_xlfn.XLOOKUP(tbl_CONTENT[[#This Row],[Topic]], tbl_TOPIC[Topic], tbl_TOPIC[TopicPath])="", "",
       _xlfn.XLOOKUP(tbl_CONTENT[[#This Row],[Topic]], tbl_TOPIC[Topic], tbl_TOPIC[TopicPath])),
  ""
)</f>
        <v>2-Körper und effektives 1-Körper Problem</v>
      </c>
    </row>
    <row r="254" spans="3:24" ht="34" x14ac:dyDescent="0.2">
      <c r="C254" s="22" t="str">
        <f>_xlfn.XLOOKUP(tbl_CONTENT[[#This Row],[TopicID]], tbl_TOPIC[TopicID], tbl_TOPIC[Subject], "")</f>
        <v>CM</v>
      </c>
      <c r="D2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CM-T12-05-03</v>
      </c>
      <c r="E254" s="22">
        <f>ROW()</f>
        <v>254</v>
      </c>
      <c r="F254" s="22" t="s">
        <v>1051</v>
      </c>
      <c r="G254" s="22" t="str">
        <f>_xlfn.XLOOKUP(tbl_CONTENT[[#This Row],[Topic]], tbl_TOPIC[Topic], tbl_TOPIC[TopicID], "")</f>
        <v>CM-1-05</v>
      </c>
      <c r="H254" s="22" cm="1">
        <f t="array" ref="H254">SUM((tbl_CONTENT[[#This Row],[TopicID]]=INDEX(tbl_CONTENT[TopicID],1):tbl_CONTENT[[#This Row],[TopicID]])*1)</f>
        <v>3</v>
      </c>
      <c r="I254" s="22" t="str">
        <f>_xlfn.XLOOKUP(tbl_CONTENT[[#This Row],[Topic]], tbl_TOPIC[Topic], tbl_TOPIC[TopicIndex], "")</f>
        <v>05</v>
      </c>
      <c r="J254" s="22" t="s">
        <v>482</v>
      </c>
      <c r="K254" s="22" t="s">
        <v>485</v>
      </c>
      <c r="L254" s="22" t="s">
        <v>152</v>
      </c>
      <c r="M254" s="22">
        <v>1</v>
      </c>
      <c r="S254" s="35">
        <f>IFERROR(
 (1.907*EXP(1)^(-0.5*tbl_CONTENT[[#This Row],[Layer]])) *
 ((tbl_CONTENT[[#This Row],[RelInt]]-1)^(2.5)*4^(1-2.5)+1) +
 ((tbl_CONTENT[[#This Row],[Comp]]-1)^(2.5)*4^(1-2.5)+1)*(0.5*((tbl_CONTENT[[#This Row],[RelInt]]-1)/4)^(2.5)+1),
 0
)</f>
        <v>0</v>
      </c>
      <c r="T254" s="35">
        <f>IFERROR(
 (1.907*EXP(1)^(-0.5*VALUE(tbl_CONTENT[[#This Row],[Layer]]))) *
 ((VALUE(tbl_CONTENT[[#This Row],[RelId]])-1)^(2.5)*4^(1-2.5)+1) +
 ((VALUE(tbl_CONTENT[[#This Row],[Comp]])-1)^(2.5)*4^(1-2.5)+1)*(0.5*((VALUE(tbl_CONTENT[[#This Row],[RelId]])-1)/4)^(2.5)+1),
 0
)</f>
        <v>0</v>
      </c>
      <c r="W254" s="22" t="str">
        <f>IFERROR(
  IF(_xlfn.XLOOKUP(tbl_CONTENT[[#This Row],[Topic]], tbl_TOPIC[Topic], tbl_TOPIC[ParentTopic])="", "",
       _xlfn.XLOOKUP(tbl_CONTENT[[#This Row],[Topic]], tbl_TOPIC[Topic], tbl_TOPIC[ParentTopic])),
  ""
)</f>
        <v/>
      </c>
      <c r="X254" s="22" t="str">
        <f>IFERROR(
  IF(_xlfn.XLOOKUP(tbl_CONTENT[[#This Row],[Topic]], tbl_TOPIC[Topic], tbl_TOPIC[TopicPath])="", "",
       _xlfn.XLOOKUP(tbl_CONTENT[[#This Row],[Topic]], tbl_TOPIC[Topic], tbl_TOPIC[TopicPath])),
  ""
)</f>
        <v>2-Körper und effektives 1-Körper Problem</v>
      </c>
    </row>
    <row r="255" spans="3:24" ht="34" x14ac:dyDescent="0.2">
      <c r="C255" s="22" t="str">
        <f>_xlfn.XLOOKUP(tbl_CONTENT[[#This Row],[TopicID]], tbl_TOPIC[TopicID], tbl_TOPIC[Subject], "")</f>
        <v>CM</v>
      </c>
      <c r="D2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CM-T12-05-04</v>
      </c>
      <c r="E255" s="22">
        <f>ROW()</f>
        <v>255</v>
      </c>
      <c r="F255" s="22" t="s">
        <v>1051</v>
      </c>
      <c r="G255" s="22" t="str">
        <f>_xlfn.XLOOKUP(tbl_CONTENT[[#This Row],[Topic]], tbl_TOPIC[Topic], tbl_TOPIC[TopicID], "")</f>
        <v>CM-1-05</v>
      </c>
      <c r="H255" s="22" cm="1">
        <f t="array" ref="H255">SUM((tbl_CONTENT[[#This Row],[TopicID]]=INDEX(tbl_CONTENT[TopicID],1):tbl_CONTENT[[#This Row],[TopicID]])*1)</f>
        <v>4</v>
      </c>
      <c r="I255" s="22" t="str">
        <f>_xlfn.XLOOKUP(tbl_CONTENT[[#This Row],[Topic]], tbl_TOPIC[Topic], tbl_TOPIC[TopicIndex], "")</f>
        <v>05</v>
      </c>
      <c r="J255" s="22" t="s">
        <v>482</v>
      </c>
      <c r="K255" s="22" t="s">
        <v>486</v>
      </c>
      <c r="L255" s="22" t="s">
        <v>152</v>
      </c>
      <c r="M255" s="22">
        <v>1</v>
      </c>
      <c r="S255" s="35">
        <f>IFERROR(
 (1.907*EXP(1)^(-0.5*tbl_CONTENT[[#This Row],[Layer]])) *
 ((tbl_CONTENT[[#This Row],[RelInt]]-1)^(2.5)*4^(1-2.5)+1) +
 ((tbl_CONTENT[[#This Row],[Comp]]-1)^(2.5)*4^(1-2.5)+1)*(0.5*((tbl_CONTENT[[#This Row],[RelInt]]-1)/4)^(2.5)+1),
 0
)</f>
        <v>0</v>
      </c>
      <c r="T255" s="35">
        <f>IFERROR(
 (1.907*EXP(1)^(-0.5*VALUE(tbl_CONTENT[[#This Row],[Layer]]))) *
 ((VALUE(tbl_CONTENT[[#This Row],[RelId]])-1)^(2.5)*4^(1-2.5)+1) +
 ((VALUE(tbl_CONTENT[[#This Row],[Comp]])-1)^(2.5)*4^(1-2.5)+1)*(0.5*((VALUE(tbl_CONTENT[[#This Row],[RelId]])-1)/4)^(2.5)+1),
 0
)</f>
        <v>0</v>
      </c>
      <c r="W255" s="22" t="str">
        <f>IFERROR(
  IF(_xlfn.XLOOKUP(tbl_CONTENT[[#This Row],[Topic]], tbl_TOPIC[Topic], tbl_TOPIC[ParentTopic])="", "",
       _xlfn.XLOOKUP(tbl_CONTENT[[#This Row],[Topic]], tbl_TOPIC[Topic], tbl_TOPIC[ParentTopic])),
  ""
)</f>
        <v/>
      </c>
      <c r="X255" s="22" t="str">
        <f>IFERROR(
  IF(_xlfn.XLOOKUP(tbl_CONTENT[[#This Row],[Topic]], tbl_TOPIC[Topic], tbl_TOPIC[TopicPath])="", "",
       _xlfn.XLOOKUP(tbl_CONTENT[[#This Row],[Topic]], tbl_TOPIC[Topic], tbl_TOPIC[TopicPath])),
  ""
)</f>
        <v>2-Körper und effektives 1-Körper Problem</v>
      </c>
    </row>
    <row r="256" spans="3:24" ht="51" x14ac:dyDescent="0.2">
      <c r="C256" s="22" t="str">
        <f>_xlfn.XLOOKUP(tbl_CONTENT[[#This Row],[TopicID]], tbl_TOPIC[TopicID], tbl_TOPIC[Subject], "")</f>
        <v>CM</v>
      </c>
      <c r="D2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CM-T12-05-05</v>
      </c>
      <c r="E256" s="22">
        <f>ROW()</f>
        <v>256</v>
      </c>
      <c r="F256" s="22" t="s">
        <v>1051</v>
      </c>
      <c r="G256" s="22" t="str">
        <f>_xlfn.XLOOKUP(tbl_CONTENT[[#This Row],[Topic]], tbl_TOPIC[Topic], tbl_TOPIC[TopicID], "")</f>
        <v>CM-1-05</v>
      </c>
      <c r="H256" s="22" cm="1">
        <f t="array" ref="H256">SUM((tbl_CONTENT[[#This Row],[TopicID]]=INDEX(tbl_CONTENT[TopicID],1):tbl_CONTENT[[#This Row],[TopicID]])*1)</f>
        <v>5</v>
      </c>
      <c r="I256" s="22" t="str">
        <f>_xlfn.XLOOKUP(tbl_CONTENT[[#This Row],[Topic]], tbl_TOPIC[Topic], tbl_TOPIC[TopicIndex], "")</f>
        <v>05</v>
      </c>
      <c r="J256" s="22" t="s">
        <v>482</v>
      </c>
      <c r="K256" s="22" t="s">
        <v>487</v>
      </c>
      <c r="L256" s="22" t="s">
        <v>380</v>
      </c>
      <c r="M256" s="22">
        <v>1</v>
      </c>
      <c r="S256" s="35">
        <f>IFERROR(
 (1.907*EXP(1)^(-0.5*tbl_CONTENT[[#This Row],[Layer]])) *
 ((tbl_CONTENT[[#This Row],[RelInt]]-1)^(2.5)*4^(1-2.5)+1) +
 ((tbl_CONTENT[[#This Row],[Comp]]-1)^(2.5)*4^(1-2.5)+1)*(0.5*((tbl_CONTENT[[#This Row],[RelInt]]-1)/4)^(2.5)+1),
 0
)</f>
        <v>0</v>
      </c>
      <c r="T256" s="35">
        <f>IFERROR(
 (1.907*EXP(1)^(-0.5*VALUE(tbl_CONTENT[[#This Row],[Layer]]))) *
 ((VALUE(tbl_CONTENT[[#This Row],[RelId]])-1)^(2.5)*4^(1-2.5)+1) +
 ((VALUE(tbl_CONTENT[[#This Row],[Comp]])-1)^(2.5)*4^(1-2.5)+1)*(0.5*((VALUE(tbl_CONTENT[[#This Row],[RelId]])-1)/4)^(2.5)+1),
 0
)</f>
        <v>0</v>
      </c>
      <c r="W256" s="22" t="str">
        <f>IFERROR(
  IF(_xlfn.XLOOKUP(tbl_CONTENT[[#This Row],[Topic]], tbl_TOPIC[Topic], tbl_TOPIC[ParentTopic])="", "",
       _xlfn.XLOOKUP(tbl_CONTENT[[#This Row],[Topic]], tbl_TOPIC[Topic], tbl_TOPIC[ParentTopic])),
  ""
)</f>
        <v/>
      </c>
      <c r="X256" s="22" t="str">
        <f>IFERROR(
  IF(_xlfn.XLOOKUP(tbl_CONTENT[[#This Row],[Topic]], tbl_TOPIC[Topic], tbl_TOPIC[TopicPath])="", "",
       _xlfn.XLOOKUP(tbl_CONTENT[[#This Row],[Topic]], tbl_TOPIC[Topic], tbl_TOPIC[TopicPath])),
  ""
)</f>
        <v>2-Körper und effektives 1-Körper Problem</v>
      </c>
    </row>
    <row r="257" spans="3:24" ht="34" x14ac:dyDescent="0.2">
      <c r="C257" s="22" t="str">
        <f>_xlfn.XLOOKUP(tbl_CONTENT[[#This Row],[TopicID]], tbl_TOPIC[TopicID], tbl_TOPIC[Subject], "")</f>
        <v>CM</v>
      </c>
      <c r="D2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CM-T12-05-06</v>
      </c>
      <c r="E257" s="22">
        <f>ROW()</f>
        <v>257</v>
      </c>
      <c r="F257" s="22" t="s">
        <v>1051</v>
      </c>
      <c r="G257" s="22" t="str">
        <f>_xlfn.XLOOKUP(tbl_CONTENT[[#This Row],[Topic]], tbl_TOPIC[Topic], tbl_TOPIC[TopicID], "")</f>
        <v>CM-1-05</v>
      </c>
      <c r="H257" s="22" cm="1">
        <f t="array" ref="H257">SUM((tbl_CONTENT[[#This Row],[TopicID]]=INDEX(tbl_CONTENT[TopicID],1):tbl_CONTENT[[#This Row],[TopicID]])*1)</f>
        <v>6</v>
      </c>
      <c r="I257" s="22" t="str">
        <f>_xlfn.XLOOKUP(tbl_CONTENT[[#This Row],[Topic]], tbl_TOPIC[Topic], tbl_TOPIC[TopicIndex], "")</f>
        <v>05</v>
      </c>
      <c r="J257" s="22" t="s">
        <v>482</v>
      </c>
      <c r="K257" s="22" t="s">
        <v>488</v>
      </c>
      <c r="L257" s="22" t="s">
        <v>380</v>
      </c>
      <c r="M257" s="22">
        <v>1</v>
      </c>
      <c r="S257" s="35">
        <f>IFERROR(
 (1.907*EXP(1)^(-0.5*tbl_CONTENT[[#This Row],[Layer]])) *
 ((tbl_CONTENT[[#This Row],[RelInt]]-1)^(2.5)*4^(1-2.5)+1) +
 ((tbl_CONTENT[[#This Row],[Comp]]-1)^(2.5)*4^(1-2.5)+1)*(0.5*((tbl_CONTENT[[#This Row],[RelInt]]-1)/4)^(2.5)+1),
 0
)</f>
        <v>0</v>
      </c>
      <c r="T257" s="35">
        <f>IFERROR(
 (1.907*EXP(1)^(-0.5*VALUE(tbl_CONTENT[[#This Row],[Layer]]))) *
 ((VALUE(tbl_CONTENT[[#This Row],[RelId]])-1)^(2.5)*4^(1-2.5)+1) +
 ((VALUE(tbl_CONTENT[[#This Row],[Comp]])-1)^(2.5)*4^(1-2.5)+1)*(0.5*((VALUE(tbl_CONTENT[[#This Row],[RelId]])-1)/4)^(2.5)+1),
 0
)</f>
        <v>0</v>
      </c>
      <c r="W257" s="22" t="str">
        <f>IFERROR(
  IF(_xlfn.XLOOKUP(tbl_CONTENT[[#This Row],[Topic]], tbl_TOPIC[Topic], tbl_TOPIC[ParentTopic])="", "",
       _xlfn.XLOOKUP(tbl_CONTENT[[#This Row],[Topic]], tbl_TOPIC[Topic], tbl_TOPIC[ParentTopic])),
  ""
)</f>
        <v/>
      </c>
      <c r="X257" s="22" t="str">
        <f>IFERROR(
  IF(_xlfn.XLOOKUP(tbl_CONTENT[[#This Row],[Topic]], tbl_TOPIC[Topic], tbl_TOPIC[TopicPath])="", "",
       _xlfn.XLOOKUP(tbl_CONTENT[[#This Row],[Topic]], tbl_TOPIC[Topic], tbl_TOPIC[TopicPath])),
  ""
)</f>
        <v>2-Körper und effektives 1-Körper Problem</v>
      </c>
    </row>
    <row r="258" spans="3:24" ht="17" x14ac:dyDescent="0.2">
      <c r="C258" s="22" t="str">
        <f>_xlfn.XLOOKUP(tbl_CONTENT[[#This Row],[TopicID]], tbl_TOPIC[TopicID], tbl_TOPIC[Subject], "")</f>
        <v>CM</v>
      </c>
      <c r="D2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CM-T12-07-01</v>
      </c>
      <c r="E258" s="22">
        <f>ROW()</f>
        <v>258</v>
      </c>
      <c r="F258" s="22" t="s">
        <v>1051</v>
      </c>
      <c r="G258" s="22" t="str">
        <f>_xlfn.XLOOKUP(tbl_CONTENT[[#This Row],[Topic]], tbl_TOPIC[Topic], tbl_TOPIC[TopicID], "")</f>
        <v>CM-1-07</v>
      </c>
      <c r="H258" s="22" cm="1">
        <f t="array" ref="H258">SUM((tbl_CONTENT[[#This Row],[TopicID]]=INDEX(tbl_CONTENT[TopicID],1):tbl_CONTENT[[#This Row],[TopicID]])*1)</f>
        <v>1</v>
      </c>
      <c r="I258" s="22" t="str">
        <f>_xlfn.XLOOKUP(tbl_CONTENT[[#This Row],[Topic]], tbl_TOPIC[Topic], tbl_TOPIC[TopicIndex], "")</f>
        <v>07</v>
      </c>
      <c r="J258" s="22" t="s">
        <v>490</v>
      </c>
      <c r="K258" s="22" t="s">
        <v>491</v>
      </c>
      <c r="L258" s="22" t="s">
        <v>492</v>
      </c>
      <c r="S258" s="35">
        <f>IFERROR(
 (1.907*EXP(1)^(-0.5*tbl_CONTENT[[#This Row],[Layer]])) *
 ((tbl_CONTENT[[#This Row],[RelInt]]-1)^(2.5)*4^(1-2.5)+1) +
 ((tbl_CONTENT[[#This Row],[Comp]]-1)^(2.5)*4^(1-2.5)+1)*(0.5*((tbl_CONTENT[[#This Row],[RelInt]]-1)/4)^(2.5)+1),
 0
)</f>
        <v>0</v>
      </c>
      <c r="T258" s="35">
        <f>IFERROR(
 (1.907*EXP(1)^(-0.5*VALUE(tbl_CONTENT[[#This Row],[Layer]]))) *
 ((VALUE(tbl_CONTENT[[#This Row],[RelId]])-1)^(2.5)*4^(1-2.5)+1) +
 ((VALUE(tbl_CONTENT[[#This Row],[Comp]])-1)^(2.5)*4^(1-2.5)+1)*(0.5*((VALUE(tbl_CONTENT[[#This Row],[RelId]])-1)/4)^(2.5)+1),
 0
)</f>
        <v>0</v>
      </c>
      <c r="W258" s="22" t="str">
        <f>IFERROR(
  IF(_xlfn.XLOOKUP(tbl_CONTENT[[#This Row],[Topic]], tbl_TOPIC[Topic], tbl_TOPIC[ParentTopic])="", "",
       _xlfn.XLOOKUP(tbl_CONTENT[[#This Row],[Topic]], tbl_TOPIC[Topic], tbl_TOPIC[ParentTopic])),
  ""
)</f>
        <v>CM-ÜB</v>
      </c>
      <c r="X258" s="22" t="str">
        <f>IFERROR(
  IF(_xlfn.XLOOKUP(tbl_CONTENT[[#This Row],[Topic]], tbl_TOPIC[Topic], tbl_TOPIC[TopicPath])="", "",
       _xlfn.XLOOKUP(tbl_CONTENT[[#This Row],[Topic]], tbl_TOPIC[Topic], tbl_TOPIC[TopicPath])),
  ""
)</f>
        <v>CM-ÜB/CM-ÜB-01: Streutheorie</v>
      </c>
    </row>
    <row r="259" spans="3:24" ht="34" x14ac:dyDescent="0.2">
      <c r="C259" s="22" t="str">
        <f>_xlfn.XLOOKUP(tbl_CONTENT[[#This Row],[TopicID]], tbl_TOPIC[TopicID], tbl_TOPIC[Subject], "")</f>
        <v>CM</v>
      </c>
      <c r="D2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CM-T12-07-02</v>
      </c>
      <c r="E259" s="22">
        <f>ROW()</f>
        <v>259</v>
      </c>
      <c r="F259" s="22" t="s">
        <v>1051</v>
      </c>
      <c r="G259" s="22" t="str">
        <f>_xlfn.XLOOKUP(tbl_CONTENT[[#This Row],[Topic]], tbl_TOPIC[Topic], tbl_TOPIC[TopicID], "")</f>
        <v>CM-1-07</v>
      </c>
      <c r="H259" s="22" cm="1">
        <f t="array" ref="H259">SUM((tbl_CONTENT[[#This Row],[TopicID]]=INDEX(tbl_CONTENT[TopicID],1):tbl_CONTENT[[#This Row],[TopicID]])*1)</f>
        <v>2</v>
      </c>
      <c r="I259" s="22" t="str">
        <f>_xlfn.XLOOKUP(tbl_CONTENT[[#This Row],[Topic]], tbl_TOPIC[Topic], tbl_TOPIC[TopicIndex], "")</f>
        <v>07</v>
      </c>
      <c r="J259" s="22" t="s">
        <v>490</v>
      </c>
      <c r="K259" s="22" t="s">
        <v>493</v>
      </c>
      <c r="L259" s="22" t="s">
        <v>492</v>
      </c>
      <c r="S259" s="35">
        <f>IFERROR(
 (1.907*EXP(1)^(-0.5*tbl_CONTENT[[#This Row],[Layer]])) *
 ((tbl_CONTENT[[#This Row],[RelInt]]-1)^(2.5)*4^(1-2.5)+1) +
 ((tbl_CONTENT[[#This Row],[Comp]]-1)^(2.5)*4^(1-2.5)+1)*(0.5*((tbl_CONTENT[[#This Row],[RelInt]]-1)/4)^(2.5)+1),
 0
)</f>
        <v>0</v>
      </c>
      <c r="T259" s="35">
        <f>IFERROR(
 (1.907*EXP(1)^(-0.5*VALUE(tbl_CONTENT[[#This Row],[Layer]]))) *
 ((VALUE(tbl_CONTENT[[#This Row],[RelId]])-1)^(2.5)*4^(1-2.5)+1) +
 ((VALUE(tbl_CONTENT[[#This Row],[Comp]])-1)^(2.5)*4^(1-2.5)+1)*(0.5*((VALUE(tbl_CONTENT[[#This Row],[RelId]])-1)/4)^(2.5)+1),
 0
)</f>
        <v>0</v>
      </c>
      <c r="W259" s="22" t="str">
        <f>IFERROR(
  IF(_xlfn.XLOOKUP(tbl_CONTENT[[#This Row],[Topic]], tbl_TOPIC[Topic], tbl_TOPIC[ParentTopic])="", "",
       _xlfn.XLOOKUP(tbl_CONTENT[[#This Row],[Topic]], tbl_TOPIC[Topic], tbl_TOPIC[ParentTopic])),
  ""
)</f>
        <v>CM-ÜB</v>
      </c>
      <c r="X259" s="22" t="str">
        <f>IFERROR(
  IF(_xlfn.XLOOKUP(tbl_CONTENT[[#This Row],[Topic]], tbl_TOPIC[Topic], tbl_TOPIC[TopicPath])="", "",
       _xlfn.XLOOKUP(tbl_CONTENT[[#This Row],[Topic]], tbl_TOPIC[Topic], tbl_TOPIC[TopicPath])),
  ""
)</f>
        <v>CM-ÜB/CM-ÜB-01: Streutheorie</v>
      </c>
    </row>
    <row r="260" spans="3:24" ht="34" x14ac:dyDescent="0.2">
      <c r="C260" s="22" t="str">
        <f>_xlfn.XLOOKUP(tbl_CONTENT[[#This Row],[TopicID]], tbl_TOPIC[TopicID], tbl_TOPIC[Subject], "")</f>
        <v>CM</v>
      </c>
      <c r="D2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CM-T12-07-03</v>
      </c>
      <c r="E260" s="22">
        <f>ROW()</f>
        <v>260</v>
      </c>
      <c r="F260" s="22" t="s">
        <v>1051</v>
      </c>
      <c r="G260" s="22" t="str">
        <f>_xlfn.XLOOKUP(tbl_CONTENT[[#This Row],[Topic]], tbl_TOPIC[Topic], tbl_TOPIC[TopicID], "")</f>
        <v>CM-1-07</v>
      </c>
      <c r="H260" s="22" cm="1">
        <f t="array" ref="H260">SUM((tbl_CONTENT[[#This Row],[TopicID]]=INDEX(tbl_CONTENT[TopicID],1):tbl_CONTENT[[#This Row],[TopicID]])*1)</f>
        <v>3</v>
      </c>
      <c r="I260" s="22" t="str">
        <f>_xlfn.XLOOKUP(tbl_CONTENT[[#This Row],[Topic]], tbl_TOPIC[Topic], tbl_TOPIC[TopicIndex], "")</f>
        <v>07</v>
      </c>
      <c r="J260" s="22" t="s">
        <v>490</v>
      </c>
      <c r="K260" s="22" t="s">
        <v>991</v>
      </c>
      <c r="L260" s="22" t="s">
        <v>492</v>
      </c>
      <c r="S260" s="35">
        <f>IFERROR(
 (1.907*EXP(1)^(-0.5*tbl_CONTENT[[#This Row],[Layer]])) *
 ((tbl_CONTENT[[#This Row],[RelInt]]-1)^(2.5)*4^(1-2.5)+1) +
 ((tbl_CONTENT[[#This Row],[Comp]]-1)^(2.5)*4^(1-2.5)+1)*(0.5*((tbl_CONTENT[[#This Row],[RelInt]]-1)/4)^(2.5)+1),
 0
)</f>
        <v>0</v>
      </c>
      <c r="T260" s="35">
        <f>IFERROR(
 (1.907*EXP(1)^(-0.5*VALUE(tbl_CONTENT[[#This Row],[Layer]]))) *
 ((VALUE(tbl_CONTENT[[#This Row],[RelId]])-1)^(2.5)*4^(1-2.5)+1) +
 ((VALUE(tbl_CONTENT[[#This Row],[Comp]])-1)^(2.5)*4^(1-2.5)+1)*(0.5*((VALUE(tbl_CONTENT[[#This Row],[RelId]])-1)/4)^(2.5)+1),
 0
)</f>
        <v>0</v>
      </c>
      <c r="W260" s="22" t="str">
        <f>IFERROR(
  IF(_xlfn.XLOOKUP(tbl_CONTENT[[#This Row],[Topic]], tbl_TOPIC[Topic], tbl_TOPIC[ParentTopic])="", "",
       _xlfn.XLOOKUP(tbl_CONTENT[[#This Row],[Topic]], tbl_TOPIC[Topic], tbl_TOPIC[ParentTopic])),
  ""
)</f>
        <v>CM-ÜB</v>
      </c>
      <c r="X260" s="22" t="str">
        <f>IFERROR(
  IF(_xlfn.XLOOKUP(tbl_CONTENT[[#This Row],[Topic]], tbl_TOPIC[Topic], tbl_TOPIC[TopicPath])="", "",
       _xlfn.XLOOKUP(tbl_CONTENT[[#This Row],[Topic]], tbl_TOPIC[Topic], tbl_TOPIC[TopicPath])),
  ""
)</f>
        <v>CM-ÜB/CM-ÜB-01: Streutheorie</v>
      </c>
    </row>
    <row r="261" spans="3:24" ht="34" x14ac:dyDescent="0.2">
      <c r="C261" s="22" t="str">
        <f>_xlfn.XLOOKUP(tbl_CONTENT[[#This Row],[TopicID]], tbl_TOPIC[TopicID], tbl_TOPIC[Subject], "")</f>
        <v>CM</v>
      </c>
      <c r="D2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CM-T12-07-04</v>
      </c>
      <c r="E261" s="22">
        <f>ROW()</f>
        <v>261</v>
      </c>
      <c r="F261" s="22" t="s">
        <v>1051</v>
      </c>
      <c r="G261" s="22" t="str">
        <f>_xlfn.XLOOKUP(tbl_CONTENT[[#This Row],[Topic]], tbl_TOPIC[Topic], tbl_TOPIC[TopicID], "")</f>
        <v>CM-1-07</v>
      </c>
      <c r="H261" s="22" cm="1">
        <f t="array" ref="H261">SUM((tbl_CONTENT[[#This Row],[TopicID]]=INDEX(tbl_CONTENT[TopicID],1):tbl_CONTENT[[#This Row],[TopicID]])*1)</f>
        <v>4</v>
      </c>
      <c r="I261" s="22" t="str">
        <f>_xlfn.XLOOKUP(tbl_CONTENT[[#This Row],[Topic]], tbl_TOPIC[Topic], tbl_TOPIC[TopicIndex], "")</f>
        <v>07</v>
      </c>
      <c r="J261" s="22" t="s">
        <v>490</v>
      </c>
      <c r="K261" s="22" t="s">
        <v>494</v>
      </c>
      <c r="L261" s="22" t="s">
        <v>492</v>
      </c>
      <c r="S261" s="35">
        <f>IFERROR(
 (1.907*EXP(1)^(-0.5*tbl_CONTENT[[#This Row],[Layer]])) *
 ((tbl_CONTENT[[#This Row],[RelInt]]-1)^(2.5)*4^(1-2.5)+1) +
 ((tbl_CONTENT[[#This Row],[Comp]]-1)^(2.5)*4^(1-2.5)+1)*(0.5*((tbl_CONTENT[[#This Row],[RelInt]]-1)/4)^(2.5)+1),
 0
)</f>
        <v>0</v>
      </c>
      <c r="T261" s="35">
        <f>IFERROR(
 (1.907*EXP(1)^(-0.5*VALUE(tbl_CONTENT[[#This Row],[Layer]]))) *
 ((VALUE(tbl_CONTENT[[#This Row],[RelId]])-1)^(2.5)*4^(1-2.5)+1) +
 ((VALUE(tbl_CONTENT[[#This Row],[Comp]])-1)^(2.5)*4^(1-2.5)+1)*(0.5*((VALUE(tbl_CONTENT[[#This Row],[RelId]])-1)/4)^(2.5)+1),
 0
)</f>
        <v>0</v>
      </c>
      <c r="W261" s="22" t="str">
        <f>IFERROR(
  IF(_xlfn.XLOOKUP(tbl_CONTENT[[#This Row],[Topic]], tbl_TOPIC[Topic], tbl_TOPIC[ParentTopic])="", "",
       _xlfn.XLOOKUP(tbl_CONTENT[[#This Row],[Topic]], tbl_TOPIC[Topic], tbl_TOPIC[ParentTopic])),
  ""
)</f>
        <v>CM-ÜB</v>
      </c>
      <c r="X261" s="22" t="str">
        <f>IFERROR(
  IF(_xlfn.XLOOKUP(tbl_CONTENT[[#This Row],[Topic]], tbl_TOPIC[Topic], tbl_TOPIC[TopicPath])="", "",
       _xlfn.XLOOKUP(tbl_CONTENT[[#This Row],[Topic]], tbl_TOPIC[Topic], tbl_TOPIC[TopicPath])),
  ""
)</f>
        <v>CM-ÜB/CM-ÜB-01: Streutheorie</v>
      </c>
    </row>
    <row r="262" spans="3:24" ht="34" x14ac:dyDescent="0.2">
      <c r="C262" s="22" t="str">
        <f>_xlfn.XLOOKUP(tbl_CONTENT[[#This Row],[TopicID]], tbl_TOPIC[TopicID], tbl_TOPIC[Subject], "")</f>
        <v>RG</v>
      </c>
      <c r="D2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RG-T12-02-01</v>
      </c>
      <c r="E262" s="22">
        <f>ROW()</f>
        <v>262</v>
      </c>
      <c r="F262" s="22" t="s">
        <v>1051</v>
      </c>
      <c r="G262" s="22" t="str">
        <f>_xlfn.XLOOKUP(tbl_CONTENT[[#This Row],[Topic]], tbl_TOPIC[Topic], tbl_TOPIC[TopicID], "")</f>
        <v>RG-1-02</v>
      </c>
      <c r="H262" s="22" cm="1">
        <f t="array" ref="H262">SUM((tbl_CONTENT[[#This Row],[TopicID]]=INDEX(tbl_CONTENT[TopicID],1):tbl_CONTENT[[#This Row],[TopicID]])*1)</f>
        <v>1</v>
      </c>
      <c r="I262" s="22" t="str">
        <f>_xlfn.XLOOKUP(tbl_CONTENT[[#This Row],[Topic]], tbl_TOPIC[Topic], tbl_TOPIC[TopicIndex], "")</f>
        <v>02</v>
      </c>
      <c r="J262" s="22" t="s">
        <v>497</v>
      </c>
      <c r="K262" s="22" t="s">
        <v>509</v>
      </c>
      <c r="L262" s="22" t="s">
        <v>152</v>
      </c>
      <c r="S262" s="35">
        <f>IFERROR(
 (1.907*EXP(1)^(-0.5*tbl_CONTENT[[#This Row],[Layer]])) *
 ((tbl_CONTENT[[#This Row],[RelInt]]-1)^(2.5)*4^(1-2.5)+1) +
 ((tbl_CONTENT[[#This Row],[Comp]]-1)^(2.5)*4^(1-2.5)+1)*(0.5*((tbl_CONTENT[[#This Row],[RelInt]]-1)/4)^(2.5)+1),
 0
)</f>
        <v>0</v>
      </c>
      <c r="T262" s="35">
        <f>IFERROR(
 (1.907*EXP(1)^(-0.5*VALUE(tbl_CONTENT[[#This Row],[Layer]]))) *
 ((VALUE(tbl_CONTENT[[#This Row],[RelId]])-1)^(2.5)*4^(1-2.5)+1) +
 ((VALUE(tbl_CONTENT[[#This Row],[Comp]])-1)^(2.5)*4^(1-2.5)+1)*(0.5*((VALUE(tbl_CONTENT[[#This Row],[RelId]])-1)/4)^(2.5)+1),
 0
)</f>
        <v>0</v>
      </c>
      <c r="W262" s="22" t="str">
        <f>IFERROR(
  IF(_xlfn.XLOOKUP(tbl_CONTENT[[#This Row],[Topic]], tbl_TOPIC[Topic], tbl_TOPIC[ParentTopic])="", "",
       _xlfn.XLOOKUP(tbl_CONTENT[[#This Row],[Topic]], tbl_TOPIC[Topic], tbl_TOPIC[ParentTopic])),
  ""
)</f>
        <v>Differenzierbare Mannigfaltigkeiten</v>
      </c>
      <c r="X262" s="22" t="str">
        <f>IFERROR(
  IF(_xlfn.XLOOKUP(tbl_CONTENT[[#This Row],[Topic]], tbl_TOPIC[Topic], tbl_TOPIC[TopicPath])="", "",
       _xlfn.XLOOKUP(tbl_CONTENT[[#This Row],[Topic]], tbl_TOPIC[Topic], tbl_TOPIC[TopicPath])),
  ""
)</f>
        <v>Differenzierbare Mannigfaltigkeiten/Untermannigfaltigkeiten im euklidischen Raum</v>
      </c>
    </row>
    <row r="263" spans="3:24" ht="34" x14ac:dyDescent="0.2">
      <c r="C263" s="22" t="str">
        <f>_xlfn.XLOOKUP(tbl_CONTENT[[#This Row],[TopicID]], tbl_TOPIC[TopicID], tbl_TOPIC[Subject], "")</f>
        <v>RG</v>
      </c>
      <c r="D2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RG-T12-02-02</v>
      </c>
      <c r="E263" s="22">
        <f>ROW()</f>
        <v>263</v>
      </c>
      <c r="F263" s="22" t="s">
        <v>1051</v>
      </c>
      <c r="G263" s="22" t="str">
        <f>_xlfn.XLOOKUP(tbl_CONTENT[[#This Row],[Topic]], tbl_TOPIC[Topic], tbl_TOPIC[TopicID], "")</f>
        <v>RG-1-02</v>
      </c>
      <c r="H263" s="22" cm="1">
        <f t="array" ref="H263">SUM((tbl_CONTENT[[#This Row],[TopicID]]=INDEX(tbl_CONTENT[TopicID],1):tbl_CONTENT[[#This Row],[TopicID]])*1)</f>
        <v>2</v>
      </c>
      <c r="I263" s="22" t="str">
        <f>_xlfn.XLOOKUP(tbl_CONTENT[[#This Row],[Topic]], tbl_TOPIC[Topic], tbl_TOPIC[TopicIndex], "")</f>
        <v>02</v>
      </c>
      <c r="J263" s="22" t="s">
        <v>497</v>
      </c>
      <c r="K263" s="22" t="s">
        <v>510</v>
      </c>
      <c r="L263" s="22" t="s">
        <v>179</v>
      </c>
      <c r="S263" s="35">
        <f>IFERROR(
 (1.907*EXP(1)^(-0.5*tbl_CONTENT[[#This Row],[Layer]])) *
 ((tbl_CONTENT[[#This Row],[RelInt]]-1)^(2.5)*4^(1-2.5)+1) +
 ((tbl_CONTENT[[#This Row],[Comp]]-1)^(2.5)*4^(1-2.5)+1)*(0.5*((tbl_CONTENT[[#This Row],[RelInt]]-1)/4)^(2.5)+1),
 0
)</f>
        <v>0</v>
      </c>
      <c r="T263" s="35">
        <f>IFERROR(
 (1.907*EXP(1)^(-0.5*VALUE(tbl_CONTENT[[#This Row],[Layer]]))) *
 ((VALUE(tbl_CONTENT[[#This Row],[RelId]])-1)^(2.5)*4^(1-2.5)+1) +
 ((VALUE(tbl_CONTENT[[#This Row],[Comp]])-1)^(2.5)*4^(1-2.5)+1)*(0.5*((VALUE(tbl_CONTENT[[#This Row],[RelId]])-1)/4)^(2.5)+1),
 0
)</f>
        <v>0</v>
      </c>
      <c r="W263" s="22" t="str">
        <f>IFERROR(
  IF(_xlfn.XLOOKUP(tbl_CONTENT[[#This Row],[Topic]], tbl_TOPIC[Topic], tbl_TOPIC[ParentTopic])="", "",
       _xlfn.XLOOKUP(tbl_CONTENT[[#This Row],[Topic]], tbl_TOPIC[Topic], tbl_TOPIC[ParentTopic])),
  ""
)</f>
        <v>Differenzierbare Mannigfaltigkeiten</v>
      </c>
      <c r="X263" s="22" t="str">
        <f>IFERROR(
  IF(_xlfn.XLOOKUP(tbl_CONTENT[[#This Row],[Topic]], tbl_TOPIC[Topic], tbl_TOPIC[TopicPath])="", "",
       _xlfn.XLOOKUP(tbl_CONTENT[[#This Row],[Topic]], tbl_TOPIC[Topic], tbl_TOPIC[TopicPath])),
  ""
)</f>
        <v>Differenzierbare Mannigfaltigkeiten/Untermannigfaltigkeiten im euklidischen Raum</v>
      </c>
    </row>
    <row r="264" spans="3:24" ht="34" x14ac:dyDescent="0.2">
      <c r="C264" s="22" t="str">
        <f>_xlfn.XLOOKUP(tbl_CONTENT[[#This Row],[TopicID]], tbl_TOPIC[TopicID], tbl_TOPIC[Subject], "")</f>
        <v>RG</v>
      </c>
      <c r="D2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RG-T12-02-03</v>
      </c>
      <c r="E264" s="22">
        <f>ROW()</f>
        <v>264</v>
      </c>
      <c r="F264" s="22" t="s">
        <v>1051</v>
      </c>
      <c r="G264" s="22" t="str">
        <f>_xlfn.XLOOKUP(tbl_CONTENT[[#This Row],[Topic]], tbl_TOPIC[Topic], tbl_TOPIC[TopicID], "")</f>
        <v>RG-1-02</v>
      </c>
      <c r="H264" s="22" cm="1">
        <f t="array" ref="H264">SUM((tbl_CONTENT[[#This Row],[TopicID]]=INDEX(tbl_CONTENT[TopicID],1):tbl_CONTENT[[#This Row],[TopicID]])*1)</f>
        <v>3</v>
      </c>
      <c r="I264" s="22" t="str">
        <f>_xlfn.XLOOKUP(tbl_CONTENT[[#This Row],[Topic]], tbl_TOPIC[Topic], tbl_TOPIC[TopicIndex], "")</f>
        <v>02</v>
      </c>
      <c r="J264" s="22" t="s">
        <v>497</v>
      </c>
      <c r="K264" s="22" t="s">
        <v>511</v>
      </c>
      <c r="L264" s="22" t="s">
        <v>179</v>
      </c>
      <c r="S264" s="35">
        <f>IFERROR(
 (1.907*EXP(1)^(-0.5*tbl_CONTENT[[#This Row],[Layer]])) *
 ((tbl_CONTENT[[#This Row],[RelInt]]-1)^(2.5)*4^(1-2.5)+1) +
 ((tbl_CONTENT[[#This Row],[Comp]]-1)^(2.5)*4^(1-2.5)+1)*(0.5*((tbl_CONTENT[[#This Row],[RelInt]]-1)/4)^(2.5)+1),
 0
)</f>
        <v>0</v>
      </c>
      <c r="T264" s="35">
        <f>IFERROR(
 (1.907*EXP(1)^(-0.5*VALUE(tbl_CONTENT[[#This Row],[Layer]]))) *
 ((VALUE(tbl_CONTENT[[#This Row],[RelId]])-1)^(2.5)*4^(1-2.5)+1) +
 ((VALUE(tbl_CONTENT[[#This Row],[Comp]])-1)^(2.5)*4^(1-2.5)+1)*(0.5*((VALUE(tbl_CONTENT[[#This Row],[RelId]])-1)/4)^(2.5)+1),
 0
)</f>
        <v>0</v>
      </c>
      <c r="W264" s="22" t="str">
        <f>IFERROR(
  IF(_xlfn.XLOOKUP(tbl_CONTENT[[#This Row],[Topic]], tbl_TOPIC[Topic], tbl_TOPIC[ParentTopic])="", "",
       _xlfn.XLOOKUP(tbl_CONTENT[[#This Row],[Topic]], tbl_TOPIC[Topic], tbl_TOPIC[ParentTopic])),
  ""
)</f>
        <v>Differenzierbare Mannigfaltigkeiten</v>
      </c>
      <c r="X264" s="22" t="str">
        <f>IFERROR(
  IF(_xlfn.XLOOKUP(tbl_CONTENT[[#This Row],[Topic]], tbl_TOPIC[Topic], tbl_TOPIC[TopicPath])="", "",
       _xlfn.XLOOKUP(tbl_CONTENT[[#This Row],[Topic]], tbl_TOPIC[Topic], tbl_TOPIC[TopicPath])),
  ""
)</f>
        <v>Differenzierbare Mannigfaltigkeiten/Untermannigfaltigkeiten im euklidischen Raum</v>
      </c>
    </row>
    <row r="265" spans="3:24" ht="34" x14ac:dyDescent="0.2">
      <c r="C265" s="22" t="str">
        <f>_xlfn.XLOOKUP(tbl_CONTENT[[#This Row],[TopicID]], tbl_TOPIC[TopicID], tbl_TOPIC[Subject], "")</f>
        <v>RG</v>
      </c>
      <c r="D2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RG-T12-02-04</v>
      </c>
      <c r="E265" s="22">
        <f>ROW()</f>
        <v>265</v>
      </c>
      <c r="F265" s="22" t="s">
        <v>1051</v>
      </c>
      <c r="G265" s="22" t="str">
        <f>_xlfn.XLOOKUP(tbl_CONTENT[[#This Row],[Topic]], tbl_TOPIC[Topic], tbl_TOPIC[TopicID], "")</f>
        <v>RG-1-02</v>
      </c>
      <c r="H265" s="22" cm="1">
        <f t="array" ref="H265">SUM((tbl_CONTENT[[#This Row],[TopicID]]=INDEX(tbl_CONTENT[TopicID],1):tbl_CONTENT[[#This Row],[TopicID]])*1)</f>
        <v>4</v>
      </c>
      <c r="I265" s="22" t="str">
        <f>_xlfn.XLOOKUP(tbl_CONTENT[[#This Row],[Topic]], tbl_TOPIC[Topic], tbl_TOPIC[TopicIndex], "")</f>
        <v>02</v>
      </c>
      <c r="J265" s="22" t="s">
        <v>497</v>
      </c>
      <c r="K265" s="22" t="s">
        <v>512</v>
      </c>
      <c r="L265" s="22" t="s">
        <v>179</v>
      </c>
      <c r="S265" s="35">
        <f>IFERROR(
 (1.907*EXP(1)^(-0.5*tbl_CONTENT[[#This Row],[Layer]])) *
 ((tbl_CONTENT[[#This Row],[RelInt]]-1)^(2.5)*4^(1-2.5)+1) +
 ((tbl_CONTENT[[#This Row],[Comp]]-1)^(2.5)*4^(1-2.5)+1)*(0.5*((tbl_CONTENT[[#This Row],[RelInt]]-1)/4)^(2.5)+1),
 0
)</f>
        <v>0</v>
      </c>
      <c r="T265" s="35">
        <f>IFERROR(
 (1.907*EXP(1)^(-0.5*VALUE(tbl_CONTENT[[#This Row],[Layer]]))) *
 ((VALUE(tbl_CONTENT[[#This Row],[RelId]])-1)^(2.5)*4^(1-2.5)+1) +
 ((VALUE(tbl_CONTENT[[#This Row],[Comp]])-1)^(2.5)*4^(1-2.5)+1)*(0.5*((VALUE(tbl_CONTENT[[#This Row],[RelId]])-1)/4)^(2.5)+1),
 0
)</f>
        <v>0</v>
      </c>
      <c r="W265" s="22" t="str">
        <f>IFERROR(
  IF(_xlfn.XLOOKUP(tbl_CONTENT[[#This Row],[Topic]], tbl_TOPIC[Topic], tbl_TOPIC[ParentTopic])="", "",
       _xlfn.XLOOKUP(tbl_CONTENT[[#This Row],[Topic]], tbl_TOPIC[Topic], tbl_TOPIC[ParentTopic])),
  ""
)</f>
        <v>Differenzierbare Mannigfaltigkeiten</v>
      </c>
      <c r="X265" s="22" t="str">
        <f>IFERROR(
  IF(_xlfn.XLOOKUP(tbl_CONTENT[[#This Row],[Topic]], tbl_TOPIC[Topic], tbl_TOPIC[TopicPath])="", "",
       _xlfn.XLOOKUP(tbl_CONTENT[[#This Row],[Topic]], tbl_TOPIC[Topic], tbl_TOPIC[TopicPath])),
  ""
)</f>
        <v>Differenzierbare Mannigfaltigkeiten/Untermannigfaltigkeiten im euklidischen Raum</v>
      </c>
    </row>
    <row r="266" spans="3:24" ht="34" x14ac:dyDescent="0.2">
      <c r="C266" s="22" t="str">
        <f>_xlfn.XLOOKUP(tbl_CONTENT[[#This Row],[TopicID]], tbl_TOPIC[TopicID], tbl_TOPIC[Subject], "")</f>
        <v>RG</v>
      </c>
      <c r="D2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RG-T12-02-05</v>
      </c>
      <c r="E266" s="22">
        <f>ROW()</f>
        <v>266</v>
      </c>
      <c r="F266" s="22" t="s">
        <v>1051</v>
      </c>
      <c r="G266" s="22" t="str">
        <f>_xlfn.XLOOKUP(tbl_CONTENT[[#This Row],[Topic]], tbl_TOPIC[Topic], tbl_TOPIC[TopicID], "")</f>
        <v>RG-1-02</v>
      </c>
      <c r="H266" s="22" cm="1">
        <f t="array" ref="H266">SUM((tbl_CONTENT[[#This Row],[TopicID]]=INDEX(tbl_CONTENT[TopicID],1):tbl_CONTENT[[#This Row],[TopicID]])*1)</f>
        <v>5</v>
      </c>
      <c r="I266" s="22" t="str">
        <f>_xlfn.XLOOKUP(tbl_CONTENT[[#This Row],[Topic]], tbl_TOPIC[Topic], tbl_TOPIC[TopicIndex], "")</f>
        <v>02</v>
      </c>
      <c r="J266" s="22" t="s">
        <v>497</v>
      </c>
      <c r="K266" s="22" t="s">
        <v>1045</v>
      </c>
      <c r="L266" s="22" t="s">
        <v>179</v>
      </c>
      <c r="S266" s="35">
        <f>IFERROR(
 (1.907*EXP(1)^(-0.5*tbl_CONTENT[[#This Row],[Layer]])) *
 ((tbl_CONTENT[[#This Row],[RelInt]]-1)^(2.5)*4^(1-2.5)+1) +
 ((tbl_CONTENT[[#This Row],[Comp]]-1)^(2.5)*4^(1-2.5)+1)*(0.5*((tbl_CONTENT[[#This Row],[RelInt]]-1)/4)^(2.5)+1),
 0
)</f>
        <v>0</v>
      </c>
      <c r="T266" s="35">
        <f>IFERROR(
 (1.907*EXP(1)^(-0.5*VALUE(tbl_CONTENT[[#This Row],[Layer]]))) *
 ((VALUE(tbl_CONTENT[[#This Row],[RelId]])-1)^(2.5)*4^(1-2.5)+1) +
 ((VALUE(tbl_CONTENT[[#This Row],[Comp]])-1)^(2.5)*4^(1-2.5)+1)*(0.5*((VALUE(tbl_CONTENT[[#This Row],[RelId]])-1)/4)^(2.5)+1),
 0
)</f>
        <v>0</v>
      </c>
      <c r="W266" s="22" t="str">
        <f>IFERROR(
  IF(_xlfn.XLOOKUP(tbl_CONTENT[[#This Row],[Topic]], tbl_TOPIC[Topic], tbl_TOPIC[ParentTopic])="", "",
       _xlfn.XLOOKUP(tbl_CONTENT[[#This Row],[Topic]], tbl_TOPIC[Topic], tbl_TOPIC[ParentTopic])),
  ""
)</f>
        <v>Differenzierbare Mannigfaltigkeiten</v>
      </c>
      <c r="X266" s="22" t="str">
        <f>IFERROR(
  IF(_xlfn.XLOOKUP(tbl_CONTENT[[#This Row],[Topic]], tbl_TOPIC[Topic], tbl_TOPIC[TopicPath])="", "",
       _xlfn.XLOOKUP(tbl_CONTENT[[#This Row],[Topic]], tbl_TOPIC[Topic], tbl_TOPIC[TopicPath])),
  ""
)</f>
        <v>Differenzierbare Mannigfaltigkeiten/Untermannigfaltigkeiten im euklidischen Raum</v>
      </c>
    </row>
    <row r="267" spans="3:24" ht="51" x14ac:dyDescent="0.2">
      <c r="C267" s="22" t="str">
        <f>_xlfn.XLOOKUP(tbl_CONTENT[[#This Row],[TopicID]], tbl_TOPIC[TopicID], tbl_TOPIC[Subject], "")</f>
        <v>RG</v>
      </c>
      <c r="D2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RG-T12-02-06</v>
      </c>
      <c r="E267" s="22">
        <f>ROW()</f>
        <v>267</v>
      </c>
      <c r="F267" s="22" t="s">
        <v>1051</v>
      </c>
      <c r="G267" s="22" t="str">
        <f>_xlfn.XLOOKUP(tbl_CONTENT[[#This Row],[Topic]], tbl_TOPIC[Topic], tbl_TOPIC[TopicID], "")</f>
        <v>RG-1-02</v>
      </c>
      <c r="H267" s="22" cm="1">
        <f t="array" ref="H267">SUM((tbl_CONTENT[[#This Row],[TopicID]]=INDEX(tbl_CONTENT[TopicID],1):tbl_CONTENT[[#This Row],[TopicID]])*1)</f>
        <v>6</v>
      </c>
      <c r="I267" s="22" t="str">
        <f>_xlfn.XLOOKUP(tbl_CONTENT[[#This Row],[Topic]], tbl_TOPIC[Topic], tbl_TOPIC[TopicIndex], "")</f>
        <v>02</v>
      </c>
      <c r="J267" s="22" t="s">
        <v>497</v>
      </c>
      <c r="K267" s="22" t="s">
        <v>513</v>
      </c>
      <c r="L267" s="22" t="s">
        <v>151</v>
      </c>
      <c r="S267" s="35">
        <f>IFERROR(
 (1.907*EXP(1)^(-0.5*tbl_CONTENT[[#This Row],[Layer]])) *
 ((tbl_CONTENT[[#This Row],[RelInt]]-1)^(2.5)*4^(1-2.5)+1) +
 ((tbl_CONTENT[[#This Row],[Comp]]-1)^(2.5)*4^(1-2.5)+1)*(0.5*((tbl_CONTENT[[#This Row],[RelInt]]-1)/4)^(2.5)+1),
 0
)</f>
        <v>0</v>
      </c>
      <c r="T267" s="35">
        <f>IFERROR(
 (1.907*EXP(1)^(-0.5*VALUE(tbl_CONTENT[[#This Row],[Layer]]))) *
 ((VALUE(tbl_CONTENT[[#This Row],[RelId]])-1)^(2.5)*4^(1-2.5)+1) +
 ((VALUE(tbl_CONTENT[[#This Row],[Comp]])-1)^(2.5)*4^(1-2.5)+1)*(0.5*((VALUE(tbl_CONTENT[[#This Row],[RelId]])-1)/4)^(2.5)+1),
 0
)</f>
        <v>0</v>
      </c>
      <c r="W267" s="22" t="str">
        <f>IFERROR(
  IF(_xlfn.XLOOKUP(tbl_CONTENT[[#This Row],[Topic]], tbl_TOPIC[Topic], tbl_TOPIC[ParentTopic])="", "",
       _xlfn.XLOOKUP(tbl_CONTENT[[#This Row],[Topic]], tbl_TOPIC[Topic], tbl_TOPIC[ParentTopic])),
  ""
)</f>
        <v>Differenzierbare Mannigfaltigkeiten</v>
      </c>
      <c r="X267" s="22" t="str">
        <f>IFERROR(
  IF(_xlfn.XLOOKUP(tbl_CONTENT[[#This Row],[Topic]], tbl_TOPIC[Topic], tbl_TOPIC[TopicPath])="", "",
       _xlfn.XLOOKUP(tbl_CONTENT[[#This Row],[Topic]], tbl_TOPIC[Topic], tbl_TOPIC[TopicPath])),
  ""
)</f>
        <v>Differenzierbare Mannigfaltigkeiten/Untermannigfaltigkeiten im euklidischen Raum</v>
      </c>
    </row>
    <row r="268" spans="3:24" ht="34" x14ac:dyDescent="0.2">
      <c r="C268" s="22" t="str">
        <f>_xlfn.XLOOKUP(tbl_CONTENT[[#This Row],[TopicID]], tbl_TOPIC[TopicID], tbl_TOPIC[Subject], "")</f>
        <v>RG</v>
      </c>
      <c r="D2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RG-T12-02-07</v>
      </c>
      <c r="E268" s="22">
        <f>ROW()</f>
        <v>268</v>
      </c>
      <c r="F268" s="22" t="s">
        <v>1051</v>
      </c>
      <c r="G268" s="22" t="str">
        <f>_xlfn.XLOOKUP(tbl_CONTENT[[#This Row],[Topic]], tbl_TOPIC[Topic], tbl_TOPIC[TopicID], "")</f>
        <v>RG-1-02</v>
      </c>
      <c r="H268" s="22" cm="1">
        <f t="array" ref="H268">SUM((tbl_CONTENT[[#This Row],[TopicID]]=INDEX(tbl_CONTENT[TopicID],1):tbl_CONTENT[[#This Row],[TopicID]])*1)</f>
        <v>7</v>
      </c>
      <c r="I268" s="22" t="str">
        <f>_xlfn.XLOOKUP(tbl_CONTENT[[#This Row],[Topic]], tbl_TOPIC[Topic], tbl_TOPIC[TopicIndex], "")</f>
        <v>02</v>
      </c>
      <c r="J268" s="22" t="s">
        <v>497</v>
      </c>
      <c r="K268" s="22" t="s">
        <v>481</v>
      </c>
      <c r="L268" s="22" t="s">
        <v>147</v>
      </c>
      <c r="S268" s="35">
        <f>IFERROR(
 (1.907*EXP(1)^(-0.5*tbl_CONTENT[[#This Row],[Layer]])) *
 ((tbl_CONTENT[[#This Row],[RelInt]]-1)^(2.5)*4^(1-2.5)+1) +
 ((tbl_CONTENT[[#This Row],[Comp]]-1)^(2.5)*4^(1-2.5)+1)*(0.5*((tbl_CONTENT[[#This Row],[RelInt]]-1)/4)^(2.5)+1),
 0
)</f>
        <v>0</v>
      </c>
      <c r="T268" s="35">
        <f>IFERROR(
 (1.907*EXP(1)^(-0.5*VALUE(tbl_CONTENT[[#This Row],[Layer]]))) *
 ((VALUE(tbl_CONTENT[[#This Row],[RelId]])-1)^(2.5)*4^(1-2.5)+1) +
 ((VALUE(tbl_CONTENT[[#This Row],[Comp]])-1)^(2.5)*4^(1-2.5)+1)*(0.5*((VALUE(tbl_CONTENT[[#This Row],[RelId]])-1)/4)^(2.5)+1),
 0
)</f>
        <v>0</v>
      </c>
      <c r="W268" s="22" t="str">
        <f>IFERROR(
  IF(_xlfn.XLOOKUP(tbl_CONTENT[[#This Row],[Topic]], tbl_TOPIC[Topic], tbl_TOPIC[ParentTopic])="", "",
       _xlfn.XLOOKUP(tbl_CONTENT[[#This Row],[Topic]], tbl_TOPIC[Topic], tbl_TOPIC[ParentTopic])),
  ""
)</f>
        <v>Differenzierbare Mannigfaltigkeiten</v>
      </c>
      <c r="X268" s="22" t="str">
        <f>IFERROR(
  IF(_xlfn.XLOOKUP(tbl_CONTENT[[#This Row],[Topic]], tbl_TOPIC[Topic], tbl_TOPIC[TopicPath])="", "",
       _xlfn.XLOOKUP(tbl_CONTENT[[#This Row],[Topic]], tbl_TOPIC[Topic], tbl_TOPIC[TopicPath])),
  ""
)</f>
        <v>Differenzierbare Mannigfaltigkeiten/Untermannigfaltigkeiten im euklidischen Raum</v>
      </c>
    </row>
    <row r="269" spans="3:24" ht="34" x14ac:dyDescent="0.2">
      <c r="C269" s="22" t="str">
        <f>_xlfn.XLOOKUP(tbl_CONTENT[[#This Row],[TopicID]], tbl_TOPIC[TopicID], tbl_TOPIC[Subject], "")</f>
        <v>RG</v>
      </c>
      <c r="D2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RG-T12-03-01</v>
      </c>
      <c r="E269" s="22">
        <f>ROW()</f>
        <v>269</v>
      </c>
      <c r="F269" s="22" t="s">
        <v>1051</v>
      </c>
      <c r="G269" s="22" t="str">
        <f>_xlfn.XLOOKUP(tbl_CONTENT[[#This Row],[Topic]], tbl_TOPIC[Topic], tbl_TOPIC[TopicID], "")</f>
        <v>RG-1-03</v>
      </c>
      <c r="H269" s="22" cm="1">
        <f t="array" ref="H269">SUM((tbl_CONTENT[[#This Row],[TopicID]]=INDEX(tbl_CONTENT[TopicID],1):tbl_CONTENT[[#This Row],[TopicID]])*1)</f>
        <v>1</v>
      </c>
      <c r="I269" s="22" t="str">
        <f>_xlfn.XLOOKUP(tbl_CONTENT[[#This Row],[Topic]], tbl_TOPIC[Topic], tbl_TOPIC[TopicIndex], "")</f>
        <v>03</v>
      </c>
      <c r="J269" s="22" t="s">
        <v>498</v>
      </c>
      <c r="K269" s="22" t="s">
        <v>516</v>
      </c>
      <c r="L269" s="22" t="s">
        <v>152</v>
      </c>
      <c r="S269" s="35">
        <f>IFERROR(
 (1.907*EXP(1)^(-0.5*tbl_CONTENT[[#This Row],[Layer]])) *
 ((tbl_CONTENT[[#This Row],[RelInt]]-1)^(2.5)*4^(1-2.5)+1) +
 ((tbl_CONTENT[[#This Row],[Comp]]-1)^(2.5)*4^(1-2.5)+1)*(0.5*((tbl_CONTENT[[#This Row],[RelInt]]-1)/4)^(2.5)+1),
 0
)</f>
        <v>0</v>
      </c>
      <c r="T269" s="35">
        <f>IFERROR(
 (1.907*EXP(1)^(-0.5*VALUE(tbl_CONTENT[[#This Row],[Layer]]))) *
 ((VALUE(tbl_CONTENT[[#This Row],[RelId]])-1)^(2.5)*4^(1-2.5)+1) +
 ((VALUE(tbl_CONTENT[[#This Row],[Comp]])-1)^(2.5)*4^(1-2.5)+1)*(0.5*((VALUE(tbl_CONTENT[[#This Row],[RelId]])-1)/4)^(2.5)+1),
 0
)</f>
        <v>0</v>
      </c>
      <c r="W269" s="22" t="str">
        <f>IFERROR(
  IF(_xlfn.XLOOKUP(tbl_CONTENT[[#This Row],[Topic]], tbl_TOPIC[Topic], tbl_TOPIC[ParentTopic])="", "",
       _xlfn.XLOOKUP(tbl_CONTENT[[#This Row],[Topic]], tbl_TOPIC[Topic], tbl_TOPIC[ParentTopic])),
  ""
)</f>
        <v>Differenzierbare Mannigfaltigkeiten</v>
      </c>
      <c r="X269" s="22" t="str">
        <f>IFERROR(
  IF(_xlfn.XLOOKUP(tbl_CONTENT[[#This Row],[Topic]], tbl_TOPIC[Topic], tbl_TOPIC[TopicPath])="", "",
       _xlfn.XLOOKUP(tbl_CONTENT[[#This Row],[Topic]], tbl_TOPIC[Topic], tbl_TOPIC[TopicPath])),
  ""
)</f>
        <v>Differenzierbare Mannigfaltigkeiten/Glatte Mannigfaltigkeiten</v>
      </c>
    </row>
    <row r="270" spans="3:24" ht="17" x14ac:dyDescent="0.2">
      <c r="C270" s="22" t="str">
        <f>_xlfn.XLOOKUP(tbl_CONTENT[[#This Row],[TopicID]], tbl_TOPIC[TopicID], tbl_TOPIC[Subject], "")</f>
        <v>RG</v>
      </c>
      <c r="D2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RG-T12-03-02</v>
      </c>
      <c r="E270" s="22">
        <f>ROW()</f>
        <v>270</v>
      </c>
      <c r="F270" s="22" t="s">
        <v>1051</v>
      </c>
      <c r="G270" s="22" t="str">
        <f>_xlfn.XLOOKUP(tbl_CONTENT[[#This Row],[Topic]], tbl_TOPIC[Topic], tbl_TOPIC[TopicID], "")</f>
        <v>RG-1-03</v>
      </c>
      <c r="H270" s="22" cm="1">
        <f t="array" ref="H270">SUM((tbl_CONTENT[[#This Row],[TopicID]]=INDEX(tbl_CONTENT[TopicID],1):tbl_CONTENT[[#This Row],[TopicID]])*1)</f>
        <v>2</v>
      </c>
      <c r="I270" s="22" t="str">
        <f>_xlfn.XLOOKUP(tbl_CONTENT[[#This Row],[Topic]], tbl_TOPIC[Topic], tbl_TOPIC[TopicIndex], "")</f>
        <v>03</v>
      </c>
      <c r="J270" s="22" t="s">
        <v>498</v>
      </c>
      <c r="K270" s="22" t="s">
        <v>514</v>
      </c>
      <c r="L270" s="22" t="s">
        <v>152</v>
      </c>
      <c r="S270" s="35">
        <f>IFERROR(
 (1.907*EXP(1)^(-0.5*tbl_CONTENT[[#This Row],[Layer]])) *
 ((tbl_CONTENT[[#This Row],[RelInt]]-1)^(2.5)*4^(1-2.5)+1) +
 ((tbl_CONTENT[[#This Row],[Comp]]-1)^(2.5)*4^(1-2.5)+1)*(0.5*((tbl_CONTENT[[#This Row],[RelInt]]-1)/4)^(2.5)+1),
 0
)</f>
        <v>0</v>
      </c>
      <c r="T270" s="35">
        <f>IFERROR(
 (1.907*EXP(1)^(-0.5*VALUE(tbl_CONTENT[[#This Row],[Layer]]))) *
 ((VALUE(tbl_CONTENT[[#This Row],[RelId]])-1)^(2.5)*4^(1-2.5)+1) +
 ((VALUE(tbl_CONTENT[[#This Row],[Comp]])-1)^(2.5)*4^(1-2.5)+1)*(0.5*((VALUE(tbl_CONTENT[[#This Row],[RelId]])-1)/4)^(2.5)+1),
 0
)</f>
        <v>0</v>
      </c>
      <c r="W270" s="22" t="str">
        <f>IFERROR(
  IF(_xlfn.XLOOKUP(tbl_CONTENT[[#This Row],[Topic]], tbl_TOPIC[Topic], tbl_TOPIC[ParentTopic])="", "",
       _xlfn.XLOOKUP(tbl_CONTENT[[#This Row],[Topic]], tbl_TOPIC[Topic], tbl_TOPIC[ParentTopic])),
  ""
)</f>
        <v>Differenzierbare Mannigfaltigkeiten</v>
      </c>
      <c r="X270" s="22" t="str">
        <f>IFERROR(
  IF(_xlfn.XLOOKUP(tbl_CONTENT[[#This Row],[Topic]], tbl_TOPIC[Topic], tbl_TOPIC[TopicPath])="", "",
       _xlfn.XLOOKUP(tbl_CONTENT[[#This Row],[Topic]], tbl_TOPIC[Topic], tbl_TOPIC[TopicPath])),
  ""
)</f>
        <v>Differenzierbare Mannigfaltigkeiten/Glatte Mannigfaltigkeiten</v>
      </c>
    </row>
    <row r="271" spans="3:24" ht="17" x14ac:dyDescent="0.2">
      <c r="C271" s="22" t="str">
        <f>_xlfn.XLOOKUP(tbl_CONTENT[[#This Row],[TopicID]], tbl_TOPIC[TopicID], tbl_TOPIC[Subject], "")</f>
        <v>RG</v>
      </c>
      <c r="D2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RG-T12-03-03</v>
      </c>
      <c r="E271" s="22">
        <f>ROW()</f>
        <v>271</v>
      </c>
      <c r="F271" s="22" t="s">
        <v>1051</v>
      </c>
      <c r="G271" s="22" t="str">
        <f>_xlfn.XLOOKUP(tbl_CONTENT[[#This Row],[Topic]], tbl_TOPIC[Topic], tbl_TOPIC[TopicID], "")</f>
        <v>RG-1-03</v>
      </c>
      <c r="H271" s="22" cm="1">
        <f t="array" ref="H271">SUM((tbl_CONTENT[[#This Row],[TopicID]]=INDEX(tbl_CONTENT[TopicID],1):tbl_CONTENT[[#This Row],[TopicID]])*1)</f>
        <v>3</v>
      </c>
      <c r="I271" s="22" t="str">
        <f>_xlfn.XLOOKUP(tbl_CONTENT[[#This Row],[Topic]], tbl_TOPIC[Topic], tbl_TOPIC[TopicIndex], "")</f>
        <v>03</v>
      </c>
      <c r="J271" s="22" t="s">
        <v>498</v>
      </c>
      <c r="K271" s="22" t="s">
        <v>515</v>
      </c>
      <c r="L271" s="22" t="s">
        <v>147</v>
      </c>
      <c r="S271" s="35">
        <f>IFERROR(
 (1.907*EXP(1)^(-0.5*tbl_CONTENT[[#This Row],[Layer]])) *
 ((tbl_CONTENT[[#This Row],[RelInt]]-1)^(2.5)*4^(1-2.5)+1) +
 ((tbl_CONTENT[[#This Row],[Comp]]-1)^(2.5)*4^(1-2.5)+1)*(0.5*((tbl_CONTENT[[#This Row],[RelInt]]-1)/4)^(2.5)+1),
 0
)</f>
        <v>0</v>
      </c>
      <c r="T271" s="35">
        <f>IFERROR(
 (1.907*EXP(1)^(-0.5*VALUE(tbl_CONTENT[[#This Row],[Layer]]))) *
 ((VALUE(tbl_CONTENT[[#This Row],[RelId]])-1)^(2.5)*4^(1-2.5)+1) +
 ((VALUE(tbl_CONTENT[[#This Row],[Comp]])-1)^(2.5)*4^(1-2.5)+1)*(0.5*((VALUE(tbl_CONTENT[[#This Row],[RelId]])-1)/4)^(2.5)+1),
 0
)</f>
        <v>0</v>
      </c>
      <c r="W271" s="22" t="str">
        <f>IFERROR(
  IF(_xlfn.XLOOKUP(tbl_CONTENT[[#This Row],[Topic]], tbl_TOPIC[Topic], tbl_TOPIC[ParentTopic])="", "",
       _xlfn.XLOOKUP(tbl_CONTENT[[#This Row],[Topic]], tbl_TOPIC[Topic], tbl_TOPIC[ParentTopic])),
  ""
)</f>
        <v>Differenzierbare Mannigfaltigkeiten</v>
      </c>
      <c r="X271" s="22" t="str">
        <f>IFERROR(
  IF(_xlfn.XLOOKUP(tbl_CONTENT[[#This Row],[Topic]], tbl_TOPIC[Topic], tbl_TOPIC[TopicPath])="", "",
       _xlfn.XLOOKUP(tbl_CONTENT[[#This Row],[Topic]], tbl_TOPIC[Topic], tbl_TOPIC[TopicPath])),
  ""
)</f>
        <v>Differenzierbare Mannigfaltigkeiten/Glatte Mannigfaltigkeiten</v>
      </c>
    </row>
    <row r="272" spans="3:24" ht="17" x14ac:dyDescent="0.2">
      <c r="C272" s="22" t="str">
        <f>_xlfn.XLOOKUP(tbl_CONTENT[[#This Row],[TopicID]], tbl_TOPIC[TopicID], tbl_TOPIC[Subject], "")</f>
        <v>RG</v>
      </c>
      <c r="D2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RG-T12-03-04</v>
      </c>
      <c r="E272" s="22">
        <f>ROW()</f>
        <v>272</v>
      </c>
      <c r="F272" s="22" t="s">
        <v>1051</v>
      </c>
      <c r="G272" s="22" t="str">
        <f>_xlfn.XLOOKUP(tbl_CONTENT[[#This Row],[Topic]], tbl_TOPIC[Topic], tbl_TOPIC[TopicID], "")</f>
        <v>RG-1-03</v>
      </c>
      <c r="H272" s="22" cm="1">
        <f t="array" ref="H272">SUM((tbl_CONTENT[[#This Row],[TopicID]]=INDEX(tbl_CONTENT[TopicID],1):tbl_CONTENT[[#This Row],[TopicID]])*1)</f>
        <v>4</v>
      </c>
      <c r="I272" s="22" t="str">
        <f>_xlfn.XLOOKUP(tbl_CONTENT[[#This Row],[Topic]], tbl_TOPIC[Topic], tbl_TOPIC[TopicIndex], "")</f>
        <v>03</v>
      </c>
      <c r="J272" s="22" t="s">
        <v>498</v>
      </c>
      <c r="K272" s="22" t="s">
        <v>517</v>
      </c>
      <c r="L272" s="22" t="s">
        <v>152</v>
      </c>
      <c r="S272" s="35">
        <f>IFERROR(
 (1.907*EXP(1)^(-0.5*tbl_CONTENT[[#This Row],[Layer]])) *
 ((tbl_CONTENT[[#This Row],[RelInt]]-1)^(2.5)*4^(1-2.5)+1) +
 ((tbl_CONTENT[[#This Row],[Comp]]-1)^(2.5)*4^(1-2.5)+1)*(0.5*((tbl_CONTENT[[#This Row],[RelInt]]-1)/4)^(2.5)+1),
 0
)</f>
        <v>0</v>
      </c>
      <c r="T272" s="35">
        <f>IFERROR(
 (1.907*EXP(1)^(-0.5*VALUE(tbl_CONTENT[[#This Row],[Layer]]))) *
 ((VALUE(tbl_CONTENT[[#This Row],[RelId]])-1)^(2.5)*4^(1-2.5)+1) +
 ((VALUE(tbl_CONTENT[[#This Row],[Comp]])-1)^(2.5)*4^(1-2.5)+1)*(0.5*((VALUE(tbl_CONTENT[[#This Row],[RelId]])-1)/4)^(2.5)+1),
 0
)</f>
        <v>0</v>
      </c>
      <c r="W272" s="22" t="str">
        <f>IFERROR(
  IF(_xlfn.XLOOKUP(tbl_CONTENT[[#This Row],[Topic]], tbl_TOPIC[Topic], tbl_TOPIC[ParentTopic])="", "",
       _xlfn.XLOOKUP(tbl_CONTENT[[#This Row],[Topic]], tbl_TOPIC[Topic], tbl_TOPIC[ParentTopic])),
  ""
)</f>
        <v>Differenzierbare Mannigfaltigkeiten</v>
      </c>
      <c r="X272" s="22" t="str">
        <f>IFERROR(
  IF(_xlfn.XLOOKUP(tbl_CONTENT[[#This Row],[Topic]], tbl_TOPIC[Topic], tbl_TOPIC[TopicPath])="", "",
       _xlfn.XLOOKUP(tbl_CONTENT[[#This Row],[Topic]], tbl_TOPIC[Topic], tbl_TOPIC[TopicPath])),
  ""
)</f>
        <v>Differenzierbare Mannigfaltigkeiten/Glatte Mannigfaltigkeiten</v>
      </c>
    </row>
    <row r="273" spans="3:24" ht="17" x14ac:dyDescent="0.2">
      <c r="C273" s="22" t="str">
        <f>_xlfn.XLOOKUP(tbl_CONTENT[[#This Row],[TopicID]], tbl_TOPIC[TopicID], tbl_TOPIC[Subject], "")</f>
        <v>RG</v>
      </c>
      <c r="D2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RG-T12-03-05</v>
      </c>
      <c r="E273" s="22">
        <f>ROW()</f>
        <v>273</v>
      </c>
      <c r="F273" s="22" t="s">
        <v>1051</v>
      </c>
      <c r="G273" s="22" t="str">
        <f>_xlfn.XLOOKUP(tbl_CONTENT[[#This Row],[Topic]], tbl_TOPIC[Topic], tbl_TOPIC[TopicID], "")</f>
        <v>RG-1-03</v>
      </c>
      <c r="H273" s="22" cm="1">
        <f t="array" ref="H273">SUM((tbl_CONTENT[[#This Row],[TopicID]]=INDEX(tbl_CONTENT[TopicID],1):tbl_CONTENT[[#This Row],[TopicID]])*1)</f>
        <v>5</v>
      </c>
      <c r="I273" s="22" t="str">
        <f>_xlfn.XLOOKUP(tbl_CONTENT[[#This Row],[Topic]], tbl_TOPIC[Topic], tbl_TOPIC[TopicIndex], "")</f>
        <v>03</v>
      </c>
      <c r="J273" s="22" t="s">
        <v>498</v>
      </c>
      <c r="K273" s="22" t="s">
        <v>518</v>
      </c>
      <c r="L273" s="22" t="s">
        <v>152</v>
      </c>
      <c r="S273" s="35">
        <f>IFERROR(
 (1.907*EXP(1)^(-0.5*tbl_CONTENT[[#This Row],[Layer]])) *
 ((tbl_CONTENT[[#This Row],[RelInt]]-1)^(2.5)*4^(1-2.5)+1) +
 ((tbl_CONTENT[[#This Row],[Comp]]-1)^(2.5)*4^(1-2.5)+1)*(0.5*((tbl_CONTENT[[#This Row],[RelInt]]-1)/4)^(2.5)+1),
 0
)</f>
        <v>0</v>
      </c>
      <c r="T273" s="35">
        <f>IFERROR(
 (1.907*EXP(1)^(-0.5*VALUE(tbl_CONTENT[[#This Row],[Layer]]))) *
 ((VALUE(tbl_CONTENT[[#This Row],[RelId]])-1)^(2.5)*4^(1-2.5)+1) +
 ((VALUE(tbl_CONTENT[[#This Row],[Comp]])-1)^(2.5)*4^(1-2.5)+1)*(0.5*((VALUE(tbl_CONTENT[[#This Row],[RelId]])-1)/4)^(2.5)+1),
 0
)</f>
        <v>0</v>
      </c>
      <c r="W273" s="22" t="str">
        <f>IFERROR(
  IF(_xlfn.XLOOKUP(tbl_CONTENT[[#This Row],[Topic]], tbl_TOPIC[Topic], tbl_TOPIC[ParentTopic])="", "",
       _xlfn.XLOOKUP(tbl_CONTENT[[#This Row],[Topic]], tbl_TOPIC[Topic], tbl_TOPIC[ParentTopic])),
  ""
)</f>
        <v>Differenzierbare Mannigfaltigkeiten</v>
      </c>
      <c r="X273" s="22" t="str">
        <f>IFERROR(
  IF(_xlfn.XLOOKUP(tbl_CONTENT[[#This Row],[Topic]], tbl_TOPIC[Topic], tbl_TOPIC[TopicPath])="", "",
       _xlfn.XLOOKUP(tbl_CONTENT[[#This Row],[Topic]], tbl_TOPIC[Topic], tbl_TOPIC[TopicPath])),
  ""
)</f>
        <v>Differenzierbare Mannigfaltigkeiten/Glatte Mannigfaltigkeiten</v>
      </c>
    </row>
    <row r="274" spans="3:24" ht="34" x14ac:dyDescent="0.2">
      <c r="C274" s="22" t="str">
        <f>_xlfn.XLOOKUP(tbl_CONTENT[[#This Row],[TopicID]], tbl_TOPIC[TopicID], tbl_TOPIC[Subject], "")</f>
        <v>RG</v>
      </c>
      <c r="D2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RG-T12-03-06</v>
      </c>
      <c r="E274" s="22">
        <f>ROW()</f>
        <v>274</v>
      </c>
      <c r="F274" s="22" t="s">
        <v>1051</v>
      </c>
      <c r="G274" s="22" t="str">
        <f>_xlfn.XLOOKUP(tbl_CONTENT[[#This Row],[Topic]], tbl_TOPIC[Topic], tbl_TOPIC[TopicID], "")</f>
        <v>RG-1-03</v>
      </c>
      <c r="H274" s="22" cm="1">
        <f t="array" ref="H274">SUM((tbl_CONTENT[[#This Row],[TopicID]]=INDEX(tbl_CONTENT[TopicID],1):tbl_CONTENT[[#This Row],[TopicID]])*1)</f>
        <v>6</v>
      </c>
      <c r="I274" s="22" t="str">
        <f>_xlfn.XLOOKUP(tbl_CONTENT[[#This Row],[Topic]], tbl_TOPIC[Topic], tbl_TOPIC[TopicIndex], "")</f>
        <v>03</v>
      </c>
      <c r="J274" s="22" t="s">
        <v>498</v>
      </c>
      <c r="K274" s="22" t="s">
        <v>519</v>
      </c>
      <c r="L274" s="22" t="s">
        <v>152</v>
      </c>
      <c r="S274" s="35">
        <f>IFERROR(
 (1.907*EXP(1)^(-0.5*tbl_CONTENT[[#This Row],[Layer]])) *
 ((tbl_CONTENT[[#This Row],[RelInt]]-1)^(2.5)*4^(1-2.5)+1) +
 ((tbl_CONTENT[[#This Row],[Comp]]-1)^(2.5)*4^(1-2.5)+1)*(0.5*((tbl_CONTENT[[#This Row],[RelInt]]-1)/4)^(2.5)+1),
 0
)</f>
        <v>0</v>
      </c>
      <c r="T274" s="35">
        <f>IFERROR(
 (1.907*EXP(1)^(-0.5*VALUE(tbl_CONTENT[[#This Row],[Layer]]))) *
 ((VALUE(tbl_CONTENT[[#This Row],[RelId]])-1)^(2.5)*4^(1-2.5)+1) +
 ((VALUE(tbl_CONTENT[[#This Row],[Comp]])-1)^(2.5)*4^(1-2.5)+1)*(0.5*((VALUE(tbl_CONTENT[[#This Row],[RelId]])-1)/4)^(2.5)+1),
 0
)</f>
        <v>0</v>
      </c>
      <c r="W274" s="22" t="str">
        <f>IFERROR(
  IF(_xlfn.XLOOKUP(tbl_CONTENT[[#This Row],[Topic]], tbl_TOPIC[Topic], tbl_TOPIC[ParentTopic])="", "",
       _xlfn.XLOOKUP(tbl_CONTENT[[#This Row],[Topic]], tbl_TOPIC[Topic], tbl_TOPIC[ParentTopic])),
  ""
)</f>
        <v>Differenzierbare Mannigfaltigkeiten</v>
      </c>
      <c r="X274" s="22" t="str">
        <f>IFERROR(
  IF(_xlfn.XLOOKUP(tbl_CONTENT[[#This Row],[Topic]], tbl_TOPIC[Topic], tbl_TOPIC[TopicPath])="", "",
       _xlfn.XLOOKUP(tbl_CONTENT[[#This Row],[Topic]], tbl_TOPIC[Topic], tbl_TOPIC[TopicPath])),
  ""
)</f>
        <v>Differenzierbare Mannigfaltigkeiten/Glatte Mannigfaltigkeiten</v>
      </c>
    </row>
    <row r="275" spans="3:24" ht="34" x14ac:dyDescent="0.2">
      <c r="C275" s="22" t="str">
        <f>_xlfn.XLOOKUP(tbl_CONTENT[[#This Row],[TopicID]], tbl_TOPIC[TopicID], tbl_TOPIC[Subject], "")</f>
        <v>RG</v>
      </c>
      <c r="D2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RG-T12-03-07</v>
      </c>
      <c r="E275" s="22">
        <f>ROW()</f>
        <v>275</v>
      </c>
      <c r="F275" s="22" t="s">
        <v>1051</v>
      </c>
      <c r="G275" s="22" t="str">
        <f>_xlfn.XLOOKUP(tbl_CONTENT[[#This Row],[Topic]], tbl_TOPIC[Topic], tbl_TOPIC[TopicID], "")</f>
        <v>RG-1-03</v>
      </c>
      <c r="H275" s="22" cm="1">
        <f t="array" ref="H275">SUM((tbl_CONTENT[[#This Row],[TopicID]]=INDEX(tbl_CONTENT[TopicID],1):tbl_CONTENT[[#This Row],[TopicID]])*1)</f>
        <v>7</v>
      </c>
      <c r="I275" s="22" t="str">
        <f>_xlfn.XLOOKUP(tbl_CONTENT[[#This Row],[Topic]], tbl_TOPIC[Topic], tbl_TOPIC[TopicIndex], "")</f>
        <v>03</v>
      </c>
      <c r="J275" s="22" t="s">
        <v>498</v>
      </c>
      <c r="K275" s="22" t="s">
        <v>521</v>
      </c>
      <c r="L275" s="22" t="s">
        <v>179</v>
      </c>
      <c r="S275" s="35">
        <f>IFERROR(
 (1.907*EXP(1)^(-0.5*tbl_CONTENT[[#This Row],[Layer]])) *
 ((tbl_CONTENT[[#This Row],[RelInt]]-1)^(2.5)*4^(1-2.5)+1) +
 ((tbl_CONTENT[[#This Row],[Comp]]-1)^(2.5)*4^(1-2.5)+1)*(0.5*((tbl_CONTENT[[#This Row],[RelInt]]-1)/4)^(2.5)+1),
 0
)</f>
        <v>0</v>
      </c>
      <c r="T275" s="35">
        <f>IFERROR(
 (1.907*EXP(1)^(-0.5*VALUE(tbl_CONTENT[[#This Row],[Layer]]))) *
 ((VALUE(tbl_CONTENT[[#This Row],[RelId]])-1)^(2.5)*4^(1-2.5)+1) +
 ((VALUE(tbl_CONTENT[[#This Row],[Comp]])-1)^(2.5)*4^(1-2.5)+1)*(0.5*((VALUE(tbl_CONTENT[[#This Row],[RelId]])-1)/4)^(2.5)+1),
 0
)</f>
        <v>0</v>
      </c>
      <c r="V275" s="22" t="s">
        <v>594</v>
      </c>
      <c r="W275" s="22" t="str">
        <f>IFERROR(
  IF(_xlfn.XLOOKUP(tbl_CONTENT[[#This Row],[Topic]], tbl_TOPIC[Topic], tbl_TOPIC[ParentTopic])="", "",
       _xlfn.XLOOKUP(tbl_CONTENT[[#This Row],[Topic]], tbl_TOPIC[Topic], tbl_TOPIC[ParentTopic])),
  ""
)</f>
        <v>Differenzierbare Mannigfaltigkeiten</v>
      </c>
      <c r="X275" s="22" t="str">
        <f>IFERROR(
  IF(_xlfn.XLOOKUP(tbl_CONTENT[[#This Row],[Topic]], tbl_TOPIC[Topic], tbl_TOPIC[TopicPath])="", "",
       _xlfn.XLOOKUP(tbl_CONTENT[[#This Row],[Topic]], tbl_TOPIC[Topic], tbl_TOPIC[TopicPath])),
  ""
)</f>
        <v>Differenzierbare Mannigfaltigkeiten/Glatte Mannigfaltigkeiten</v>
      </c>
    </row>
    <row r="276" spans="3:24" ht="17" x14ac:dyDescent="0.2">
      <c r="C276" s="22" t="str">
        <f>_xlfn.XLOOKUP(tbl_CONTENT[[#This Row],[TopicID]], tbl_TOPIC[TopicID], tbl_TOPIC[Subject], "")</f>
        <v>RG</v>
      </c>
      <c r="D2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RG-T12-03-08</v>
      </c>
      <c r="E276" s="22">
        <f>ROW()</f>
        <v>276</v>
      </c>
      <c r="F276" s="22" t="s">
        <v>1051</v>
      </c>
      <c r="G276" s="22" t="str">
        <f>_xlfn.XLOOKUP(tbl_CONTENT[[#This Row],[Topic]], tbl_TOPIC[Topic], tbl_TOPIC[TopicID], "")</f>
        <v>RG-1-03</v>
      </c>
      <c r="H276" s="22" cm="1">
        <f t="array" ref="H276">SUM((tbl_CONTENT[[#This Row],[TopicID]]=INDEX(tbl_CONTENT[TopicID],1):tbl_CONTENT[[#This Row],[TopicID]])*1)</f>
        <v>8</v>
      </c>
      <c r="I276" s="22" t="str">
        <f>_xlfn.XLOOKUP(tbl_CONTENT[[#This Row],[Topic]], tbl_TOPIC[Topic], tbl_TOPIC[TopicIndex], "")</f>
        <v>03</v>
      </c>
      <c r="J276" s="22" t="s">
        <v>498</v>
      </c>
      <c r="K276" s="22" t="s">
        <v>522</v>
      </c>
      <c r="L276" s="22" t="s">
        <v>179</v>
      </c>
      <c r="S276" s="35">
        <f>IFERROR(
 (1.907*EXP(1)^(-0.5*tbl_CONTENT[[#This Row],[Layer]])) *
 ((tbl_CONTENT[[#This Row],[RelInt]]-1)^(2.5)*4^(1-2.5)+1) +
 ((tbl_CONTENT[[#This Row],[Comp]]-1)^(2.5)*4^(1-2.5)+1)*(0.5*((tbl_CONTENT[[#This Row],[RelInt]]-1)/4)^(2.5)+1),
 0
)</f>
        <v>0</v>
      </c>
      <c r="T276" s="35">
        <f>IFERROR(
 (1.907*EXP(1)^(-0.5*VALUE(tbl_CONTENT[[#This Row],[Layer]]))) *
 ((VALUE(tbl_CONTENT[[#This Row],[RelId]])-1)^(2.5)*4^(1-2.5)+1) +
 ((VALUE(tbl_CONTENT[[#This Row],[Comp]])-1)^(2.5)*4^(1-2.5)+1)*(0.5*((VALUE(tbl_CONTENT[[#This Row],[RelId]])-1)/4)^(2.5)+1),
 0
)</f>
        <v>0</v>
      </c>
      <c r="W276" s="22" t="str">
        <f>IFERROR(
  IF(_xlfn.XLOOKUP(tbl_CONTENT[[#This Row],[Topic]], tbl_TOPIC[Topic], tbl_TOPIC[ParentTopic])="", "",
       _xlfn.XLOOKUP(tbl_CONTENT[[#This Row],[Topic]], tbl_TOPIC[Topic], tbl_TOPIC[ParentTopic])),
  ""
)</f>
        <v>Differenzierbare Mannigfaltigkeiten</v>
      </c>
      <c r="X276" s="22" t="str">
        <f>IFERROR(
  IF(_xlfn.XLOOKUP(tbl_CONTENT[[#This Row],[Topic]], tbl_TOPIC[Topic], tbl_TOPIC[TopicPath])="", "",
       _xlfn.XLOOKUP(tbl_CONTENT[[#This Row],[Topic]], tbl_TOPIC[Topic], tbl_TOPIC[TopicPath])),
  ""
)</f>
        <v>Differenzierbare Mannigfaltigkeiten/Glatte Mannigfaltigkeiten</v>
      </c>
    </row>
    <row r="277" spans="3:24" ht="17" x14ac:dyDescent="0.2">
      <c r="C277" s="22" t="str">
        <f>_xlfn.XLOOKUP(tbl_CONTENT[[#This Row],[TopicID]], tbl_TOPIC[TopicID], tbl_TOPIC[Subject], "")</f>
        <v>RG</v>
      </c>
      <c r="D2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RG-T12-03-09</v>
      </c>
      <c r="E277" s="22">
        <f>ROW()</f>
        <v>277</v>
      </c>
      <c r="F277" s="22" t="s">
        <v>1051</v>
      </c>
      <c r="G277" s="22" t="str">
        <f>_xlfn.XLOOKUP(tbl_CONTENT[[#This Row],[Topic]], tbl_TOPIC[Topic], tbl_TOPIC[TopicID], "")</f>
        <v>RG-1-03</v>
      </c>
      <c r="H277" s="22" cm="1">
        <f t="array" ref="H277">SUM((tbl_CONTENT[[#This Row],[TopicID]]=INDEX(tbl_CONTENT[TopicID],1):tbl_CONTENT[[#This Row],[TopicID]])*1)</f>
        <v>9</v>
      </c>
      <c r="I277" s="22" t="str">
        <f>_xlfn.XLOOKUP(tbl_CONTENT[[#This Row],[Topic]], tbl_TOPIC[Topic], tbl_TOPIC[TopicIndex], "")</f>
        <v>03</v>
      </c>
      <c r="J277" s="22" t="s">
        <v>498</v>
      </c>
      <c r="K277" s="22" t="s">
        <v>520</v>
      </c>
      <c r="L277" s="22" t="s">
        <v>179</v>
      </c>
      <c r="S277" s="35">
        <f>IFERROR(
 (1.907*EXP(1)^(-0.5*tbl_CONTENT[[#This Row],[Layer]])) *
 ((tbl_CONTENT[[#This Row],[RelInt]]-1)^(2.5)*4^(1-2.5)+1) +
 ((tbl_CONTENT[[#This Row],[Comp]]-1)^(2.5)*4^(1-2.5)+1)*(0.5*((tbl_CONTENT[[#This Row],[RelInt]]-1)/4)^(2.5)+1),
 0
)</f>
        <v>0</v>
      </c>
      <c r="T277" s="35">
        <f>IFERROR(
 (1.907*EXP(1)^(-0.5*VALUE(tbl_CONTENT[[#This Row],[Layer]]))) *
 ((VALUE(tbl_CONTENT[[#This Row],[RelId]])-1)^(2.5)*4^(1-2.5)+1) +
 ((VALUE(tbl_CONTENT[[#This Row],[Comp]])-1)^(2.5)*4^(1-2.5)+1)*(0.5*((VALUE(tbl_CONTENT[[#This Row],[RelId]])-1)/4)^(2.5)+1),
 0
)</f>
        <v>0</v>
      </c>
      <c r="W277" s="22" t="str">
        <f>IFERROR(
  IF(_xlfn.XLOOKUP(tbl_CONTENT[[#This Row],[Topic]], tbl_TOPIC[Topic], tbl_TOPIC[ParentTopic])="", "",
       _xlfn.XLOOKUP(tbl_CONTENT[[#This Row],[Topic]], tbl_TOPIC[Topic], tbl_TOPIC[ParentTopic])),
  ""
)</f>
        <v>Differenzierbare Mannigfaltigkeiten</v>
      </c>
      <c r="X277" s="22" t="str">
        <f>IFERROR(
  IF(_xlfn.XLOOKUP(tbl_CONTENT[[#This Row],[Topic]], tbl_TOPIC[Topic], tbl_TOPIC[TopicPath])="", "",
       _xlfn.XLOOKUP(tbl_CONTENT[[#This Row],[Topic]], tbl_TOPIC[Topic], tbl_TOPIC[TopicPath])),
  ""
)</f>
        <v>Differenzierbare Mannigfaltigkeiten/Glatte Mannigfaltigkeiten</v>
      </c>
    </row>
    <row r="278" spans="3:24" ht="17" x14ac:dyDescent="0.2">
      <c r="C278" s="22" t="str">
        <f>_xlfn.XLOOKUP(tbl_CONTENT[[#This Row],[TopicID]], tbl_TOPIC[TopicID], tbl_TOPIC[Subject], "")</f>
        <v>RG</v>
      </c>
      <c r="D2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RG-T12-03-10</v>
      </c>
      <c r="E278" s="22">
        <f>ROW()</f>
        <v>278</v>
      </c>
      <c r="F278" s="22" t="s">
        <v>1051</v>
      </c>
      <c r="G278" s="22" t="str">
        <f>_xlfn.XLOOKUP(tbl_CONTENT[[#This Row],[Topic]], tbl_TOPIC[Topic], tbl_TOPIC[TopicID], "")</f>
        <v>RG-1-03</v>
      </c>
      <c r="H278" s="22" cm="1">
        <f t="array" ref="H278">SUM((tbl_CONTENT[[#This Row],[TopicID]]=INDEX(tbl_CONTENT[TopicID],1):tbl_CONTENT[[#This Row],[TopicID]])*1)</f>
        <v>10</v>
      </c>
      <c r="I278" s="22" t="str">
        <f>_xlfn.XLOOKUP(tbl_CONTENT[[#This Row],[Topic]], tbl_TOPIC[Topic], tbl_TOPIC[TopicIndex], "")</f>
        <v>03</v>
      </c>
      <c r="J278" s="22" t="s">
        <v>498</v>
      </c>
      <c r="K278" s="22" t="s">
        <v>523</v>
      </c>
      <c r="L278" s="22" t="s">
        <v>179</v>
      </c>
      <c r="S278" s="35">
        <f>IFERROR(
 (1.907*EXP(1)^(-0.5*tbl_CONTENT[[#This Row],[Layer]])) *
 ((tbl_CONTENT[[#This Row],[RelInt]]-1)^(2.5)*4^(1-2.5)+1) +
 ((tbl_CONTENT[[#This Row],[Comp]]-1)^(2.5)*4^(1-2.5)+1)*(0.5*((tbl_CONTENT[[#This Row],[RelInt]]-1)/4)^(2.5)+1),
 0
)</f>
        <v>0</v>
      </c>
      <c r="T278" s="35">
        <f>IFERROR(
 (1.907*EXP(1)^(-0.5*VALUE(tbl_CONTENT[[#This Row],[Layer]]))) *
 ((VALUE(tbl_CONTENT[[#This Row],[RelId]])-1)^(2.5)*4^(1-2.5)+1) +
 ((VALUE(tbl_CONTENT[[#This Row],[Comp]])-1)^(2.5)*4^(1-2.5)+1)*(0.5*((VALUE(tbl_CONTENT[[#This Row],[RelId]])-1)/4)^(2.5)+1),
 0
)</f>
        <v>0</v>
      </c>
      <c r="W278" s="22" t="str">
        <f>IFERROR(
  IF(_xlfn.XLOOKUP(tbl_CONTENT[[#This Row],[Topic]], tbl_TOPIC[Topic], tbl_TOPIC[ParentTopic])="", "",
       _xlfn.XLOOKUP(tbl_CONTENT[[#This Row],[Topic]], tbl_TOPIC[Topic], tbl_TOPIC[ParentTopic])),
  ""
)</f>
        <v>Differenzierbare Mannigfaltigkeiten</v>
      </c>
      <c r="X278" s="22" t="str">
        <f>IFERROR(
  IF(_xlfn.XLOOKUP(tbl_CONTENT[[#This Row],[Topic]], tbl_TOPIC[Topic], tbl_TOPIC[TopicPath])="", "",
       _xlfn.XLOOKUP(tbl_CONTENT[[#This Row],[Topic]], tbl_TOPIC[Topic], tbl_TOPIC[TopicPath])),
  ""
)</f>
        <v>Differenzierbare Mannigfaltigkeiten/Glatte Mannigfaltigkeiten</v>
      </c>
    </row>
    <row r="279" spans="3:24" ht="17" x14ac:dyDescent="0.2">
      <c r="C279" s="22" t="str">
        <f>_xlfn.XLOOKUP(tbl_CONTENT[[#This Row],[TopicID]], tbl_TOPIC[TopicID], tbl_TOPIC[Subject], "")</f>
        <v>RG</v>
      </c>
      <c r="D2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RG-T12-03-11</v>
      </c>
      <c r="E279" s="22">
        <f>ROW()</f>
        <v>279</v>
      </c>
      <c r="F279" s="22" t="s">
        <v>1051</v>
      </c>
      <c r="G279" s="22" t="str">
        <f>_xlfn.XLOOKUP(tbl_CONTENT[[#This Row],[Topic]], tbl_TOPIC[Topic], tbl_TOPIC[TopicID], "")</f>
        <v>RG-1-03</v>
      </c>
      <c r="H279" s="22" cm="1">
        <f t="array" ref="H279">SUM((tbl_CONTENT[[#This Row],[TopicID]]=INDEX(tbl_CONTENT[TopicID],1):tbl_CONTENT[[#This Row],[TopicID]])*1)</f>
        <v>11</v>
      </c>
      <c r="I279" s="22" t="str">
        <f>_xlfn.XLOOKUP(tbl_CONTENT[[#This Row],[Topic]], tbl_TOPIC[Topic], tbl_TOPIC[TopicIndex], "")</f>
        <v>03</v>
      </c>
      <c r="J279" s="22" t="s">
        <v>498</v>
      </c>
      <c r="K279" s="22" t="s">
        <v>524</v>
      </c>
      <c r="L279" s="22" t="s">
        <v>179</v>
      </c>
      <c r="S279" s="35">
        <f>IFERROR(
 (1.907*EXP(1)^(-0.5*tbl_CONTENT[[#This Row],[Layer]])) *
 ((tbl_CONTENT[[#This Row],[RelInt]]-1)^(2.5)*4^(1-2.5)+1) +
 ((tbl_CONTENT[[#This Row],[Comp]]-1)^(2.5)*4^(1-2.5)+1)*(0.5*((tbl_CONTENT[[#This Row],[RelInt]]-1)/4)^(2.5)+1),
 0
)</f>
        <v>0</v>
      </c>
      <c r="T279" s="35">
        <f>IFERROR(
 (1.907*EXP(1)^(-0.5*VALUE(tbl_CONTENT[[#This Row],[Layer]]))) *
 ((VALUE(tbl_CONTENT[[#This Row],[RelId]])-1)^(2.5)*4^(1-2.5)+1) +
 ((VALUE(tbl_CONTENT[[#This Row],[Comp]])-1)^(2.5)*4^(1-2.5)+1)*(0.5*((VALUE(tbl_CONTENT[[#This Row],[RelId]])-1)/4)^(2.5)+1),
 0
)</f>
        <v>0</v>
      </c>
      <c r="W279" s="22" t="str">
        <f>IFERROR(
  IF(_xlfn.XLOOKUP(tbl_CONTENT[[#This Row],[Topic]], tbl_TOPIC[Topic], tbl_TOPIC[ParentTopic])="", "",
       _xlfn.XLOOKUP(tbl_CONTENT[[#This Row],[Topic]], tbl_TOPIC[Topic], tbl_TOPIC[ParentTopic])),
  ""
)</f>
        <v>Differenzierbare Mannigfaltigkeiten</v>
      </c>
      <c r="X279" s="22" t="str">
        <f>IFERROR(
  IF(_xlfn.XLOOKUP(tbl_CONTENT[[#This Row],[Topic]], tbl_TOPIC[Topic], tbl_TOPIC[TopicPath])="", "",
       _xlfn.XLOOKUP(tbl_CONTENT[[#This Row],[Topic]], tbl_TOPIC[Topic], tbl_TOPIC[TopicPath])),
  ""
)</f>
        <v>Differenzierbare Mannigfaltigkeiten/Glatte Mannigfaltigkeiten</v>
      </c>
    </row>
    <row r="280" spans="3:24" ht="17" x14ac:dyDescent="0.2">
      <c r="C280" s="22" t="str">
        <f>_xlfn.XLOOKUP(tbl_CONTENT[[#This Row],[TopicID]], tbl_TOPIC[TopicID], tbl_TOPIC[Subject], "")</f>
        <v>RG</v>
      </c>
      <c r="D2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RG-T12-03-12</v>
      </c>
      <c r="E280" s="22">
        <f>ROW()</f>
        <v>280</v>
      </c>
      <c r="F280" s="22" t="s">
        <v>1051</v>
      </c>
      <c r="G280" s="22" t="str">
        <f>_xlfn.XLOOKUP(tbl_CONTENT[[#This Row],[Topic]], tbl_TOPIC[Topic], tbl_TOPIC[TopicID], "")</f>
        <v>RG-1-03</v>
      </c>
      <c r="H280" s="22" cm="1">
        <f t="array" ref="H280">SUM((tbl_CONTENT[[#This Row],[TopicID]]=INDEX(tbl_CONTENT[TopicID],1):tbl_CONTENT[[#This Row],[TopicID]])*1)</f>
        <v>12</v>
      </c>
      <c r="I280" s="22" t="str">
        <f>_xlfn.XLOOKUP(tbl_CONTENT[[#This Row],[Topic]], tbl_TOPIC[Topic], tbl_TOPIC[TopicIndex], "")</f>
        <v>03</v>
      </c>
      <c r="J280" s="22" t="s">
        <v>498</v>
      </c>
      <c r="K280" s="22" t="s">
        <v>525</v>
      </c>
      <c r="L280" s="22" t="s">
        <v>179</v>
      </c>
      <c r="S280" s="35">
        <f>IFERROR(
 (1.907*EXP(1)^(-0.5*tbl_CONTENT[[#This Row],[Layer]])) *
 ((tbl_CONTENT[[#This Row],[RelInt]]-1)^(2.5)*4^(1-2.5)+1) +
 ((tbl_CONTENT[[#This Row],[Comp]]-1)^(2.5)*4^(1-2.5)+1)*(0.5*((tbl_CONTENT[[#This Row],[RelInt]]-1)/4)^(2.5)+1),
 0
)</f>
        <v>0</v>
      </c>
      <c r="T280" s="35">
        <f>IFERROR(
 (1.907*EXP(1)^(-0.5*VALUE(tbl_CONTENT[[#This Row],[Layer]]))) *
 ((VALUE(tbl_CONTENT[[#This Row],[RelId]])-1)^(2.5)*4^(1-2.5)+1) +
 ((VALUE(tbl_CONTENT[[#This Row],[Comp]])-1)^(2.5)*4^(1-2.5)+1)*(0.5*((VALUE(tbl_CONTENT[[#This Row],[RelId]])-1)/4)^(2.5)+1),
 0
)</f>
        <v>0</v>
      </c>
      <c r="W280" s="22" t="str">
        <f>IFERROR(
  IF(_xlfn.XLOOKUP(tbl_CONTENT[[#This Row],[Topic]], tbl_TOPIC[Topic], tbl_TOPIC[ParentTopic])="", "",
       _xlfn.XLOOKUP(tbl_CONTENT[[#This Row],[Topic]], tbl_TOPIC[Topic], tbl_TOPIC[ParentTopic])),
  ""
)</f>
        <v>Differenzierbare Mannigfaltigkeiten</v>
      </c>
      <c r="X280" s="22" t="str">
        <f>IFERROR(
  IF(_xlfn.XLOOKUP(tbl_CONTENT[[#This Row],[Topic]], tbl_TOPIC[Topic], tbl_TOPIC[TopicPath])="", "",
       _xlfn.XLOOKUP(tbl_CONTENT[[#This Row],[Topic]], tbl_TOPIC[Topic], tbl_TOPIC[TopicPath])),
  ""
)</f>
        <v>Differenzierbare Mannigfaltigkeiten/Glatte Mannigfaltigkeiten</v>
      </c>
    </row>
    <row r="281" spans="3:24" ht="34" x14ac:dyDescent="0.2">
      <c r="C281" s="22" t="str">
        <f>_xlfn.XLOOKUP(tbl_CONTENT[[#This Row],[TopicID]], tbl_TOPIC[TopicID], tbl_TOPIC[Subject], "")</f>
        <v>RG</v>
      </c>
      <c r="D2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RG-T12-03-13</v>
      </c>
      <c r="E281" s="22">
        <f>ROW()</f>
        <v>281</v>
      </c>
      <c r="F281" s="22" t="s">
        <v>1051</v>
      </c>
      <c r="G281" s="22" t="str">
        <f>_xlfn.XLOOKUP(tbl_CONTENT[[#This Row],[Topic]], tbl_TOPIC[Topic], tbl_TOPIC[TopicID], "")</f>
        <v>RG-1-03</v>
      </c>
      <c r="H281" s="22" cm="1">
        <f t="array" ref="H281">SUM((tbl_CONTENT[[#This Row],[TopicID]]=INDEX(tbl_CONTENT[TopicID],1):tbl_CONTENT[[#This Row],[TopicID]])*1)</f>
        <v>13</v>
      </c>
      <c r="I281" s="22" t="str">
        <f>_xlfn.XLOOKUP(tbl_CONTENT[[#This Row],[Topic]], tbl_TOPIC[Topic], tbl_TOPIC[TopicIndex], "")</f>
        <v>03</v>
      </c>
      <c r="J281" s="22" t="s">
        <v>498</v>
      </c>
      <c r="K281" s="22" t="s">
        <v>526</v>
      </c>
      <c r="L281" s="22" t="s">
        <v>147</v>
      </c>
      <c r="S281" s="35">
        <f>IFERROR(
 (1.907*EXP(1)^(-0.5*tbl_CONTENT[[#This Row],[Layer]])) *
 ((tbl_CONTENT[[#This Row],[RelInt]]-1)^(2.5)*4^(1-2.5)+1) +
 ((tbl_CONTENT[[#This Row],[Comp]]-1)^(2.5)*4^(1-2.5)+1)*(0.5*((tbl_CONTENT[[#This Row],[RelInt]]-1)/4)^(2.5)+1),
 0
)</f>
        <v>0</v>
      </c>
      <c r="T281" s="35">
        <f>IFERROR(
 (1.907*EXP(1)^(-0.5*VALUE(tbl_CONTENT[[#This Row],[Layer]]))) *
 ((VALUE(tbl_CONTENT[[#This Row],[RelId]])-1)^(2.5)*4^(1-2.5)+1) +
 ((VALUE(tbl_CONTENT[[#This Row],[Comp]])-1)^(2.5)*4^(1-2.5)+1)*(0.5*((VALUE(tbl_CONTENT[[#This Row],[RelId]])-1)/4)^(2.5)+1),
 0
)</f>
        <v>0</v>
      </c>
      <c r="W281" s="22" t="str">
        <f>IFERROR(
  IF(_xlfn.XLOOKUP(tbl_CONTENT[[#This Row],[Topic]], tbl_TOPIC[Topic], tbl_TOPIC[ParentTopic])="", "",
       _xlfn.XLOOKUP(tbl_CONTENT[[#This Row],[Topic]], tbl_TOPIC[Topic], tbl_TOPIC[ParentTopic])),
  ""
)</f>
        <v>Differenzierbare Mannigfaltigkeiten</v>
      </c>
      <c r="X281" s="22" t="str">
        <f>IFERROR(
  IF(_xlfn.XLOOKUP(tbl_CONTENT[[#This Row],[Topic]], tbl_TOPIC[Topic], tbl_TOPIC[TopicPath])="", "",
       _xlfn.XLOOKUP(tbl_CONTENT[[#This Row],[Topic]], tbl_TOPIC[Topic], tbl_TOPIC[TopicPath])),
  ""
)</f>
        <v>Differenzierbare Mannigfaltigkeiten/Glatte Mannigfaltigkeiten</v>
      </c>
    </row>
    <row r="282" spans="3:24" ht="34" x14ac:dyDescent="0.2">
      <c r="C282" s="22" t="str">
        <f>_xlfn.XLOOKUP(tbl_CONTENT[[#This Row],[TopicID]], tbl_TOPIC[TopicID], tbl_TOPIC[Subject], "")</f>
        <v>RG</v>
      </c>
      <c r="D2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RG-T12-04-01</v>
      </c>
      <c r="E282" s="22">
        <f>ROW()</f>
        <v>282</v>
      </c>
      <c r="F282" s="22" t="s">
        <v>1051</v>
      </c>
      <c r="G282" s="22" t="str">
        <f>_xlfn.XLOOKUP(tbl_CONTENT[[#This Row],[Topic]], tbl_TOPIC[Topic], tbl_TOPIC[TopicID], "")</f>
        <v>RG-1-04</v>
      </c>
      <c r="H282" s="22" cm="1">
        <f t="array" ref="H282">SUM((tbl_CONTENT[[#This Row],[TopicID]]=INDEX(tbl_CONTENT[TopicID],1):tbl_CONTENT[[#This Row],[TopicID]])*1)</f>
        <v>1</v>
      </c>
      <c r="I282" s="22" t="str">
        <f>_xlfn.XLOOKUP(tbl_CONTENT[[#This Row],[Topic]], tbl_TOPIC[Topic], tbl_TOPIC[TopicIndex], "")</f>
        <v>04</v>
      </c>
      <c r="J282" s="22" t="s">
        <v>499</v>
      </c>
      <c r="K282" s="22" t="s">
        <v>527</v>
      </c>
      <c r="L282" s="22" t="s">
        <v>152</v>
      </c>
      <c r="S282" s="35">
        <f>IFERROR(
 (1.907*EXP(1)^(-0.5*tbl_CONTENT[[#This Row],[Layer]])) *
 ((tbl_CONTENT[[#This Row],[RelInt]]-1)^(2.5)*4^(1-2.5)+1) +
 ((tbl_CONTENT[[#This Row],[Comp]]-1)^(2.5)*4^(1-2.5)+1)*(0.5*((tbl_CONTENT[[#This Row],[RelInt]]-1)/4)^(2.5)+1),
 0
)</f>
        <v>0</v>
      </c>
      <c r="T282" s="35">
        <f>IFERROR(
 (1.907*EXP(1)^(-0.5*VALUE(tbl_CONTENT[[#This Row],[Layer]]))) *
 ((VALUE(tbl_CONTENT[[#This Row],[RelId]])-1)^(2.5)*4^(1-2.5)+1) +
 ((VALUE(tbl_CONTENT[[#This Row],[Comp]])-1)^(2.5)*4^(1-2.5)+1)*(0.5*((VALUE(tbl_CONTENT[[#This Row],[RelId]])-1)/4)^(2.5)+1),
 0
)</f>
        <v>0</v>
      </c>
      <c r="W282" s="22" t="str">
        <f>IFERROR(
  IF(_xlfn.XLOOKUP(tbl_CONTENT[[#This Row],[Topic]], tbl_TOPIC[Topic], tbl_TOPIC[ParentTopic])="", "",
       _xlfn.XLOOKUP(tbl_CONTENT[[#This Row],[Topic]], tbl_TOPIC[Topic], tbl_TOPIC[ParentTopic])),
  ""
)</f>
        <v>Differenzierbare Mannigfaltigkeiten</v>
      </c>
      <c r="X282" s="22" t="str">
        <f>IFERROR(
  IF(_xlfn.XLOOKUP(tbl_CONTENT[[#This Row],[Topic]], tbl_TOPIC[Topic], tbl_TOPIC[TopicPath])="", "",
       _xlfn.XLOOKUP(tbl_CONTENT[[#This Row],[Topic]], tbl_TOPIC[Topic], tbl_TOPIC[TopicPath])),
  ""
)</f>
        <v>Differenzierbare Mannigfaltigkeiten/Glatte Abbildungen und Vektorfelder</v>
      </c>
    </row>
    <row r="283" spans="3:24" ht="34" x14ac:dyDescent="0.2">
      <c r="C283" s="22" t="str">
        <f>_xlfn.XLOOKUP(tbl_CONTENT[[#This Row],[TopicID]], tbl_TOPIC[TopicID], tbl_TOPIC[Subject], "")</f>
        <v>RG</v>
      </c>
      <c r="D2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RG-T12-04-02</v>
      </c>
      <c r="E283" s="22">
        <f>ROW()</f>
        <v>283</v>
      </c>
      <c r="F283" s="22" t="s">
        <v>1051</v>
      </c>
      <c r="G283" s="22" t="str">
        <f>_xlfn.XLOOKUP(tbl_CONTENT[[#This Row],[Topic]], tbl_TOPIC[Topic], tbl_TOPIC[TopicID], "")</f>
        <v>RG-1-04</v>
      </c>
      <c r="H283" s="22" cm="1">
        <f t="array" ref="H283">SUM((tbl_CONTENT[[#This Row],[TopicID]]=INDEX(tbl_CONTENT[TopicID],1):tbl_CONTENT[[#This Row],[TopicID]])*1)</f>
        <v>2</v>
      </c>
      <c r="I283" s="22" t="str">
        <f>_xlfn.XLOOKUP(tbl_CONTENT[[#This Row],[Topic]], tbl_TOPIC[Topic], tbl_TOPIC[TopicIndex], "")</f>
        <v>04</v>
      </c>
      <c r="J283" s="22" t="s">
        <v>499</v>
      </c>
      <c r="K283" s="22" t="s">
        <v>528</v>
      </c>
      <c r="L283" s="22" t="s">
        <v>152</v>
      </c>
      <c r="S283" s="35">
        <f>IFERROR(
 (1.907*EXP(1)^(-0.5*tbl_CONTENT[[#This Row],[Layer]])) *
 ((tbl_CONTENT[[#This Row],[RelInt]]-1)^(2.5)*4^(1-2.5)+1) +
 ((tbl_CONTENT[[#This Row],[Comp]]-1)^(2.5)*4^(1-2.5)+1)*(0.5*((tbl_CONTENT[[#This Row],[RelInt]]-1)/4)^(2.5)+1),
 0
)</f>
        <v>0</v>
      </c>
      <c r="T283" s="35">
        <f>IFERROR(
 (1.907*EXP(1)^(-0.5*VALUE(tbl_CONTENT[[#This Row],[Layer]]))) *
 ((VALUE(tbl_CONTENT[[#This Row],[RelId]])-1)^(2.5)*4^(1-2.5)+1) +
 ((VALUE(tbl_CONTENT[[#This Row],[Comp]])-1)^(2.5)*4^(1-2.5)+1)*(0.5*((VALUE(tbl_CONTENT[[#This Row],[RelId]])-1)/4)^(2.5)+1),
 0
)</f>
        <v>0</v>
      </c>
      <c r="W283" s="22" t="str">
        <f>IFERROR(
  IF(_xlfn.XLOOKUP(tbl_CONTENT[[#This Row],[Topic]], tbl_TOPIC[Topic], tbl_TOPIC[ParentTopic])="", "",
       _xlfn.XLOOKUP(tbl_CONTENT[[#This Row],[Topic]], tbl_TOPIC[Topic], tbl_TOPIC[ParentTopic])),
  ""
)</f>
        <v>Differenzierbare Mannigfaltigkeiten</v>
      </c>
      <c r="X283" s="22" t="str">
        <f>IFERROR(
  IF(_xlfn.XLOOKUP(tbl_CONTENT[[#This Row],[Topic]], tbl_TOPIC[Topic], tbl_TOPIC[TopicPath])="", "",
       _xlfn.XLOOKUP(tbl_CONTENT[[#This Row],[Topic]], tbl_TOPIC[Topic], tbl_TOPIC[TopicPath])),
  ""
)</f>
        <v>Differenzierbare Mannigfaltigkeiten/Glatte Abbildungen und Vektorfelder</v>
      </c>
    </row>
    <row r="284" spans="3:24" ht="34" x14ac:dyDescent="0.2">
      <c r="C284" s="22" t="str">
        <f>_xlfn.XLOOKUP(tbl_CONTENT[[#This Row],[TopicID]], tbl_TOPIC[TopicID], tbl_TOPIC[Subject], "")</f>
        <v>RG</v>
      </c>
      <c r="D2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RG-T12-04-03</v>
      </c>
      <c r="E284" s="22">
        <f>ROW()</f>
        <v>284</v>
      </c>
      <c r="F284" s="22" t="s">
        <v>1051</v>
      </c>
      <c r="G284" s="22" t="str">
        <f>_xlfn.XLOOKUP(tbl_CONTENT[[#This Row],[Topic]], tbl_TOPIC[Topic], tbl_TOPIC[TopicID], "")</f>
        <v>RG-1-04</v>
      </c>
      <c r="H284" s="22" cm="1">
        <f t="array" ref="H284">SUM((tbl_CONTENT[[#This Row],[TopicID]]=INDEX(tbl_CONTENT[TopicID],1):tbl_CONTENT[[#This Row],[TopicID]])*1)</f>
        <v>3</v>
      </c>
      <c r="I284" s="22" t="str">
        <f>_xlfn.XLOOKUP(tbl_CONTENT[[#This Row],[Topic]], tbl_TOPIC[Topic], tbl_TOPIC[TopicIndex], "")</f>
        <v>04</v>
      </c>
      <c r="J284" s="22" t="s">
        <v>499</v>
      </c>
      <c r="K284" s="22" t="s">
        <v>529</v>
      </c>
      <c r="L284" s="22" t="s">
        <v>152</v>
      </c>
      <c r="S284" s="35">
        <f>IFERROR(
 (1.907*EXP(1)^(-0.5*tbl_CONTENT[[#This Row],[Layer]])) *
 ((tbl_CONTENT[[#This Row],[RelInt]]-1)^(2.5)*4^(1-2.5)+1) +
 ((tbl_CONTENT[[#This Row],[Comp]]-1)^(2.5)*4^(1-2.5)+1)*(0.5*((tbl_CONTENT[[#This Row],[RelInt]]-1)/4)^(2.5)+1),
 0
)</f>
        <v>0</v>
      </c>
      <c r="T284" s="35">
        <f>IFERROR(
 (1.907*EXP(1)^(-0.5*VALUE(tbl_CONTENT[[#This Row],[Layer]]))) *
 ((VALUE(tbl_CONTENT[[#This Row],[RelId]])-1)^(2.5)*4^(1-2.5)+1) +
 ((VALUE(tbl_CONTENT[[#This Row],[Comp]])-1)^(2.5)*4^(1-2.5)+1)*(0.5*((VALUE(tbl_CONTENT[[#This Row],[RelId]])-1)/4)^(2.5)+1),
 0
)</f>
        <v>0</v>
      </c>
      <c r="W284" s="22" t="str">
        <f>IFERROR(
  IF(_xlfn.XLOOKUP(tbl_CONTENT[[#This Row],[Topic]], tbl_TOPIC[Topic], tbl_TOPIC[ParentTopic])="", "",
       _xlfn.XLOOKUP(tbl_CONTENT[[#This Row],[Topic]], tbl_TOPIC[Topic], tbl_TOPIC[ParentTopic])),
  ""
)</f>
        <v>Differenzierbare Mannigfaltigkeiten</v>
      </c>
      <c r="X284" s="22" t="str">
        <f>IFERROR(
  IF(_xlfn.XLOOKUP(tbl_CONTENT[[#This Row],[Topic]], tbl_TOPIC[Topic], tbl_TOPIC[TopicPath])="", "",
       _xlfn.XLOOKUP(tbl_CONTENT[[#This Row],[Topic]], tbl_TOPIC[Topic], tbl_TOPIC[TopicPath])),
  ""
)</f>
        <v>Differenzierbare Mannigfaltigkeiten/Glatte Abbildungen und Vektorfelder</v>
      </c>
    </row>
    <row r="285" spans="3:24" ht="34" x14ac:dyDescent="0.2">
      <c r="C285" s="22" t="str">
        <f>_xlfn.XLOOKUP(tbl_CONTENT[[#This Row],[TopicID]], tbl_TOPIC[TopicID], tbl_TOPIC[Subject], "")</f>
        <v>RG</v>
      </c>
      <c r="D2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RG-T12-04-04</v>
      </c>
      <c r="E285" s="22">
        <f>ROW()</f>
        <v>285</v>
      </c>
      <c r="F285" s="22" t="s">
        <v>1051</v>
      </c>
      <c r="G285" s="22" t="str">
        <f>_xlfn.XLOOKUP(tbl_CONTENT[[#This Row],[Topic]], tbl_TOPIC[Topic], tbl_TOPIC[TopicID], "")</f>
        <v>RG-1-04</v>
      </c>
      <c r="H285" s="22" cm="1">
        <f t="array" ref="H285">SUM((tbl_CONTENT[[#This Row],[TopicID]]=INDEX(tbl_CONTENT[TopicID],1):tbl_CONTENT[[#This Row],[TopicID]])*1)</f>
        <v>4</v>
      </c>
      <c r="I285" s="22" t="str">
        <f>_xlfn.XLOOKUP(tbl_CONTENT[[#This Row],[Topic]], tbl_TOPIC[Topic], tbl_TOPIC[TopicIndex], "")</f>
        <v>04</v>
      </c>
      <c r="J285" s="22" t="s">
        <v>499</v>
      </c>
      <c r="K285" s="22" t="s">
        <v>530</v>
      </c>
      <c r="L285" s="22" t="s">
        <v>152</v>
      </c>
      <c r="S285" s="35">
        <f>IFERROR(
 (1.907*EXP(1)^(-0.5*tbl_CONTENT[[#This Row],[Layer]])) *
 ((tbl_CONTENT[[#This Row],[RelInt]]-1)^(2.5)*4^(1-2.5)+1) +
 ((tbl_CONTENT[[#This Row],[Comp]]-1)^(2.5)*4^(1-2.5)+1)*(0.5*((tbl_CONTENT[[#This Row],[RelInt]]-1)/4)^(2.5)+1),
 0
)</f>
        <v>0</v>
      </c>
      <c r="T285" s="35">
        <f>IFERROR(
 (1.907*EXP(1)^(-0.5*VALUE(tbl_CONTENT[[#This Row],[Layer]]))) *
 ((VALUE(tbl_CONTENT[[#This Row],[RelId]])-1)^(2.5)*4^(1-2.5)+1) +
 ((VALUE(tbl_CONTENT[[#This Row],[Comp]])-1)^(2.5)*4^(1-2.5)+1)*(0.5*((VALUE(tbl_CONTENT[[#This Row],[RelId]])-1)/4)^(2.5)+1),
 0
)</f>
        <v>0</v>
      </c>
      <c r="W285" s="22" t="str">
        <f>IFERROR(
  IF(_xlfn.XLOOKUP(tbl_CONTENT[[#This Row],[Topic]], tbl_TOPIC[Topic], tbl_TOPIC[ParentTopic])="", "",
       _xlfn.XLOOKUP(tbl_CONTENT[[#This Row],[Topic]], tbl_TOPIC[Topic], tbl_TOPIC[ParentTopic])),
  ""
)</f>
        <v>Differenzierbare Mannigfaltigkeiten</v>
      </c>
      <c r="X285" s="22" t="str">
        <f>IFERROR(
  IF(_xlfn.XLOOKUP(tbl_CONTENT[[#This Row],[Topic]], tbl_TOPIC[Topic], tbl_TOPIC[TopicPath])="", "",
       _xlfn.XLOOKUP(tbl_CONTENT[[#This Row],[Topic]], tbl_TOPIC[Topic], tbl_TOPIC[TopicPath])),
  ""
)</f>
        <v>Differenzierbare Mannigfaltigkeiten/Glatte Abbildungen und Vektorfelder</v>
      </c>
    </row>
    <row r="286" spans="3:24" ht="34" x14ac:dyDescent="0.2">
      <c r="C286" s="22" t="str">
        <f>_xlfn.XLOOKUP(tbl_CONTENT[[#This Row],[TopicID]], tbl_TOPIC[TopicID], tbl_TOPIC[Subject], "")</f>
        <v>RG</v>
      </c>
      <c r="D2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RG-T12-04-05</v>
      </c>
      <c r="E286" s="22">
        <f>ROW()</f>
        <v>286</v>
      </c>
      <c r="F286" s="22" t="s">
        <v>1051</v>
      </c>
      <c r="G286" s="22" t="str">
        <f>_xlfn.XLOOKUP(tbl_CONTENT[[#This Row],[Topic]], tbl_TOPIC[Topic], tbl_TOPIC[TopicID], "")</f>
        <v>RG-1-04</v>
      </c>
      <c r="H286" s="22" cm="1">
        <f t="array" ref="H286">SUM((tbl_CONTENT[[#This Row],[TopicID]]=INDEX(tbl_CONTENT[TopicID],1):tbl_CONTENT[[#This Row],[TopicID]])*1)</f>
        <v>5</v>
      </c>
      <c r="I286" s="22" t="str">
        <f>_xlfn.XLOOKUP(tbl_CONTENT[[#This Row],[Topic]], tbl_TOPIC[Topic], tbl_TOPIC[TopicIndex], "")</f>
        <v>04</v>
      </c>
      <c r="J286" s="22" t="s">
        <v>499</v>
      </c>
      <c r="K286" s="22" t="s">
        <v>531</v>
      </c>
      <c r="L286" s="22" t="s">
        <v>152</v>
      </c>
      <c r="S286" s="35">
        <f>IFERROR(
 (1.907*EXP(1)^(-0.5*tbl_CONTENT[[#This Row],[Layer]])) *
 ((tbl_CONTENT[[#This Row],[RelInt]]-1)^(2.5)*4^(1-2.5)+1) +
 ((tbl_CONTENT[[#This Row],[Comp]]-1)^(2.5)*4^(1-2.5)+1)*(0.5*((tbl_CONTENT[[#This Row],[RelInt]]-1)/4)^(2.5)+1),
 0
)</f>
        <v>0</v>
      </c>
      <c r="T286" s="35">
        <f>IFERROR(
 (1.907*EXP(1)^(-0.5*VALUE(tbl_CONTENT[[#This Row],[Layer]]))) *
 ((VALUE(tbl_CONTENT[[#This Row],[RelId]])-1)^(2.5)*4^(1-2.5)+1) +
 ((VALUE(tbl_CONTENT[[#This Row],[Comp]])-1)^(2.5)*4^(1-2.5)+1)*(0.5*((VALUE(tbl_CONTENT[[#This Row],[RelId]])-1)/4)^(2.5)+1),
 0
)</f>
        <v>0</v>
      </c>
      <c r="W286" s="22" t="str">
        <f>IFERROR(
  IF(_xlfn.XLOOKUP(tbl_CONTENT[[#This Row],[Topic]], tbl_TOPIC[Topic], tbl_TOPIC[ParentTopic])="", "",
       _xlfn.XLOOKUP(tbl_CONTENT[[#This Row],[Topic]], tbl_TOPIC[Topic], tbl_TOPIC[ParentTopic])),
  ""
)</f>
        <v>Differenzierbare Mannigfaltigkeiten</v>
      </c>
      <c r="X286" s="22" t="str">
        <f>IFERROR(
  IF(_xlfn.XLOOKUP(tbl_CONTENT[[#This Row],[Topic]], tbl_TOPIC[Topic], tbl_TOPIC[TopicPath])="", "",
       _xlfn.XLOOKUP(tbl_CONTENT[[#This Row],[Topic]], tbl_TOPIC[Topic], tbl_TOPIC[TopicPath])),
  ""
)</f>
        <v>Differenzierbare Mannigfaltigkeiten/Glatte Abbildungen und Vektorfelder</v>
      </c>
    </row>
    <row r="287" spans="3:24" ht="34" x14ac:dyDescent="0.2">
      <c r="C287" s="22" t="str">
        <f>_xlfn.XLOOKUP(tbl_CONTENT[[#This Row],[TopicID]], tbl_TOPIC[TopicID], tbl_TOPIC[Subject], "")</f>
        <v>RG</v>
      </c>
      <c r="D2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RG-T12-04-06</v>
      </c>
      <c r="E287" s="22">
        <f>ROW()</f>
        <v>287</v>
      </c>
      <c r="F287" s="22" t="s">
        <v>1051</v>
      </c>
      <c r="G287" s="22" t="str">
        <f>_xlfn.XLOOKUP(tbl_CONTENT[[#This Row],[Topic]], tbl_TOPIC[Topic], tbl_TOPIC[TopicID], "")</f>
        <v>RG-1-04</v>
      </c>
      <c r="H287" s="22" cm="1">
        <f t="array" ref="H287">SUM((tbl_CONTENT[[#This Row],[TopicID]]=INDEX(tbl_CONTENT[TopicID],1):tbl_CONTENT[[#This Row],[TopicID]])*1)</f>
        <v>6</v>
      </c>
      <c r="I287" s="22" t="str">
        <f>_xlfn.XLOOKUP(tbl_CONTENT[[#This Row],[Topic]], tbl_TOPIC[Topic], tbl_TOPIC[TopicIndex], "")</f>
        <v>04</v>
      </c>
      <c r="J287" s="22" t="s">
        <v>499</v>
      </c>
      <c r="K287" s="22" t="s">
        <v>532</v>
      </c>
      <c r="L287" s="22" t="s">
        <v>152</v>
      </c>
      <c r="S287" s="35">
        <f>IFERROR(
 (1.907*EXP(1)^(-0.5*tbl_CONTENT[[#This Row],[Layer]])) *
 ((tbl_CONTENT[[#This Row],[RelInt]]-1)^(2.5)*4^(1-2.5)+1) +
 ((tbl_CONTENT[[#This Row],[Comp]]-1)^(2.5)*4^(1-2.5)+1)*(0.5*((tbl_CONTENT[[#This Row],[RelInt]]-1)/4)^(2.5)+1),
 0
)</f>
        <v>0</v>
      </c>
      <c r="T287" s="35">
        <f>IFERROR(
 (1.907*EXP(1)^(-0.5*VALUE(tbl_CONTENT[[#This Row],[Layer]]))) *
 ((VALUE(tbl_CONTENT[[#This Row],[RelId]])-1)^(2.5)*4^(1-2.5)+1) +
 ((VALUE(tbl_CONTENT[[#This Row],[Comp]])-1)^(2.5)*4^(1-2.5)+1)*(0.5*((VALUE(tbl_CONTENT[[#This Row],[RelId]])-1)/4)^(2.5)+1),
 0
)</f>
        <v>0</v>
      </c>
      <c r="W287" s="22" t="str">
        <f>IFERROR(
  IF(_xlfn.XLOOKUP(tbl_CONTENT[[#This Row],[Topic]], tbl_TOPIC[Topic], tbl_TOPIC[ParentTopic])="", "",
       _xlfn.XLOOKUP(tbl_CONTENT[[#This Row],[Topic]], tbl_TOPIC[Topic], tbl_TOPIC[ParentTopic])),
  ""
)</f>
        <v>Differenzierbare Mannigfaltigkeiten</v>
      </c>
      <c r="X287" s="22" t="str">
        <f>IFERROR(
  IF(_xlfn.XLOOKUP(tbl_CONTENT[[#This Row],[Topic]], tbl_TOPIC[Topic], tbl_TOPIC[TopicPath])="", "",
       _xlfn.XLOOKUP(tbl_CONTENT[[#This Row],[Topic]], tbl_TOPIC[Topic], tbl_TOPIC[TopicPath])),
  ""
)</f>
        <v>Differenzierbare Mannigfaltigkeiten/Glatte Abbildungen und Vektorfelder</v>
      </c>
    </row>
    <row r="288" spans="3:24" ht="34" x14ac:dyDescent="0.2">
      <c r="C288" s="22" t="str">
        <f>_xlfn.XLOOKUP(tbl_CONTENT[[#This Row],[TopicID]], tbl_TOPIC[TopicID], tbl_TOPIC[Subject], "")</f>
        <v>RG</v>
      </c>
      <c r="D2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RG-T12-04-07</v>
      </c>
      <c r="E288" s="22">
        <f>ROW()</f>
        <v>288</v>
      </c>
      <c r="F288" s="22" t="s">
        <v>1051</v>
      </c>
      <c r="G288" s="22" t="str">
        <f>_xlfn.XLOOKUP(tbl_CONTENT[[#This Row],[Topic]], tbl_TOPIC[Topic], tbl_TOPIC[TopicID], "")</f>
        <v>RG-1-04</v>
      </c>
      <c r="H288" s="22" cm="1">
        <f t="array" ref="H288">SUM((tbl_CONTENT[[#This Row],[TopicID]]=INDEX(tbl_CONTENT[TopicID],1):tbl_CONTENT[[#This Row],[TopicID]])*1)</f>
        <v>7</v>
      </c>
      <c r="I288" s="22" t="str">
        <f>_xlfn.XLOOKUP(tbl_CONTENT[[#This Row],[Topic]], tbl_TOPIC[Topic], tbl_TOPIC[TopicIndex], "")</f>
        <v>04</v>
      </c>
      <c r="J288" s="22" t="s">
        <v>499</v>
      </c>
      <c r="K288" s="22" t="s">
        <v>533</v>
      </c>
      <c r="L288" s="22" t="s">
        <v>152</v>
      </c>
      <c r="S288" s="35">
        <f>IFERROR(
 (1.907*EXP(1)^(-0.5*tbl_CONTENT[[#This Row],[Layer]])) *
 ((tbl_CONTENT[[#This Row],[RelInt]]-1)^(2.5)*4^(1-2.5)+1) +
 ((tbl_CONTENT[[#This Row],[Comp]]-1)^(2.5)*4^(1-2.5)+1)*(0.5*((tbl_CONTENT[[#This Row],[RelInt]]-1)/4)^(2.5)+1),
 0
)</f>
        <v>0</v>
      </c>
      <c r="T288" s="35">
        <f>IFERROR(
 (1.907*EXP(1)^(-0.5*VALUE(tbl_CONTENT[[#This Row],[Layer]]))) *
 ((VALUE(tbl_CONTENT[[#This Row],[RelId]])-1)^(2.5)*4^(1-2.5)+1) +
 ((VALUE(tbl_CONTENT[[#This Row],[Comp]])-1)^(2.5)*4^(1-2.5)+1)*(0.5*((VALUE(tbl_CONTENT[[#This Row],[RelId]])-1)/4)^(2.5)+1),
 0
)</f>
        <v>0</v>
      </c>
      <c r="W288" s="22" t="str">
        <f>IFERROR(
  IF(_xlfn.XLOOKUP(tbl_CONTENT[[#This Row],[Topic]], tbl_TOPIC[Topic], tbl_TOPIC[ParentTopic])="", "",
       _xlfn.XLOOKUP(tbl_CONTENT[[#This Row],[Topic]], tbl_TOPIC[Topic], tbl_TOPIC[ParentTopic])),
  ""
)</f>
        <v>Differenzierbare Mannigfaltigkeiten</v>
      </c>
      <c r="X288" s="22" t="str">
        <f>IFERROR(
  IF(_xlfn.XLOOKUP(tbl_CONTENT[[#This Row],[Topic]], tbl_TOPIC[Topic], tbl_TOPIC[TopicPath])="", "",
       _xlfn.XLOOKUP(tbl_CONTENT[[#This Row],[Topic]], tbl_TOPIC[Topic], tbl_TOPIC[TopicPath])),
  ""
)</f>
        <v>Differenzierbare Mannigfaltigkeiten/Glatte Abbildungen und Vektorfelder</v>
      </c>
    </row>
    <row r="289" spans="3:24" ht="34" x14ac:dyDescent="0.2">
      <c r="C289" s="22" t="str">
        <f>_xlfn.XLOOKUP(tbl_CONTENT[[#This Row],[TopicID]], tbl_TOPIC[TopicID], tbl_TOPIC[Subject], "")</f>
        <v>RG</v>
      </c>
      <c r="D2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RG-T12-04-08</v>
      </c>
      <c r="E289" s="22">
        <f>ROW()</f>
        <v>289</v>
      </c>
      <c r="F289" s="22" t="s">
        <v>1051</v>
      </c>
      <c r="G289" s="22" t="str">
        <f>_xlfn.XLOOKUP(tbl_CONTENT[[#This Row],[Topic]], tbl_TOPIC[Topic], tbl_TOPIC[TopicID], "")</f>
        <v>RG-1-04</v>
      </c>
      <c r="H289" s="22" cm="1">
        <f t="array" ref="H289">SUM((tbl_CONTENT[[#This Row],[TopicID]]=INDEX(tbl_CONTENT[TopicID],1):tbl_CONTENT[[#This Row],[TopicID]])*1)</f>
        <v>8</v>
      </c>
      <c r="I289" s="22" t="str">
        <f>_xlfn.XLOOKUP(tbl_CONTENT[[#This Row],[Topic]], tbl_TOPIC[Topic], tbl_TOPIC[TopicIndex], "")</f>
        <v>04</v>
      </c>
      <c r="J289" s="22" t="s">
        <v>499</v>
      </c>
      <c r="K289" s="22" t="s">
        <v>534</v>
      </c>
      <c r="L289" s="22" t="s">
        <v>147</v>
      </c>
      <c r="S289" s="35">
        <f>IFERROR(
 (1.907*EXP(1)^(-0.5*tbl_CONTENT[[#This Row],[Layer]])) *
 ((tbl_CONTENT[[#This Row],[RelInt]]-1)^(2.5)*4^(1-2.5)+1) +
 ((tbl_CONTENT[[#This Row],[Comp]]-1)^(2.5)*4^(1-2.5)+1)*(0.5*((tbl_CONTENT[[#This Row],[RelInt]]-1)/4)^(2.5)+1),
 0
)</f>
        <v>0</v>
      </c>
      <c r="T289" s="35">
        <f>IFERROR(
 (1.907*EXP(1)^(-0.5*VALUE(tbl_CONTENT[[#This Row],[Layer]]))) *
 ((VALUE(tbl_CONTENT[[#This Row],[RelId]])-1)^(2.5)*4^(1-2.5)+1) +
 ((VALUE(tbl_CONTENT[[#This Row],[Comp]])-1)^(2.5)*4^(1-2.5)+1)*(0.5*((VALUE(tbl_CONTENT[[#This Row],[RelId]])-1)/4)^(2.5)+1),
 0
)</f>
        <v>0</v>
      </c>
      <c r="W289" s="22" t="str">
        <f>IFERROR(
  IF(_xlfn.XLOOKUP(tbl_CONTENT[[#This Row],[Topic]], tbl_TOPIC[Topic], tbl_TOPIC[ParentTopic])="", "",
       _xlfn.XLOOKUP(tbl_CONTENT[[#This Row],[Topic]], tbl_TOPIC[Topic], tbl_TOPIC[ParentTopic])),
  ""
)</f>
        <v>Differenzierbare Mannigfaltigkeiten</v>
      </c>
      <c r="X289" s="22" t="str">
        <f>IFERROR(
  IF(_xlfn.XLOOKUP(tbl_CONTENT[[#This Row],[Topic]], tbl_TOPIC[Topic], tbl_TOPIC[TopicPath])="", "",
       _xlfn.XLOOKUP(tbl_CONTENT[[#This Row],[Topic]], tbl_TOPIC[Topic], tbl_TOPIC[TopicPath])),
  ""
)</f>
        <v>Differenzierbare Mannigfaltigkeiten/Glatte Abbildungen und Vektorfelder</v>
      </c>
    </row>
    <row r="290" spans="3:24" ht="34" x14ac:dyDescent="0.2">
      <c r="C290" s="22" t="str">
        <f>_xlfn.XLOOKUP(tbl_CONTENT[[#This Row],[TopicID]], tbl_TOPIC[TopicID], tbl_TOPIC[Subject], "")</f>
        <v>RG</v>
      </c>
      <c r="D2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RG-T12-04-09</v>
      </c>
      <c r="E290" s="22">
        <f>ROW()</f>
        <v>290</v>
      </c>
      <c r="F290" s="22" t="s">
        <v>1051</v>
      </c>
      <c r="G290" s="22" t="str">
        <f>_xlfn.XLOOKUP(tbl_CONTENT[[#This Row],[Topic]], tbl_TOPIC[Topic], tbl_TOPIC[TopicID], "")</f>
        <v>RG-1-04</v>
      </c>
      <c r="H290" s="22" cm="1">
        <f t="array" ref="H290">SUM((tbl_CONTENT[[#This Row],[TopicID]]=INDEX(tbl_CONTENT[TopicID],1):tbl_CONTENT[[#This Row],[TopicID]])*1)</f>
        <v>9</v>
      </c>
      <c r="I290" s="22" t="str">
        <f>_xlfn.XLOOKUP(tbl_CONTENT[[#This Row],[Topic]], tbl_TOPIC[Topic], tbl_TOPIC[TopicIndex], "")</f>
        <v>04</v>
      </c>
      <c r="J290" s="22" t="s">
        <v>499</v>
      </c>
      <c r="K290" s="22" t="s">
        <v>535</v>
      </c>
      <c r="L290" s="22" t="s">
        <v>152</v>
      </c>
      <c r="S290" s="35">
        <f>IFERROR(
 (1.907*EXP(1)^(-0.5*tbl_CONTENT[[#This Row],[Layer]])) *
 ((tbl_CONTENT[[#This Row],[RelInt]]-1)^(2.5)*4^(1-2.5)+1) +
 ((tbl_CONTENT[[#This Row],[Comp]]-1)^(2.5)*4^(1-2.5)+1)*(0.5*((tbl_CONTENT[[#This Row],[RelInt]]-1)/4)^(2.5)+1),
 0
)</f>
        <v>0</v>
      </c>
      <c r="T290" s="35">
        <f>IFERROR(
 (1.907*EXP(1)^(-0.5*VALUE(tbl_CONTENT[[#This Row],[Layer]]))) *
 ((VALUE(tbl_CONTENT[[#This Row],[RelId]])-1)^(2.5)*4^(1-2.5)+1) +
 ((VALUE(tbl_CONTENT[[#This Row],[Comp]])-1)^(2.5)*4^(1-2.5)+1)*(0.5*((VALUE(tbl_CONTENT[[#This Row],[RelId]])-1)/4)^(2.5)+1),
 0
)</f>
        <v>0</v>
      </c>
      <c r="W290" s="22" t="str">
        <f>IFERROR(
  IF(_xlfn.XLOOKUP(tbl_CONTENT[[#This Row],[Topic]], tbl_TOPIC[Topic], tbl_TOPIC[ParentTopic])="", "",
       _xlfn.XLOOKUP(tbl_CONTENT[[#This Row],[Topic]], tbl_TOPIC[Topic], tbl_TOPIC[ParentTopic])),
  ""
)</f>
        <v>Differenzierbare Mannigfaltigkeiten</v>
      </c>
      <c r="X290" s="22" t="str">
        <f>IFERROR(
  IF(_xlfn.XLOOKUP(tbl_CONTENT[[#This Row],[Topic]], tbl_TOPIC[Topic], tbl_TOPIC[TopicPath])="", "",
       _xlfn.XLOOKUP(tbl_CONTENT[[#This Row],[Topic]], tbl_TOPIC[Topic], tbl_TOPIC[TopicPath])),
  ""
)</f>
        <v>Differenzierbare Mannigfaltigkeiten/Glatte Abbildungen und Vektorfelder</v>
      </c>
    </row>
    <row r="291" spans="3:24" ht="34" x14ac:dyDescent="0.2">
      <c r="C291" s="22" t="str">
        <f>_xlfn.XLOOKUP(tbl_CONTENT[[#This Row],[TopicID]], tbl_TOPIC[TopicID], tbl_TOPIC[Subject], "")</f>
        <v>RG</v>
      </c>
      <c r="D2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RG-T12-04-10</v>
      </c>
      <c r="E291" s="22">
        <f>ROW()</f>
        <v>291</v>
      </c>
      <c r="F291" s="22" t="s">
        <v>1051</v>
      </c>
      <c r="G291" s="22" t="str">
        <f>_xlfn.XLOOKUP(tbl_CONTENT[[#This Row],[Topic]], tbl_TOPIC[Topic], tbl_TOPIC[TopicID], "")</f>
        <v>RG-1-04</v>
      </c>
      <c r="H291" s="22" cm="1">
        <f t="array" ref="H291">SUM((tbl_CONTENT[[#This Row],[TopicID]]=INDEX(tbl_CONTENT[TopicID],1):tbl_CONTENT[[#This Row],[TopicID]])*1)</f>
        <v>10</v>
      </c>
      <c r="I291" s="22" t="str">
        <f>_xlfn.XLOOKUP(tbl_CONTENT[[#This Row],[Topic]], tbl_TOPIC[Topic], tbl_TOPIC[TopicIndex], "")</f>
        <v>04</v>
      </c>
      <c r="J291" s="22" t="s">
        <v>499</v>
      </c>
      <c r="K291" s="22" t="s">
        <v>536</v>
      </c>
      <c r="L291" s="22" t="s">
        <v>151</v>
      </c>
      <c r="S291" s="35">
        <f>IFERROR(
 (1.907*EXP(1)^(-0.5*tbl_CONTENT[[#This Row],[Layer]])) *
 ((tbl_CONTENT[[#This Row],[RelInt]]-1)^(2.5)*4^(1-2.5)+1) +
 ((tbl_CONTENT[[#This Row],[Comp]]-1)^(2.5)*4^(1-2.5)+1)*(0.5*((tbl_CONTENT[[#This Row],[RelInt]]-1)/4)^(2.5)+1),
 0
)</f>
        <v>0</v>
      </c>
      <c r="T291" s="35">
        <f>IFERROR(
 (1.907*EXP(1)^(-0.5*VALUE(tbl_CONTENT[[#This Row],[Layer]]))) *
 ((VALUE(tbl_CONTENT[[#This Row],[RelId]])-1)^(2.5)*4^(1-2.5)+1) +
 ((VALUE(tbl_CONTENT[[#This Row],[Comp]])-1)^(2.5)*4^(1-2.5)+1)*(0.5*((VALUE(tbl_CONTENT[[#This Row],[RelId]])-1)/4)^(2.5)+1),
 0
)</f>
        <v>0</v>
      </c>
      <c r="W291" s="22" t="str">
        <f>IFERROR(
  IF(_xlfn.XLOOKUP(tbl_CONTENT[[#This Row],[Topic]], tbl_TOPIC[Topic], tbl_TOPIC[ParentTopic])="", "",
       _xlfn.XLOOKUP(tbl_CONTENT[[#This Row],[Topic]], tbl_TOPIC[Topic], tbl_TOPIC[ParentTopic])),
  ""
)</f>
        <v>Differenzierbare Mannigfaltigkeiten</v>
      </c>
      <c r="X291" s="22" t="str">
        <f>IFERROR(
  IF(_xlfn.XLOOKUP(tbl_CONTENT[[#This Row],[Topic]], tbl_TOPIC[Topic], tbl_TOPIC[TopicPath])="", "",
       _xlfn.XLOOKUP(tbl_CONTENT[[#This Row],[Topic]], tbl_TOPIC[Topic], tbl_TOPIC[TopicPath])),
  ""
)</f>
        <v>Differenzierbare Mannigfaltigkeiten/Glatte Abbildungen und Vektorfelder</v>
      </c>
    </row>
    <row r="292" spans="3:24" ht="34" x14ac:dyDescent="0.2">
      <c r="C292" s="22" t="str">
        <f>_xlfn.XLOOKUP(tbl_CONTENT[[#This Row],[TopicID]], tbl_TOPIC[TopicID], tbl_TOPIC[Subject], "")</f>
        <v>RG</v>
      </c>
      <c r="D2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RG-T12-04-11</v>
      </c>
      <c r="E292" s="22">
        <f>ROW()</f>
        <v>292</v>
      </c>
      <c r="F292" s="22" t="s">
        <v>1051</v>
      </c>
      <c r="G292" s="22" t="str">
        <f>_xlfn.XLOOKUP(tbl_CONTENT[[#This Row],[Topic]], tbl_TOPIC[Topic], tbl_TOPIC[TopicID], "")</f>
        <v>RG-1-04</v>
      </c>
      <c r="H292" s="22" cm="1">
        <f t="array" ref="H292">SUM((tbl_CONTENT[[#This Row],[TopicID]]=INDEX(tbl_CONTENT[TopicID],1):tbl_CONTENT[[#This Row],[TopicID]])*1)</f>
        <v>11</v>
      </c>
      <c r="I292" s="22" t="str">
        <f>_xlfn.XLOOKUP(tbl_CONTENT[[#This Row],[Topic]], tbl_TOPIC[Topic], tbl_TOPIC[TopicIndex], "")</f>
        <v>04</v>
      </c>
      <c r="J292" s="22" t="s">
        <v>499</v>
      </c>
      <c r="K292" s="22" t="s">
        <v>537</v>
      </c>
      <c r="L292" s="22" t="s">
        <v>152</v>
      </c>
      <c r="S292" s="35">
        <f>IFERROR(
 (1.907*EXP(1)^(-0.5*tbl_CONTENT[[#This Row],[Layer]])) *
 ((tbl_CONTENT[[#This Row],[RelInt]]-1)^(2.5)*4^(1-2.5)+1) +
 ((tbl_CONTENT[[#This Row],[Comp]]-1)^(2.5)*4^(1-2.5)+1)*(0.5*((tbl_CONTENT[[#This Row],[RelInt]]-1)/4)^(2.5)+1),
 0
)</f>
        <v>0</v>
      </c>
      <c r="T292" s="35">
        <f>IFERROR(
 (1.907*EXP(1)^(-0.5*VALUE(tbl_CONTENT[[#This Row],[Layer]]))) *
 ((VALUE(tbl_CONTENT[[#This Row],[RelId]])-1)^(2.5)*4^(1-2.5)+1) +
 ((VALUE(tbl_CONTENT[[#This Row],[Comp]])-1)^(2.5)*4^(1-2.5)+1)*(0.5*((VALUE(tbl_CONTENT[[#This Row],[RelId]])-1)/4)^(2.5)+1),
 0
)</f>
        <v>0</v>
      </c>
      <c r="W292" s="22" t="str">
        <f>IFERROR(
  IF(_xlfn.XLOOKUP(tbl_CONTENT[[#This Row],[Topic]], tbl_TOPIC[Topic], tbl_TOPIC[ParentTopic])="", "",
       _xlfn.XLOOKUP(tbl_CONTENT[[#This Row],[Topic]], tbl_TOPIC[Topic], tbl_TOPIC[ParentTopic])),
  ""
)</f>
        <v>Differenzierbare Mannigfaltigkeiten</v>
      </c>
      <c r="X292" s="22" t="str">
        <f>IFERROR(
  IF(_xlfn.XLOOKUP(tbl_CONTENT[[#This Row],[Topic]], tbl_TOPIC[Topic], tbl_TOPIC[TopicPath])="", "",
       _xlfn.XLOOKUP(tbl_CONTENT[[#This Row],[Topic]], tbl_TOPIC[Topic], tbl_TOPIC[TopicPath])),
  ""
)</f>
        <v>Differenzierbare Mannigfaltigkeiten/Glatte Abbildungen und Vektorfelder</v>
      </c>
    </row>
    <row r="293" spans="3:24" ht="51" x14ac:dyDescent="0.2">
      <c r="C293" s="22" t="str">
        <f>_xlfn.XLOOKUP(tbl_CONTENT[[#This Row],[TopicID]], tbl_TOPIC[TopicID], tbl_TOPIC[Subject], "")</f>
        <v>RG</v>
      </c>
      <c r="D2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RG-T12-04-12</v>
      </c>
      <c r="E293" s="22">
        <f>ROW()</f>
        <v>293</v>
      </c>
      <c r="F293" s="22" t="s">
        <v>1051</v>
      </c>
      <c r="G293" s="22" t="str">
        <f>_xlfn.XLOOKUP(tbl_CONTENT[[#This Row],[Topic]], tbl_TOPIC[Topic], tbl_TOPIC[TopicID], "")</f>
        <v>RG-1-04</v>
      </c>
      <c r="H293" s="22" cm="1">
        <f t="array" ref="H293">SUM((tbl_CONTENT[[#This Row],[TopicID]]=INDEX(tbl_CONTENT[TopicID],1):tbl_CONTENT[[#This Row],[TopicID]])*1)</f>
        <v>12</v>
      </c>
      <c r="I293" s="22" t="str">
        <f>_xlfn.XLOOKUP(tbl_CONTENT[[#This Row],[Topic]], tbl_TOPIC[Topic], tbl_TOPIC[TopicIndex], "")</f>
        <v>04</v>
      </c>
      <c r="J293" s="22" t="s">
        <v>499</v>
      </c>
      <c r="K293" s="22" t="s">
        <v>538</v>
      </c>
      <c r="L293" s="22" t="s">
        <v>147</v>
      </c>
      <c r="S293" s="35">
        <f>IFERROR(
 (1.907*EXP(1)^(-0.5*tbl_CONTENT[[#This Row],[Layer]])) *
 ((tbl_CONTENT[[#This Row],[RelInt]]-1)^(2.5)*4^(1-2.5)+1) +
 ((tbl_CONTENT[[#This Row],[Comp]]-1)^(2.5)*4^(1-2.5)+1)*(0.5*((tbl_CONTENT[[#This Row],[RelInt]]-1)/4)^(2.5)+1),
 0
)</f>
        <v>0</v>
      </c>
      <c r="T293" s="35">
        <f>IFERROR(
 (1.907*EXP(1)^(-0.5*VALUE(tbl_CONTENT[[#This Row],[Layer]]))) *
 ((VALUE(tbl_CONTENT[[#This Row],[RelId]])-1)^(2.5)*4^(1-2.5)+1) +
 ((VALUE(tbl_CONTENT[[#This Row],[Comp]])-1)^(2.5)*4^(1-2.5)+1)*(0.5*((VALUE(tbl_CONTENT[[#This Row],[RelId]])-1)/4)^(2.5)+1),
 0
)</f>
        <v>0</v>
      </c>
      <c r="W293" s="22" t="str">
        <f>IFERROR(
  IF(_xlfn.XLOOKUP(tbl_CONTENT[[#This Row],[Topic]], tbl_TOPIC[Topic], tbl_TOPIC[ParentTopic])="", "",
       _xlfn.XLOOKUP(tbl_CONTENT[[#This Row],[Topic]], tbl_TOPIC[Topic], tbl_TOPIC[ParentTopic])),
  ""
)</f>
        <v>Differenzierbare Mannigfaltigkeiten</v>
      </c>
      <c r="X293" s="22" t="str">
        <f>IFERROR(
  IF(_xlfn.XLOOKUP(tbl_CONTENT[[#This Row],[Topic]], tbl_TOPIC[Topic], tbl_TOPIC[TopicPath])="", "",
       _xlfn.XLOOKUP(tbl_CONTENT[[#This Row],[Topic]], tbl_TOPIC[Topic], tbl_TOPIC[TopicPath])),
  ""
)</f>
        <v>Differenzierbare Mannigfaltigkeiten/Glatte Abbildungen und Vektorfelder</v>
      </c>
    </row>
    <row r="294" spans="3:24" ht="34" x14ac:dyDescent="0.2">
      <c r="C294" s="22" t="str">
        <f>_xlfn.XLOOKUP(tbl_CONTENT[[#This Row],[TopicID]], tbl_TOPIC[TopicID], tbl_TOPIC[Subject], "")</f>
        <v>RG</v>
      </c>
      <c r="D2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RG-T12-04-13</v>
      </c>
      <c r="E294" s="22">
        <f>ROW()</f>
        <v>294</v>
      </c>
      <c r="F294" s="22" t="s">
        <v>1051</v>
      </c>
      <c r="G294" s="22" t="str">
        <f>_xlfn.XLOOKUP(tbl_CONTENT[[#This Row],[Topic]], tbl_TOPIC[Topic], tbl_TOPIC[TopicID], "")</f>
        <v>RG-1-04</v>
      </c>
      <c r="H294" s="22" cm="1">
        <f t="array" ref="H294">SUM((tbl_CONTENT[[#This Row],[TopicID]]=INDEX(tbl_CONTENT[TopicID],1):tbl_CONTENT[[#This Row],[TopicID]])*1)</f>
        <v>13</v>
      </c>
      <c r="I294" s="22" t="str">
        <f>_xlfn.XLOOKUP(tbl_CONTENT[[#This Row],[Topic]], tbl_TOPIC[Topic], tbl_TOPIC[TopicIndex], "")</f>
        <v>04</v>
      </c>
      <c r="J294" s="22" t="s">
        <v>499</v>
      </c>
      <c r="K294" s="22" t="s">
        <v>539</v>
      </c>
      <c r="L294" s="22" t="s">
        <v>152</v>
      </c>
      <c r="S294" s="35">
        <f>IFERROR(
 (1.907*EXP(1)^(-0.5*tbl_CONTENT[[#This Row],[Layer]])) *
 ((tbl_CONTENT[[#This Row],[RelInt]]-1)^(2.5)*4^(1-2.5)+1) +
 ((tbl_CONTENT[[#This Row],[Comp]]-1)^(2.5)*4^(1-2.5)+1)*(0.5*((tbl_CONTENT[[#This Row],[RelInt]]-1)/4)^(2.5)+1),
 0
)</f>
        <v>0</v>
      </c>
      <c r="T294" s="35">
        <f>IFERROR(
 (1.907*EXP(1)^(-0.5*VALUE(tbl_CONTENT[[#This Row],[Layer]]))) *
 ((VALUE(tbl_CONTENT[[#This Row],[RelId]])-1)^(2.5)*4^(1-2.5)+1) +
 ((VALUE(tbl_CONTENT[[#This Row],[Comp]])-1)^(2.5)*4^(1-2.5)+1)*(0.5*((VALUE(tbl_CONTENT[[#This Row],[RelId]])-1)/4)^(2.5)+1),
 0
)</f>
        <v>0</v>
      </c>
      <c r="V294" s="22" t="s">
        <v>540</v>
      </c>
      <c r="W294" s="22" t="str">
        <f>IFERROR(
  IF(_xlfn.XLOOKUP(tbl_CONTENT[[#This Row],[Topic]], tbl_TOPIC[Topic], tbl_TOPIC[ParentTopic])="", "",
       _xlfn.XLOOKUP(tbl_CONTENT[[#This Row],[Topic]], tbl_TOPIC[Topic], tbl_TOPIC[ParentTopic])),
  ""
)</f>
        <v>Differenzierbare Mannigfaltigkeiten</v>
      </c>
      <c r="X294" s="22" t="str">
        <f>IFERROR(
  IF(_xlfn.XLOOKUP(tbl_CONTENT[[#This Row],[Topic]], tbl_TOPIC[Topic], tbl_TOPIC[TopicPath])="", "",
       _xlfn.XLOOKUP(tbl_CONTENT[[#This Row],[Topic]], tbl_TOPIC[Topic], tbl_TOPIC[TopicPath])),
  ""
)</f>
        <v>Differenzierbare Mannigfaltigkeiten/Glatte Abbildungen und Vektorfelder</v>
      </c>
    </row>
    <row r="295" spans="3:24" ht="34" x14ac:dyDescent="0.2">
      <c r="C295" s="22" t="str">
        <f>_xlfn.XLOOKUP(tbl_CONTENT[[#This Row],[TopicID]], tbl_TOPIC[TopicID], tbl_TOPIC[Subject], "")</f>
        <v>RG</v>
      </c>
      <c r="D2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RG-T12-04-14</v>
      </c>
      <c r="E295" s="22">
        <f>ROW()</f>
        <v>295</v>
      </c>
      <c r="F295" s="22" t="s">
        <v>1051</v>
      </c>
      <c r="G295" s="22" t="str">
        <f>_xlfn.XLOOKUP(tbl_CONTENT[[#This Row],[Topic]], tbl_TOPIC[Topic], tbl_TOPIC[TopicID], "")</f>
        <v>RG-1-04</v>
      </c>
      <c r="H295" s="22" cm="1">
        <f t="array" ref="H295">SUM((tbl_CONTENT[[#This Row],[TopicID]]=INDEX(tbl_CONTENT[TopicID],1):tbl_CONTENT[[#This Row],[TopicID]])*1)</f>
        <v>14</v>
      </c>
      <c r="I295" s="22" t="str">
        <f>_xlfn.XLOOKUP(tbl_CONTENT[[#This Row],[Topic]], tbl_TOPIC[Topic], tbl_TOPIC[TopicIndex], "")</f>
        <v>04</v>
      </c>
      <c r="J295" s="22" t="s">
        <v>499</v>
      </c>
      <c r="K295" s="22" t="s">
        <v>542</v>
      </c>
      <c r="L295" s="22" t="s">
        <v>152</v>
      </c>
      <c r="S295" s="35">
        <f>IFERROR(
 (1.907*EXP(1)^(-0.5*tbl_CONTENT[[#This Row],[Layer]])) *
 ((tbl_CONTENT[[#This Row],[RelInt]]-1)^(2.5)*4^(1-2.5)+1) +
 ((tbl_CONTENT[[#This Row],[Comp]]-1)^(2.5)*4^(1-2.5)+1)*(0.5*((tbl_CONTENT[[#This Row],[RelInt]]-1)/4)^(2.5)+1),
 0
)</f>
        <v>0</v>
      </c>
      <c r="T295" s="35">
        <f>IFERROR(
 (1.907*EXP(1)^(-0.5*VALUE(tbl_CONTENT[[#This Row],[Layer]]))) *
 ((VALUE(tbl_CONTENT[[#This Row],[RelId]])-1)^(2.5)*4^(1-2.5)+1) +
 ((VALUE(tbl_CONTENT[[#This Row],[Comp]])-1)^(2.5)*4^(1-2.5)+1)*(0.5*((VALUE(tbl_CONTENT[[#This Row],[RelId]])-1)/4)^(2.5)+1),
 0
)</f>
        <v>0</v>
      </c>
      <c r="W295" s="22" t="str">
        <f>IFERROR(
  IF(_xlfn.XLOOKUP(tbl_CONTENT[[#This Row],[Topic]], tbl_TOPIC[Topic], tbl_TOPIC[ParentTopic])="", "",
       _xlfn.XLOOKUP(tbl_CONTENT[[#This Row],[Topic]], tbl_TOPIC[Topic], tbl_TOPIC[ParentTopic])),
  ""
)</f>
        <v>Differenzierbare Mannigfaltigkeiten</v>
      </c>
      <c r="X295" s="22" t="str">
        <f>IFERROR(
  IF(_xlfn.XLOOKUP(tbl_CONTENT[[#This Row],[Topic]], tbl_TOPIC[Topic], tbl_TOPIC[TopicPath])="", "",
       _xlfn.XLOOKUP(tbl_CONTENT[[#This Row],[Topic]], tbl_TOPIC[Topic], tbl_TOPIC[TopicPath])),
  ""
)</f>
        <v>Differenzierbare Mannigfaltigkeiten/Glatte Abbildungen und Vektorfelder</v>
      </c>
    </row>
    <row r="296" spans="3:24" ht="68" x14ac:dyDescent="0.2">
      <c r="C296" s="22" t="str">
        <f>_xlfn.XLOOKUP(tbl_CONTENT[[#This Row],[TopicID]], tbl_TOPIC[TopicID], tbl_TOPIC[Subject], "")</f>
        <v>RG</v>
      </c>
      <c r="D2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RG-T12-04-15</v>
      </c>
      <c r="E296" s="22">
        <f>ROW()</f>
        <v>296</v>
      </c>
      <c r="F296" s="22" t="s">
        <v>1051</v>
      </c>
      <c r="G296" s="22" t="str">
        <f>_xlfn.XLOOKUP(tbl_CONTENT[[#This Row],[Topic]], tbl_TOPIC[Topic], tbl_TOPIC[TopicID], "")</f>
        <v>RG-1-04</v>
      </c>
      <c r="H296" s="22" cm="1">
        <f t="array" ref="H296">SUM((tbl_CONTENT[[#This Row],[TopicID]]=INDEX(tbl_CONTENT[TopicID],1):tbl_CONTENT[[#This Row],[TopicID]])*1)</f>
        <v>15</v>
      </c>
      <c r="I296" s="22" t="str">
        <f>_xlfn.XLOOKUP(tbl_CONTENT[[#This Row],[Topic]], tbl_TOPIC[Topic], tbl_TOPIC[TopicIndex], "")</f>
        <v>04</v>
      </c>
      <c r="J296" s="22" t="s">
        <v>499</v>
      </c>
      <c r="K296" s="22" t="s">
        <v>541</v>
      </c>
      <c r="L296" s="22" t="s">
        <v>147</v>
      </c>
      <c r="S296" s="35">
        <f>IFERROR(
 (1.907*EXP(1)^(-0.5*tbl_CONTENT[[#This Row],[Layer]])) *
 ((tbl_CONTENT[[#This Row],[RelInt]]-1)^(2.5)*4^(1-2.5)+1) +
 ((tbl_CONTENT[[#This Row],[Comp]]-1)^(2.5)*4^(1-2.5)+1)*(0.5*((tbl_CONTENT[[#This Row],[RelInt]]-1)/4)^(2.5)+1),
 0
)</f>
        <v>0</v>
      </c>
      <c r="T296" s="35">
        <f>IFERROR(
 (1.907*EXP(1)^(-0.5*VALUE(tbl_CONTENT[[#This Row],[Layer]]))) *
 ((VALUE(tbl_CONTENT[[#This Row],[RelId]])-1)^(2.5)*4^(1-2.5)+1) +
 ((VALUE(tbl_CONTENT[[#This Row],[Comp]])-1)^(2.5)*4^(1-2.5)+1)*(0.5*((VALUE(tbl_CONTENT[[#This Row],[RelId]])-1)/4)^(2.5)+1),
 0
)</f>
        <v>0</v>
      </c>
      <c r="W296" s="22" t="str">
        <f>IFERROR(
  IF(_xlfn.XLOOKUP(tbl_CONTENT[[#This Row],[Topic]], tbl_TOPIC[Topic], tbl_TOPIC[ParentTopic])="", "",
       _xlfn.XLOOKUP(tbl_CONTENT[[#This Row],[Topic]], tbl_TOPIC[Topic], tbl_TOPIC[ParentTopic])),
  ""
)</f>
        <v>Differenzierbare Mannigfaltigkeiten</v>
      </c>
      <c r="X296" s="22" t="str">
        <f>IFERROR(
  IF(_xlfn.XLOOKUP(tbl_CONTENT[[#This Row],[Topic]], tbl_TOPIC[Topic], tbl_TOPIC[TopicPath])="", "",
       _xlfn.XLOOKUP(tbl_CONTENT[[#This Row],[Topic]], tbl_TOPIC[Topic], tbl_TOPIC[TopicPath])),
  ""
)</f>
        <v>Differenzierbare Mannigfaltigkeiten/Glatte Abbildungen und Vektorfelder</v>
      </c>
    </row>
    <row r="297" spans="3:24" ht="34" x14ac:dyDescent="0.2">
      <c r="C297" s="22" t="str">
        <f>_xlfn.XLOOKUP(tbl_CONTENT[[#This Row],[TopicID]], tbl_TOPIC[TopicID], tbl_TOPIC[Subject], "")</f>
        <v>RG</v>
      </c>
      <c r="D2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RG-T12-04-16</v>
      </c>
      <c r="E297" s="22">
        <f>ROW()</f>
        <v>297</v>
      </c>
      <c r="F297" s="22" t="s">
        <v>1051</v>
      </c>
      <c r="G297" s="22" t="str">
        <f>_xlfn.XLOOKUP(tbl_CONTENT[[#This Row],[Topic]], tbl_TOPIC[Topic], tbl_TOPIC[TopicID], "")</f>
        <v>RG-1-04</v>
      </c>
      <c r="H297" s="22" cm="1">
        <f t="array" ref="H297">SUM((tbl_CONTENT[[#This Row],[TopicID]]=INDEX(tbl_CONTENT[TopicID],1):tbl_CONTENT[[#This Row],[TopicID]])*1)</f>
        <v>16</v>
      </c>
      <c r="I297" s="22" t="str">
        <f>_xlfn.XLOOKUP(tbl_CONTENT[[#This Row],[Topic]], tbl_TOPIC[Topic], tbl_TOPIC[TopicIndex], "")</f>
        <v>04</v>
      </c>
      <c r="J297" s="22" t="s">
        <v>499</v>
      </c>
      <c r="K297" s="22" t="s">
        <v>543</v>
      </c>
      <c r="L297" s="22" t="s">
        <v>152</v>
      </c>
      <c r="S297" s="35">
        <f>IFERROR(
 (1.907*EXP(1)^(-0.5*tbl_CONTENT[[#This Row],[Layer]])) *
 ((tbl_CONTENT[[#This Row],[RelInt]]-1)^(2.5)*4^(1-2.5)+1) +
 ((tbl_CONTENT[[#This Row],[Comp]]-1)^(2.5)*4^(1-2.5)+1)*(0.5*((tbl_CONTENT[[#This Row],[RelInt]]-1)/4)^(2.5)+1),
 0
)</f>
        <v>0</v>
      </c>
      <c r="T297" s="35">
        <f>IFERROR(
 (1.907*EXP(1)^(-0.5*VALUE(tbl_CONTENT[[#This Row],[Layer]]))) *
 ((VALUE(tbl_CONTENT[[#This Row],[RelId]])-1)^(2.5)*4^(1-2.5)+1) +
 ((VALUE(tbl_CONTENT[[#This Row],[Comp]])-1)^(2.5)*4^(1-2.5)+1)*(0.5*((VALUE(tbl_CONTENT[[#This Row],[RelId]])-1)/4)^(2.5)+1),
 0
)</f>
        <v>0</v>
      </c>
      <c r="W297" s="22" t="str">
        <f>IFERROR(
  IF(_xlfn.XLOOKUP(tbl_CONTENT[[#This Row],[Topic]], tbl_TOPIC[Topic], tbl_TOPIC[ParentTopic])="", "",
       _xlfn.XLOOKUP(tbl_CONTENT[[#This Row],[Topic]], tbl_TOPIC[Topic], tbl_TOPIC[ParentTopic])),
  ""
)</f>
        <v>Differenzierbare Mannigfaltigkeiten</v>
      </c>
      <c r="X297" s="22" t="str">
        <f>IFERROR(
  IF(_xlfn.XLOOKUP(tbl_CONTENT[[#This Row],[Topic]], tbl_TOPIC[Topic], tbl_TOPIC[TopicPath])="", "",
       _xlfn.XLOOKUP(tbl_CONTENT[[#This Row],[Topic]], tbl_TOPIC[Topic], tbl_TOPIC[TopicPath])),
  ""
)</f>
        <v>Differenzierbare Mannigfaltigkeiten/Glatte Abbildungen und Vektorfelder</v>
      </c>
    </row>
    <row r="298" spans="3:24" ht="17" x14ac:dyDescent="0.2">
      <c r="C298" s="22" t="str">
        <f>_xlfn.XLOOKUP(tbl_CONTENT[[#This Row],[TopicID]], tbl_TOPIC[TopicID], tbl_TOPIC[Subject], "")</f>
        <v>RG</v>
      </c>
      <c r="D2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RG-T12-05-01</v>
      </c>
      <c r="E298" s="22">
        <f>ROW()</f>
        <v>298</v>
      </c>
      <c r="F298" s="22" t="s">
        <v>1051</v>
      </c>
      <c r="G298" s="22" t="str">
        <f>_xlfn.XLOOKUP(tbl_CONTENT[[#This Row],[Topic]], tbl_TOPIC[Topic], tbl_TOPIC[TopicID], "")</f>
        <v>RG-1-05</v>
      </c>
      <c r="H298" s="22" cm="1">
        <f t="array" ref="H298">SUM((tbl_CONTENT[[#This Row],[TopicID]]=INDEX(tbl_CONTENT[TopicID],1):tbl_CONTENT[[#This Row],[TopicID]])*1)</f>
        <v>1</v>
      </c>
      <c r="I298" s="22" t="str">
        <f>_xlfn.XLOOKUP(tbl_CONTENT[[#This Row],[Topic]], tbl_TOPIC[Topic], tbl_TOPIC[TopicIndex], "")</f>
        <v>05</v>
      </c>
      <c r="J298" s="22" t="s">
        <v>500</v>
      </c>
      <c r="K298" s="22" t="s">
        <v>544</v>
      </c>
      <c r="L298" s="22" t="s">
        <v>152</v>
      </c>
      <c r="S298" s="35">
        <f>IFERROR(
 (1.907*EXP(1)^(-0.5*tbl_CONTENT[[#This Row],[Layer]])) *
 ((tbl_CONTENT[[#This Row],[RelInt]]-1)^(2.5)*4^(1-2.5)+1) +
 ((tbl_CONTENT[[#This Row],[Comp]]-1)^(2.5)*4^(1-2.5)+1)*(0.5*((tbl_CONTENT[[#This Row],[RelInt]]-1)/4)^(2.5)+1),
 0
)</f>
        <v>0</v>
      </c>
      <c r="T298" s="35">
        <f>IFERROR(
 (1.907*EXP(1)^(-0.5*VALUE(tbl_CONTENT[[#This Row],[Layer]]))) *
 ((VALUE(tbl_CONTENT[[#This Row],[RelId]])-1)^(2.5)*4^(1-2.5)+1) +
 ((VALUE(tbl_CONTENT[[#This Row],[Comp]])-1)^(2.5)*4^(1-2.5)+1)*(0.5*((VALUE(tbl_CONTENT[[#This Row],[RelId]])-1)/4)^(2.5)+1),
 0
)</f>
        <v>0</v>
      </c>
      <c r="W298" s="22" t="str">
        <f>IFERROR(
  IF(_xlfn.XLOOKUP(tbl_CONTENT[[#This Row],[Topic]], tbl_TOPIC[Topic], tbl_TOPIC[ParentTopic])="", "",
       _xlfn.XLOOKUP(tbl_CONTENT[[#This Row],[Topic]], tbl_TOPIC[Topic], tbl_TOPIC[ParentTopic])),
  ""
)</f>
        <v/>
      </c>
      <c r="X298" s="22" t="str">
        <f>IFERROR(
  IF(_xlfn.XLOOKUP(tbl_CONTENT[[#This Row],[Topic]], tbl_TOPIC[Topic], tbl_TOPIC[TopicPath])="", "",
       _xlfn.XLOOKUP(tbl_CONTENT[[#This Row],[Topic]], tbl_TOPIC[Topic], tbl_TOPIC[TopicPath])),
  ""
)</f>
        <v>Riemannische Mannigfaltigkeiten</v>
      </c>
    </row>
    <row r="299" spans="3:24" ht="17" x14ac:dyDescent="0.2">
      <c r="C299" s="22" t="str">
        <f>_xlfn.XLOOKUP(tbl_CONTENT[[#This Row],[TopicID]], tbl_TOPIC[TopicID], tbl_TOPIC[Subject], "")</f>
        <v>RG</v>
      </c>
      <c r="D2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RG-T12-05-02</v>
      </c>
      <c r="E299" s="22">
        <f>ROW()</f>
        <v>299</v>
      </c>
      <c r="F299" s="22" t="s">
        <v>1051</v>
      </c>
      <c r="G299" s="22" t="str">
        <f>_xlfn.XLOOKUP(tbl_CONTENT[[#This Row],[Topic]], tbl_TOPIC[Topic], tbl_TOPIC[TopicID], "")</f>
        <v>RG-1-05</v>
      </c>
      <c r="H299" s="22" cm="1">
        <f t="array" ref="H299">SUM((tbl_CONTENT[[#This Row],[TopicID]]=INDEX(tbl_CONTENT[TopicID],1):tbl_CONTENT[[#This Row],[TopicID]])*1)</f>
        <v>2</v>
      </c>
      <c r="I299" s="22" t="str">
        <f>_xlfn.XLOOKUP(tbl_CONTENT[[#This Row],[Topic]], tbl_TOPIC[Topic], tbl_TOPIC[TopicIndex], "")</f>
        <v>05</v>
      </c>
      <c r="J299" s="22" t="s">
        <v>500</v>
      </c>
      <c r="K299" s="22" t="s">
        <v>545</v>
      </c>
      <c r="L299" s="22" t="s">
        <v>152</v>
      </c>
      <c r="S299" s="35">
        <f>IFERROR(
 (1.907*EXP(1)^(-0.5*tbl_CONTENT[[#This Row],[Layer]])) *
 ((tbl_CONTENT[[#This Row],[RelInt]]-1)^(2.5)*4^(1-2.5)+1) +
 ((tbl_CONTENT[[#This Row],[Comp]]-1)^(2.5)*4^(1-2.5)+1)*(0.5*((tbl_CONTENT[[#This Row],[RelInt]]-1)/4)^(2.5)+1),
 0
)</f>
        <v>0</v>
      </c>
      <c r="T299" s="35">
        <f>IFERROR(
 (1.907*EXP(1)^(-0.5*VALUE(tbl_CONTENT[[#This Row],[Layer]]))) *
 ((VALUE(tbl_CONTENT[[#This Row],[RelId]])-1)^(2.5)*4^(1-2.5)+1) +
 ((VALUE(tbl_CONTENT[[#This Row],[Comp]])-1)^(2.5)*4^(1-2.5)+1)*(0.5*((VALUE(tbl_CONTENT[[#This Row],[RelId]])-1)/4)^(2.5)+1),
 0
)</f>
        <v>0</v>
      </c>
      <c r="W299" s="22" t="str">
        <f>IFERROR(
  IF(_xlfn.XLOOKUP(tbl_CONTENT[[#This Row],[Topic]], tbl_TOPIC[Topic], tbl_TOPIC[ParentTopic])="", "",
       _xlfn.XLOOKUP(tbl_CONTENT[[#This Row],[Topic]], tbl_TOPIC[Topic], tbl_TOPIC[ParentTopic])),
  ""
)</f>
        <v/>
      </c>
      <c r="X299" s="22" t="str">
        <f>IFERROR(
  IF(_xlfn.XLOOKUP(tbl_CONTENT[[#This Row],[Topic]], tbl_TOPIC[Topic], tbl_TOPIC[TopicPath])="", "",
       _xlfn.XLOOKUP(tbl_CONTENT[[#This Row],[Topic]], tbl_TOPIC[Topic], tbl_TOPIC[TopicPath])),
  ""
)</f>
        <v>Riemannische Mannigfaltigkeiten</v>
      </c>
    </row>
    <row r="300" spans="3:24" ht="17" x14ac:dyDescent="0.2">
      <c r="C300" s="22" t="str">
        <f>_xlfn.XLOOKUP(tbl_CONTENT[[#This Row],[TopicID]], tbl_TOPIC[TopicID], tbl_TOPIC[Subject], "")</f>
        <v>RG</v>
      </c>
      <c r="D3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RG-T12-05-03</v>
      </c>
      <c r="E300" s="22">
        <f>ROW()</f>
        <v>300</v>
      </c>
      <c r="F300" s="22" t="s">
        <v>1051</v>
      </c>
      <c r="G300" s="22" t="str">
        <f>_xlfn.XLOOKUP(tbl_CONTENT[[#This Row],[Topic]], tbl_TOPIC[Topic], tbl_TOPIC[TopicID], "")</f>
        <v>RG-1-05</v>
      </c>
      <c r="H300" s="22" cm="1">
        <f t="array" ref="H300">SUM((tbl_CONTENT[[#This Row],[TopicID]]=INDEX(tbl_CONTENT[TopicID],1):tbl_CONTENT[[#This Row],[TopicID]])*1)</f>
        <v>3</v>
      </c>
      <c r="I300" s="22" t="str">
        <f>_xlfn.XLOOKUP(tbl_CONTENT[[#This Row],[Topic]], tbl_TOPIC[Topic], tbl_TOPIC[TopicIndex], "")</f>
        <v>05</v>
      </c>
      <c r="J300" s="22" t="s">
        <v>500</v>
      </c>
      <c r="K300" s="22" t="s">
        <v>546</v>
      </c>
      <c r="L300" s="22" t="s">
        <v>152</v>
      </c>
      <c r="S300" s="35">
        <f>IFERROR(
 (1.907*EXP(1)^(-0.5*tbl_CONTENT[[#This Row],[Layer]])) *
 ((tbl_CONTENT[[#This Row],[RelInt]]-1)^(2.5)*4^(1-2.5)+1) +
 ((tbl_CONTENT[[#This Row],[Comp]]-1)^(2.5)*4^(1-2.5)+1)*(0.5*((tbl_CONTENT[[#This Row],[RelInt]]-1)/4)^(2.5)+1),
 0
)</f>
        <v>0</v>
      </c>
      <c r="T300" s="35">
        <f>IFERROR(
 (1.907*EXP(1)^(-0.5*VALUE(tbl_CONTENT[[#This Row],[Layer]]))) *
 ((VALUE(tbl_CONTENT[[#This Row],[RelId]])-1)^(2.5)*4^(1-2.5)+1) +
 ((VALUE(tbl_CONTENT[[#This Row],[Comp]])-1)^(2.5)*4^(1-2.5)+1)*(0.5*((VALUE(tbl_CONTENT[[#This Row],[RelId]])-1)/4)^(2.5)+1),
 0
)</f>
        <v>0</v>
      </c>
      <c r="W300" s="22" t="str">
        <f>IFERROR(
  IF(_xlfn.XLOOKUP(tbl_CONTENT[[#This Row],[Topic]], tbl_TOPIC[Topic], tbl_TOPIC[ParentTopic])="", "",
       _xlfn.XLOOKUP(tbl_CONTENT[[#This Row],[Topic]], tbl_TOPIC[Topic], tbl_TOPIC[ParentTopic])),
  ""
)</f>
        <v/>
      </c>
      <c r="X300" s="22" t="str">
        <f>IFERROR(
  IF(_xlfn.XLOOKUP(tbl_CONTENT[[#This Row],[Topic]], tbl_TOPIC[Topic], tbl_TOPIC[TopicPath])="", "",
       _xlfn.XLOOKUP(tbl_CONTENT[[#This Row],[Topic]], tbl_TOPIC[Topic], tbl_TOPIC[TopicPath])),
  ""
)</f>
        <v>Riemannische Mannigfaltigkeiten</v>
      </c>
    </row>
    <row r="301" spans="3:24" ht="17" x14ac:dyDescent="0.2">
      <c r="C301" s="22" t="str">
        <f>_xlfn.XLOOKUP(tbl_CONTENT[[#This Row],[TopicID]], tbl_TOPIC[TopicID], tbl_TOPIC[Subject], "")</f>
        <v>RG</v>
      </c>
      <c r="D3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RG-T12-05-04</v>
      </c>
      <c r="E301" s="22">
        <f>ROW()</f>
        <v>301</v>
      </c>
      <c r="F301" s="22" t="s">
        <v>1051</v>
      </c>
      <c r="G301" s="22" t="str">
        <f>_xlfn.XLOOKUP(tbl_CONTENT[[#This Row],[Topic]], tbl_TOPIC[Topic], tbl_TOPIC[TopicID], "")</f>
        <v>RG-1-05</v>
      </c>
      <c r="H301" s="22" cm="1">
        <f t="array" ref="H301">SUM((tbl_CONTENT[[#This Row],[TopicID]]=INDEX(tbl_CONTENT[TopicID],1):tbl_CONTENT[[#This Row],[TopicID]])*1)</f>
        <v>4</v>
      </c>
      <c r="I301" s="22" t="str">
        <f>_xlfn.XLOOKUP(tbl_CONTENT[[#This Row],[Topic]], tbl_TOPIC[Topic], tbl_TOPIC[TopicIndex], "")</f>
        <v>05</v>
      </c>
      <c r="J301" s="22" t="s">
        <v>500</v>
      </c>
      <c r="K301" s="22" t="s">
        <v>547</v>
      </c>
      <c r="L301" s="22" t="s">
        <v>147</v>
      </c>
      <c r="S301" s="35">
        <f>IFERROR(
 (1.907*EXP(1)^(-0.5*tbl_CONTENT[[#This Row],[Layer]])) *
 ((tbl_CONTENT[[#This Row],[RelInt]]-1)^(2.5)*4^(1-2.5)+1) +
 ((tbl_CONTENT[[#This Row],[Comp]]-1)^(2.5)*4^(1-2.5)+1)*(0.5*((tbl_CONTENT[[#This Row],[RelInt]]-1)/4)^(2.5)+1),
 0
)</f>
        <v>0</v>
      </c>
      <c r="T301" s="35">
        <f>IFERROR(
 (1.907*EXP(1)^(-0.5*VALUE(tbl_CONTENT[[#This Row],[Layer]]))) *
 ((VALUE(tbl_CONTENT[[#This Row],[RelId]])-1)^(2.5)*4^(1-2.5)+1) +
 ((VALUE(tbl_CONTENT[[#This Row],[Comp]])-1)^(2.5)*4^(1-2.5)+1)*(0.5*((VALUE(tbl_CONTENT[[#This Row],[RelId]])-1)/4)^(2.5)+1),
 0
)</f>
        <v>0</v>
      </c>
      <c r="W301" s="22" t="str">
        <f>IFERROR(
  IF(_xlfn.XLOOKUP(tbl_CONTENT[[#This Row],[Topic]], tbl_TOPIC[Topic], tbl_TOPIC[ParentTopic])="", "",
       _xlfn.XLOOKUP(tbl_CONTENT[[#This Row],[Topic]], tbl_TOPIC[Topic], tbl_TOPIC[ParentTopic])),
  ""
)</f>
        <v/>
      </c>
      <c r="X301" s="22" t="str">
        <f>IFERROR(
  IF(_xlfn.XLOOKUP(tbl_CONTENT[[#This Row],[Topic]], tbl_TOPIC[Topic], tbl_TOPIC[TopicPath])="", "",
       _xlfn.XLOOKUP(tbl_CONTENT[[#This Row],[Topic]], tbl_TOPIC[Topic], tbl_TOPIC[TopicPath])),
  ""
)</f>
        <v>Riemannische Mannigfaltigkeiten</v>
      </c>
    </row>
    <row r="302" spans="3:24" ht="34" x14ac:dyDescent="0.2">
      <c r="C302" s="22" t="str">
        <f>_xlfn.XLOOKUP(tbl_CONTENT[[#This Row],[TopicID]], tbl_TOPIC[TopicID], tbl_TOPIC[Subject], "")</f>
        <v>RG</v>
      </c>
      <c r="D3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RG-T12-05-05</v>
      </c>
      <c r="E302" s="22">
        <f>ROW()</f>
        <v>302</v>
      </c>
      <c r="F302" s="22" t="s">
        <v>1051</v>
      </c>
      <c r="G302" s="22" t="str">
        <f>_xlfn.XLOOKUP(tbl_CONTENT[[#This Row],[Topic]], tbl_TOPIC[Topic], tbl_TOPIC[TopicID], "")</f>
        <v>RG-1-05</v>
      </c>
      <c r="H302" s="22" cm="1">
        <f t="array" ref="H302">SUM((tbl_CONTENT[[#This Row],[TopicID]]=INDEX(tbl_CONTENT[TopicID],1):tbl_CONTENT[[#This Row],[TopicID]])*1)</f>
        <v>5</v>
      </c>
      <c r="I302" s="22" t="str">
        <f>_xlfn.XLOOKUP(tbl_CONTENT[[#This Row],[Topic]], tbl_TOPIC[Topic], tbl_TOPIC[TopicIndex], "")</f>
        <v>05</v>
      </c>
      <c r="J302" s="22" t="s">
        <v>500</v>
      </c>
      <c r="K302" s="22" t="s">
        <v>548</v>
      </c>
      <c r="L302" s="22" t="s">
        <v>147</v>
      </c>
      <c r="S302" s="35">
        <f>IFERROR(
 (1.907*EXP(1)^(-0.5*tbl_CONTENT[[#This Row],[Layer]])) *
 ((tbl_CONTENT[[#This Row],[RelInt]]-1)^(2.5)*4^(1-2.5)+1) +
 ((tbl_CONTENT[[#This Row],[Comp]]-1)^(2.5)*4^(1-2.5)+1)*(0.5*((tbl_CONTENT[[#This Row],[RelInt]]-1)/4)^(2.5)+1),
 0
)</f>
        <v>0</v>
      </c>
      <c r="T302" s="35">
        <f>IFERROR(
 (1.907*EXP(1)^(-0.5*VALUE(tbl_CONTENT[[#This Row],[Layer]]))) *
 ((VALUE(tbl_CONTENT[[#This Row],[RelId]])-1)^(2.5)*4^(1-2.5)+1) +
 ((VALUE(tbl_CONTENT[[#This Row],[Comp]])-1)^(2.5)*4^(1-2.5)+1)*(0.5*((VALUE(tbl_CONTENT[[#This Row],[RelId]])-1)/4)^(2.5)+1),
 0
)</f>
        <v>0</v>
      </c>
      <c r="W302" s="22" t="str">
        <f>IFERROR(
  IF(_xlfn.XLOOKUP(tbl_CONTENT[[#This Row],[Topic]], tbl_TOPIC[Topic], tbl_TOPIC[ParentTopic])="", "",
       _xlfn.XLOOKUP(tbl_CONTENT[[#This Row],[Topic]], tbl_TOPIC[Topic], tbl_TOPIC[ParentTopic])),
  ""
)</f>
        <v/>
      </c>
      <c r="X302" s="22" t="str">
        <f>IFERROR(
  IF(_xlfn.XLOOKUP(tbl_CONTENT[[#This Row],[Topic]], tbl_TOPIC[Topic], tbl_TOPIC[TopicPath])="", "",
       _xlfn.XLOOKUP(tbl_CONTENT[[#This Row],[Topic]], tbl_TOPIC[Topic], tbl_TOPIC[TopicPath])),
  ""
)</f>
        <v>Riemannische Mannigfaltigkeiten</v>
      </c>
    </row>
    <row r="303" spans="3:24" ht="17" x14ac:dyDescent="0.2">
      <c r="C303" s="22" t="str">
        <f>_xlfn.XLOOKUP(tbl_CONTENT[[#This Row],[TopicID]], tbl_TOPIC[TopicID], tbl_TOPIC[Subject], "")</f>
        <v>RG</v>
      </c>
      <c r="D3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RG-T12-05-06</v>
      </c>
      <c r="E303" s="22">
        <f>ROW()</f>
        <v>303</v>
      </c>
      <c r="F303" s="22" t="s">
        <v>1051</v>
      </c>
      <c r="G303" s="22" t="str">
        <f>_xlfn.XLOOKUP(tbl_CONTENT[[#This Row],[Topic]], tbl_TOPIC[Topic], tbl_TOPIC[TopicID], "")</f>
        <v>RG-1-05</v>
      </c>
      <c r="H303" s="22" cm="1">
        <f t="array" ref="H303">SUM((tbl_CONTENT[[#This Row],[TopicID]]=INDEX(tbl_CONTENT[TopicID],1):tbl_CONTENT[[#This Row],[TopicID]])*1)</f>
        <v>6</v>
      </c>
      <c r="I303" s="22" t="str">
        <f>_xlfn.XLOOKUP(tbl_CONTENT[[#This Row],[Topic]], tbl_TOPIC[Topic], tbl_TOPIC[TopicIndex], "")</f>
        <v>05</v>
      </c>
      <c r="J303" s="22" t="s">
        <v>500</v>
      </c>
      <c r="K303" s="22" t="s">
        <v>549</v>
      </c>
      <c r="L303" s="22" t="s">
        <v>152</v>
      </c>
      <c r="S303" s="35">
        <f>IFERROR(
 (1.907*EXP(1)^(-0.5*tbl_CONTENT[[#This Row],[Layer]])) *
 ((tbl_CONTENT[[#This Row],[RelInt]]-1)^(2.5)*4^(1-2.5)+1) +
 ((tbl_CONTENT[[#This Row],[Comp]]-1)^(2.5)*4^(1-2.5)+1)*(0.5*((tbl_CONTENT[[#This Row],[RelInt]]-1)/4)^(2.5)+1),
 0
)</f>
        <v>0</v>
      </c>
      <c r="T303" s="35">
        <f>IFERROR(
 (1.907*EXP(1)^(-0.5*VALUE(tbl_CONTENT[[#This Row],[Layer]]))) *
 ((VALUE(tbl_CONTENT[[#This Row],[RelId]])-1)^(2.5)*4^(1-2.5)+1) +
 ((VALUE(tbl_CONTENT[[#This Row],[Comp]])-1)^(2.5)*4^(1-2.5)+1)*(0.5*((VALUE(tbl_CONTENT[[#This Row],[RelId]])-1)/4)^(2.5)+1),
 0
)</f>
        <v>0</v>
      </c>
      <c r="W303" s="22" t="str">
        <f>IFERROR(
  IF(_xlfn.XLOOKUP(tbl_CONTENT[[#This Row],[Topic]], tbl_TOPIC[Topic], tbl_TOPIC[ParentTopic])="", "",
       _xlfn.XLOOKUP(tbl_CONTENT[[#This Row],[Topic]], tbl_TOPIC[Topic], tbl_TOPIC[ParentTopic])),
  ""
)</f>
        <v/>
      </c>
      <c r="X303" s="22" t="str">
        <f>IFERROR(
  IF(_xlfn.XLOOKUP(tbl_CONTENT[[#This Row],[Topic]], tbl_TOPIC[Topic], tbl_TOPIC[TopicPath])="", "",
       _xlfn.XLOOKUP(tbl_CONTENT[[#This Row],[Topic]], tbl_TOPIC[Topic], tbl_TOPIC[TopicPath])),
  ""
)</f>
        <v>Riemannische Mannigfaltigkeiten</v>
      </c>
    </row>
    <row r="304" spans="3:24" ht="85" x14ac:dyDescent="0.2">
      <c r="C304" s="22" t="str">
        <f>_xlfn.XLOOKUP(tbl_CONTENT[[#This Row],[TopicID]], tbl_TOPIC[TopicID], tbl_TOPIC[Subject], "")</f>
        <v>RG</v>
      </c>
      <c r="D3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RG-T12-05-07</v>
      </c>
      <c r="E304" s="22">
        <f>ROW()</f>
        <v>304</v>
      </c>
      <c r="F304" s="22" t="s">
        <v>1051</v>
      </c>
      <c r="G304" s="22" t="str">
        <f>_xlfn.XLOOKUP(tbl_CONTENT[[#This Row],[Topic]], tbl_TOPIC[Topic], tbl_TOPIC[TopicID], "")</f>
        <v>RG-1-05</v>
      </c>
      <c r="H304" s="22" cm="1">
        <f t="array" ref="H304">SUM((tbl_CONTENT[[#This Row],[TopicID]]=INDEX(tbl_CONTENT[TopicID],1):tbl_CONTENT[[#This Row],[TopicID]])*1)</f>
        <v>7</v>
      </c>
      <c r="I304" s="22" t="str">
        <f>_xlfn.XLOOKUP(tbl_CONTENT[[#This Row],[Topic]], tbl_TOPIC[Topic], tbl_TOPIC[TopicIndex], "")</f>
        <v>05</v>
      </c>
      <c r="J304" s="22" t="s">
        <v>500</v>
      </c>
      <c r="K304" s="22" t="s">
        <v>550</v>
      </c>
      <c r="L304" s="22" t="s">
        <v>147</v>
      </c>
      <c r="S304" s="35">
        <f>IFERROR(
 (1.907*EXP(1)^(-0.5*tbl_CONTENT[[#This Row],[Layer]])) *
 ((tbl_CONTENT[[#This Row],[RelInt]]-1)^(2.5)*4^(1-2.5)+1) +
 ((tbl_CONTENT[[#This Row],[Comp]]-1)^(2.5)*4^(1-2.5)+1)*(0.5*((tbl_CONTENT[[#This Row],[RelInt]]-1)/4)^(2.5)+1),
 0
)</f>
        <v>0</v>
      </c>
      <c r="T304" s="35">
        <f>IFERROR(
 (1.907*EXP(1)^(-0.5*VALUE(tbl_CONTENT[[#This Row],[Layer]]))) *
 ((VALUE(tbl_CONTENT[[#This Row],[RelId]])-1)^(2.5)*4^(1-2.5)+1) +
 ((VALUE(tbl_CONTENT[[#This Row],[Comp]])-1)^(2.5)*4^(1-2.5)+1)*(0.5*((VALUE(tbl_CONTENT[[#This Row],[RelId]])-1)/4)^(2.5)+1),
 0
)</f>
        <v>0</v>
      </c>
      <c r="W304" s="22" t="str">
        <f>IFERROR(
  IF(_xlfn.XLOOKUP(tbl_CONTENT[[#This Row],[Topic]], tbl_TOPIC[Topic], tbl_TOPIC[ParentTopic])="", "",
       _xlfn.XLOOKUP(tbl_CONTENT[[#This Row],[Topic]], tbl_TOPIC[Topic], tbl_TOPIC[ParentTopic])),
  ""
)</f>
        <v/>
      </c>
      <c r="X304" s="22" t="str">
        <f>IFERROR(
  IF(_xlfn.XLOOKUP(tbl_CONTENT[[#This Row],[Topic]], tbl_TOPIC[Topic], tbl_TOPIC[TopicPath])="", "",
       _xlfn.XLOOKUP(tbl_CONTENT[[#This Row],[Topic]], tbl_TOPIC[Topic], tbl_TOPIC[TopicPath])),
  ""
)</f>
        <v>Riemannische Mannigfaltigkeiten</v>
      </c>
    </row>
    <row r="305" spans="3:24" ht="34" x14ac:dyDescent="0.2">
      <c r="C305" s="22" t="str">
        <f>_xlfn.XLOOKUP(tbl_CONTENT[[#This Row],[TopicID]], tbl_TOPIC[TopicID], tbl_TOPIC[Subject], "")</f>
        <v>RG</v>
      </c>
      <c r="D3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RG-T12-05-08</v>
      </c>
      <c r="E305" s="22">
        <f>ROW()</f>
        <v>305</v>
      </c>
      <c r="F305" s="22" t="s">
        <v>1051</v>
      </c>
      <c r="G305" s="22" t="str">
        <f>_xlfn.XLOOKUP(tbl_CONTENT[[#This Row],[Topic]], tbl_TOPIC[Topic], tbl_TOPIC[TopicID], "")</f>
        <v>RG-1-05</v>
      </c>
      <c r="H305" s="22" cm="1">
        <f t="array" ref="H305">SUM((tbl_CONTENT[[#This Row],[TopicID]]=INDEX(tbl_CONTENT[TopicID],1):tbl_CONTENT[[#This Row],[TopicID]])*1)</f>
        <v>8</v>
      </c>
      <c r="I305" s="22" t="str">
        <f>_xlfn.XLOOKUP(tbl_CONTENT[[#This Row],[Topic]], tbl_TOPIC[Topic], tbl_TOPIC[TopicIndex], "")</f>
        <v>05</v>
      </c>
      <c r="J305" s="22" t="s">
        <v>500</v>
      </c>
      <c r="K305" s="22" t="s">
        <v>551</v>
      </c>
      <c r="L305" s="22" t="s">
        <v>151</v>
      </c>
      <c r="S305" s="35">
        <f>IFERROR(
 (1.907*EXP(1)^(-0.5*tbl_CONTENT[[#This Row],[Layer]])) *
 ((tbl_CONTENT[[#This Row],[RelInt]]-1)^(2.5)*4^(1-2.5)+1) +
 ((tbl_CONTENT[[#This Row],[Comp]]-1)^(2.5)*4^(1-2.5)+1)*(0.5*((tbl_CONTENT[[#This Row],[RelInt]]-1)/4)^(2.5)+1),
 0
)</f>
        <v>0</v>
      </c>
      <c r="T305" s="35">
        <f>IFERROR(
 (1.907*EXP(1)^(-0.5*VALUE(tbl_CONTENT[[#This Row],[Layer]]))) *
 ((VALUE(tbl_CONTENT[[#This Row],[RelId]])-1)^(2.5)*4^(1-2.5)+1) +
 ((VALUE(tbl_CONTENT[[#This Row],[Comp]])-1)^(2.5)*4^(1-2.5)+1)*(0.5*((VALUE(tbl_CONTENT[[#This Row],[RelId]])-1)/4)^(2.5)+1),
 0
)</f>
        <v>0</v>
      </c>
      <c r="W305" s="22" t="str">
        <f>IFERROR(
  IF(_xlfn.XLOOKUP(tbl_CONTENT[[#This Row],[Topic]], tbl_TOPIC[Topic], tbl_TOPIC[ParentTopic])="", "",
       _xlfn.XLOOKUP(tbl_CONTENT[[#This Row],[Topic]], tbl_TOPIC[Topic], tbl_TOPIC[ParentTopic])),
  ""
)</f>
        <v/>
      </c>
      <c r="X305" s="22" t="str">
        <f>IFERROR(
  IF(_xlfn.XLOOKUP(tbl_CONTENT[[#This Row],[Topic]], tbl_TOPIC[Topic], tbl_TOPIC[TopicPath])="", "",
       _xlfn.XLOOKUP(tbl_CONTENT[[#This Row],[Topic]], tbl_TOPIC[Topic], tbl_TOPIC[TopicPath])),
  ""
)</f>
        <v>Riemannische Mannigfaltigkeiten</v>
      </c>
    </row>
    <row r="306" spans="3:24" ht="17" x14ac:dyDescent="0.2">
      <c r="C306" s="22" t="str">
        <f>_xlfn.XLOOKUP(tbl_CONTENT[[#This Row],[TopicID]], tbl_TOPIC[TopicID], tbl_TOPIC[Subject], "")</f>
        <v>RG</v>
      </c>
      <c r="D3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RG-T12-05-09</v>
      </c>
      <c r="E306" s="22">
        <f>ROW()</f>
        <v>306</v>
      </c>
      <c r="F306" s="22" t="s">
        <v>1051</v>
      </c>
      <c r="G306" s="22" t="str">
        <f>_xlfn.XLOOKUP(tbl_CONTENT[[#This Row],[Topic]], tbl_TOPIC[Topic], tbl_TOPIC[TopicID], "")</f>
        <v>RG-1-05</v>
      </c>
      <c r="H306" s="22" cm="1">
        <f t="array" ref="H306">SUM((tbl_CONTENT[[#This Row],[TopicID]]=INDEX(tbl_CONTENT[TopicID],1):tbl_CONTENT[[#This Row],[TopicID]])*1)</f>
        <v>9</v>
      </c>
      <c r="I306" s="22" t="str">
        <f>_xlfn.XLOOKUP(tbl_CONTENT[[#This Row],[Topic]], tbl_TOPIC[Topic], tbl_TOPIC[TopicIndex], "")</f>
        <v>05</v>
      </c>
      <c r="J306" s="22" t="s">
        <v>500</v>
      </c>
      <c r="K306" s="22" t="s">
        <v>992</v>
      </c>
      <c r="L306" s="22" t="s">
        <v>179</v>
      </c>
      <c r="S306" s="35">
        <f>IFERROR(
 (1.907*EXP(1)^(-0.5*tbl_CONTENT[[#This Row],[Layer]])) *
 ((tbl_CONTENT[[#This Row],[RelInt]]-1)^(2.5)*4^(1-2.5)+1) +
 ((tbl_CONTENT[[#This Row],[Comp]]-1)^(2.5)*4^(1-2.5)+1)*(0.5*((tbl_CONTENT[[#This Row],[RelInt]]-1)/4)^(2.5)+1),
 0
)</f>
        <v>0</v>
      </c>
      <c r="T306" s="35">
        <f>IFERROR(
 (1.907*EXP(1)^(-0.5*VALUE(tbl_CONTENT[[#This Row],[Layer]]))) *
 ((VALUE(tbl_CONTENT[[#This Row],[RelId]])-1)^(2.5)*4^(1-2.5)+1) +
 ((VALUE(tbl_CONTENT[[#This Row],[Comp]])-1)^(2.5)*4^(1-2.5)+1)*(0.5*((VALUE(tbl_CONTENT[[#This Row],[RelId]])-1)/4)^(2.5)+1),
 0
)</f>
        <v>0</v>
      </c>
      <c r="W306" s="22" t="str">
        <f>IFERROR(
  IF(_xlfn.XLOOKUP(tbl_CONTENT[[#This Row],[Topic]], tbl_TOPIC[Topic], tbl_TOPIC[ParentTopic])="", "",
       _xlfn.XLOOKUP(tbl_CONTENT[[#This Row],[Topic]], tbl_TOPIC[Topic], tbl_TOPIC[ParentTopic])),
  ""
)</f>
        <v/>
      </c>
      <c r="X306" s="22" t="str">
        <f>IFERROR(
  IF(_xlfn.XLOOKUP(tbl_CONTENT[[#This Row],[Topic]], tbl_TOPIC[Topic], tbl_TOPIC[TopicPath])="", "",
       _xlfn.XLOOKUP(tbl_CONTENT[[#This Row],[Topic]], tbl_TOPIC[Topic], tbl_TOPIC[TopicPath])),
  ""
)</f>
        <v>Riemannische Mannigfaltigkeiten</v>
      </c>
    </row>
    <row r="307" spans="3:24" ht="17" x14ac:dyDescent="0.2">
      <c r="C307" s="22" t="str">
        <f>_xlfn.XLOOKUP(tbl_CONTENT[[#This Row],[TopicID]], tbl_TOPIC[TopicID], tbl_TOPIC[Subject], "")</f>
        <v>RG</v>
      </c>
      <c r="D3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RG-T12-05-10</v>
      </c>
      <c r="E307" s="22">
        <f>ROW()</f>
        <v>307</v>
      </c>
      <c r="F307" s="22" t="s">
        <v>1051</v>
      </c>
      <c r="G307" s="22" t="str">
        <f>_xlfn.XLOOKUP(tbl_CONTENT[[#This Row],[Topic]], tbl_TOPIC[Topic], tbl_TOPIC[TopicID], "")</f>
        <v>RG-1-05</v>
      </c>
      <c r="H307" s="22" cm="1">
        <f t="array" ref="H307">SUM((tbl_CONTENT[[#This Row],[TopicID]]=INDEX(tbl_CONTENT[TopicID],1):tbl_CONTENT[[#This Row],[TopicID]])*1)</f>
        <v>10</v>
      </c>
      <c r="I307" s="22" t="str">
        <f>_xlfn.XLOOKUP(tbl_CONTENT[[#This Row],[Topic]], tbl_TOPIC[Topic], tbl_TOPIC[TopicIndex], "")</f>
        <v>05</v>
      </c>
      <c r="J307" s="22" t="s">
        <v>500</v>
      </c>
      <c r="K307" s="22" t="s">
        <v>552</v>
      </c>
      <c r="L307" s="22" t="s">
        <v>152</v>
      </c>
      <c r="S307" s="35">
        <f>IFERROR(
 (1.907*EXP(1)^(-0.5*tbl_CONTENT[[#This Row],[Layer]])) *
 ((tbl_CONTENT[[#This Row],[RelInt]]-1)^(2.5)*4^(1-2.5)+1) +
 ((tbl_CONTENT[[#This Row],[Comp]]-1)^(2.5)*4^(1-2.5)+1)*(0.5*((tbl_CONTENT[[#This Row],[RelInt]]-1)/4)^(2.5)+1),
 0
)</f>
        <v>0</v>
      </c>
      <c r="T307" s="35">
        <f>IFERROR(
 (1.907*EXP(1)^(-0.5*VALUE(tbl_CONTENT[[#This Row],[Layer]]))) *
 ((VALUE(tbl_CONTENT[[#This Row],[RelId]])-1)^(2.5)*4^(1-2.5)+1) +
 ((VALUE(tbl_CONTENT[[#This Row],[Comp]])-1)^(2.5)*4^(1-2.5)+1)*(0.5*((VALUE(tbl_CONTENT[[#This Row],[RelId]])-1)/4)^(2.5)+1),
 0
)</f>
        <v>0</v>
      </c>
      <c r="W307" s="22" t="str">
        <f>IFERROR(
  IF(_xlfn.XLOOKUP(tbl_CONTENT[[#This Row],[Topic]], tbl_TOPIC[Topic], tbl_TOPIC[ParentTopic])="", "",
       _xlfn.XLOOKUP(tbl_CONTENT[[#This Row],[Topic]], tbl_TOPIC[Topic], tbl_TOPIC[ParentTopic])),
  ""
)</f>
        <v/>
      </c>
      <c r="X307" s="22" t="str">
        <f>IFERROR(
  IF(_xlfn.XLOOKUP(tbl_CONTENT[[#This Row],[Topic]], tbl_TOPIC[Topic], tbl_TOPIC[TopicPath])="", "",
       _xlfn.XLOOKUP(tbl_CONTENT[[#This Row],[Topic]], tbl_TOPIC[Topic], tbl_TOPIC[TopicPath])),
  ""
)</f>
        <v>Riemannische Mannigfaltigkeiten</v>
      </c>
    </row>
    <row r="308" spans="3:24" ht="17" x14ac:dyDescent="0.2">
      <c r="C308" s="22" t="str">
        <f>_xlfn.XLOOKUP(tbl_CONTENT[[#This Row],[TopicID]], tbl_TOPIC[TopicID], tbl_TOPIC[Subject], "")</f>
        <v>RG</v>
      </c>
      <c r="D3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RG-T12-05-11</v>
      </c>
      <c r="E308" s="22">
        <f>ROW()</f>
        <v>308</v>
      </c>
      <c r="F308" s="22" t="s">
        <v>1051</v>
      </c>
      <c r="G308" s="22" t="str">
        <f>_xlfn.XLOOKUP(tbl_CONTENT[[#This Row],[Topic]], tbl_TOPIC[Topic], tbl_TOPIC[TopicID], "")</f>
        <v>RG-1-05</v>
      </c>
      <c r="H308" s="22" cm="1">
        <f t="array" ref="H308">SUM((tbl_CONTENT[[#This Row],[TopicID]]=INDEX(tbl_CONTENT[TopicID],1):tbl_CONTENT[[#This Row],[TopicID]])*1)</f>
        <v>11</v>
      </c>
      <c r="I308" s="22" t="str">
        <f>_xlfn.XLOOKUP(tbl_CONTENT[[#This Row],[Topic]], tbl_TOPIC[Topic], tbl_TOPIC[TopicIndex], "")</f>
        <v>05</v>
      </c>
      <c r="J308" s="22" t="s">
        <v>500</v>
      </c>
      <c r="K308" s="22" t="s">
        <v>553</v>
      </c>
      <c r="L308" s="22" t="s">
        <v>152</v>
      </c>
      <c r="S308" s="35">
        <f>IFERROR(
 (1.907*EXP(1)^(-0.5*tbl_CONTENT[[#This Row],[Layer]])) *
 ((tbl_CONTENT[[#This Row],[RelInt]]-1)^(2.5)*4^(1-2.5)+1) +
 ((tbl_CONTENT[[#This Row],[Comp]]-1)^(2.5)*4^(1-2.5)+1)*(0.5*((tbl_CONTENT[[#This Row],[RelInt]]-1)/4)^(2.5)+1),
 0
)</f>
        <v>0</v>
      </c>
      <c r="T308" s="35">
        <f>IFERROR(
 (1.907*EXP(1)^(-0.5*VALUE(tbl_CONTENT[[#This Row],[Layer]]))) *
 ((VALUE(tbl_CONTENT[[#This Row],[RelId]])-1)^(2.5)*4^(1-2.5)+1) +
 ((VALUE(tbl_CONTENT[[#This Row],[Comp]])-1)^(2.5)*4^(1-2.5)+1)*(0.5*((VALUE(tbl_CONTENT[[#This Row],[RelId]])-1)/4)^(2.5)+1),
 0
)</f>
        <v>0</v>
      </c>
      <c r="W308" s="22" t="str">
        <f>IFERROR(
  IF(_xlfn.XLOOKUP(tbl_CONTENT[[#This Row],[Topic]], tbl_TOPIC[Topic], tbl_TOPIC[ParentTopic])="", "",
       _xlfn.XLOOKUP(tbl_CONTENT[[#This Row],[Topic]], tbl_TOPIC[Topic], tbl_TOPIC[ParentTopic])),
  ""
)</f>
        <v/>
      </c>
      <c r="X308" s="22" t="str">
        <f>IFERROR(
  IF(_xlfn.XLOOKUP(tbl_CONTENT[[#This Row],[Topic]], tbl_TOPIC[Topic], tbl_TOPIC[TopicPath])="", "",
       _xlfn.XLOOKUP(tbl_CONTENT[[#This Row],[Topic]], tbl_TOPIC[Topic], tbl_TOPIC[TopicPath])),
  ""
)</f>
        <v>Riemannische Mannigfaltigkeiten</v>
      </c>
    </row>
    <row r="309" spans="3:24" ht="34" x14ac:dyDescent="0.2">
      <c r="C309" s="22" t="str">
        <f>_xlfn.XLOOKUP(tbl_CONTENT[[#This Row],[TopicID]], tbl_TOPIC[TopicID], tbl_TOPIC[Subject], "")</f>
        <v>RG</v>
      </c>
      <c r="D3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RG-T12-05-12</v>
      </c>
      <c r="E309" s="22">
        <f>ROW()</f>
        <v>309</v>
      </c>
      <c r="F309" s="22" t="s">
        <v>1051</v>
      </c>
      <c r="G309" s="22" t="str">
        <f>_xlfn.XLOOKUP(tbl_CONTENT[[#This Row],[Topic]], tbl_TOPIC[Topic], tbl_TOPIC[TopicID], "")</f>
        <v>RG-1-05</v>
      </c>
      <c r="H309" s="22" cm="1">
        <f t="array" ref="H309">SUM((tbl_CONTENT[[#This Row],[TopicID]]=INDEX(tbl_CONTENT[TopicID],1):tbl_CONTENT[[#This Row],[TopicID]])*1)</f>
        <v>12</v>
      </c>
      <c r="I309" s="22" t="str">
        <f>_xlfn.XLOOKUP(tbl_CONTENT[[#This Row],[Topic]], tbl_TOPIC[Topic], tbl_TOPIC[TopicIndex], "")</f>
        <v>05</v>
      </c>
      <c r="J309" s="22" t="s">
        <v>500</v>
      </c>
      <c r="K309" s="22" t="s">
        <v>554</v>
      </c>
      <c r="L309" s="22" t="s">
        <v>179</v>
      </c>
      <c r="S309" s="35">
        <f>IFERROR(
 (1.907*EXP(1)^(-0.5*tbl_CONTENT[[#This Row],[Layer]])) *
 ((tbl_CONTENT[[#This Row],[RelInt]]-1)^(2.5)*4^(1-2.5)+1) +
 ((tbl_CONTENT[[#This Row],[Comp]]-1)^(2.5)*4^(1-2.5)+1)*(0.5*((tbl_CONTENT[[#This Row],[RelInt]]-1)/4)^(2.5)+1),
 0
)</f>
        <v>0</v>
      </c>
      <c r="T309" s="35">
        <f>IFERROR(
 (1.907*EXP(1)^(-0.5*VALUE(tbl_CONTENT[[#This Row],[Layer]]))) *
 ((VALUE(tbl_CONTENT[[#This Row],[RelId]])-1)^(2.5)*4^(1-2.5)+1) +
 ((VALUE(tbl_CONTENT[[#This Row],[Comp]])-1)^(2.5)*4^(1-2.5)+1)*(0.5*((VALUE(tbl_CONTENT[[#This Row],[RelId]])-1)/4)^(2.5)+1),
 0
)</f>
        <v>0</v>
      </c>
      <c r="W309" s="22" t="str">
        <f>IFERROR(
  IF(_xlfn.XLOOKUP(tbl_CONTENT[[#This Row],[Topic]], tbl_TOPIC[Topic], tbl_TOPIC[ParentTopic])="", "",
       _xlfn.XLOOKUP(tbl_CONTENT[[#This Row],[Topic]], tbl_TOPIC[Topic], tbl_TOPIC[ParentTopic])),
  ""
)</f>
        <v/>
      </c>
      <c r="X309" s="22" t="str">
        <f>IFERROR(
  IF(_xlfn.XLOOKUP(tbl_CONTENT[[#This Row],[Topic]], tbl_TOPIC[Topic], tbl_TOPIC[TopicPath])="", "",
       _xlfn.XLOOKUP(tbl_CONTENT[[#This Row],[Topic]], tbl_TOPIC[Topic], tbl_TOPIC[TopicPath])),
  ""
)</f>
        <v>Riemannische Mannigfaltigkeiten</v>
      </c>
    </row>
    <row r="310" spans="3:24" ht="34" x14ac:dyDescent="0.2">
      <c r="C310" s="22" t="str">
        <f>_xlfn.XLOOKUP(tbl_CONTENT[[#This Row],[TopicID]], tbl_TOPIC[TopicID], tbl_TOPIC[Subject], "")</f>
        <v>RG</v>
      </c>
      <c r="D3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RG-T12-05-13</v>
      </c>
      <c r="E310" s="22">
        <f>ROW()</f>
        <v>310</v>
      </c>
      <c r="F310" s="22" t="s">
        <v>1051</v>
      </c>
      <c r="G310" s="22" t="str">
        <f>_xlfn.XLOOKUP(tbl_CONTENT[[#This Row],[Topic]], tbl_TOPIC[Topic], tbl_TOPIC[TopicID], "")</f>
        <v>RG-1-05</v>
      </c>
      <c r="H310" s="22" cm="1">
        <f t="array" ref="H310">SUM((tbl_CONTENT[[#This Row],[TopicID]]=INDEX(tbl_CONTENT[TopicID],1):tbl_CONTENT[[#This Row],[TopicID]])*1)</f>
        <v>13</v>
      </c>
      <c r="I310" s="22" t="str">
        <f>_xlfn.XLOOKUP(tbl_CONTENT[[#This Row],[Topic]], tbl_TOPIC[Topic], tbl_TOPIC[TopicIndex], "")</f>
        <v>05</v>
      </c>
      <c r="J310" s="22" t="s">
        <v>500</v>
      </c>
      <c r="K310" s="22" t="s">
        <v>555</v>
      </c>
      <c r="L310" s="22" t="s">
        <v>147</v>
      </c>
      <c r="S310" s="35">
        <f>IFERROR(
 (1.907*EXP(1)^(-0.5*tbl_CONTENT[[#This Row],[Layer]])) *
 ((tbl_CONTENT[[#This Row],[RelInt]]-1)^(2.5)*4^(1-2.5)+1) +
 ((tbl_CONTENT[[#This Row],[Comp]]-1)^(2.5)*4^(1-2.5)+1)*(0.5*((tbl_CONTENT[[#This Row],[RelInt]]-1)/4)^(2.5)+1),
 0
)</f>
        <v>0</v>
      </c>
      <c r="T310" s="35">
        <f>IFERROR(
 (1.907*EXP(1)^(-0.5*VALUE(tbl_CONTENT[[#This Row],[Layer]]))) *
 ((VALUE(tbl_CONTENT[[#This Row],[RelId]])-1)^(2.5)*4^(1-2.5)+1) +
 ((VALUE(tbl_CONTENT[[#This Row],[Comp]])-1)^(2.5)*4^(1-2.5)+1)*(0.5*((VALUE(tbl_CONTENT[[#This Row],[RelId]])-1)/4)^(2.5)+1),
 0
)</f>
        <v>0</v>
      </c>
      <c r="W310" s="22" t="str">
        <f>IFERROR(
  IF(_xlfn.XLOOKUP(tbl_CONTENT[[#This Row],[Topic]], tbl_TOPIC[Topic], tbl_TOPIC[ParentTopic])="", "",
       _xlfn.XLOOKUP(tbl_CONTENT[[#This Row],[Topic]], tbl_TOPIC[Topic], tbl_TOPIC[ParentTopic])),
  ""
)</f>
        <v/>
      </c>
      <c r="X310" s="22" t="str">
        <f>IFERROR(
  IF(_xlfn.XLOOKUP(tbl_CONTENT[[#This Row],[Topic]], tbl_TOPIC[Topic], tbl_TOPIC[TopicPath])="", "",
       _xlfn.XLOOKUP(tbl_CONTENT[[#This Row],[Topic]], tbl_TOPIC[Topic], tbl_TOPIC[TopicPath])),
  ""
)</f>
        <v>Riemannische Mannigfaltigkeiten</v>
      </c>
    </row>
    <row r="311" spans="3:24" ht="51" x14ac:dyDescent="0.2">
      <c r="C311" s="22" t="str">
        <f>_xlfn.XLOOKUP(tbl_CONTENT[[#This Row],[TopicID]], tbl_TOPIC[TopicID], tbl_TOPIC[Subject], "")</f>
        <v>RG</v>
      </c>
      <c r="D3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RG-T12-05-14</v>
      </c>
      <c r="E311" s="22">
        <f>ROW()</f>
        <v>311</v>
      </c>
      <c r="F311" s="22" t="s">
        <v>1051</v>
      </c>
      <c r="G311" s="22" t="str">
        <f>_xlfn.XLOOKUP(tbl_CONTENT[[#This Row],[Topic]], tbl_TOPIC[Topic], tbl_TOPIC[TopicID], "")</f>
        <v>RG-1-05</v>
      </c>
      <c r="H311" s="22" cm="1">
        <f t="array" ref="H311">SUM((tbl_CONTENT[[#This Row],[TopicID]]=INDEX(tbl_CONTENT[TopicID],1):tbl_CONTENT[[#This Row],[TopicID]])*1)</f>
        <v>14</v>
      </c>
      <c r="I311" s="22" t="str">
        <f>_xlfn.XLOOKUP(tbl_CONTENT[[#This Row],[Topic]], tbl_TOPIC[Topic], tbl_TOPIC[TopicIndex], "")</f>
        <v>05</v>
      </c>
      <c r="J311" s="22" t="s">
        <v>500</v>
      </c>
      <c r="K311" s="22" t="s">
        <v>556</v>
      </c>
      <c r="L311" s="22" t="s">
        <v>147</v>
      </c>
      <c r="S311" s="35">
        <f>IFERROR(
 (1.907*EXP(1)^(-0.5*tbl_CONTENT[[#This Row],[Layer]])) *
 ((tbl_CONTENT[[#This Row],[RelInt]]-1)^(2.5)*4^(1-2.5)+1) +
 ((tbl_CONTENT[[#This Row],[Comp]]-1)^(2.5)*4^(1-2.5)+1)*(0.5*((tbl_CONTENT[[#This Row],[RelInt]]-1)/4)^(2.5)+1),
 0
)</f>
        <v>0</v>
      </c>
      <c r="T311" s="35">
        <f>IFERROR(
 (1.907*EXP(1)^(-0.5*VALUE(tbl_CONTENT[[#This Row],[Layer]]))) *
 ((VALUE(tbl_CONTENT[[#This Row],[RelId]])-1)^(2.5)*4^(1-2.5)+1) +
 ((VALUE(tbl_CONTENT[[#This Row],[Comp]])-1)^(2.5)*4^(1-2.5)+1)*(0.5*((VALUE(tbl_CONTENT[[#This Row],[RelId]])-1)/4)^(2.5)+1),
 0
)</f>
        <v>0</v>
      </c>
      <c r="W311" s="22" t="str">
        <f>IFERROR(
  IF(_xlfn.XLOOKUP(tbl_CONTENT[[#This Row],[Topic]], tbl_TOPIC[Topic], tbl_TOPIC[ParentTopic])="", "",
       _xlfn.XLOOKUP(tbl_CONTENT[[#This Row],[Topic]], tbl_TOPIC[Topic], tbl_TOPIC[ParentTopic])),
  ""
)</f>
        <v/>
      </c>
      <c r="X311" s="22" t="str">
        <f>IFERROR(
  IF(_xlfn.XLOOKUP(tbl_CONTENT[[#This Row],[Topic]], tbl_TOPIC[Topic], tbl_TOPIC[TopicPath])="", "",
       _xlfn.XLOOKUP(tbl_CONTENT[[#This Row],[Topic]], tbl_TOPIC[Topic], tbl_TOPIC[TopicPath])),
  ""
)</f>
        <v>Riemannische Mannigfaltigkeiten</v>
      </c>
    </row>
    <row r="312" spans="3:24" ht="17" x14ac:dyDescent="0.2">
      <c r="C312" s="22" t="str">
        <f>_xlfn.XLOOKUP(tbl_CONTENT[[#This Row],[TopicID]], tbl_TOPIC[TopicID], tbl_TOPIC[Subject], "")</f>
        <v>RG</v>
      </c>
      <c r="D3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RG-T12-05-15</v>
      </c>
      <c r="E312" s="22">
        <f>ROW()</f>
        <v>312</v>
      </c>
      <c r="F312" s="22" t="s">
        <v>1051</v>
      </c>
      <c r="G312" s="22" t="str">
        <f>_xlfn.XLOOKUP(tbl_CONTENT[[#This Row],[Topic]], tbl_TOPIC[Topic], tbl_TOPIC[TopicID], "")</f>
        <v>RG-1-05</v>
      </c>
      <c r="H312" s="22" cm="1">
        <f t="array" ref="H312">SUM((tbl_CONTENT[[#This Row],[TopicID]]=INDEX(tbl_CONTENT[TopicID],1):tbl_CONTENT[[#This Row],[TopicID]])*1)</f>
        <v>15</v>
      </c>
      <c r="I312" s="22" t="str">
        <f>_xlfn.XLOOKUP(tbl_CONTENT[[#This Row],[Topic]], tbl_TOPIC[Topic], tbl_TOPIC[TopicIndex], "")</f>
        <v>05</v>
      </c>
      <c r="J312" s="22" t="s">
        <v>500</v>
      </c>
      <c r="K312" s="22" t="s">
        <v>557</v>
      </c>
      <c r="L312" s="22" t="s">
        <v>179</v>
      </c>
      <c r="S312" s="35">
        <f>IFERROR(
 (1.907*EXP(1)^(-0.5*tbl_CONTENT[[#This Row],[Layer]])) *
 ((tbl_CONTENT[[#This Row],[RelInt]]-1)^(2.5)*4^(1-2.5)+1) +
 ((tbl_CONTENT[[#This Row],[Comp]]-1)^(2.5)*4^(1-2.5)+1)*(0.5*((tbl_CONTENT[[#This Row],[RelInt]]-1)/4)^(2.5)+1),
 0
)</f>
        <v>0</v>
      </c>
      <c r="T312" s="35">
        <f>IFERROR(
 (1.907*EXP(1)^(-0.5*VALUE(tbl_CONTENT[[#This Row],[Layer]]))) *
 ((VALUE(tbl_CONTENT[[#This Row],[RelId]])-1)^(2.5)*4^(1-2.5)+1) +
 ((VALUE(tbl_CONTENT[[#This Row],[Comp]])-1)^(2.5)*4^(1-2.5)+1)*(0.5*((VALUE(tbl_CONTENT[[#This Row],[RelId]])-1)/4)^(2.5)+1),
 0
)</f>
        <v>0</v>
      </c>
      <c r="W312" s="22" t="str">
        <f>IFERROR(
  IF(_xlfn.XLOOKUP(tbl_CONTENT[[#This Row],[Topic]], tbl_TOPIC[Topic], tbl_TOPIC[ParentTopic])="", "",
       _xlfn.XLOOKUP(tbl_CONTENT[[#This Row],[Topic]], tbl_TOPIC[Topic], tbl_TOPIC[ParentTopic])),
  ""
)</f>
        <v/>
      </c>
      <c r="X312" s="22" t="str">
        <f>IFERROR(
  IF(_xlfn.XLOOKUP(tbl_CONTENT[[#This Row],[Topic]], tbl_TOPIC[Topic], tbl_TOPIC[TopicPath])="", "",
       _xlfn.XLOOKUP(tbl_CONTENT[[#This Row],[Topic]], tbl_TOPIC[Topic], tbl_TOPIC[TopicPath])),
  ""
)</f>
        <v>Riemannische Mannigfaltigkeiten</v>
      </c>
    </row>
    <row r="313" spans="3:24" ht="17" x14ac:dyDescent="0.2">
      <c r="C313" s="22" t="str">
        <f>_xlfn.XLOOKUP(tbl_CONTENT[[#This Row],[TopicID]], tbl_TOPIC[TopicID], tbl_TOPIC[Subject], "")</f>
        <v>RG</v>
      </c>
      <c r="D3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RG-T12-05-16</v>
      </c>
      <c r="E313" s="22">
        <f>ROW()</f>
        <v>313</v>
      </c>
      <c r="F313" s="22" t="s">
        <v>1051</v>
      </c>
      <c r="G313" s="22" t="str">
        <f>_xlfn.XLOOKUP(tbl_CONTENT[[#This Row],[Topic]], tbl_TOPIC[Topic], tbl_TOPIC[TopicID], "")</f>
        <v>RG-1-05</v>
      </c>
      <c r="H313" s="22" cm="1">
        <f t="array" ref="H313">SUM((tbl_CONTENT[[#This Row],[TopicID]]=INDEX(tbl_CONTENT[TopicID],1):tbl_CONTENT[[#This Row],[TopicID]])*1)</f>
        <v>16</v>
      </c>
      <c r="I313" s="22" t="str">
        <f>_xlfn.XLOOKUP(tbl_CONTENT[[#This Row],[Topic]], tbl_TOPIC[Topic], tbl_TOPIC[TopicIndex], "")</f>
        <v>05</v>
      </c>
      <c r="J313" s="22" t="s">
        <v>500</v>
      </c>
      <c r="K313" s="22" t="s">
        <v>558</v>
      </c>
      <c r="L313" s="22" t="s">
        <v>179</v>
      </c>
      <c r="S313" s="35">
        <f>IFERROR(
 (1.907*EXP(1)^(-0.5*tbl_CONTENT[[#This Row],[Layer]])) *
 ((tbl_CONTENT[[#This Row],[RelInt]]-1)^(2.5)*4^(1-2.5)+1) +
 ((tbl_CONTENT[[#This Row],[Comp]]-1)^(2.5)*4^(1-2.5)+1)*(0.5*((tbl_CONTENT[[#This Row],[RelInt]]-1)/4)^(2.5)+1),
 0
)</f>
        <v>0</v>
      </c>
      <c r="T313" s="35">
        <f>IFERROR(
 (1.907*EXP(1)^(-0.5*VALUE(tbl_CONTENT[[#This Row],[Layer]]))) *
 ((VALUE(tbl_CONTENT[[#This Row],[RelId]])-1)^(2.5)*4^(1-2.5)+1) +
 ((VALUE(tbl_CONTENT[[#This Row],[Comp]])-1)^(2.5)*4^(1-2.5)+1)*(0.5*((VALUE(tbl_CONTENT[[#This Row],[RelId]])-1)/4)^(2.5)+1),
 0
)</f>
        <v>0</v>
      </c>
      <c r="W313" s="22" t="str">
        <f>IFERROR(
  IF(_xlfn.XLOOKUP(tbl_CONTENT[[#This Row],[Topic]], tbl_TOPIC[Topic], tbl_TOPIC[ParentTopic])="", "",
       _xlfn.XLOOKUP(tbl_CONTENT[[#This Row],[Topic]], tbl_TOPIC[Topic], tbl_TOPIC[ParentTopic])),
  ""
)</f>
        <v/>
      </c>
      <c r="X313" s="22" t="str">
        <f>IFERROR(
  IF(_xlfn.XLOOKUP(tbl_CONTENT[[#This Row],[Topic]], tbl_TOPIC[Topic], tbl_TOPIC[TopicPath])="", "",
       _xlfn.XLOOKUP(tbl_CONTENT[[#This Row],[Topic]], tbl_TOPIC[Topic], tbl_TOPIC[TopicPath])),
  ""
)</f>
        <v>Riemannische Mannigfaltigkeiten</v>
      </c>
    </row>
    <row r="314" spans="3:24" ht="34" x14ac:dyDescent="0.2">
      <c r="C314" s="22" t="str">
        <f>_xlfn.XLOOKUP(tbl_CONTENT[[#This Row],[TopicID]], tbl_TOPIC[TopicID], tbl_TOPIC[Subject], "")</f>
        <v>RG</v>
      </c>
      <c r="D3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RG-T12-05-17</v>
      </c>
      <c r="E314" s="22">
        <f>ROW()</f>
        <v>314</v>
      </c>
      <c r="F314" s="22" t="s">
        <v>1051</v>
      </c>
      <c r="G314" s="22" t="str">
        <f>_xlfn.XLOOKUP(tbl_CONTENT[[#This Row],[Topic]], tbl_TOPIC[Topic], tbl_TOPIC[TopicID], "")</f>
        <v>RG-1-05</v>
      </c>
      <c r="H314" s="22" cm="1">
        <f t="array" ref="H314">SUM((tbl_CONTENT[[#This Row],[TopicID]]=INDEX(tbl_CONTENT[TopicID],1):tbl_CONTENT[[#This Row],[TopicID]])*1)</f>
        <v>17</v>
      </c>
      <c r="I314" s="22" t="str">
        <f>_xlfn.XLOOKUP(tbl_CONTENT[[#This Row],[Topic]], tbl_TOPIC[Topic], tbl_TOPIC[TopicIndex], "")</f>
        <v>05</v>
      </c>
      <c r="J314" s="22" t="s">
        <v>500</v>
      </c>
      <c r="K314" s="22" t="s">
        <v>559</v>
      </c>
      <c r="L314" s="22" t="s">
        <v>179</v>
      </c>
      <c r="S314" s="35">
        <f>IFERROR(
 (1.907*EXP(1)^(-0.5*tbl_CONTENT[[#This Row],[Layer]])) *
 ((tbl_CONTENT[[#This Row],[RelInt]]-1)^(2.5)*4^(1-2.5)+1) +
 ((tbl_CONTENT[[#This Row],[Comp]]-1)^(2.5)*4^(1-2.5)+1)*(0.5*((tbl_CONTENT[[#This Row],[RelInt]]-1)/4)^(2.5)+1),
 0
)</f>
        <v>0</v>
      </c>
      <c r="T314" s="35">
        <f>IFERROR(
 (1.907*EXP(1)^(-0.5*VALUE(tbl_CONTENT[[#This Row],[Layer]]))) *
 ((VALUE(tbl_CONTENT[[#This Row],[RelId]])-1)^(2.5)*4^(1-2.5)+1) +
 ((VALUE(tbl_CONTENT[[#This Row],[Comp]])-1)^(2.5)*4^(1-2.5)+1)*(0.5*((VALUE(tbl_CONTENT[[#This Row],[RelId]])-1)/4)^(2.5)+1),
 0
)</f>
        <v>0</v>
      </c>
      <c r="W314" s="22" t="str">
        <f>IFERROR(
  IF(_xlfn.XLOOKUP(tbl_CONTENT[[#This Row],[Topic]], tbl_TOPIC[Topic], tbl_TOPIC[ParentTopic])="", "",
       _xlfn.XLOOKUP(tbl_CONTENT[[#This Row],[Topic]], tbl_TOPIC[Topic], tbl_TOPIC[ParentTopic])),
  ""
)</f>
        <v/>
      </c>
      <c r="X314" s="22" t="str">
        <f>IFERROR(
  IF(_xlfn.XLOOKUP(tbl_CONTENT[[#This Row],[Topic]], tbl_TOPIC[Topic], tbl_TOPIC[TopicPath])="", "",
       _xlfn.XLOOKUP(tbl_CONTENT[[#This Row],[Topic]], tbl_TOPIC[Topic], tbl_TOPIC[TopicPath])),
  ""
)</f>
        <v>Riemannische Mannigfaltigkeiten</v>
      </c>
    </row>
    <row r="315" spans="3:24" ht="17" x14ac:dyDescent="0.2">
      <c r="C315" s="22" t="str">
        <f>_xlfn.XLOOKUP(tbl_CONTENT[[#This Row],[TopicID]], tbl_TOPIC[TopicID], tbl_TOPIC[Subject], "")</f>
        <v>RG</v>
      </c>
      <c r="D3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RG-T12-05-18</v>
      </c>
      <c r="E315" s="22">
        <f>ROW()</f>
        <v>315</v>
      </c>
      <c r="F315" s="22" t="s">
        <v>1051</v>
      </c>
      <c r="G315" s="22" t="str">
        <f>_xlfn.XLOOKUP(tbl_CONTENT[[#This Row],[Topic]], tbl_TOPIC[Topic], tbl_TOPIC[TopicID], "")</f>
        <v>RG-1-05</v>
      </c>
      <c r="H315" s="22" cm="1">
        <f t="array" ref="H315">SUM((tbl_CONTENT[[#This Row],[TopicID]]=INDEX(tbl_CONTENT[TopicID],1):tbl_CONTENT[[#This Row],[TopicID]])*1)</f>
        <v>18</v>
      </c>
      <c r="I315" s="22" t="str">
        <f>_xlfn.XLOOKUP(tbl_CONTENT[[#This Row],[Topic]], tbl_TOPIC[Topic], tbl_TOPIC[TopicIndex], "")</f>
        <v>05</v>
      </c>
      <c r="J315" s="22" t="s">
        <v>500</v>
      </c>
      <c r="K315" s="22" t="s">
        <v>560</v>
      </c>
      <c r="L315" s="22" t="s">
        <v>152</v>
      </c>
      <c r="S315" s="35">
        <f>IFERROR(
 (1.907*EXP(1)^(-0.5*tbl_CONTENT[[#This Row],[Layer]])) *
 ((tbl_CONTENT[[#This Row],[RelInt]]-1)^(2.5)*4^(1-2.5)+1) +
 ((tbl_CONTENT[[#This Row],[Comp]]-1)^(2.5)*4^(1-2.5)+1)*(0.5*((tbl_CONTENT[[#This Row],[RelInt]]-1)/4)^(2.5)+1),
 0
)</f>
        <v>0</v>
      </c>
      <c r="T315" s="35">
        <f>IFERROR(
 (1.907*EXP(1)^(-0.5*VALUE(tbl_CONTENT[[#This Row],[Layer]]))) *
 ((VALUE(tbl_CONTENT[[#This Row],[RelId]])-1)^(2.5)*4^(1-2.5)+1) +
 ((VALUE(tbl_CONTENT[[#This Row],[Comp]])-1)^(2.5)*4^(1-2.5)+1)*(0.5*((VALUE(tbl_CONTENT[[#This Row],[RelId]])-1)/4)^(2.5)+1),
 0
)</f>
        <v>0</v>
      </c>
      <c r="W315" s="22" t="str">
        <f>IFERROR(
  IF(_xlfn.XLOOKUP(tbl_CONTENT[[#This Row],[Topic]], tbl_TOPIC[Topic], tbl_TOPIC[ParentTopic])="", "",
       _xlfn.XLOOKUP(tbl_CONTENT[[#This Row],[Topic]], tbl_TOPIC[Topic], tbl_TOPIC[ParentTopic])),
  ""
)</f>
        <v/>
      </c>
      <c r="X315" s="22" t="str">
        <f>IFERROR(
  IF(_xlfn.XLOOKUP(tbl_CONTENT[[#This Row],[Topic]], tbl_TOPIC[Topic], tbl_TOPIC[TopicPath])="", "",
       _xlfn.XLOOKUP(tbl_CONTENT[[#This Row],[Topic]], tbl_TOPIC[Topic], tbl_TOPIC[TopicPath])),
  ""
)</f>
        <v>Riemannische Mannigfaltigkeiten</v>
      </c>
    </row>
    <row r="316" spans="3:24" ht="17" x14ac:dyDescent="0.2">
      <c r="C316" s="22" t="str">
        <f>_xlfn.XLOOKUP(tbl_CONTENT[[#This Row],[TopicID]], tbl_TOPIC[TopicID], tbl_TOPIC[Subject], "")</f>
        <v>RG</v>
      </c>
      <c r="D3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RG-T12-05-19</v>
      </c>
      <c r="E316" s="22">
        <f>ROW()</f>
        <v>316</v>
      </c>
      <c r="F316" s="22" t="s">
        <v>1051</v>
      </c>
      <c r="G316" s="22" t="str">
        <f>_xlfn.XLOOKUP(tbl_CONTENT[[#This Row],[Topic]], tbl_TOPIC[Topic], tbl_TOPIC[TopicID], "")</f>
        <v>RG-1-05</v>
      </c>
      <c r="H316" s="22" cm="1">
        <f t="array" ref="H316">SUM((tbl_CONTENT[[#This Row],[TopicID]]=INDEX(tbl_CONTENT[TopicID],1):tbl_CONTENT[[#This Row],[TopicID]])*1)</f>
        <v>19</v>
      </c>
      <c r="I316" s="22" t="str">
        <f>_xlfn.XLOOKUP(tbl_CONTENT[[#This Row],[Topic]], tbl_TOPIC[Topic], tbl_TOPIC[TopicIndex], "")</f>
        <v>05</v>
      </c>
      <c r="J316" s="22" t="s">
        <v>500</v>
      </c>
      <c r="K316" s="22" t="s">
        <v>561</v>
      </c>
      <c r="L316" s="22" t="s">
        <v>179</v>
      </c>
      <c r="S316" s="35">
        <f>IFERROR(
 (1.907*EXP(1)^(-0.5*tbl_CONTENT[[#This Row],[Layer]])) *
 ((tbl_CONTENT[[#This Row],[RelInt]]-1)^(2.5)*4^(1-2.5)+1) +
 ((tbl_CONTENT[[#This Row],[Comp]]-1)^(2.5)*4^(1-2.5)+1)*(0.5*((tbl_CONTENT[[#This Row],[RelInt]]-1)/4)^(2.5)+1),
 0
)</f>
        <v>0</v>
      </c>
      <c r="T316" s="35">
        <f>IFERROR(
 (1.907*EXP(1)^(-0.5*VALUE(tbl_CONTENT[[#This Row],[Layer]]))) *
 ((VALUE(tbl_CONTENT[[#This Row],[RelId]])-1)^(2.5)*4^(1-2.5)+1) +
 ((VALUE(tbl_CONTENT[[#This Row],[Comp]])-1)^(2.5)*4^(1-2.5)+1)*(0.5*((VALUE(tbl_CONTENT[[#This Row],[RelId]])-1)/4)^(2.5)+1),
 0
)</f>
        <v>0</v>
      </c>
      <c r="W316" s="22" t="str">
        <f>IFERROR(
  IF(_xlfn.XLOOKUP(tbl_CONTENT[[#This Row],[Topic]], tbl_TOPIC[Topic], tbl_TOPIC[ParentTopic])="", "",
       _xlfn.XLOOKUP(tbl_CONTENT[[#This Row],[Topic]], tbl_TOPIC[Topic], tbl_TOPIC[ParentTopic])),
  ""
)</f>
        <v/>
      </c>
      <c r="X316" s="22" t="str">
        <f>IFERROR(
  IF(_xlfn.XLOOKUP(tbl_CONTENT[[#This Row],[Topic]], tbl_TOPIC[Topic], tbl_TOPIC[TopicPath])="", "",
       _xlfn.XLOOKUP(tbl_CONTENT[[#This Row],[Topic]], tbl_TOPIC[Topic], tbl_TOPIC[TopicPath])),
  ""
)</f>
        <v>Riemannische Mannigfaltigkeiten</v>
      </c>
    </row>
    <row r="317" spans="3:24" ht="17" x14ac:dyDescent="0.2">
      <c r="C317" s="22" t="str">
        <f>_xlfn.XLOOKUP(tbl_CONTENT[[#This Row],[TopicID]], tbl_TOPIC[TopicID], tbl_TOPIC[Subject], "")</f>
        <v>RG</v>
      </c>
      <c r="D3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RG-T12-05-20</v>
      </c>
      <c r="E317" s="22">
        <f>ROW()</f>
        <v>317</v>
      </c>
      <c r="F317" s="22" t="s">
        <v>1051</v>
      </c>
      <c r="G317" s="22" t="str">
        <f>_xlfn.XLOOKUP(tbl_CONTENT[[#This Row],[Topic]], tbl_TOPIC[Topic], tbl_TOPIC[TopicID], "")</f>
        <v>RG-1-05</v>
      </c>
      <c r="H317" s="22" cm="1">
        <f t="array" ref="H317">SUM((tbl_CONTENT[[#This Row],[TopicID]]=INDEX(tbl_CONTENT[TopicID],1):tbl_CONTENT[[#This Row],[TopicID]])*1)</f>
        <v>20</v>
      </c>
      <c r="I317" s="22" t="str">
        <f>_xlfn.XLOOKUP(tbl_CONTENT[[#This Row],[Topic]], tbl_TOPIC[Topic], tbl_TOPIC[TopicIndex], "")</f>
        <v>05</v>
      </c>
      <c r="J317" s="22" t="s">
        <v>500</v>
      </c>
      <c r="K317" s="22" t="s">
        <v>562</v>
      </c>
      <c r="L317" s="22" t="s">
        <v>179</v>
      </c>
      <c r="S317" s="35">
        <f>IFERROR(
 (1.907*EXP(1)^(-0.5*tbl_CONTENT[[#This Row],[Layer]])) *
 ((tbl_CONTENT[[#This Row],[RelInt]]-1)^(2.5)*4^(1-2.5)+1) +
 ((tbl_CONTENT[[#This Row],[Comp]]-1)^(2.5)*4^(1-2.5)+1)*(0.5*((tbl_CONTENT[[#This Row],[RelInt]]-1)/4)^(2.5)+1),
 0
)</f>
        <v>0</v>
      </c>
      <c r="T317" s="35">
        <f>IFERROR(
 (1.907*EXP(1)^(-0.5*VALUE(tbl_CONTENT[[#This Row],[Layer]]))) *
 ((VALUE(tbl_CONTENT[[#This Row],[RelId]])-1)^(2.5)*4^(1-2.5)+1) +
 ((VALUE(tbl_CONTENT[[#This Row],[Comp]])-1)^(2.5)*4^(1-2.5)+1)*(0.5*((VALUE(tbl_CONTENT[[#This Row],[RelId]])-1)/4)^(2.5)+1),
 0
)</f>
        <v>0</v>
      </c>
      <c r="W317" s="22" t="str">
        <f>IFERROR(
  IF(_xlfn.XLOOKUP(tbl_CONTENT[[#This Row],[Topic]], tbl_TOPIC[Topic], tbl_TOPIC[ParentTopic])="", "",
       _xlfn.XLOOKUP(tbl_CONTENT[[#This Row],[Topic]], tbl_TOPIC[Topic], tbl_TOPIC[ParentTopic])),
  ""
)</f>
        <v/>
      </c>
      <c r="X317" s="22" t="str">
        <f>IFERROR(
  IF(_xlfn.XLOOKUP(tbl_CONTENT[[#This Row],[Topic]], tbl_TOPIC[Topic], tbl_TOPIC[TopicPath])="", "",
       _xlfn.XLOOKUP(tbl_CONTENT[[#This Row],[Topic]], tbl_TOPIC[Topic], tbl_TOPIC[TopicPath])),
  ""
)</f>
        <v>Riemannische Mannigfaltigkeiten</v>
      </c>
    </row>
    <row r="318" spans="3:24" ht="34" x14ac:dyDescent="0.2">
      <c r="C318" s="22" t="str">
        <f>_xlfn.XLOOKUP(tbl_CONTENT[[#This Row],[TopicID]], tbl_TOPIC[TopicID], tbl_TOPIC[Subject], "")</f>
        <v>RG</v>
      </c>
      <c r="D3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RG-T12-05-21</v>
      </c>
      <c r="E318" s="22">
        <f>ROW()</f>
        <v>318</v>
      </c>
      <c r="F318" s="22" t="s">
        <v>1051</v>
      </c>
      <c r="G318" s="22" t="str">
        <f>_xlfn.XLOOKUP(tbl_CONTENT[[#This Row],[Topic]], tbl_TOPIC[Topic], tbl_TOPIC[TopicID], "")</f>
        <v>RG-1-05</v>
      </c>
      <c r="H318" s="22" cm="1">
        <f t="array" ref="H318">SUM((tbl_CONTENT[[#This Row],[TopicID]]=INDEX(tbl_CONTENT[TopicID],1):tbl_CONTENT[[#This Row],[TopicID]])*1)</f>
        <v>21</v>
      </c>
      <c r="I318" s="22" t="str">
        <f>_xlfn.XLOOKUP(tbl_CONTENT[[#This Row],[Topic]], tbl_TOPIC[Topic], tbl_TOPIC[TopicIndex], "")</f>
        <v>05</v>
      </c>
      <c r="J318" s="22" t="s">
        <v>500</v>
      </c>
      <c r="K318" s="22" t="s">
        <v>563</v>
      </c>
      <c r="L318" s="22" t="s">
        <v>151</v>
      </c>
      <c r="S318" s="35">
        <f>IFERROR(
 (1.907*EXP(1)^(-0.5*tbl_CONTENT[[#This Row],[Layer]])) *
 ((tbl_CONTENT[[#This Row],[RelInt]]-1)^(2.5)*4^(1-2.5)+1) +
 ((tbl_CONTENT[[#This Row],[Comp]]-1)^(2.5)*4^(1-2.5)+1)*(0.5*((tbl_CONTENT[[#This Row],[RelInt]]-1)/4)^(2.5)+1),
 0
)</f>
        <v>0</v>
      </c>
      <c r="T318" s="35">
        <f>IFERROR(
 (1.907*EXP(1)^(-0.5*VALUE(tbl_CONTENT[[#This Row],[Layer]]))) *
 ((VALUE(tbl_CONTENT[[#This Row],[RelId]])-1)^(2.5)*4^(1-2.5)+1) +
 ((VALUE(tbl_CONTENT[[#This Row],[Comp]])-1)^(2.5)*4^(1-2.5)+1)*(0.5*((VALUE(tbl_CONTENT[[#This Row],[RelId]])-1)/4)^(2.5)+1),
 0
)</f>
        <v>0</v>
      </c>
      <c r="W318" s="22" t="str">
        <f>IFERROR(
  IF(_xlfn.XLOOKUP(tbl_CONTENT[[#This Row],[Topic]], tbl_TOPIC[Topic], tbl_TOPIC[ParentTopic])="", "",
       _xlfn.XLOOKUP(tbl_CONTENT[[#This Row],[Topic]], tbl_TOPIC[Topic], tbl_TOPIC[ParentTopic])),
  ""
)</f>
        <v/>
      </c>
      <c r="X318" s="22" t="str">
        <f>IFERROR(
  IF(_xlfn.XLOOKUP(tbl_CONTENT[[#This Row],[Topic]], tbl_TOPIC[Topic], tbl_TOPIC[TopicPath])="", "",
       _xlfn.XLOOKUP(tbl_CONTENT[[#This Row],[Topic]], tbl_TOPIC[Topic], tbl_TOPIC[TopicPath])),
  ""
)</f>
        <v>Riemannische Mannigfaltigkeiten</v>
      </c>
    </row>
    <row r="319" spans="3:24" ht="17" x14ac:dyDescent="0.2">
      <c r="C319" s="22" t="str">
        <f>_xlfn.XLOOKUP(tbl_CONTENT[[#This Row],[TopicID]], tbl_TOPIC[TopicID], tbl_TOPIC[Subject], "")</f>
        <v>RG</v>
      </c>
      <c r="D3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RG-T12-05-22</v>
      </c>
      <c r="E319" s="22">
        <f>ROW()</f>
        <v>319</v>
      </c>
      <c r="F319" s="22" t="s">
        <v>1051</v>
      </c>
      <c r="G319" s="22" t="str">
        <f>_xlfn.XLOOKUP(tbl_CONTENT[[#This Row],[Topic]], tbl_TOPIC[Topic], tbl_TOPIC[TopicID], "")</f>
        <v>RG-1-05</v>
      </c>
      <c r="H319" s="22" cm="1">
        <f t="array" ref="H319">SUM((tbl_CONTENT[[#This Row],[TopicID]]=INDEX(tbl_CONTENT[TopicID],1):tbl_CONTENT[[#This Row],[TopicID]])*1)</f>
        <v>22</v>
      </c>
      <c r="I319" s="22" t="str">
        <f>_xlfn.XLOOKUP(tbl_CONTENT[[#This Row],[Topic]], tbl_TOPIC[Topic], tbl_TOPIC[TopicIndex], "")</f>
        <v>05</v>
      </c>
      <c r="J319" s="22" t="s">
        <v>500</v>
      </c>
      <c r="K319" s="22" t="s">
        <v>564</v>
      </c>
      <c r="L319" s="22" t="s">
        <v>179</v>
      </c>
      <c r="S319" s="35">
        <f>IFERROR(
 (1.907*EXP(1)^(-0.5*tbl_CONTENT[[#This Row],[Layer]])) *
 ((tbl_CONTENT[[#This Row],[RelInt]]-1)^(2.5)*4^(1-2.5)+1) +
 ((tbl_CONTENT[[#This Row],[Comp]]-1)^(2.5)*4^(1-2.5)+1)*(0.5*((tbl_CONTENT[[#This Row],[RelInt]]-1)/4)^(2.5)+1),
 0
)</f>
        <v>0</v>
      </c>
      <c r="T319" s="35">
        <f>IFERROR(
 (1.907*EXP(1)^(-0.5*VALUE(tbl_CONTENT[[#This Row],[Layer]]))) *
 ((VALUE(tbl_CONTENT[[#This Row],[RelId]])-1)^(2.5)*4^(1-2.5)+1) +
 ((VALUE(tbl_CONTENT[[#This Row],[Comp]])-1)^(2.5)*4^(1-2.5)+1)*(0.5*((VALUE(tbl_CONTENT[[#This Row],[RelId]])-1)/4)^(2.5)+1),
 0
)</f>
        <v>0</v>
      </c>
      <c r="W319" s="22" t="str">
        <f>IFERROR(
  IF(_xlfn.XLOOKUP(tbl_CONTENT[[#This Row],[Topic]], tbl_TOPIC[Topic], tbl_TOPIC[ParentTopic])="", "",
       _xlfn.XLOOKUP(tbl_CONTENT[[#This Row],[Topic]], tbl_TOPIC[Topic], tbl_TOPIC[ParentTopic])),
  ""
)</f>
        <v/>
      </c>
      <c r="X319" s="22" t="str">
        <f>IFERROR(
  IF(_xlfn.XLOOKUP(tbl_CONTENT[[#This Row],[Topic]], tbl_TOPIC[Topic], tbl_TOPIC[TopicPath])="", "",
       _xlfn.XLOOKUP(tbl_CONTENT[[#This Row],[Topic]], tbl_TOPIC[Topic], tbl_TOPIC[TopicPath])),
  ""
)</f>
        <v>Riemannische Mannigfaltigkeiten</v>
      </c>
    </row>
    <row r="320" spans="3:24" ht="34" x14ac:dyDescent="0.2">
      <c r="C320" s="22" t="str">
        <f>_xlfn.XLOOKUP(tbl_CONTENT[[#This Row],[TopicID]], tbl_TOPIC[TopicID], tbl_TOPIC[Subject], "")</f>
        <v>RG</v>
      </c>
      <c r="D3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RG-T12-07-01</v>
      </c>
      <c r="E320" s="22">
        <f>ROW()</f>
        <v>320</v>
      </c>
      <c r="F320" s="22" t="s">
        <v>1051</v>
      </c>
      <c r="G320" s="22" t="str">
        <f>_xlfn.XLOOKUP(tbl_CONTENT[[#This Row],[Topic]], tbl_TOPIC[Topic], tbl_TOPIC[TopicID], "")</f>
        <v>RG-1-07</v>
      </c>
      <c r="H320" s="22" cm="1">
        <f t="array" ref="H320">SUM((tbl_CONTENT[[#This Row],[TopicID]]=INDEX(tbl_CONTENT[TopicID],1):tbl_CONTENT[[#This Row],[TopicID]])*1)</f>
        <v>1</v>
      </c>
      <c r="I320" s="22" t="str">
        <f>_xlfn.XLOOKUP(tbl_CONTENT[[#This Row],[Topic]], tbl_TOPIC[Topic], tbl_TOPIC[TopicIndex], "")</f>
        <v>07</v>
      </c>
      <c r="J320" s="22" t="s">
        <v>502</v>
      </c>
      <c r="K320" s="22" t="s">
        <v>566</v>
      </c>
      <c r="L320" s="22" t="s">
        <v>565</v>
      </c>
      <c r="S320" s="35">
        <f>IFERROR(
 (1.907*EXP(1)^(-0.5*tbl_CONTENT[[#This Row],[Layer]])) *
 ((tbl_CONTENT[[#This Row],[RelInt]]-1)^(2.5)*4^(1-2.5)+1) +
 ((tbl_CONTENT[[#This Row],[Comp]]-1)^(2.5)*4^(1-2.5)+1)*(0.5*((tbl_CONTENT[[#This Row],[RelInt]]-1)/4)^(2.5)+1),
 0
)</f>
        <v>0</v>
      </c>
      <c r="T320" s="35">
        <f>IFERROR(
 (1.907*EXP(1)^(-0.5*VALUE(tbl_CONTENT[[#This Row],[Layer]]))) *
 ((VALUE(tbl_CONTENT[[#This Row],[RelId]])-1)^(2.5)*4^(1-2.5)+1) +
 ((VALUE(tbl_CONTENT[[#This Row],[Comp]])-1)^(2.5)*4^(1-2.5)+1)*(0.5*((VALUE(tbl_CONTENT[[#This Row],[RelId]])-1)/4)^(2.5)+1),
 0
)</f>
        <v>0</v>
      </c>
      <c r="W320" s="22" t="str">
        <f>IFERROR(
  IF(_xlfn.XLOOKUP(tbl_CONTENT[[#This Row],[Topic]], tbl_TOPIC[Topic], tbl_TOPIC[ParentTopic])="", "",
       _xlfn.XLOOKUP(tbl_CONTENT[[#This Row],[Topic]], tbl_TOPIC[Topic], tbl_TOPIC[ParentTopic])),
  ""
)</f>
        <v>Riemannische Mannigfaltigkeiten</v>
      </c>
      <c r="X320" s="22" t="str">
        <f>IFERROR(
  IF(_xlfn.XLOOKUP(tbl_CONTENT[[#This Row],[Topic]], tbl_TOPIC[Topic], tbl_TOPIC[TopicPath])="", "",
       _xlfn.XLOOKUP(tbl_CONTENT[[#This Row],[Topic]], tbl_TOPIC[Topic], tbl_TOPIC[TopicPath])),
  ""
)</f>
        <v>Riemannische Mannigfaltigkeiten/Levi-Civita Zusammenhang</v>
      </c>
    </row>
    <row r="321" spans="3:24" ht="17" x14ac:dyDescent="0.2">
      <c r="C321" s="22" t="str">
        <f>_xlfn.XLOOKUP(tbl_CONTENT[[#This Row],[TopicID]], tbl_TOPIC[TopicID], tbl_TOPIC[Subject], "")</f>
        <v>RG</v>
      </c>
      <c r="D3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RG-T12-07-02</v>
      </c>
      <c r="E321" s="22">
        <f>ROW()</f>
        <v>321</v>
      </c>
      <c r="F321" s="22" t="s">
        <v>1051</v>
      </c>
      <c r="G321" s="22" t="str">
        <f>_xlfn.XLOOKUP(tbl_CONTENT[[#This Row],[Topic]], tbl_TOPIC[Topic], tbl_TOPIC[TopicID], "")</f>
        <v>RG-1-07</v>
      </c>
      <c r="H321" s="22" cm="1">
        <f t="array" ref="H321">SUM((tbl_CONTENT[[#This Row],[TopicID]]=INDEX(tbl_CONTENT[TopicID],1):tbl_CONTENT[[#This Row],[TopicID]])*1)</f>
        <v>2</v>
      </c>
      <c r="I321" s="22" t="str">
        <f>_xlfn.XLOOKUP(tbl_CONTENT[[#This Row],[Topic]], tbl_TOPIC[Topic], tbl_TOPIC[TopicIndex], "")</f>
        <v>07</v>
      </c>
      <c r="J321" s="22" t="s">
        <v>502</v>
      </c>
      <c r="K321" s="22" t="s">
        <v>567</v>
      </c>
      <c r="L321" s="22" t="s">
        <v>152</v>
      </c>
      <c r="S321" s="35">
        <f>IFERROR(
 (1.907*EXP(1)^(-0.5*tbl_CONTENT[[#This Row],[Layer]])) *
 ((tbl_CONTENT[[#This Row],[RelInt]]-1)^(2.5)*4^(1-2.5)+1) +
 ((tbl_CONTENT[[#This Row],[Comp]]-1)^(2.5)*4^(1-2.5)+1)*(0.5*((tbl_CONTENT[[#This Row],[RelInt]]-1)/4)^(2.5)+1),
 0
)</f>
        <v>0</v>
      </c>
      <c r="T321" s="35">
        <f>IFERROR(
 (1.907*EXP(1)^(-0.5*VALUE(tbl_CONTENT[[#This Row],[Layer]]))) *
 ((VALUE(tbl_CONTENT[[#This Row],[RelId]])-1)^(2.5)*4^(1-2.5)+1) +
 ((VALUE(tbl_CONTENT[[#This Row],[Comp]])-1)^(2.5)*4^(1-2.5)+1)*(0.5*((VALUE(tbl_CONTENT[[#This Row],[RelId]])-1)/4)^(2.5)+1),
 0
)</f>
        <v>0</v>
      </c>
      <c r="W321" s="22" t="str">
        <f>IFERROR(
  IF(_xlfn.XLOOKUP(tbl_CONTENT[[#This Row],[Topic]], tbl_TOPIC[Topic], tbl_TOPIC[ParentTopic])="", "",
       _xlfn.XLOOKUP(tbl_CONTENT[[#This Row],[Topic]], tbl_TOPIC[Topic], tbl_TOPIC[ParentTopic])),
  ""
)</f>
        <v>Riemannische Mannigfaltigkeiten</v>
      </c>
      <c r="X321" s="22" t="str">
        <f>IFERROR(
  IF(_xlfn.XLOOKUP(tbl_CONTENT[[#This Row],[Topic]], tbl_TOPIC[Topic], tbl_TOPIC[TopicPath])="", "",
       _xlfn.XLOOKUP(tbl_CONTENT[[#This Row],[Topic]], tbl_TOPIC[Topic], tbl_TOPIC[TopicPath])),
  ""
)</f>
        <v>Riemannische Mannigfaltigkeiten/Levi-Civita Zusammenhang</v>
      </c>
    </row>
    <row r="322" spans="3:24" ht="34" x14ac:dyDescent="0.2">
      <c r="C322" s="22" t="str">
        <f>_xlfn.XLOOKUP(tbl_CONTENT[[#This Row],[TopicID]], tbl_TOPIC[TopicID], tbl_TOPIC[Subject], "")</f>
        <v>RG</v>
      </c>
      <c r="D3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RG-T12-07-03</v>
      </c>
      <c r="E322" s="22">
        <f>ROW()</f>
        <v>322</v>
      </c>
      <c r="F322" s="22" t="s">
        <v>1051</v>
      </c>
      <c r="G322" s="22" t="str">
        <f>_xlfn.XLOOKUP(tbl_CONTENT[[#This Row],[Topic]], tbl_TOPIC[Topic], tbl_TOPIC[TopicID], "")</f>
        <v>RG-1-07</v>
      </c>
      <c r="H322" s="22" cm="1">
        <f t="array" ref="H322">SUM((tbl_CONTENT[[#This Row],[TopicID]]=INDEX(tbl_CONTENT[TopicID],1):tbl_CONTENT[[#This Row],[TopicID]])*1)</f>
        <v>3</v>
      </c>
      <c r="I322" s="22" t="str">
        <f>_xlfn.XLOOKUP(tbl_CONTENT[[#This Row],[Topic]], tbl_TOPIC[Topic], tbl_TOPIC[TopicIndex], "")</f>
        <v>07</v>
      </c>
      <c r="J322" s="22" t="s">
        <v>502</v>
      </c>
      <c r="K322" s="22" t="s">
        <v>568</v>
      </c>
      <c r="L322" s="22" t="s">
        <v>150</v>
      </c>
      <c r="S322" s="35">
        <f>IFERROR(
 (1.907*EXP(1)^(-0.5*tbl_CONTENT[[#This Row],[Layer]])) *
 ((tbl_CONTENT[[#This Row],[RelInt]]-1)^(2.5)*4^(1-2.5)+1) +
 ((tbl_CONTENT[[#This Row],[Comp]]-1)^(2.5)*4^(1-2.5)+1)*(0.5*((tbl_CONTENT[[#This Row],[RelInt]]-1)/4)^(2.5)+1),
 0
)</f>
        <v>0</v>
      </c>
      <c r="T322" s="35">
        <f>IFERROR(
 (1.907*EXP(1)^(-0.5*VALUE(tbl_CONTENT[[#This Row],[Layer]]))) *
 ((VALUE(tbl_CONTENT[[#This Row],[RelId]])-1)^(2.5)*4^(1-2.5)+1) +
 ((VALUE(tbl_CONTENT[[#This Row],[Comp]])-1)^(2.5)*4^(1-2.5)+1)*(0.5*((VALUE(tbl_CONTENT[[#This Row],[RelId]])-1)/4)^(2.5)+1),
 0
)</f>
        <v>0</v>
      </c>
      <c r="W322" s="22" t="str">
        <f>IFERROR(
  IF(_xlfn.XLOOKUP(tbl_CONTENT[[#This Row],[Topic]], tbl_TOPIC[Topic], tbl_TOPIC[ParentTopic])="", "",
       _xlfn.XLOOKUP(tbl_CONTENT[[#This Row],[Topic]], tbl_TOPIC[Topic], tbl_TOPIC[ParentTopic])),
  ""
)</f>
        <v>Riemannische Mannigfaltigkeiten</v>
      </c>
      <c r="X322" s="22" t="str">
        <f>IFERROR(
  IF(_xlfn.XLOOKUP(tbl_CONTENT[[#This Row],[Topic]], tbl_TOPIC[Topic], tbl_TOPIC[TopicPath])="", "",
       _xlfn.XLOOKUP(tbl_CONTENT[[#This Row],[Topic]], tbl_TOPIC[Topic], tbl_TOPIC[TopicPath])),
  ""
)</f>
        <v>Riemannische Mannigfaltigkeiten/Levi-Civita Zusammenhang</v>
      </c>
    </row>
    <row r="323" spans="3:24" ht="17" x14ac:dyDescent="0.2">
      <c r="C323" s="22" t="str">
        <f>_xlfn.XLOOKUP(tbl_CONTENT[[#This Row],[TopicID]], tbl_TOPIC[TopicID], tbl_TOPIC[Subject], "")</f>
        <v>RG</v>
      </c>
      <c r="D3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RG-T12-07-04</v>
      </c>
      <c r="E323" s="22">
        <f>ROW()</f>
        <v>323</v>
      </c>
      <c r="F323" s="22" t="s">
        <v>1051</v>
      </c>
      <c r="G323" s="22" t="str">
        <f>_xlfn.XLOOKUP(tbl_CONTENT[[#This Row],[Topic]], tbl_TOPIC[Topic], tbl_TOPIC[TopicID], "")</f>
        <v>RG-1-07</v>
      </c>
      <c r="H323" s="22" cm="1">
        <f t="array" ref="H323">SUM((tbl_CONTENT[[#This Row],[TopicID]]=INDEX(tbl_CONTENT[TopicID],1):tbl_CONTENT[[#This Row],[TopicID]])*1)</f>
        <v>4</v>
      </c>
      <c r="I323" s="22" t="str">
        <f>_xlfn.XLOOKUP(tbl_CONTENT[[#This Row],[Topic]], tbl_TOPIC[Topic], tbl_TOPIC[TopicIndex], "")</f>
        <v>07</v>
      </c>
      <c r="J323" s="22" t="s">
        <v>502</v>
      </c>
      <c r="K323" s="22" t="s">
        <v>570</v>
      </c>
      <c r="L323" s="22" t="s">
        <v>152</v>
      </c>
      <c r="S323" s="35">
        <f>IFERROR(
 (1.907*EXP(1)^(-0.5*tbl_CONTENT[[#This Row],[Layer]])) *
 ((tbl_CONTENT[[#This Row],[RelInt]]-1)^(2.5)*4^(1-2.5)+1) +
 ((tbl_CONTENT[[#This Row],[Comp]]-1)^(2.5)*4^(1-2.5)+1)*(0.5*((tbl_CONTENT[[#This Row],[RelInt]]-1)/4)^(2.5)+1),
 0
)</f>
        <v>0</v>
      </c>
      <c r="T323" s="35">
        <f>IFERROR(
 (1.907*EXP(1)^(-0.5*VALUE(tbl_CONTENT[[#This Row],[Layer]]))) *
 ((VALUE(tbl_CONTENT[[#This Row],[RelId]])-1)^(2.5)*4^(1-2.5)+1) +
 ((VALUE(tbl_CONTENT[[#This Row],[Comp]])-1)^(2.5)*4^(1-2.5)+1)*(0.5*((VALUE(tbl_CONTENT[[#This Row],[RelId]])-1)/4)^(2.5)+1),
 0
)</f>
        <v>0</v>
      </c>
      <c r="W323" s="22" t="str">
        <f>IFERROR(
  IF(_xlfn.XLOOKUP(tbl_CONTENT[[#This Row],[Topic]], tbl_TOPIC[Topic], tbl_TOPIC[ParentTopic])="", "",
       _xlfn.XLOOKUP(tbl_CONTENT[[#This Row],[Topic]], tbl_TOPIC[Topic], tbl_TOPIC[ParentTopic])),
  ""
)</f>
        <v>Riemannische Mannigfaltigkeiten</v>
      </c>
      <c r="X323" s="22" t="str">
        <f>IFERROR(
  IF(_xlfn.XLOOKUP(tbl_CONTENT[[#This Row],[Topic]], tbl_TOPIC[Topic], tbl_TOPIC[TopicPath])="", "",
       _xlfn.XLOOKUP(tbl_CONTENT[[#This Row],[Topic]], tbl_TOPIC[Topic], tbl_TOPIC[TopicPath])),
  ""
)</f>
        <v>Riemannische Mannigfaltigkeiten/Levi-Civita Zusammenhang</v>
      </c>
    </row>
    <row r="324" spans="3:24" ht="34" x14ac:dyDescent="0.2">
      <c r="C324" s="22" t="str">
        <f>_xlfn.XLOOKUP(tbl_CONTENT[[#This Row],[TopicID]], tbl_TOPIC[TopicID], tbl_TOPIC[Subject], "")</f>
        <v>RG</v>
      </c>
      <c r="D3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RG-T12-07-05</v>
      </c>
      <c r="E324" s="22">
        <f>ROW()</f>
        <v>324</v>
      </c>
      <c r="F324" s="22" t="s">
        <v>1051</v>
      </c>
      <c r="G324" s="22" t="str">
        <f>_xlfn.XLOOKUP(tbl_CONTENT[[#This Row],[Topic]], tbl_TOPIC[Topic], tbl_TOPIC[TopicID], "")</f>
        <v>RG-1-07</v>
      </c>
      <c r="H324" s="22" cm="1">
        <f t="array" ref="H324">SUM((tbl_CONTENT[[#This Row],[TopicID]]=INDEX(tbl_CONTENT[TopicID],1):tbl_CONTENT[[#This Row],[TopicID]])*1)</f>
        <v>5</v>
      </c>
      <c r="I324" s="22" t="str">
        <f>_xlfn.XLOOKUP(tbl_CONTENT[[#This Row],[Topic]], tbl_TOPIC[Topic], tbl_TOPIC[TopicIndex], "")</f>
        <v>07</v>
      </c>
      <c r="J324" s="22" t="s">
        <v>502</v>
      </c>
      <c r="K324" s="22" t="s">
        <v>569</v>
      </c>
      <c r="L324" s="22" t="s">
        <v>152</v>
      </c>
      <c r="S324" s="35">
        <f>IFERROR(
 (1.907*EXP(1)^(-0.5*tbl_CONTENT[[#This Row],[Layer]])) *
 ((tbl_CONTENT[[#This Row],[RelInt]]-1)^(2.5)*4^(1-2.5)+1) +
 ((tbl_CONTENT[[#This Row],[Comp]]-1)^(2.5)*4^(1-2.5)+1)*(0.5*((tbl_CONTENT[[#This Row],[RelInt]]-1)/4)^(2.5)+1),
 0
)</f>
        <v>0</v>
      </c>
      <c r="T324" s="35">
        <f>IFERROR(
 (1.907*EXP(1)^(-0.5*VALUE(tbl_CONTENT[[#This Row],[Layer]]))) *
 ((VALUE(tbl_CONTENT[[#This Row],[RelId]])-1)^(2.5)*4^(1-2.5)+1) +
 ((VALUE(tbl_CONTENT[[#This Row],[Comp]])-1)^(2.5)*4^(1-2.5)+1)*(0.5*((VALUE(tbl_CONTENT[[#This Row],[RelId]])-1)/4)^(2.5)+1),
 0
)</f>
        <v>0</v>
      </c>
      <c r="W324" s="22" t="str">
        <f>IFERROR(
  IF(_xlfn.XLOOKUP(tbl_CONTENT[[#This Row],[Topic]], tbl_TOPIC[Topic], tbl_TOPIC[ParentTopic])="", "",
       _xlfn.XLOOKUP(tbl_CONTENT[[#This Row],[Topic]], tbl_TOPIC[Topic], tbl_TOPIC[ParentTopic])),
  ""
)</f>
        <v>Riemannische Mannigfaltigkeiten</v>
      </c>
      <c r="X324" s="22" t="str">
        <f>IFERROR(
  IF(_xlfn.XLOOKUP(tbl_CONTENT[[#This Row],[Topic]], tbl_TOPIC[Topic], tbl_TOPIC[TopicPath])="", "",
       _xlfn.XLOOKUP(tbl_CONTENT[[#This Row],[Topic]], tbl_TOPIC[Topic], tbl_TOPIC[TopicPath])),
  ""
)</f>
        <v>Riemannische Mannigfaltigkeiten/Levi-Civita Zusammenhang</v>
      </c>
    </row>
    <row r="325" spans="3:24" ht="34" x14ac:dyDescent="0.2">
      <c r="C325" s="22" t="str">
        <f>_xlfn.XLOOKUP(tbl_CONTENT[[#This Row],[TopicID]], tbl_TOPIC[TopicID], tbl_TOPIC[Subject], "")</f>
        <v>RG</v>
      </c>
      <c r="D3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RG-T12-07-06</v>
      </c>
      <c r="E325" s="22">
        <f>ROW()</f>
        <v>325</v>
      </c>
      <c r="F325" s="22" t="s">
        <v>1051</v>
      </c>
      <c r="G325" s="22" t="str">
        <f>_xlfn.XLOOKUP(tbl_CONTENT[[#This Row],[Topic]], tbl_TOPIC[Topic], tbl_TOPIC[TopicID], "")</f>
        <v>RG-1-07</v>
      </c>
      <c r="H325" s="22" cm="1">
        <f t="array" ref="H325">SUM((tbl_CONTENT[[#This Row],[TopicID]]=INDEX(tbl_CONTENT[TopicID],1):tbl_CONTENT[[#This Row],[TopicID]])*1)</f>
        <v>6</v>
      </c>
      <c r="I325" s="22" t="str">
        <f>_xlfn.XLOOKUP(tbl_CONTENT[[#This Row],[Topic]], tbl_TOPIC[Topic], tbl_TOPIC[TopicIndex], "")</f>
        <v>07</v>
      </c>
      <c r="J325" s="22" t="s">
        <v>502</v>
      </c>
      <c r="K325" s="22" t="s">
        <v>993</v>
      </c>
      <c r="L325" s="22" t="s">
        <v>147</v>
      </c>
      <c r="S325" s="35">
        <f>IFERROR(
 (1.907*EXP(1)^(-0.5*tbl_CONTENT[[#This Row],[Layer]])) *
 ((tbl_CONTENT[[#This Row],[RelInt]]-1)^(2.5)*4^(1-2.5)+1) +
 ((tbl_CONTENT[[#This Row],[Comp]]-1)^(2.5)*4^(1-2.5)+1)*(0.5*((tbl_CONTENT[[#This Row],[RelInt]]-1)/4)^(2.5)+1),
 0
)</f>
        <v>0</v>
      </c>
      <c r="T325" s="35">
        <f>IFERROR(
 (1.907*EXP(1)^(-0.5*VALUE(tbl_CONTENT[[#This Row],[Layer]]))) *
 ((VALUE(tbl_CONTENT[[#This Row],[RelId]])-1)^(2.5)*4^(1-2.5)+1) +
 ((VALUE(tbl_CONTENT[[#This Row],[Comp]])-1)^(2.5)*4^(1-2.5)+1)*(0.5*((VALUE(tbl_CONTENT[[#This Row],[RelId]])-1)/4)^(2.5)+1),
 0
)</f>
        <v>0</v>
      </c>
      <c r="W325" s="22" t="str">
        <f>IFERROR(
  IF(_xlfn.XLOOKUP(tbl_CONTENT[[#This Row],[Topic]], tbl_TOPIC[Topic], tbl_TOPIC[ParentTopic])="", "",
       _xlfn.XLOOKUP(tbl_CONTENT[[#This Row],[Topic]], tbl_TOPIC[Topic], tbl_TOPIC[ParentTopic])),
  ""
)</f>
        <v>Riemannische Mannigfaltigkeiten</v>
      </c>
      <c r="X325" s="22" t="str">
        <f>IFERROR(
  IF(_xlfn.XLOOKUP(tbl_CONTENT[[#This Row],[Topic]], tbl_TOPIC[Topic], tbl_TOPIC[TopicPath])="", "",
       _xlfn.XLOOKUP(tbl_CONTENT[[#This Row],[Topic]], tbl_TOPIC[Topic], tbl_TOPIC[TopicPath])),
  ""
)</f>
        <v>Riemannische Mannigfaltigkeiten/Levi-Civita Zusammenhang</v>
      </c>
    </row>
    <row r="326" spans="3:24" ht="34" x14ac:dyDescent="0.2">
      <c r="C326" s="22" t="str">
        <f>_xlfn.XLOOKUP(tbl_CONTENT[[#This Row],[TopicID]], tbl_TOPIC[TopicID], tbl_TOPIC[Subject], "")</f>
        <v>RG</v>
      </c>
      <c r="D3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RG-T12-07-07</v>
      </c>
      <c r="E326" s="22">
        <f>ROW()</f>
        <v>326</v>
      </c>
      <c r="F326" s="22" t="s">
        <v>1051</v>
      </c>
      <c r="G326" s="22" t="str">
        <f>_xlfn.XLOOKUP(tbl_CONTENT[[#This Row],[Topic]], tbl_TOPIC[Topic], tbl_TOPIC[TopicID], "")</f>
        <v>RG-1-07</v>
      </c>
      <c r="H326" s="22" cm="1">
        <f t="array" ref="H326">SUM((tbl_CONTENT[[#This Row],[TopicID]]=INDEX(tbl_CONTENT[TopicID],1):tbl_CONTENT[[#This Row],[TopicID]])*1)</f>
        <v>7</v>
      </c>
      <c r="I326" s="22" t="str">
        <f>_xlfn.XLOOKUP(tbl_CONTENT[[#This Row],[Topic]], tbl_TOPIC[Topic], tbl_TOPIC[TopicIndex], "")</f>
        <v>07</v>
      </c>
      <c r="J326" s="22" t="s">
        <v>502</v>
      </c>
      <c r="K326" s="22" t="s">
        <v>571</v>
      </c>
      <c r="L326" s="22" t="s">
        <v>149</v>
      </c>
      <c r="S326" s="35">
        <f>IFERROR(
 (1.907*EXP(1)^(-0.5*tbl_CONTENT[[#This Row],[Layer]])) *
 ((tbl_CONTENT[[#This Row],[RelInt]]-1)^(2.5)*4^(1-2.5)+1) +
 ((tbl_CONTENT[[#This Row],[Comp]]-1)^(2.5)*4^(1-2.5)+1)*(0.5*((tbl_CONTENT[[#This Row],[RelInt]]-1)/4)^(2.5)+1),
 0
)</f>
        <v>0</v>
      </c>
      <c r="T326" s="35">
        <f>IFERROR(
 (1.907*EXP(1)^(-0.5*VALUE(tbl_CONTENT[[#This Row],[Layer]]))) *
 ((VALUE(tbl_CONTENT[[#This Row],[RelId]])-1)^(2.5)*4^(1-2.5)+1) +
 ((VALUE(tbl_CONTENT[[#This Row],[Comp]])-1)^(2.5)*4^(1-2.5)+1)*(0.5*((VALUE(tbl_CONTENT[[#This Row],[RelId]])-1)/4)^(2.5)+1),
 0
)</f>
        <v>0</v>
      </c>
      <c r="W326" s="22" t="str">
        <f>IFERROR(
  IF(_xlfn.XLOOKUP(tbl_CONTENT[[#This Row],[Topic]], tbl_TOPIC[Topic], tbl_TOPIC[ParentTopic])="", "",
       _xlfn.XLOOKUP(tbl_CONTENT[[#This Row],[Topic]], tbl_TOPIC[Topic], tbl_TOPIC[ParentTopic])),
  ""
)</f>
        <v>Riemannische Mannigfaltigkeiten</v>
      </c>
      <c r="X326" s="22" t="str">
        <f>IFERROR(
  IF(_xlfn.XLOOKUP(tbl_CONTENT[[#This Row],[Topic]], tbl_TOPIC[Topic], tbl_TOPIC[TopicPath])="", "",
       _xlfn.XLOOKUP(tbl_CONTENT[[#This Row],[Topic]], tbl_TOPIC[Topic], tbl_TOPIC[TopicPath])),
  ""
)</f>
        <v>Riemannische Mannigfaltigkeiten/Levi-Civita Zusammenhang</v>
      </c>
    </row>
    <row r="327" spans="3:24" ht="34" x14ac:dyDescent="0.2">
      <c r="C327" s="22" t="str">
        <f>_xlfn.XLOOKUP(tbl_CONTENT[[#This Row],[TopicID]], tbl_TOPIC[TopicID], tbl_TOPIC[Subject], "")</f>
        <v>RG</v>
      </c>
      <c r="D3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RG-T12-07-08</v>
      </c>
      <c r="E327" s="22">
        <f>ROW()</f>
        <v>327</v>
      </c>
      <c r="F327" s="22" t="s">
        <v>1051</v>
      </c>
      <c r="G327" s="22" t="str">
        <f>_xlfn.XLOOKUP(tbl_CONTENT[[#This Row],[Topic]], tbl_TOPIC[Topic], tbl_TOPIC[TopicID], "")</f>
        <v>RG-1-07</v>
      </c>
      <c r="H327" s="22" cm="1">
        <f t="array" ref="H327">SUM((tbl_CONTENT[[#This Row],[TopicID]]=INDEX(tbl_CONTENT[TopicID],1):tbl_CONTENT[[#This Row],[TopicID]])*1)</f>
        <v>8</v>
      </c>
      <c r="I327" s="22" t="str">
        <f>_xlfn.XLOOKUP(tbl_CONTENT[[#This Row],[Topic]], tbl_TOPIC[Topic], tbl_TOPIC[TopicIndex], "")</f>
        <v>07</v>
      </c>
      <c r="J327" s="22" t="s">
        <v>502</v>
      </c>
      <c r="K327" s="22" t="s">
        <v>572</v>
      </c>
      <c r="L327" s="22" t="s">
        <v>179</v>
      </c>
      <c r="S327" s="35">
        <f>IFERROR(
 (1.907*EXP(1)^(-0.5*tbl_CONTENT[[#This Row],[Layer]])) *
 ((tbl_CONTENT[[#This Row],[RelInt]]-1)^(2.5)*4^(1-2.5)+1) +
 ((tbl_CONTENT[[#This Row],[Comp]]-1)^(2.5)*4^(1-2.5)+1)*(0.5*((tbl_CONTENT[[#This Row],[RelInt]]-1)/4)^(2.5)+1),
 0
)</f>
        <v>0</v>
      </c>
      <c r="T327" s="35">
        <f>IFERROR(
 (1.907*EXP(1)^(-0.5*VALUE(tbl_CONTENT[[#This Row],[Layer]]))) *
 ((VALUE(tbl_CONTENT[[#This Row],[RelId]])-1)^(2.5)*4^(1-2.5)+1) +
 ((VALUE(tbl_CONTENT[[#This Row],[Comp]])-1)^(2.5)*4^(1-2.5)+1)*(0.5*((VALUE(tbl_CONTENT[[#This Row],[RelId]])-1)/4)^(2.5)+1),
 0
)</f>
        <v>0</v>
      </c>
      <c r="W327" s="22" t="str">
        <f>IFERROR(
  IF(_xlfn.XLOOKUP(tbl_CONTENT[[#This Row],[Topic]], tbl_TOPIC[Topic], tbl_TOPIC[ParentTopic])="", "",
       _xlfn.XLOOKUP(tbl_CONTENT[[#This Row],[Topic]], tbl_TOPIC[Topic], tbl_TOPIC[ParentTopic])),
  ""
)</f>
        <v>Riemannische Mannigfaltigkeiten</v>
      </c>
      <c r="X327" s="22" t="str">
        <f>IFERROR(
  IF(_xlfn.XLOOKUP(tbl_CONTENT[[#This Row],[Topic]], tbl_TOPIC[Topic], tbl_TOPIC[TopicPath])="", "",
       _xlfn.XLOOKUP(tbl_CONTENT[[#This Row],[Topic]], tbl_TOPIC[Topic], tbl_TOPIC[TopicPath])),
  ""
)</f>
        <v>Riemannische Mannigfaltigkeiten/Levi-Civita Zusammenhang</v>
      </c>
    </row>
    <row r="328" spans="3:24" ht="51" x14ac:dyDescent="0.2">
      <c r="C328" s="22" t="str">
        <f>_xlfn.XLOOKUP(tbl_CONTENT[[#This Row],[TopicID]], tbl_TOPIC[TopicID], tbl_TOPIC[Subject], "")</f>
        <v>RG</v>
      </c>
      <c r="D3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RG-T12-07-09</v>
      </c>
      <c r="E328" s="22">
        <f>ROW()</f>
        <v>328</v>
      </c>
      <c r="F328" s="22" t="s">
        <v>1051</v>
      </c>
      <c r="G328" s="22" t="str">
        <f>_xlfn.XLOOKUP(tbl_CONTENT[[#This Row],[Topic]], tbl_TOPIC[Topic], tbl_TOPIC[TopicID], "")</f>
        <v>RG-1-07</v>
      </c>
      <c r="H328" s="22" cm="1">
        <f t="array" ref="H328">SUM((tbl_CONTENT[[#This Row],[TopicID]]=INDEX(tbl_CONTENT[TopicID],1):tbl_CONTENT[[#This Row],[TopicID]])*1)</f>
        <v>9</v>
      </c>
      <c r="I328" s="22" t="str">
        <f>_xlfn.XLOOKUP(tbl_CONTENT[[#This Row],[Topic]], tbl_TOPIC[Topic], tbl_TOPIC[TopicIndex], "")</f>
        <v>07</v>
      </c>
      <c r="J328" s="22" t="s">
        <v>502</v>
      </c>
      <c r="K328" s="22" t="s">
        <v>1033</v>
      </c>
      <c r="L328" s="22" t="s">
        <v>179</v>
      </c>
      <c r="S328" s="35">
        <f>IFERROR(
 (1.907*EXP(1)^(-0.5*tbl_CONTENT[[#This Row],[Layer]])) *
 ((tbl_CONTENT[[#This Row],[RelInt]]-1)^(2.5)*4^(1-2.5)+1) +
 ((tbl_CONTENT[[#This Row],[Comp]]-1)^(2.5)*4^(1-2.5)+1)*(0.5*((tbl_CONTENT[[#This Row],[RelInt]]-1)/4)^(2.5)+1),
 0
)</f>
        <v>0</v>
      </c>
      <c r="T328" s="35">
        <f>IFERROR(
 (1.907*EXP(1)^(-0.5*VALUE(tbl_CONTENT[[#This Row],[Layer]]))) *
 ((VALUE(tbl_CONTENT[[#This Row],[RelId]])-1)^(2.5)*4^(1-2.5)+1) +
 ((VALUE(tbl_CONTENT[[#This Row],[Comp]])-1)^(2.5)*4^(1-2.5)+1)*(0.5*((VALUE(tbl_CONTENT[[#This Row],[RelId]])-1)/4)^(2.5)+1),
 0
)</f>
        <v>0</v>
      </c>
      <c r="W328" s="22" t="str">
        <f>IFERROR(
  IF(_xlfn.XLOOKUP(tbl_CONTENT[[#This Row],[Topic]], tbl_TOPIC[Topic], tbl_TOPIC[ParentTopic])="", "",
       _xlfn.XLOOKUP(tbl_CONTENT[[#This Row],[Topic]], tbl_TOPIC[Topic], tbl_TOPIC[ParentTopic])),
  ""
)</f>
        <v>Riemannische Mannigfaltigkeiten</v>
      </c>
      <c r="X328" s="22" t="str">
        <f>IFERROR(
  IF(_xlfn.XLOOKUP(tbl_CONTENT[[#This Row],[Topic]], tbl_TOPIC[Topic], tbl_TOPIC[TopicPath])="", "",
       _xlfn.XLOOKUP(tbl_CONTENT[[#This Row],[Topic]], tbl_TOPIC[Topic], tbl_TOPIC[TopicPath])),
  ""
)</f>
        <v>Riemannische Mannigfaltigkeiten/Levi-Civita Zusammenhang</v>
      </c>
    </row>
    <row r="329" spans="3:24" ht="34" x14ac:dyDescent="0.2">
      <c r="C329" s="22" t="str">
        <f>_xlfn.XLOOKUP(tbl_CONTENT[[#This Row],[TopicID]], tbl_TOPIC[TopicID], tbl_TOPIC[Subject], "")</f>
        <v>RG</v>
      </c>
      <c r="D3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RG-T12-07-10</v>
      </c>
      <c r="E329" s="22">
        <f>ROW()</f>
        <v>329</v>
      </c>
      <c r="F329" s="22" t="s">
        <v>1051</v>
      </c>
      <c r="G329" s="22" t="str">
        <f>_xlfn.XLOOKUP(tbl_CONTENT[[#This Row],[Topic]], tbl_TOPIC[Topic], tbl_TOPIC[TopicID], "")</f>
        <v>RG-1-07</v>
      </c>
      <c r="H329" s="22" cm="1">
        <f t="array" ref="H329">SUM((tbl_CONTENT[[#This Row],[TopicID]]=INDEX(tbl_CONTENT[TopicID],1):tbl_CONTENT[[#This Row],[TopicID]])*1)</f>
        <v>10</v>
      </c>
      <c r="I329" s="22" t="str">
        <f>_xlfn.XLOOKUP(tbl_CONTENT[[#This Row],[Topic]], tbl_TOPIC[Topic], tbl_TOPIC[TopicIndex], "")</f>
        <v>07</v>
      </c>
      <c r="J329" s="22" t="s">
        <v>502</v>
      </c>
      <c r="K329" s="22" t="s">
        <v>573</v>
      </c>
      <c r="L329" s="22" t="s">
        <v>151</v>
      </c>
      <c r="S329" s="35">
        <f>IFERROR(
 (1.907*EXP(1)^(-0.5*tbl_CONTENT[[#This Row],[Layer]])) *
 ((tbl_CONTENT[[#This Row],[RelInt]]-1)^(2.5)*4^(1-2.5)+1) +
 ((tbl_CONTENT[[#This Row],[Comp]]-1)^(2.5)*4^(1-2.5)+1)*(0.5*((tbl_CONTENT[[#This Row],[RelInt]]-1)/4)^(2.5)+1),
 0
)</f>
        <v>0</v>
      </c>
      <c r="T329" s="35">
        <f>IFERROR(
 (1.907*EXP(1)^(-0.5*VALUE(tbl_CONTENT[[#This Row],[Layer]]))) *
 ((VALUE(tbl_CONTENT[[#This Row],[RelId]])-1)^(2.5)*4^(1-2.5)+1) +
 ((VALUE(tbl_CONTENT[[#This Row],[Comp]])-1)^(2.5)*4^(1-2.5)+1)*(0.5*((VALUE(tbl_CONTENT[[#This Row],[RelId]])-1)/4)^(2.5)+1),
 0
)</f>
        <v>0</v>
      </c>
      <c r="W329" s="22" t="str">
        <f>IFERROR(
  IF(_xlfn.XLOOKUP(tbl_CONTENT[[#This Row],[Topic]], tbl_TOPIC[Topic], tbl_TOPIC[ParentTopic])="", "",
       _xlfn.XLOOKUP(tbl_CONTENT[[#This Row],[Topic]], tbl_TOPIC[Topic], tbl_TOPIC[ParentTopic])),
  ""
)</f>
        <v>Riemannische Mannigfaltigkeiten</v>
      </c>
      <c r="X329" s="22" t="str">
        <f>IFERROR(
  IF(_xlfn.XLOOKUP(tbl_CONTENT[[#This Row],[Topic]], tbl_TOPIC[Topic], tbl_TOPIC[TopicPath])="", "",
       _xlfn.XLOOKUP(tbl_CONTENT[[#This Row],[Topic]], tbl_TOPIC[Topic], tbl_TOPIC[TopicPath])),
  ""
)</f>
        <v>Riemannische Mannigfaltigkeiten/Levi-Civita Zusammenhang</v>
      </c>
    </row>
    <row r="330" spans="3:24" ht="34" x14ac:dyDescent="0.2">
      <c r="C330" s="22" t="str">
        <f>_xlfn.XLOOKUP(tbl_CONTENT[[#This Row],[TopicID]], tbl_TOPIC[TopicID], tbl_TOPIC[Subject], "")</f>
        <v>RG</v>
      </c>
      <c r="D3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RG-T12-08-01</v>
      </c>
      <c r="E330" s="22">
        <f>ROW()</f>
        <v>330</v>
      </c>
      <c r="F330" s="22" t="s">
        <v>1051</v>
      </c>
      <c r="G330" s="22" t="str">
        <f>_xlfn.XLOOKUP(tbl_CONTENT[[#This Row],[Topic]], tbl_TOPIC[Topic], tbl_TOPIC[TopicID], "")</f>
        <v>RG-1-08</v>
      </c>
      <c r="H330" s="22" cm="1">
        <f t="array" ref="H330">SUM((tbl_CONTENT[[#This Row],[TopicID]]=INDEX(tbl_CONTENT[TopicID],1):tbl_CONTENT[[#This Row],[TopicID]])*1)</f>
        <v>1</v>
      </c>
      <c r="I330" s="22" t="str">
        <f>_xlfn.XLOOKUP(tbl_CONTENT[[#This Row],[Topic]], tbl_TOPIC[Topic], tbl_TOPIC[TopicIndex], "")</f>
        <v>08</v>
      </c>
      <c r="J330" s="22" t="s">
        <v>503</v>
      </c>
      <c r="K330" s="22" t="s">
        <v>574</v>
      </c>
      <c r="L330" s="22" t="s">
        <v>152</v>
      </c>
      <c r="S330" s="35">
        <f>IFERROR(
 (1.907*EXP(1)^(-0.5*tbl_CONTENT[[#This Row],[Layer]])) *
 ((tbl_CONTENT[[#This Row],[RelInt]]-1)^(2.5)*4^(1-2.5)+1) +
 ((tbl_CONTENT[[#This Row],[Comp]]-1)^(2.5)*4^(1-2.5)+1)*(0.5*((tbl_CONTENT[[#This Row],[RelInt]]-1)/4)^(2.5)+1),
 0
)</f>
        <v>0</v>
      </c>
      <c r="T330" s="35">
        <f>IFERROR(
 (1.907*EXP(1)^(-0.5*VALUE(tbl_CONTENT[[#This Row],[Layer]]))) *
 ((VALUE(tbl_CONTENT[[#This Row],[RelId]])-1)^(2.5)*4^(1-2.5)+1) +
 ((VALUE(tbl_CONTENT[[#This Row],[Comp]])-1)^(2.5)*4^(1-2.5)+1)*(0.5*((VALUE(tbl_CONTENT[[#This Row],[RelId]])-1)/4)^(2.5)+1),
 0
)</f>
        <v>0</v>
      </c>
      <c r="W330" s="22" t="str">
        <f>IFERROR(
  IF(_xlfn.XLOOKUP(tbl_CONTENT[[#This Row],[Topic]], tbl_TOPIC[Topic], tbl_TOPIC[ParentTopic])="", "",
       _xlfn.XLOOKUP(tbl_CONTENT[[#This Row],[Topic]], tbl_TOPIC[Topic], tbl_TOPIC[ParentTopic])),
  ""
)</f>
        <v>Riemannische Mannigfaltigkeiten</v>
      </c>
      <c r="X330" s="22" t="str">
        <f>IFERROR(
  IF(_xlfn.XLOOKUP(tbl_CONTENT[[#This Row],[Topic]], tbl_TOPIC[Topic], tbl_TOPIC[TopicPath])="", "",
       _xlfn.XLOOKUP(tbl_CONTENT[[#This Row],[Topic]], tbl_TOPIC[Topic], tbl_TOPIC[TopicPath])),
  ""
)</f>
        <v>Riemannische Mannigfaltigkeiten/Kovariante Ableitung längs einer Kurve</v>
      </c>
    </row>
    <row r="331" spans="3:24" ht="51" x14ac:dyDescent="0.2">
      <c r="C331" s="22" t="str">
        <f>_xlfn.XLOOKUP(tbl_CONTENT[[#This Row],[TopicID]], tbl_TOPIC[TopicID], tbl_TOPIC[Subject], "")</f>
        <v>RG</v>
      </c>
      <c r="D3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RG-T12-08-02</v>
      </c>
      <c r="E331" s="22">
        <f>ROW()</f>
        <v>331</v>
      </c>
      <c r="F331" s="22" t="s">
        <v>1051</v>
      </c>
      <c r="G331" s="22" t="str">
        <f>_xlfn.XLOOKUP(tbl_CONTENT[[#This Row],[Topic]], tbl_TOPIC[Topic], tbl_TOPIC[TopicID], "")</f>
        <v>RG-1-08</v>
      </c>
      <c r="H331" s="22" cm="1">
        <f t="array" ref="H331">SUM((tbl_CONTENT[[#This Row],[TopicID]]=INDEX(tbl_CONTENT[TopicID],1):tbl_CONTENT[[#This Row],[TopicID]])*1)</f>
        <v>2</v>
      </c>
      <c r="I331" s="22" t="str">
        <f>_xlfn.XLOOKUP(tbl_CONTENT[[#This Row],[Topic]], tbl_TOPIC[Topic], tbl_TOPIC[TopicIndex], "")</f>
        <v>08</v>
      </c>
      <c r="J331" s="22" t="s">
        <v>503</v>
      </c>
      <c r="K331" s="22" t="s">
        <v>575</v>
      </c>
      <c r="L331" s="22" t="s">
        <v>151</v>
      </c>
      <c r="S331" s="35">
        <f>IFERROR(
 (1.907*EXP(1)^(-0.5*tbl_CONTENT[[#This Row],[Layer]])) *
 ((tbl_CONTENT[[#This Row],[RelInt]]-1)^(2.5)*4^(1-2.5)+1) +
 ((tbl_CONTENT[[#This Row],[Comp]]-1)^(2.5)*4^(1-2.5)+1)*(0.5*((tbl_CONTENT[[#This Row],[RelInt]]-1)/4)^(2.5)+1),
 0
)</f>
        <v>0</v>
      </c>
      <c r="T331" s="35">
        <f>IFERROR(
 (1.907*EXP(1)^(-0.5*VALUE(tbl_CONTENT[[#This Row],[Layer]]))) *
 ((VALUE(tbl_CONTENT[[#This Row],[RelId]])-1)^(2.5)*4^(1-2.5)+1) +
 ((VALUE(tbl_CONTENT[[#This Row],[Comp]])-1)^(2.5)*4^(1-2.5)+1)*(0.5*((VALUE(tbl_CONTENT[[#This Row],[RelId]])-1)/4)^(2.5)+1),
 0
)</f>
        <v>0</v>
      </c>
      <c r="W331" s="22" t="str">
        <f>IFERROR(
  IF(_xlfn.XLOOKUP(tbl_CONTENT[[#This Row],[Topic]], tbl_TOPIC[Topic], tbl_TOPIC[ParentTopic])="", "",
       _xlfn.XLOOKUP(tbl_CONTENT[[#This Row],[Topic]], tbl_TOPIC[Topic], tbl_TOPIC[ParentTopic])),
  ""
)</f>
        <v>Riemannische Mannigfaltigkeiten</v>
      </c>
      <c r="X331" s="22" t="str">
        <f>IFERROR(
  IF(_xlfn.XLOOKUP(tbl_CONTENT[[#This Row],[Topic]], tbl_TOPIC[Topic], tbl_TOPIC[TopicPath])="", "",
       _xlfn.XLOOKUP(tbl_CONTENT[[#This Row],[Topic]], tbl_TOPIC[Topic], tbl_TOPIC[TopicPath])),
  ""
)</f>
        <v>Riemannische Mannigfaltigkeiten/Kovariante Ableitung längs einer Kurve</v>
      </c>
    </row>
    <row r="332" spans="3:24" ht="34" x14ac:dyDescent="0.2">
      <c r="C332" s="22" t="str">
        <f>_xlfn.XLOOKUP(tbl_CONTENT[[#This Row],[TopicID]], tbl_TOPIC[TopicID], tbl_TOPIC[Subject], "")</f>
        <v>RG</v>
      </c>
      <c r="D3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RG-T12-08-03</v>
      </c>
      <c r="E332" s="22">
        <f>ROW()</f>
        <v>332</v>
      </c>
      <c r="F332" s="22" t="s">
        <v>1051</v>
      </c>
      <c r="G332" s="22" t="str">
        <f>_xlfn.XLOOKUP(tbl_CONTENT[[#This Row],[Topic]], tbl_TOPIC[Topic], tbl_TOPIC[TopicID], "")</f>
        <v>RG-1-08</v>
      </c>
      <c r="H332" s="22" cm="1">
        <f t="array" ref="H332">SUM((tbl_CONTENT[[#This Row],[TopicID]]=INDEX(tbl_CONTENT[TopicID],1):tbl_CONTENT[[#This Row],[TopicID]])*1)</f>
        <v>3</v>
      </c>
      <c r="I332" s="22" t="str">
        <f>_xlfn.XLOOKUP(tbl_CONTENT[[#This Row],[Topic]], tbl_TOPIC[Topic], tbl_TOPIC[TopicIndex], "")</f>
        <v>08</v>
      </c>
      <c r="J332" s="22" t="s">
        <v>503</v>
      </c>
      <c r="K332" s="22" t="s">
        <v>576</v>
      </c>
      <c r="L332" s="22" t="s">
        <v>151</v>
      </c>
      <c r="S332" s="35">
        <f>IFERROR(
 (1.907*EXP(1)^(-0.5*tbl_CONTENT[[#This Row],[Layer]])) *
 ((tbl_CONTENT[[#This Row],[RelInt]]-1)^(2.5)*4^(1-2.5)+1) +
 ((tbl_CONTENT[[#This Row],[Comp]]-1)^(2.5)*4^(1-2.5)+1)*(0.5*((tbl_CONTENT[[#This Row],[RelInt]]-1)/4)^(2.5)+1),
 0
)</f>
        <v>0</v>
      </c>
      <c r="T332" s="35">
        <f>IFERROR(
 (1.907*EXP(1)^(-0.5*VALUE(tbl_CONTENT[[#This Row],[Layer]]))) *
 ((VALUE(tbl_CONTENT[[#This Row],[RelId]])-1)^(2.5)*4^(1-2.5)+1) +
 ((VALUE(tbl_CONTENT[[#This Row],[Comp]])-1)^(2.5)*4^(1-2.5)+1)*(0.5*((VALUE(tbl_CONTENT[[#This Row],[RelId]])-1)/4)^(2.5)+1),
 0
)</f>
        <v>0</v>
      </c>
      <c r="W332" s="22" t="str">
        <f>IFERROR(
  IF(_xlfn.XLOOKUP(tbl_CONTENT[[#This Row],[Topic]], tbl_TOPIC[Topic], tbl_TOPIC[ParentTopic])="", "",
       _xlfn.XLOOKUP(tbl_CONTENT[[#This Row],[Topic]], tbl_TOPIC[Topic], tbl_TOPIC[ParentTopic])),
  ""
)</f>
        <v>Riemannische Mannigfaltigkeiten</v>
      </c>
      <c r="X332" s="22" t="str">
        <f>IFERROR(
  IF(_xlfn.XLOOKUP(tbl_CONTENT[[#This Row],[Topic]], tbl_TOPIC[Topic], tbl_TOPIC[TopicPath])="", "",
       _xlfn.XLOOKUP(tbl_CONTENT[[#This Row],[Topic]], tbl_TOPIC[Topic], tbl_TOPIC[TopicPath])),
  ""
)</f>
        <v>Riemannische Mannigfaltigkeiten/Kovariante Ableitung längs einer Kurve</v>
      </c>
    </row>
    <row r="333" spans="3:24" ht="17" x14ac:dyDescent="0.2">
      <c r="C333" s="22" t="str">
        <f>_xlfn.XLOOKUP(tbl_CONTENT[[#This Row],[TopicID]], tbl_TOPIC[TopicID], tbl_TOPIC[Subject], "")</f>
        <v>RG</v>
      </c>
      <c r="D3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RG-T12-09-01</v>
      </c>
      <c r="E333" s="22">
        <f>ROW()</f>
        <v>333</v>
      </c>
      <c r="F333" s="22" t="s">
        <v>1051</v>
      </c>
      <c r="G333" s="22" t="str">
        <f>_xlfn.XLOOKUP(tbl_CONTENT[[#This Row],[Topic]], tbl_TOPIC[Topic], tbl_TOPIC[TopicID], "")</f>
        <v>RG-1-09</v>
      </c>
      <c r="H333" s="22" cm="1">
        <f t="array" ref="H333">SUM((tbl_CONTENT[[#This Row],[TopicID]]=INDEX(tbl_CONTENT[TopicID],1):tbl_CONTENT[[#This Row],[TopicID]])*1)</f>
        <v>1</v>
      </c>
      <c r="I333" s="22" t="str">
        <f>_xlfn.XLOOKUP(tbl_CONTENT[[#This Row],[Topic]], tbl_TOPIC[Topic], tbl_TOPIC[TopicIndex], "")</f>
        <v>09</v>
      </c>
      <c r="J333" s="22" t="s">
        <v>504</v>
      </c>
      <c r="K333" s="22" t="s">
        <v>577</v>
      </c>
      <c r="L333" s="22" t="s">
        <v>152</v>
      </c>
      <c r="S333" s="35">
        <f>IFERROR(
 (1.907*EXP(1)^(-0.5*tbl_CONTENT[[#This Row],[Layer]])) *
 ((tbl_CONTENT[[#This Row],[RelInt]]-1)^(2.5)*4^(1-2.5)+1) +
 ((tbl_CONTENT[[#This Row],[Comp]]-1)^(2.5)*4^(1-2.5)+1)*(0.5*((tbl_CONTENT[[#This Row],[RelInt]]-1)/4)^(2.5)+1),
 0
)</f>
        <v>0</v>
      </c>
      <c r="T333" s="35">
        <f>IFERROR(
 (1.907*EXP(1)^(-0.5*VALUE(tbl_CONTENT[[#This Row],[Layer]]))) *
 ((VALUE(tbl_CONTENT[[#This Row],[RelId]])-1)^(2.5)*4^(1-2.5)+1) +
 ((VALUE(tbl_CONTENT[[#This Row],[Comp]])-1)^(2.5)*4^(1-2.5)+1)*(0.5*((VALUE(tbl_CONTENT[[#This Row],[RelId]])-1)/4)^(2.5)+1),
 0
)</f>
        <v>0</v>
      </c>
      <c r="W333" s="22" t="str">
        <f>IFERROR(
  IF(_xlfn.XLOOKUP(tbl_CONTENT[[#This Row],[Topic]], tbl_TOPIC[Topic], tbl_TOPIC[ParentTopic])="", "",
       _xlfn.XLOOKUP(tbl_CONTENT[[#This Row],[Topic]], tbl_TOPIC[Topic], tbl_TOPIC[ParentTopic])),
  ""
)</f>
        <v>Riemannische Mannigfaltigkeiten</v>
      </c>
      <c r="X333" s="22" t="str">
        <f>IFERROR(
  IF(_xlfn.XLOOKUP(tbl_CONTENT[[#This Row],[Topic]], tbl_TOPIC[Topic], tbl_TOPIC[TopicPath])="", "",
       _xlfn.XLOOKUP(tbl_CONTENT[[#This Row],[Topic]], tbl_TOPIC[Topic], tbl_TOPIC[TopicPath])),
  ""
)</f>
        <v>Riemannische Mannigfaltigkeiten/Paralleltransport</v>
      </c>
    </row>
    <row r="334" spans="3:24" ht="51" x14ac:dyDescent="0.2">
      <c r="C334" s="22" t="str">
        <f>_xlfn.XLOOKUP(tbl_CONTENT[[#This Row],[TopicID]], tbl_TOPIC[TopicID], tbl_TOPIC[Subject], "")</f>
        <v>RG</v>
      </c>
      <c r="D3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RG-T12-09-02</v>
      </c>
      <c r="E334" s="22">
        <f>ROW()</f>
        <v>334</v>
      </c>
      <c r="F334" s="22" t="s">
        <v>1051</v>
      </c>
      <c r="G334" s="22" t="str">
        <f>_xlfn.XLOOKUP(tbl_CONTENT[[#This Row],[Topic]], tbl_TOPIC[Topic], tbl_TOPIC[TopicID], "")</f>
        <v>RG-1-09</v>
      </c>
      <c r="H334" s="22" cm="1">
        <f t="array" ref="H334">SUM((tbl_CONTENT[[#This Row],[TopicID]]=INDEX(tbl_CONTENT[TopicID],1):tbl_CONTENT[[#This Row],[TopicID]])*1)</f>
        <v>2</v>
      </c>
      <c r="I334" s="22" t="str">
        <f>_xlfn.XLOOKUP(tbl_CONTENT[[#This Row],[Topic]], tbl_TOPIC[Topic], tbl_TOPIC[TopicIndex], "")</f>
        <v>09</v>
      </c>
      <c r="J334" s="22" t="s">
        <v>504</v>
      </c>
      <c r="K334" s="22" t="s">
        <v>578</v>
      </c>
      <c r="L334" s="22" t="s">
        <v>151</v>
      </c>
      <c r="S334" s="35">
        <f>IFERROR(
 (1.907*EXP(1)^(-0.5*tbl_CONTENT[[#This Row],[Layer]])) *
 ((tbl_CONTENT[[#This Row],[RelInt]]-1)^(2.5)*4^(1-2.5)+1) +
 ((tbl_CONTENT[[#This Row],[Comp]]-1)^(2.5)*4^(1-2.5)+1)*(0.5*((tbl_CONTENT[[#This Row],[RelInt]]-1)/4)^(2.5)+1),
 0
)</f>
        <v>0</v>
      </c>
      <c r="T334" s="35">
        <f>IFERROR(
 (1.907*EXP(1)^(-0.5*VALUE(tbl_CONTENT[[#This Row],[Layer]]))) *
 ((VALUE(tbl_CONTENT[[#This Row],[RelId]])-1)^(2.5)*4^(1-2.5)+1) +
 ((VALUE(tbl_CONTENT[[#This Row],[Comp]])-1)^(2.5)*4^(1-2.5)+1)*(0.5*((VALUE(tbl_CONTENT[[#This Row],[RelId]])-1)/4)^(2.5)+1),
 0
)</f>
        <v>0</v>
      </c>
      <c r="W334" s="22" t="str">
        <f>IFERROR(
  IF(_xlfn.XLOOKUP(tbl_CONTENT[[#This Row],[Topic]], tbl_TOPIC[Topic], tbl_TOPIC[ParentTopic])="", "",
       _xlfn.XLOOKUP(tbl_CONTENT[[#This Row],[Topic]], tbl_TOPIC[Topic], tbl_TOPIC[ParentTopic])),
  ""
)</f>
        <v>Riemannische Mannigfaltigkeiten</v>
      </c>
      <c r="X334" s="22" t="str">
        <f>IFERROR(
  IF(_xlfn.XLOOKUP(tbl_CONTENT[[#This Row],[Topic]], tbl_TOPIC[Topic], tbl_TOPIC[TopicPath])="", "",
       _xlfn.XLOOKUP(tbl_CONTENT[[#This Row],[Topic]], tbl_TOPIC[Topic], tbl_TOPIC[TopicPath])),
  ""
)</f>
        <v>Riemannische Mannigfaltigkeiten/Paralleltransport</v>
      </c>
    </row>
    <row r="335" spans="3:24" ht="51" x14ac:dyDescent="0.2">
      <c r="C335" s="22" t="str">
        <f>_xlfn.XLOOKUP(tbl_CONTENT[[#This Row],[TopicID]], tbl_TOPIC[TopicID], tbl_TOPIC[Subject], "")</f>
        <v>RG</v>
      </c>
      <c r="D3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RG-T12-09-03</v>
      </c>
      <c r="E335" s="22">
        <f>ROW()</f>
        <v>335</v>
      </c>
      <c r="F335" s="22" t="s">
        <v>1051</v>
      </c>
      <c r="G335" s="22" t="str">
        <f>_xlfn.XLOOKUP(tbl_CONTENT[[#This Row],[Topic]], tbl_TOPIC[Topic], tbl_TOPIC[TopicID], "")</f>
        <v>RG-1-09</v>
      </c>
      <c r="H335" s="22" cm="1">
        <f t="array" ref="H335">SUM((tbl_CONTENT[[#This Row],[TopicID]]=INDEX(tbl_CONTENT[TopicID],1):tbl_CONTENT[[#This Row],[TopicID]])*1)</f>
        <v>3</v>
      </c>
      <c r="I335" s="22" t="str">
        <f>_xlfn.XLOOKUP(tbl_CONTENT[[#This Row],[Topic]], tbl_TOPIC[Topic], tbl_TOPIC[TopicIndex], "")</f>
        <v>09</v>
      </c>
      <c r="J335" s="22" t="s">
        <v>504</v>
      </c>
      <c r="K335" s="22" t="s">
        <v>579</v>
      </c>
      <c r="L335" s="22" t="s">
        <v>152</v>
      </c>
      <c r="S335" s="35">
        <f>IFERROR(
 (1.907*EXP(1)^(-0.5*tbl_CONTENT[[#This Row],[Layer]])) *
 ((tbl_CONTENT[[#This Row],[RelInt]]-1)^(2.5)*4^(1-2.5)+1) +
 ((tbl_CONTENT[[#This Row],[Comp]]-1)^(2.5)*4^(1-2.5)+1)*(0.5*((tbl_CONTENT[[#This Row],[RelInt]]-1)/4)^(2.5)+1),
 0
)</f>
        <v>0</v>
      </c>
      <c r="T335" s="35">
        <f>IFERROR(
 (1.907*EXP(1)^(-0.5*VALUE(tbl_CONTENT[[#This Row],[Layer]]))) *
 ((VALUE(tbl_CONTENT[[#This Row],[RelId]])-1)^(2.5)*4^(1-2.5)+1) +
 ((VALUE(tbl_CONTENT[[#This Row],[Comp]])-1)^(2.5)*4^(1-2.5)+1)*(0.5*((VALUE(tbl_CONTENT[[#This Row],[RelId]])-1)/4)^(2.5)+1),
 0
)</f>
        <v>0</v>
      </c>
      <c r="W335" s="22" t="str">
        <f>IFERROR(
  IF(_xlfn.XLOOKUP(tbl_CONTENT[[#This Row],[Topic]], tbl_TOPIC[Topic], tbl_TOPIC[ParentTopic])="", "",
       _xlfn.XLOOKUP(tbl_CONTENT[[#This Row],[Topic]], tbl_TOPIC[Topic], tbl_TOPIC[ParentTopic])),
  ""
)</f>
        <v>Riemannische Mannigfaltigkeiten</v>
      </c>
      <c r="X335" s="22" t="str">
        <f>IFERROR(
  IF(_xlfn.XLOOKUP(tbl_CONTENT[[#This Row],[Topic]], tbl_TOPIC[Topic], tbl_TOPIC[TopicPath])="", "",
       _xlfn.XLOOKUP(tbl_CONTENT[[#This Row],[Topic]], tbl_TOPIC[Topic], tbl_TOPIC[TopicPath])),
  ""
)</f>
        <v>Riemannische Mannigfaltigkeiten/Paralleltransport</v>
      </c>
    </row>
    <row r="336" spans="3:24" ht="34" x14ac:dyDescent="0.2">
      <c r="C336" s="22" t="str">
        <f>_xlfn.XLOOKUP(tbl_CONTENT[[#This Row],[TopicID]], tbl_TOPIC[TopicID], tbl_TOPIC[Subject], "")</f>
        <v>RG</v>
      </c>
      <c r="D3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RG-T12-09-04</v>
      </c>
      <c r="E336" s="22">
        <f>ROW()</f>
        <v>336</v>
      </c>
      <c r="F336" s="22" t="s">
        <v>1051</v>
      </c>
      <c r="G336" s="22" t="str">
        <f>_xlfn.XLOOKUP(tbl_CONTENT[[#This Row],[Topic]], tbl_TOPIC[Topic], tbl_TOPIC[TopicID], "")</f>
        <v>RG-1-09</v>
      </c>
      <c r="H336" s="22" cm="1">
        <f t="array" ref="H336">SUM((tbl_CONTENT[[#This Row],[TopicID]]=INDEX(tbl_CONTENT[TopicID],1):tbl_CONTENT[[#This Row],[TopicID]])*1)</f>
        <v>4</v>
      </c>
      <c r="I336" s="22" t="str">
        <f>_xlfn.XLOOKUP(tbl_CONTENT[[#This Row],[Topic]], tbl_TOPIC[Topic], tbl_TOPIC[TopicIndex], "")</f>
        <v>09</v>
      </c>
      <c r="J336" s="22" t="s">
        <v>504</v>
      </c>
      <c r="K336" s="22" t="s">
        <v>580</v>
      </c>
      <c r="L336" s="22" t="s">
        <v>147</v>
      </c>
      <c r="S336" s="35">
        <f>IFERROR(
 (1.907*EXP(1)^(-0.5*tbl_CONTENT[[#This Row],[Layer]])) *
 ((tbl_CONTENT[[#This Row],[RelInt]]-1)^(2.5)*4^(1-2.5)+1) +
 ((tbl_CONTENT[[#This Row],[Comp]]-1)^(2.5)*4^(1-2.5)+1)*(0.5*((tbl_CONTENT[[#This Row],[RelInt]]-1)/4)^(2.5)+1),
 0
)</f>
        <v>0</v>
      </c>
      <c r="T336" s="35">
        <f>IFERROR(
 (1.907*EXP(1)^(-0.5*VALUE(tbl_CONTENT[[#This Row],[Layer]]))) *
 ((VALUE(tbl_CONTENT[[#This Row],[RelId]])-1)^(2.5)*4^(1-2.5)+1) +
 ((VALUE(tbl_CONTENT[[#This Row],[Comp]])-1)^(2.5)*4^(1-2.5)+1)*(0.5*((VALUE(tbl_CONTENT[[#This Row],[RelId]])-1)/4)^(2.5)+1),
 0
)</f>
        <v>0</v>
      </c>
      <c r="W336" s="22" t="str">
        <f>IFERROR(
  IF(_xlfn.XLOOKUP(tbl_CONTENT[[#This Row],[Topic]], tbl_TOPIC[Topic], tbl_TOPIC[ParentTopic])="", "",
       _xlfn.XLOOKUP(tbl_CONTENT[[#This Row],[Topic]], tbl_TOPIC[Topic], tbl_TOPIC[ParentTopic])),
  ""
)</f>
        <v>Riemannische Mannigfaltigkeiten</v>
      </c>
      <c r="X336" s="22" t="str">
        <f>IFERROR(
  IF(_xlfn.XLOOKUP(tbl_CONTENT[[#This Row],[Topic]], tbl_TOPIC[Topic], tbl_TOPIC[TopicPath])="", "",
       _xlfn.XLOOKUP(tbl_CONTENT[[#This Row],[Topic]], tbl_TOPIC[Topic], tbl_TOPIC[TopicPath])),
  ""
)</f>
        <v>Riemannische Mannigfaltigkeiten/Paralleltransport</v>
      </c>
    </row>
    <row r="337" spans="3:24" ht="34" x14ac:dyDescent="0.2">
      <c r="C337" s="22" t="str">
        <f>_xlfn.XLOOKUP(tbl_CONTENT[[#This Row],[TopicID]], tbl_TOPIC[TopicID], tbl_TOPIC[Subject], "")</f>
        <v>RG</v>
      </c>
      <c r="D3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RG-T12-09-05</v>
      </c>
      <c r="E337" s="22">
        <f>ROW()</f>
        <v>337</v>
      </c>
      <c r="F337" s="22" t="s">
        <v>1051</v>
      </c>
      <c r="G337" s="22" t="str">
        <f>_xlfn.XLOOKUP(tbl_CONTENT[[#This Row],[Topic]], tbl_TOPIC[Topic], tbl_TOPIC[TopicID], "")</f>
        <v>RG-1-09</v>
      </c>
      <c r="H337" s="22" cm="1">
        <f t="array" ref="H337">SUM((tbl_CONTENT[[#This Row],[TopicID]]=INDEX(tbl_CONTENT[TopicID],1):tbl_CONTENT[[#This Row],[TopicID]])*1)</f>
        <v>5</v>
      </c>
      <c r="I337" s="22" t="str">
        <f>_xlfn.XLOOKUP(tbl_CONTENT[[#This Row],[Topic]], tbl_TOPIC[Topic], tbl_TOPIC[TopicIndex], "")</f>
        <v>09</v>
      </c>
      <c r="J337" s="22" t="s">
        <v>504</v>
      </c>
      <c r="K337" s="22" t="s">
        <v>581</v>
      </c>
      <c r="L337" s="22" t="s">
        <v>151</v>
      </c>
      <c r="S337" s="35">
        <f>IFERROR(
 (1.907*EXP(1)^(-0.5*tbl_CONTENT[[#This Row],[Layer]])) *
 ((tbl_CONTENT[[#This Row],[RelInt]]-1)^(2.5)*4^(1-2.5)+1) +
 ((tbl_CONTENT[[#This Row],[Comp]]-1)^(2.5)*4^(1-2.5)+1)*(0.5*((tbl_CONTENT[[#This Row],[RelInt]]-1)/4)^(2.5)+1),
 0
)</f>
        <v>0</v>
      </c>
      <c r="T337" s="35">
        <f>IFERROR(
 (1.907*EXP(1)^(-0.5*VALUE(tbl_CONTENT[[#This Row],[Layer]]))) *
 ((VALUE(tbl_CONTENT[[#This Row],[RelId]])-1)^(2.5)*4^(1-2.5)+1) +
 ((VALUE(tbl_CONTENT[[#This Row],[Comp]])-1)^(2.5)*4^(1-2.5)+1)*(0.5*((VALUE(tbl_CONTENT[[#This Row],[RelId]])-1)/4)^(2.5)+1),
 0
)</f>
        <v>0</v>
      </c>
      <c r="W337" s="22" t="str">
        <f>IFERROR(
  IF(_xlfn.XLOOKUP(tbl_CONTENT[[#This Row],[Topic]], tbl_TOPIC[Topic], tbl_TOPIC[ParentTopic])="", "",
       _xlfn.XLOOKUP(tbl_CONTENT[[#This Row],[Topic]], tbl_TOPIC[Topic], tbl_TOPIC[ParentTopic])),
  ""
)</f>
        <v>Riemannische Mannigfaltigkeiten</v>
      </c>
      <c r="X337" s="22" t="str">
        <f>IFERROR(
  IF(_xlfn.XLOOKUP(tbl_CONTENT[[#This Row],[Topic]], tbl_TOPIC[Topic], tbl_TOPIC[TopicPath])="", "",
       _xlfn.XLOOKUP(tbl_CONTENT[[#This Row],[Topic]], tbl_TOPIC[Topic], tbl_TOPIC[TopicPath])),
  ""
)</f>
        <v>Riemannische Mannigfaltigkeiten/Paralleltransport</v>
      </c>
    </row>
    <row r="338" spans="3:24" ht="34" x14ac:dyDescent="0.2">
      <c r="C338" s="22" t="str">
        <f>_xlfn.XLOOKUP(tbl_CONTENT[[#This Row],[TopicID]], tbl_TOPIC[TopicID], tbl_TOPIC[Subject], "")</f>
        <v>RG</v>
      </c>
      <c r="D3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RG-T12-09-06</v>
      </c>
      <c r="E338" s="22">
        <f>ROW()</f>
        <v>338</v>
      </c>
      <c r="F338" s="22" t="s">
        <v>1051</v>
      </c>
      <c r="G338" s="22" t="str">
        <f>_xlfn.XLOOKUP(tbl_CONTENT[[#This Row],[Topic]], tbl_TOPIC[Topic], tbl_TOPIC[TopicID], "")</f>
        <v>RG-1-09</v>
      </c>
      <c r="H338" s="22" cm="1">
        <f t="array" ref="H338">SUM((tbl_CONTENT[[#This Row],[TopicID]]=INDEX(tbl_CONTENT[TopicID],1):tbl_CONTENT[[#This Row],[TopicID]])*1)</f>
        <v>6</v>
      </c>
      <c r="I338" s="22" t="str">
        <f>_xlfn.XLOOKUP(tbl_CONTENT[[#This Row],[Topic]], tbl_TOPIC[Topic], tbl_TOPIC[TopicIndex], "")</f>
        <v>09</v>
      </c>
      <c r="J338" s="22" t="s">
        <v>504</v>
      </c>
      <c r="K338" s="22" t="s">
        <v>582</v>
      </c>
      <c r="L338" s="22" t="s">
        <v>179</v>
      </c>
      <c r="S338" s="35">
        <f>IFERROR(
 (1.907*EXP(1)^(-0.5*tbl_CONTENT[[#This Row],[Layer]])) *
 ((tbl_CONTENT[[#This Row],[RelInt]]-1)^(2.5)*4^(1-2.5)+1) +
 ((tbl_CONTENT[[#This Row],[Comp]]-1)^(2.5)*4^(1-2.5)+1)*(0.5*((tbl_CONTENT[[#This Row],[RelInt]]-1)/4)^(2.5)+1),
 0
)</f>
        <v>0</v>
      </c>
      <c r="T338" s="35">
        <f>IFERROR(
 (1.907*EXP(1)^(-0.5*VALUE(tbl_CONTENT[[#This Row],[Layer]]))) *
 ((VALUE(tbl_CONTENT[[#This Row],[RelId]])-1)^(2.5)*4^(1-2.5)+1) +
 ((VALUE(tbl_CONTENT[[#This Row],[Comp]])-1)^(2.5)*4^(1-2.5)+1)*(0.5*((VALUE(tbl_CONTENT[[#This Row],[RelId]])-1)/4)^(2.5)+1),
 0
)</f>
        <v>0</v>
      </c>
      <c r="W338" s="22" t="str">
        <f>IFERROR(
  IF(_xlfn.XLOOKUP(tbl_CONTENT[[#This Row],[Topic]], tbl_TOPIC[Topic], tbl_TOPIC[ParentTopic])="", "",
       _xlfn.XLOOKUP(tbl_CONTENT[[#This Row],[Topic]], tbl_TOPIC[Topic], tbl_TOPIC[ParentTopic])),
  ""
)</f>
        <v>Riemannische Mannigfaltigkeiten</v>
      </c>
      <c r="X338" s="22" t="str">
        <f>IFERROR(
  IF(_xlfn.XLOOKUP(tbl_CONTENT[[#This Row],[Topic]], tbl_TOPIC[Topic], tbl_TOPIC[TopicPath])="", "",
       _xlfn.XLOOKUP(tbl_CONTENT[[#This Row],[Topic]], tbl_TOPIC[Topic], tbl_TOPIC[TopicPath])),
  ""
)</f>
        <v>Riemannische Mannigfaltigkeiten/Paralleltransport</v>
      </c>
    </row>
    <row r="339" spans="3:24" ht="17" x14ac:dyDescent="0.2">
      <c r="C339" s="22" t="str">
        <f>_xlfn.XLOOKUP(tbl_CONTENT[[#This Row],[TopicID]], tbl_TOPIC[TopicID], tbl_TOPIC[Subject], "")</f>
        <v>RG</v>
      </c>
      <c r="D3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RG-T12-09-07</v>
      </c>
      <c r="E339" s="22">
        <f>ROW()</f>
        <v>339</v>
      </c>
      <c r="F339" s="22" t="s">
        <v>1051</v>
      </c>
      <c r="G339" s="22" t="str">
        <f>_xlfn.XLOOKUP(tbl_CONTENT[[#This Row],[Topic]], tbl_TOPIC[Topic], tbl_TOPIC[TopicID], "")</f>
        <v>RG-1-09</v>
      </c>
      <c r="H339" s="22" cm="1">
        <f t="array" ref="H339">SUM((tbl_CONTENT[[#This Row],[TopicID]]=INDEX(tbl_CONTENT[TopicID],1):tbl_CONTENT[[#This Row],[TopicID]])*1)</f>
        <v>7</v>
      </c>
      <c r="I339" s="22" t="str">
        <f>_xlfn.XLOOKUP(tbl_CONTENT[[#This Row],[Topic]], tbl_TOPIC[Topic], tbl_TOPIC[TopicIndex], "")</f>
        <v>09</v>
      </c>
      <c r="J339" s="22" t="s">
        <v>504</v>
      </c>
      <c r="K339" s="22" t="s">
        <v>1046</v>
      </c>
      <c r="L339" s="22" t="s">
        <v>179</v>
      </c>
      <c r="S339" s="35">
        <f>IFERROR(
 (1.907*EXP(1)^(-0.5*tbl_CONTENT[[#This Row],[Layer]])) *
 ((tbl_CONTENT[[#This Row],[RelInt]]-1)^(2.5)*4^(1-2.5)+1) +
 ((tbl_CONTENT[[#This Row],[Comp]]-1)^(2.5)*4^(1-2.5)+1)*(0.5*((tbl_CONTENT[[#This Row],[RelInt]]-1)/4)^(2.5)+1),
 0
)</f>
        <v>0</v>
      </c>
      <c r="T339" s="35">
        <f>IFERROR(
 (1.907*EXP(1)^(-0.5*VALUE(tbl_CONTENT[[#This Row],[Layer]]))) *
 ((VALUE(tbl_CONTENT[[#This Row],[RelId]])-1)^(2.5)*4^(1-2.5)+1) +
 ((VALUE(tbl_CONTENT[[#This Row],[Comp]])-1)^(2.5)*4^(1-2.5)+1)*(0.5*((VALUE(tbl_CONTENT[[#This Row],[RelId]])-1)/4)^(2.5)+1),
 0
)</f>
        <v>0</v>
      </c>
      <c r="W339" s="22" t="str">
        <f>IFERROR(
  IF(_xlfn.XLOOKUP(tbl_CONTENT[[#This Row],[Topic]], tbl_TOPIC[Topic], tbl_TOPIC[ParentTopic])="", "",
       _xlfn.XLOOKUP(tbl_CONTENT[[#This Row],[Topic]], tbl_TOPIC[Topic], tbl_TOPIC[ParentTopic])),
  ""
)</f>
        <v>Riemannische Mannigfaltigkeiten</v>
      </c>
      <c r="X339" s="22" t="str">
        <f>IFERROR(
  IF(_xlfn.XLOOKUP(tbl_CONTENT[[#This Row],[Topic]], tbl_TOPIC[Topic], tbl_TOPIC[TopicPath])="", "",
       _xlfn.XLOOKUP(tbl_CONTENT[[#This Row],[Topic]], tbl_TOPIC[Topic], tbl_TOPIC[TopicPath])),
  ""
)</f>
        <v>Riemannische Mannigfaltigkeiten/Paralleltransport</v>
      </c>
    </row>
    <row r="340" spans="3:24" ht="34" x14ac:dyDescent="0.2">
      <c r="C340" s="22" t="str">
        <f>_xlfn.XLOOKUP(tbl_CONTENT[[#This Row],[TopicID]], tbl_TOPIC[TopicID], tbl_TOPIC[Subject], "")</f>
        <v>GPDE</v>
      </c>
      <c r="D3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GPDE-T12-08-01</v>
      </c>
      <c r="E340" s="22">
        <f>ROW()</f>
        <v>340</v>
      </c>
      <c r="F340" s="22" t="s">
        <v>1051</v>
      </c>
      <c r="G340" s="22" t="str">
        <f>_xlfn.XLOOKUP(tbl_CONTENT[[#This Row],[Topic]], tbl_TOPIC[Topic], tbl_TOPIC[TopicID], "")</f>
        <v>GPDE-1-08</v>
      </c>
      <c r="H340" s="22" cm="1">
        <f t="array" ref="H340">SUM((tbl_CONTENT[[#This Row],[TopicID]]=INDEX(tbl_CONTENT[TopicID],1):tbl_CONTENT[[#This Row],[TopicID]])*1)</f>
        <v>1</v>
      </c>
      <c r="I340" s="22" t="str">
        <f>_xlfn.XLOOKUP(tbl_CONTENT[[#This Row],[Topic]], tbl_TOPIC[Topic], tbl_TOPIC[TopicIndex], "")</f>
        <v>08</v>
      </c>
      <c r="J340" s="22" t="s">
        <v>456</v>
      </c>
      <c r="K340" s="22" t="s">
        <v>586</v>
      </c>
      <c r="L340" s="22" t="s">
        <v>149</v>
      </c>
      <c r="M340" s="22">
        <v>1</v>
      </c>
      <c r="S340" s="35">
        <f>IFERROR(
 (1.907*EXP(1)^(-0.5*tbl_CONTENT[[#This Row],[Layer]])) *
 ((tbl_CONTENT[[#This Row],[RelInt]]-1)^(2.5)*4^(1-2.5)+1) +
 ((tbl_CONTENT[[#This Row],[Comp]]-1)^(2.5)*4^(1-2.5)+1)*(0.5*((tbl_CONTENT[[#This Row],[RelInt]]-1)/4)^(2.5)+1),
 0
)</f>
        <v>0</v>
      </c>
      <c r="T340" s="35">
        <f>IFERROR(
 (1.907*EXP(1)^(-0.5*VALUE(tbl_CONTENT[[#This Row],[Layer]]))) *
 ((VALUE(tbl_CONTENT[[#This Row],[RelId]])-1)^(2.5)*4^(1-2.5)+1) +
 ((VALUE(tbl_CONTENT[[#This Row],[Comp]])-1)^(2.5)*4^(1-2.5)+1)*(0.5*((VALUE(tbl_CONTENT[[#This Row],[RelId]])-1)/4)^(2.5)+1),
 0
)</f>
        <v>0</v>
      </c>
      <c r="W340" s="22" t="str">
        <f>IFERROR(
  IF(_xlfn.XLOOKUP(tbl_CONTENT[[#This Row],[Topic]], tbl_TOPIC[Topic], tbl_TOPIC[ParentTopic])="", "",
       _xlfn.XLOOKUP(tbl_CONTENT[[#This Row],[Topic]], tbl_TOPIC[Topic], tbl_TOPIC[ParentTopic])),
  ""
)</f>
        <v>Maximum Prinzipien</v>
      </c>
      <c r="X340" s="22" t="str">
        <f>IFERROR(
  IF(_xlfn.XLOOKUP(tbl_CONTENT[[#This Row],[Topic]], tbl_TOPIC[Topic], tbl_TOPIC[TopicPath])="", "",
       _xlfn.XLOOKUP(tbl_CONTENT[[#This Row],[Topic]], tbl_TOPIC[Topic], tbl_TOPIC[TopicPath])),
  ""
)</f>
        <v>Maximum Prinzipien/Hopf Lemma</v>
      </c>
    </row>
    <row r="341" spans="3:24" ht="34" x14ac:dyDescent="0.2">
      <c r="C341" s="22" t="str">
        <f>_xlfn.XLOOKUP(tbl_CONTENT[[#This Row],[TopicID]], tbl_TOPIC[TopicID], tbl_TOPIC[Subject], "")</f>
        <v>GPDE</v>
      </c>
      <c r="D3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GPDE-T12-08-02</v>
      </c>
      <c r="E341" s="22">
        <f>ROW()</f>
        <v>341</v>
      </c>
      <c r="F341" s="22" t="s">
        <v>1051</v>
      </c>
      <c r="G341" s="22" t="str">
        <f>_xlfn.XLOOKUP(tbl_CONTENT[[#This Row],[Topic]], tbl_TOPIC[Topic], tbl_TOPIC[TopicID], "")</f>
        <v>GPDE-1-08</v>
      </c>
      <c r="H341" s="22" cm="1">
        <f t="array" ref="H341">SUM((tbl_CONTENT[[#This Row],[TopicID]]=INDEX(tbl_CONTENT[TopicID],1):tbl_CONTENT[[#This Row],[TopicID]])*1)</f>
        <v>2</v>
      </c>
      <c r="I341" s="22" t="str">
        <f>_xlfn.XLOOKUP(tbl_CONTENT[[#This Row],[Topic]], tbl_TOPIC[Topic], tbl_TOPIC[TopicIndex], "")</f>
        <v>08</v>
      </c>
      <c r="J341" s="22" t="s">
        <v>456</v>
      </c>
      <c r="K341" s="22" t="s">
        <v>589</v>
      </c>
      <c r="L341" s="22" t="s">
        <v>149</v>
      </c>
      <c r="M341" s="22">
        <v>1</v>
      </c>
      <c r="S341" s="35">
        <f>IFERROR(
 (1.907*EXP(1)^(-0.5*tbl_CONTENT[[#This Row],[Layer]])) *
 ((tbl_CONTENT[[#This Row],[RelInt]]-1)^(2.5)*4^(1-2.5)+1) +
 ((tbl_CONTENT[[#This Row],[Comp]]-1)^(2.5)*4^(1-2.5)+1)*(0.5*((tbl_CONTENT[[#This Row],[RelInt]]-1)/4)^(2.5)+1),
 0
)</f>
        <v>0</v>
      </c>
      <c r="T341" s="35">
        <f>IFERROR(
 (1.907*EXP(1)^(-0.5*VALUE(tbl_CONTENT[[#This Row],[Layer]]))) *
 ((VALUE(tbl_CONTENT[[#This Row],[RelId]])-1)^(2.5)*4^(1-2.5)+1) +
 ((VALUE(tbl_CONTENT[[#This Row],[Comp]])-1)^(2.5)*4^(1-2.5)+1)*(0.5*((VALUE(tbl_CONTENT[[#This Row],[RelId]])-1)/4)^(2.5)+1),
 0
)</f>
        <v>0</v>
      </c>
      <c r="W341" s="22" t="str">
        <f>IFERROR(
  IF(_xlfn.XLOOKUP(tbl_CONTENT[[#This Row],[Topic]], tbl_TOPIC[Topic], tbl_TOPIC[ParentTopic])="", "",
       _xlfn.XLOOKUP(tbl_CONTENT[[#This Row],[Topic]], tbl_TOPIC[Topic], tbl_TOPIC[ParentTopic])),
  ""
)</f>
        <v>Maximum Prinzipien</v>
      </c>
      <c r="X341" s="22" t="str">
        <f>IFERROR(
  IF(_xlfn.XLOOKUP(tbl_CONTENT[[#This Row],[Topic]], tbl_TOPIC[Topic], tbl_TOPIC[TopicPath])="", "",
       _xlfn.XLOOKUP(tbl_CONTENT[[#This Row],[Topic]], tbl_TOPIC[Topic], tbl_TOPIC[TopicPath])),
  ""
)</f>
        <v>Maximum Prinzipien/Hopf Lemma</v>
      </c>
    </row>
    <row r="342" spans="3:24" ht="34" x14ac:dyDescent="0.2">
      <c r="C342" s="22" t="str">
        <f>_xlfn.XLOOKUP(tbl_CONTENT[[#This Row],[TopicID]], tbl_TOPIC[TopicID], tbl_TOPIC[Subject], "")</f>
        <v>GPDE</v>
      </c>
      <c r="D3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GPDE-T12-08-03</v>
      </c>
      <c r="E342" s="22">
        <f>ROW()</f>
        <v>342</v>
      </c>
      <c r="F342" s="22" t="s">
        <v>1051</v>
      </c>
      <c r="G342" s="22" t="str">
        <f>_xlfn.XLOOKUP(tbl_CONTENT[[#This Row],[Topic]], tbl_TOPIC[Topic], tbl_TOPIC[TopicID], "")</f>
        <v>GPDE-1-08</v>
      </c>
      <c r="H342" s="22" cm="1">
        <f t="array" ref="H342">SUM((tbl_CONTENT[[#This Row],[TopicID]]=INDEX(tbl_CONTENT[TopicID],1):tbl_CONTENT[[#This Row],[TopicID]])*1)</f>
        <v>3</v>
      </c>
      <c r="I342" s="22" t="str">
        <f>_xlfn.XLOOKUP(tbl_CONTENT[[#This Row],[Topic]], tbl_TOPIC[Topic], tbl_TOPIC[TopicIndex], "")</f>
        <v>08</v>
      </c>
      <c r="J342" s="22" t="s">
        <v>456</v>
      </c>
      <c r="K342" s="22" t="s">
        <v>587</v>
      </c>
      <c r="L342" s="22" t="s">
        <v>152</v>
      </c>
      <c r="M342" s="22">
        <v>1</v>
      </c>
      <c r="S342" s="35">
        <f>IFERROR(
 (1.907*EXP(1)^(-0.5*tbl_CONTENT[[#This Row],[Layer]])) *
 ((tbl_CONTENT[[#This Row],[RelInt]]-1)^(2.5)*4^(1-2.5)+1) +
 ((tbl_CONTENT[[#This Row],[Comp]]-1)^(2.5)*4^(1-2.5)+1)*(0.5*((tbl_CONTENT[[#This Row],[RelInt]]-1)/4)^(2.5)+1),
 0
)</f>
        <v>0</v>
      </c>
      <c r="T342" s="35">
        <f>IFERROR(
 (1.907*EXP(1)^(-0.5*VALUE(tbl_CONTENT[[#This Row],[Layer]]))) *
 ((VALUE(tbl_CONTENT[[#This Row],[RelId]])-1)^(2.5)*4^(1-2.5)+1) +
 ((VALUE(tbl_CONTENT[[#This Row],[Comp]])-1)^(2.5)*4^(1-2.5)+1)*(0.5*((VALUE(tbl_CONTENT[[#This Row],[RelId]])-1)/4)^(2.5)+1),
 0
)</f>
        <v>0</v>
      </c>
      <c r="W342" s="22" t="str">
        <f>IFERROR(
  IF(_xlfn.XLOOKUP(tbl_CONTENT[[#This Row],[Topic]], tbl_TOPIC[Topic], tbl_TOPIC[ParentTopic])="", "",
       _xlfn.XLOOKUP(tbl_CONTENT[[#This Row],[Topic]], tbl_TOPIC[Topic], tbl_TOPIC[ParentTopic])),
  ""
)</f>
        <v>Maximum Prinzipien</v>
      </c>
      <c r="X342" s="22" t="str">
        <f>IFERROR(
  IF(_xlfn.XLOOKUP(tbl_CONTENT[[#This Row],[Topic]], tbl_TOPIC[Topic], tbl_TOPIC[TopicPath])="", "",
       _xlfn.XLOOKUP(tbl_CONTENT[[#This Row],[Topic]], tbl_TOPIC[Topic], tbl_TOPIC[TopicPath])),
  ""
)</f>
        <v>Maximum Prinzipien/Hopf Lemma</v>
      </c>
    </row>
    <row r="343" spans="3:24" ht="51" x14ac:dyDescent="0.2">
      <c r="C343" s="22" t="str">
        <f>_xlfn.XLOOKUP(tbl_CONTENT[[#This Row],[TopicID]], tbl_TOPIC[TopicID], tbl_TOPIC[Subject], "")</f>
        <v>GPDE</v>
      </c>
      <c r="D3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GPDE-T12-08-04</v>
      </c>
      <c r="E343" s="22">
        <f>ROW()</f>
        <v>343</v>
      </c>
      <c r="F343" s="22" t="s">
        <v>1051</v>
      </c>
      <c r="G343" s="22" t="str">
        <f>_xlfn.XLOOKUP(tbl_CONTENT[[#This Row],[Topic]], tbl_TOPIC[Topic], tbl_TOPIC[TopicID], "")</f>
        <v>GPDE-1-08</v>
      </c>
      <c r="H343" s="22" cm="1">
        <f t="array" ref="H343">SUM((tbl_CONTENT[[#This Row],[TopicID]]=INDEX(tbl_CONTENT[TopicID],1):tbl_CONTENT[[#This Row],[TopicID]])*1)</f>
        <v>4</v>
      </c>
      <c r="I343" s="22" t="str">
        <f>_xlfn.XLOOKUP(tbl_CONTENT[[#This Row],[Topic]], tbl_TOPIC[Topic], tbl_TOPIC[TopicIndex], "")</f>
        <v>08</v>
      </c>
      <c r="J343" s="22" t="s">
        <v>456</v>
      </c>
      <c r="K343" s="22" t="s">
        <v>588</v>
      </c>
      <c r="L343" s="22" t="s">
        <v>148</v>
      </c>
      <c r="M343" s="22">
        <v>1</v>
      </c>
      <c r="S343" s="35">
        <f>IFERROR(
 (1.907*EXP(1)^(-0.5*tbl_CONTENT[[#This Row],[Layer]])) *
 ((tbl_CONTENT[[#This Row],[RelInt]]-1)^(2.5)*4^(1-2.5)+1) +
 ((tbl_CONTENT[[#This Row],[Comp]]-1)^(2.5)*4^(1-2.5)+1)*(0.5*((tbl_CONTENT[[#This Row],[RelInt]]-1)/4)^(2.5)+1),
 0
)</f>
        <v>0</v>
      </c>
      <c r="T343" s="35">
        <f>IFERROR(
 (1.907*EXP(1)^(-0.5*VALUE(tbl_CONTENT[[#This Row],[Layer]]))) *
 ((VALUE(tbl_CONTENT[[#This Row],[RelId]])-1)^(2.5)*4^(1-2.5)+1) +
 ((VALUE(tbl_CONTENT[[#This Row],[Comp]])-1)^(2.5)*4^(1-2.5)+1)*(0.5*((VALUE(tbl_CONTENT[[#This Row],[RelId]])-1)/4)^(2.5)+1),
 0
)</f>
        <v>0</v>
      </c>
      <c r="W343" s="22" t="str">
        <f>IFERROR(
  IF(_xlfn.XLOOKUP(tbl_CONTENT[[#This Row],[Topic]], tbl_TOPIC[Topic], tbl_TOPIC[ParentTopic])="", "",
       _xlfn.XLOOKUP(tbl_CONTENT[[#This Row],[Topic]], tbl_TOPIC[Topic], tbl_TOPIC[ParentTopic])),
  ""
)</f>
        <v>Maximum Prinzipien</v>
      </c>
      <c r="X343" s="22" t="str">
        <f>IFERROR(
  IF(_xlfn.XLOOKUP(tbl_CONTENT[[#This Row],[Topic]], tbl_TOPIC[Topic], tbl_TOPIC[TopicPath])="", "",
       _xlfn.XLOOKUP(tbl_CONTENT[[#This Row],[Topic]], tbl_TOPIC[Topic], tbl_TOPIC[TopicPath])),
  ""
)</f>
        <v>Maximum Prinzipien/Hopf Lemma</v>
      </c>
    </row>
    <row r="344" spans="3:24" ht="34" x14ac:dyDescent="0.2">
      <c r="C344" s="22" t="str">
        <f>_xlfn.XLOOKUP(tbl_CONTENT[[#This Row],[TopicID]], tbl_TOPIC[TopicID], tbl_TOPIC[Subject], "")</f>
        <v>RG</v>
      </c>
      <c r="D3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RG-T12-16-01</v>
      </c>
      <c r="E344" s="22">
        <f>ROW()</f>
        <v>344</v>
      </c>
      <c r="F344" s="22" t="s">
        <v>1051</v>
      </c>
      <c r="G344" s="22" t="str">
        <f>_xlfn.XLOOKUP(tbl_CONTENT[[#This Row],[Topic]], tbl_TOPIC[Topic], tbl_TOPIC[TopicID], "")</f>
        <v>RG-1-16</v>
      </c>
      <c r="H344" s="22" cm="1">
        <f t="array" ref="H344">SUM((tbl_CONTENT[[#This Row],[TopicID]]=INDEX(tbl_CONTENT[TopicID],1):tbl_CONTENT[[#This Row],[TopicID]])*1)</f>
        <v>1</v>
      </c>
      <c r="I344" s="22" t="str">
        <f>_xlfn.XLOOKUP(tbl_CONTENT[[#This Row],[Topic]], tbl_TOPIC[Topic], tbl_TOPIC[TopicIndex], "")</f>
        <v>16</v>
      </c>
      <c r="J344" s="22" t="s">
        <v>591</v>
      </c>
      <c r="K344" s="22" t="s">
        <v>592</v>
      </c>
      <c r="L344" s="22" t="s">
        <v>492</v>
      </c>
      <c r="S344" s="35">
        <f>IFERROR(
 (1.907*EXP(1)^(-0.5*tbl_CONTENT[[#This Row],[Layer]])) *
 ((tbl_CONTENT[[#This Row],[RelInt]]-1)^(2.5)*4^(1-2.5)+1) +
 ((tbl_CONTENT[[#This Row],[Comp]]-1)^(2.5)*4^(1-2.5)+1)*(0.5*((tbl_CONTENT[[#This Row],[RelInt]]-1)/4)^(2.5)+1),
 0
)</f>
        <v>0</v>
      </c>
      <c r="T344" s="35">
        <f>IFERROR(
 (1.907*EXP(1)^(-0.5*VALUE(tbl_CONTENT[[#This Row],[Layer]]))) *
 ((VALUE(tbl_CONTENT[[#This Row],[RelId]])-1)^(2.5)*4^(1-2.5)+1) +
 ((VALUE(tbl_CONTENT[[#This Row],[Comp]])-1)^(2.5)*4^(1-2.5)+1)*(0.5*((VALUE(tbl_CONTENT[[#This Row],[RelId]])-1)/4)^(2.5)+1),
 0
)</f>
        <v>0</v>
      </c>
      <c r="W344" s="22" t="str">
        <f>IFERROR(
  IF(_xlfn.XLOOKUP(tbl_CONTENT[[#This Row],[Topic]], tbl_TOPIC[Topic], tbl_TOPIC[ParentTopic])="", "",
       _xlfn.XLOOKUP(tbl_CONTENT[[#This Row],[Topic]], tbl_TOPIC[Topic], tbl_TOPIC[ParentTopic])),
  ""
)</f>
        <v>RG-ÜB</v>
      </c>
      <c r="X344" s="22" t="str">
        <f>IFERROR(
  IF(_xlfn.XLOOKUP(tbl_CONTENT[[#This Row],[Topic]], tbl_TOPIC[Topic], tbl_TOPIC[TopicPath])="", "",
       _xlfn.XLOOKUP(tbl_CONTENT[[#This Row],[Topic]], tbl_TOPIC[Topic], tbl_TOPIC[TopicPath])),
  ""
)</f>
        <v>RG-ÜB/RG-ÜB-01: Glatte Mannigfaltigkeiten</v>
      </c>
    </row>
    <row r="345" spans="3:24" ht="34" x14ac:dyDescent="0.2">
      <c r="C345" s="22" t="str">
        <f>_xlfn.XLOOKUP(tbl_CONTENT[[#This Row],[TopicID]], tbl_TOPIC[TopicID], tbl_TOPIC[Subject], "")</f>
        <v>RG</v>
      </c>
      <c r="D3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RG-T12-16-02</v>
      </c>
      <c r="E345" s="22">
        <f>ROW()</f>
        <v>345</v>
      </c>
      <c r="F345" s="22" t="s">
        <v>1051</v>
      </c>
      <c r="G345" s="22" t="str">
        <f>_xlfn.XLOOKUP(tbl_CONTENT[[#This Row],[Topic]], tbl_TOPIC[Topic], tbl_TOPIC[TopicID], "")</f>
        <v>RG-1-16</v>
      </c>
      <c r="H345" s="22" cm="1">
        <f t="array" ref="H345">SUM((tbl_CONTENT[[#This Row],[TopicID]]=INDEX(tbl_CONTENT[TopicID],1):tbl_CONTENT[[#This Row],[TopicID]])*1)</f>
        <v>2</v>
      </c>
      <c r="I345" s="22" t="str">
        <f>_xlfn.XLOOKUP(tbl_CONTENT[[#This Row],[Topic]], tbl_TOPIC[Topic], tbl_TOPIC[TopicIndex], "")</f>
        <v>16</v>
      </c>
      <c r="J345" s="22" t="s">
        <v>591</v>
      </c>
      <c r="K345" s="22" t="s">
        <v>1047</v>
      </c>
      <c r="L345" s="22" t="s">
        <v>179</v>
      </c>
      <c r="S345" s="35">
        <f>IFERROR(
 (1.907*EXP(1)^(-0.5*tbl_CONTENT[[#This Row],[Layer]])) *
 ((tbl_CONTENT[[#This Row],[RelInt]]-1)^(2.5)*4^(1-2.5)+1) +
 ((tbl_CONTENT[[#This Row],[Comp]]-1)^(2.5)*4^(1-2.5)+1)*(0.5*((tbl_CONTENT[[#This Row],[RelInt]]-1)/4)^(2.5)+1),
 0
)</f>
        <v>0</v>
      </c>
      <c r="T345" s="35">
        <f>IFERROR(
 (1.907*EXP(1)^(-0.5*VALUE(tbl_CONTENT[[#This Row],[Layer]]))) *
 ((VALUE(tbl_CONTENT[[#This Row],[RelId]])-1)^(2.5)*4^(1-2.5)+1) +
 ((VALUE(tbl_CONTENT[[#This Row],[Comp]])-1)^(2.5)*4^(1-2.5)+1)*(0.5*((VALUE(tbl_CONTENT[[#This Row],[RelId]])-1)/4)^(2.5)+1),
 0
)</f>
        <v>0</v>
      </c>
      <c r="W345" s="22" t="str">
        <f>IFERROR(
  IF(_xlfn.XLOOKUP(tbl_CONTENT[[#This Row],[Topic]], tbl_TOPIC[Topic], tbl_TOPIC[ParentTopic])="", "",
       _xlfn.XLOOKUP(tbl_CONTENT[[#This Row],[Topic]], tbl_TOPIC[Topic], tbl_TOPIC[ParentTopic])),
  ""
)</f>
        <v>RG-ÜB</v>
      </c>
      <c r="X345" s="22" t="str">
        <f>IFERROR(
  IF(_xlfn.XLOOKUP(tbl_CONTENT[[#This Row],[Topic]], tbl_TOPIC[Topic], tbl_TOPIC[TopicPath])="", "",
       _xlfn.XLOOKUP(tbl_CONTENT[[#This Row],[Topic]], tbl_TOPIC[Topic], tbl_TOPIC[TopicPath])),
  ""
)</f>
        <v>RG-ÜB/RG-ÜB-01: Glatte Mannigfaltigkeiten</v>
      </c>
    </row>
    <row r="346" spans="3:24" ht="34" x14ac:dyDescent="0.2">
      <c r="C346" s="22" t="str">
        <f>_xlfn.XLOOKUP(tbl_CONTENT[[#This Row],[TopicID]], tbl_TOPIC[TopicID], tbl_TOPIC[Subject], "")</f>
        <v>RG</v>
      </c>
      <c r="D3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RG-T12-16-03</v>
      </c>
      <c r="E346" s="22">
        <f>ROW()</f>
        <v>346</v>
      </c>
      <c r="F346" s="22" t="s">
        <v>1051</v>
      </c>
      <c r="G346" s="22" t="str">
        <f>_xlfn.XLOOKUP(tbl_CONTENT[[#This Row],[Topic]], tbl_TOPIC[Topic], tbl_TOPIC[TopicID], "")</f>
        <v>RG-1-16</v>
      </c>
      <c r="H346" s="22" cm="1">
        <f t="array" ref="H346">SUM((tbl_CONTENT[[#This Row],[TopicID]]=INDEX(tbl_CONTENT[TopicID],1):tbl_CONTENT[[#This Row],[TopicID]])*1)</f>
        <v>3</v>
      </c>
      <c r="I346" s="22" t="str">
        <f>_xlfn.XLOOKUP(tbl_CONTENT[[#This Row],[Topic]], tbl_TOPIC[Topic], tbl_TOPIC[TopicIndex], "")</f>
        <v>16</v>
      </c>
      <c r="J346" s="22" t="s">
        <v>591</v>
      </c>
      <c r="K346" s="22" t="s">
        <v>593</v>
      </c>
      <c r="L346" s="22" t="s">
        <v>179</v>
      </c>
      <c r="S346" s="35">
        <f>IFERROR(
 (1.907*EXP(1)^(-0.5*tbl_CONTENT[[#This Row],[Layer]])) *
 ((tbl_CONTENT[[#This Row],[RelInt]]-1)^(2.5)*4^(1-2.5)+1) +
 ((tbl_CONTENT[[#This Row],[Comp]]-1)^(2.5)*4^(1-2.5)+1)*(0.5*((tbl_CONTENT[[#This Row],[RelInt]]-1)/4)^(2.5)+1),
 0
)</f>
        <v>0</v>
      </c>
      <c r="T346" s="35">
        <f>IFERROR(
 (1.907*EXP(1)^(-0.5*VALUE(tbl_CONTENT[[#This Row],[Layer]]))) *
 ((VALUE(tbl_CONTENT[[#This Row],[RelId]])-1)^(2.5)*4^(1-2.5)+1) +
 ((VALUE(tbl_CONTENT[[#This Row],[Comp]])-1)^(2.5)*4^(1-2.5)+1)*(0.5*((VALUE(tbl_CONTENT[[#This Row],[RelId]])-1)/4)^(2.5)+1),
 0
)</f>
        <v>0</v>
      </c>
      <c r="W346" s="22" t="str">
        <f>IFERROR(
  IF(_xlfn.XLOOKUP(tbl_CONTENT[[#This Row],[Topic]], tbl_TOPIC[Topic], tbl_TOPIC[ParentTopic])="", "",
       _xlfn.XLOOKUP(tbl_CONTENT[[#This Row],[Topic]], tbl_TOPIC[Topic], tbl_TOPIC[ParentTopic])),
  ""
)</f>
        <v>RG-ÜB</v>
      </c>
      <c r="X346" s="22" t="str">
        <f>IFERROR(
  IF(_xlfn.XLOOKUP(tbl_CONTENT[[#This Row],[Topic]], tbl_TOPIC[Topic], tbl_TOPIC[TopicPath])="", "",
       _xlfn.XLOOKUP(tbl_CONTENT[[#This Row],[Topic]], tbl_TOPIC[Topic], tbl_TOPIC[TopicPath])),
  ""
)</f>
        <v>RG-ÜB/RG-ÜB-01: Glatte Mannigfaltigkeiten</v>
      </c>
    </row>
    <row r="347" spans="3:24" ht="34" x14ac:dyDescent="0.2">
      <c r="C347" s="22" t="str">
        <f>_xlfn.XLOOKUP(tbl_CONTENT[[#This Row],[TopicID]], tbl_TOPIC[TopicID], tbl_TOPIC[Subject], "")</f>
        <v>EFT1</v>
      </c>
      <c r="D3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EFT1-T12-02-01</v>
      </c>
      <c r="E347" s="22">
        <f>ROW()</f>
        <v>347</v>
      </c>
      <c r="F347" s="22" t="s">
        <v>1051</v>
      </c>
      <c r="G347" s="22" t="str">
        <f>_xlfn.XLOOKUP(tbl_CONTENT[[#This Row],[Topic]], tbl_TOPIC[Topic], tbl_TOPIC[TopicID], "")</f>
        <v>EFT1-1-02</v>
      </c>
      <c r="H347" s="22" cm="1">
        <f t="array" ref="H347">SUM((tbl_CONTENT[[#This Row],[TopicID]]=INDEX(tbl_CONTENT[TopicID],1):tbl_CONTENT[[#This Row],[TopicID]])*1)</f>
        <v>1</v>
      </c>
      <c r="I347" s="22" t="str">
        <f>_xlfn.XLOOKUP(tbl_CONTENT[[#This Row],[Topic]], tbl_TOPIC[Topic], tbl_TOPIC[TopicIndex], "")</f>
        <v>02</v>
      </c>
      <c r="J347" s="22" t="s">
        <v>596</v>
      </c>
      <c r="K347" s="22" t="s">
        <v>604</v>
      </c>
      <c r="L347" s="22" t="s">
        <v>152</v>
      </c>
      <c r="S347" s="35">
        <f>IFERROR(
 (1.907*EXP(1)^(-0.5*tbl_CONTENT[[#This Row],[Layer]])) *
 ((tbl_CONTENT[[#This Row],[RelInt]]-1)^(2.5)*4^(1-2.5)+1) +
 ((tbl_CONTENT[[#This Row],[Comp]]-1)^(2.5)*4^(1-2.5)+1)*(0.5*((tbl_CONTENT[[#This Row],[RelInt]]-1)/4)^(2.5)+1),
 0
)</f>
        <v>0</v>
      </c>
      <c r="T347" s="35">
        <f>IFERROR(
 (1.907*EXP(1)^(-0.5*VALUE(tbl_CONTENT[[#This Row],[Layer]]))) *
 ((VALUE(tbl_CONTENT[[#This Row],[RelId]])-1)^(2.5)*4^(1-2.5)+1) +
 ((VALUE(tbl_CONTENT[[#This Row],[Comp]])-1)^(2.5)*4^(1-2.5)+1)*(0.5*((VALUE(tbl_CONTENT[[#This Row],[RelId]])-1)/4)^(2.5)+1),
 0
)</f>
        <v>0</v>
      </c>
      <c r="W347" s="22" t="str">
        <f>IFERROR(
  IF(_xlfn.XLOOKUP(tbl_CONTENT[[#This Row],[Topic]], tbl_TOPIC[Topic], tbl_TOPIC[ParentTopic])="", "",
       _xlfn.XLOOKUP(tbl_CONTENT[[#This Row],[Topic]], tbl_TOPIC[Topic], tbl_TOPIC[ParentTopic])),
  ""
)</f>
        <v/>
      </c>
      <c r="X347" s="22" t="str">
        <f>IFERROR(
  IF(_xlfn.XLOOKUP(tbl_CONTENT[[#This Row],[Topic]], tbl_TOPIC[Topic], tbl_TOPIC[TopicPath])="", "",
       _xlfn.XLOOKUP(tbl_CONTENT[[#This Row],[Topic]], tbl_TOPIC[Topic], tbl_TOPIC[TopicPath])),
  ""
)</f>
        <v>Faserbündel</v>
      </c>
    </row>
    <row r="348" spans="3:24" ht="34" x14ac:dyDescent="0.2">
      <c r="C348" s="22" t="str">
        <f>_xlfn.XLOOKUP(tbl_CONTENT[[#This Row],[TopicID]], tbl_TOPIC[TopicID], tbl_TOPIC[Subject], "")</f>
        <v>EFT1</v>
      </c>
      <c r="D3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EFT1-T12-02-02</v>
      </c>
      <c r="E348" s="22">
        <f>ROW()</f>
        <v>348</v>
      </c>
      <c r="F348" s="22" t="s">
        <v>1051</v>
      </c>
      <c r="G348" s="22" t="str">
        <f>_xlfn.XLOOKUP(tbl_CONTENT[[#This Row],[Topic]], tbl_TOPIC[Topic], tbl_TOPIC[TopicID], "")</f>
        <v>EFT1-1-02</v>
      </c>
      <c r="H348" s="22" cm="1">
        <f t="array" ref="H348">SUM((tbl_CONTENT[[#This Row],[TopicID]]=INDEX(tbl_CONTENT[TopicID],1):tbl_CONTENT[[#This Row],[TopicID]])*1)</f>
        <v>2</v>
      </c>
      <c r="I348" s="22" t="str">
        <f>_xlfn.XLOOKUP(tbl_CONTENT[[#This Row],[Topic]], tbl_TOPIC[Topic], tbl_TOPIC[TopicIndex], "")</f>
        <v>02</v>
      </c>
      <c r="J348" s="22" t="s">
        <v>596</v>
      </c>
      <c r="K348" s="22" t="s">
        <v>605</v>
      </c>
      <c r="L348" s="22" t="s">
        <v>152</v>
      </c>
      <c r="S348" s="35">
        <f>IFERROR(
 (1.907*EXP(1)^(-0.5*tbl_CONTENT[[#This Row],[Layer]])) *
 ((tbl_CONTENT[[#This Row],[RelInt]]-1)^(2.5)*4^(1-2.5)+1) +
 ((tbl_CONTENT[[#This Row],[Comp]]-1)^(2.5)*4^(1-2.5)+1)*(0.5*((tbl_CONTENT[[#This Row],[RelInt]]-1)/4)^(2.5)+1),
 0
)</f>
        <v>0</v>
      </c>
      <c r="T348" s="35">
        <f>IFERROR(
 (1.907*EXP(1)^(-0.5*VALUE(tbl_CONTENT[[#This Row],[Layer]]))) *
 ((VALUE(tbl_CONTENT[[#This Row],[RelId]])-1)^(2.5)*4^(1-2.5)+1) +
 ((VALUE(tbl_CONTENT[[#This Row],[Comp]])-1)^(2.5)*4^(1-2.5)+1)*(0.5*((VALUE(tbl_CONTENT[[#This Row],[RelId]])-1)/4)^(2.5)+1),
 0
)</f>
        <v>0</v>
      </c>
      <c r="W348" s="22" t="str">
        <f>IFERROR(
  IF(_xlfn.XLOOKUP(tbl_CONTENT[[#This Row],[Topic]], tbl_TOPIC[Topic], tbl_TOPIC[ParentTopic])="", "",
       _xlfn.XLOOKUP(tbl_CONTENT[[#This Row],[Topic]], tbl_TOPIC[Topic], tbl_TOPIC[ParentTopic])),
  ""
)</f>
        <v/>
      </c>
      <c r="X348" s="22" t="str">
        <f>IFERROR(
  IF(_xlfn.XLOOKUP(tbl_CONTENT[[#This Row],[Topic]], tbl_TOPIC[Topic], tbl_TOPIC[TopicPath])="", "",
       _xlfn.XLOOKUP(tbl_CONTENT[[#This Row],[Topic]], tbl_TOPIC[Topic], tbl_TOPIC[TopicPath])),
  ""
)</f>
        <v>Faserbündel</v>
      </c>
    </row>
    <row r="349" spans="3:24" ht="34" x14ac:dyDescent="0.2">
      <c r="C349" s="22" t="str">
        <f>_xlfn.XLOOKUP(tbl_CONTENT[[#This Row],[TopicID]], tbl_TOPIC[TopicID], tbl_TOPIC[Subject], "")</f>
        <v>EFT1</v>
      </c>
      <c r="D3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EFT1-T12-02-03</v>
      </c>
      <c r="E349" s="22">
        <f>ROW()</f>
        <v>349</v>
      </c>
      <c r="F349" s="22" t="s">
        <v>1051</v>
      </c>
      <c r="G349" s="22" t="str">
        <f>_xlfn.XLOOKUP(tbl_CONTENT[[#This Row],[Topic]], tbl_TOPIC[Topic], tbl_TOPIC[TopicID], "")</f>
        <v>EFT1-1-02</v>
      </c>
      <c r="H349" s="22" cm="1">
        <f t="array" ref="H349">SUM((tbl_CONTENT[[#This Row],[TopicID]]=INDEX(tbl_CONTENT[TopicID],1):tbl_CONTENT[[#This Row],[TopicID]])*1)</f>
        <v>3</v>
      </c>
      <c r="I349" s="22" t="str">
        <f>_xlfn.XLOOKUP(tbl_CONTENT[[#This Row],[Topic]], tbl_TOPIC[Topic], tbl_TOPIC[TopicIndex], "")</f>
        <v>02</v>
      </c>
      <c r="J349" s="22" t="s">
        <v>596</v>
      </c>
      <c r="K349" s="22" t="s">
        <v>606</v>
      </c>
      <c r="L349" s="22" t="s">
        <v>179</v>
      </c>
      <c r="S349" s="35">
        <f>IFERROR(
 (1.907*EXP(1)^(-0.5*tbl_CONTENT[[#This Row],[Layer]])) *
 ((tbl_CONTENT[[#This Row],[RelInt]]-1)^(2.5)*4^(1-2.5)+1) +
 ((tbl_CONTENT[[#This Row],[Comp]]-1)^(2.5)*4^(1-2.5)+1)*(0.5*((tbl_CONTENT[[#This Row],[RelInt]]-1)/4)^(2.5)+1),
 0
)</f>
        <v>0</v>
      </c>
      <c r="T349" s="35">
        <f>IFERROR(
 (1.907*EXP(1)^(-0.5*VALUE(tbl_CONTENT[[#This Row],[Layer]]))) *
 ((VALUE(tbl_CONTENT[[#This Row],[RelId]])-1)^(2.5)*4^(1-2.5)+1) +
 ((VALUE(tbl_CONTENT[[#This Row],[Comp]])-1)^(2.5)*4^(1-2.5)+1)*(0.5*((VALUE(tbl_CONTENT[[#This Row],[RelId]])-1)/4)^(2.5)+1),
 0
)</f>
        <v>0</v>
      </c>
      <c r="W349" s="22" t="str">
        <f>IFERROR(
  IF(_xlfn.XLOOKUP(tbl_CONTENT[[#This Row],[Topic]], tbl_TOPIC[Topic], tbl_TOPIC[ParentTopic])="", "",
       _xlfn.XLOOKUP(tbl_CONTENT[[#This Row],[Topic]], tbl_TOPIC[Topic], tbl_TOPIC[ParentTopic])),
  ""
)</f>
        <v/>
      </c>
      <c r="X349" s="22" t="str">
        <f>IFERROR(
  IF(_xlfn.XLOOKUP(tbl_CONTENT[[#This Row],[Topic]], tbl_TOPIC[Topic], tbl_TOPIC[TopicPath])="", "",
       _xlfn.XLOOKUP(tbl_CONTENT[[#This Row],[Topic]], tbl_TOPIC[Topic], tbl_TOPIC[TopicPath])),
  ""
)</f>
        <v>Faserbündel</v>
      </c>
    </row>
    <row r="350" spans="3:24" ht="34" x14ac:dyDescent="0.2">
      <c r="C350" s="22" t="str">
        <f>_xlfn.XLOOKUP(tbl_CONTENT[[#This Row],[TopicID]], tbl_TOPIC[TopicID], tbl_TOPIC[Subject], "")</f>
        <v>EFT1</v>
      </c>
      <c r="D3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EFT1-T12-02-04</v>
      </c>
      <c r="E350" s="22">
        <f>ROW()</f>
        <v>350</v>
      </c>
      <c r="F350" s="22" t="s">
        <v>1051</v>
      </c>
      <c r="G350" s="22" t="str">
        <f>_xlfn.XLOOKUP(tbl_CONTENT[[#This Row],[Topic]], tbl_TOPIC[Topic], tbl_TOPIC[TopicID], "")</f>
        <v>EFT1-1-02</v>
      </c>
      <c r="H350" s="22" cm="1">
        <f t="array" ref="H350">SUM((tbl_CONTENT[[#This Row],[TopicID]]=INDEX(tbl_CONTENT[TopicID],1):tbl_CONTENT[[#This Row],[TopicID]])*1)</f>
        <v>4</v>
      </c>
      <c r="I350" s="22" t="str">
        <f>_xlfn.XLOOKUP(tbl_CONTENT[[#This Row],[Topic]], tbl_TOPIC[Topic], tbl_TOPIC[TopicIndex], "")</f>
        <v>02</v>
      </c>
      <c r="J350" s="22" t="s">
        <v>596</v>
      </c>
      <c r="K350" s="22" t="s">
        <v>607</v>
      </c>
      <c r="L350" s="22" t="s">
        <v>179</v>
      </c>
      <c r="S350" s="35">
        <f>IFERROR(
 (1.907*EXP(1)^(-0.5*tbl_CONTENT[[#This Row],[Layer]])) *
 ((tbl_CONTENT[[#This Row],[RelInt]]-1)^(2.5)*4^(1-2.5)+1) +
 ((tbl_CONTENT[[#This Row],[Comp]]-1)^(2.5)*4^(1-2.5)+1)*(0.5*((tbl_CONTENT[[#This Row],[RelInt]]-1)/4)^(2.5)+1),
 0
)</f>
        <v>0</v>
      </c>
      <c r="T350" s="35">
        <f>IFERROR(
 (1.907*EXP(1)^(-0.5*VALUE(tbl_CONTENT[[#This Row],[Layer]]))) *
 ((VALUE(tbl_CONTENT[[#This Row],[RelId]])-1)^(2.5)*4^(1-2.5)+1) +
 ((VALUE(tbl_CONTENT[[#This Row],[Comp]])-1)^(2.5)*4^(1-2.5)+1)*(0.5*((VALUE(tbl_CONTENT[[#This Row],[RelId]])-1)/4)^(2.5)+1),
 0
)</f>
        <v>0</v>
      </c>
      <c r="W350" s="22" t="str">
        <f>IFERROR(
  IF(_xlfn.XLOOKUP(tbl_CONTENT[[#This Row],[Topic]], tbl_TOPIC[Topic], tbl_TOPIC[ParentTopic])="", "",
       _xlfn.XLOOKUP(tbl_CONTENT[[#This Row],[Topic]], tbl_TOPIC[Topic], tbl_TOPIC[ParentTopic])),
  ""
)</f>
        <v/>
      </c>
      <c r="X350" s="22" t="str">
        <f>IFERROR(
  IF(_xlfn.XLOOKUP(tbl_CONTENT[[#This Row],[Topic]], tbl_TOPIC[Topic], tbl_TOPIC[TopicPath])="", "",
       _xlfn.XLOOKUP(tbl_CONTENT[[#This Row],[Topic]], tbl_TOPIC[Topic], tbl_TOPIC[TopicPath])),
  ""
)</f>
        <v>Faserbündel</v>
      </c>
    </row>
    <row r="351" spans="3:24" ht="34" x14ac:dyDescent="0.2">
      <c r="C351" s="22" t="str">
        <f>_xlfn.XLOOKUP(tbl_CONTENT[[#This Row],[TopicID]], tbl_TOPIC[TopicID], tbl_TOPIC[Subject], "")</f>
        <v>EFT1</v>
      </c>
      <c r="D3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EFT1-T12-02-05</v>
      </c>
      <c r="E351" s="22">
        <f>ROW()</f>
        <v>351</v>
      </c>
      <c r="F351" s="22" t="s">
        <v>1051</v>
      </c>
      <c r="G351" s="22" t="str">
        <f>_xlfn.XLOOKUP(tbl_CONTENT[[#This Row],[Topic]], tbl_TOPIC[Topic], tbl_TOPIC[TopicID], "")</f>
        <v>EFT1-1-02</v>
      </c>
      <c r="H351" s="22" cm="1">
        <f t="array" ref="H351">SUM((tbl_CONTENT[[#This Row],[TopicID]]=INDEX(tbl_CONTENT[TopicID],1):tbl_CONTENT[[#This Row],[TopicID]])*1)</f>
        <v>5</v>
      </c>
      <c r="I351" s="22" t="str">
        <f>_xlfn.XLOOKUP(tbl_CONTENT[[#This Row],[Topic]], tbl_TOPIC[Topic], tbl_TOPIC[TopicIndex], "")</f>
        <v>02</v>
      </c>
      <c r="J351" s="22" t="s">
        <v>596</v>
      </c>
      <c r="K351" s="22" t="s">
        <v>994</v>
      </c>
      <c r="L351" s="22" t="s">
        <v>179</v>
      </c>
      <c r="S351" s="35">
        <f>IFERROR(
 (1.907*EXP(1)^(-0.5*tbl_CONTENT[[#This Row],[Layer]])) *
 ((tbl_CONTENT[[#This Row],[RelInt]]-1)^(2.5)*4^(1-2.5)+1) +
 ((tbl_CONTENT[[#This Row],[Comp]]-1)^(2.5)*4^(1-2.5)+1)*(0.5*((tbl_CONTENT[[#This Row],[RelInt]]-1)/4)^(2.5)+1),
 0
)</f>
        <v>0</v>
      </c>
      <c r="T351" s="35">
        <f>IFERROR(
 (1.907*EXP(1)^(-0.5*VALUE(tbl_CONTENT[[#This Row],[Layer]]))) *
 ((VALUE(tbl_CONTENT[[#This Row],[RelId]])-1)^(2.5)*4^(1-2.5)+1) +
 ((VALUE(tbl_CONTENT[[#This Row],[Comp]])-1)^(2.5)*4^(1-2.5)+1)*(0.5*((VALUE(tbl_CONTENT[[#This Row],[RelId]])-1)/4)^(2.5)+1),
 0
)</f>
        <v>0</v>
      </c>
      <c r="W351" s="22" t="str">
        <f>IFERROR(
  IF(_xlfn.XLOOKUP(tbl_CONTENT[[#This Row],[Topic]], tbl_TOPIC[Topic], tbl_TOPIC[ParentTopic])="", "",
       _xlfn.XLOOKUP(tbl_CONTENT[[#This Row],[Topic]], tbl_TOPIC[Topic], tbl_TOPIC[ParentTopic])),
  ""
)</f>
        <v/>
      </c>
      <c r="X351" s="22" t="str">
        <f>IFERROR(
  IF(_xlfn.XLOOKUP(tbl_CONTENT[[#This Row],[Topic]], tbl_TOPIC[Topic], tbl_TOPIC[TopicPath])="", "",
       _xlfn.XLOOKUP(tbl_CONTENT[[#This Row],[Topic]], tbl_TOPIC[Topic], tbl_TOPIC[TopicPath])),
  ""
)</f>
        <v>Faserbündel</v>
      </c>
    </row>
    <row r="352" spans="3:24" ht="34" x14ac:dyDescent="0.2">
      <c r="C352" s="22" t="str">
        <f>_xlfn.XLOOKUP(tbl_CONTENT[[#This Row],[TopicID]], tbl_TOPIC[TopicID], tbl_TOPIC[Subject], "")</f>
        <v>EFT1</v>
      </c>
      <c r="D3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EFT1-T12-02-06</v>
      </c>
      <c r="E352" s="22">
        <f>ROW()</f>
        <v>352</v>
      </c>
      <c r="F352" s="22" t="s">
        <v>1051</v>
      </c>
      <c r="G352" s="22" t="str">
        <f>_xlfn.XLOOKUP(tbl_CONTENT[[#This Row],[Topic]], tbl_TOPIC[Topic], tbl_TOPIC[TopicID], "")</f>
        <v>EFT1-1-02</v>
      </c>
      <c r="H352" s="22" cm="1">
        <f t="array" ref="H352">SUM((tbl_CONTENT[[#This Row],[TopicID]]=INDEX(tbl_CONTENT[TopicID],1):tbl_CONTENT[[#This Row],[TopicID]])*1)</f>
        <v>6</v>
      </c>
      <c r="I352" s="22" t="str">
        <f>_xlfn.XLOOKUP(tbl_CONTENT[[#This Row],[Topic]], tbl_TOPIC[Topic], tbl_TOPIC[TopicIndex], "")</f>
        <v>02</v>
      </c>
      <c r="J352" s="22" t="s">
        <v>596</v>
      </c>
      <c r="K352" s="22" t="s">
        <v>995</v>
      </c>
      <c r="L352" s="22" t="s">
        <v>179</v>
      </c>
      <c r="S352" s="35">
        <f>IFERROR(
 (1.907*EXP(1)^(-0.5*tbl_CONTENT[[#This Row],[Layer]])) *
 ((tbl_CONTENT[[#This Row],[RelInt]]-1)^(2.5)*4^(1-2.5)+1) +
 ((tbl_CONTENT[[#This Row],[Comp]]-1)^(2.5)*4^(1-2.5)+1)*(0.5*((tbl_CONTENT[[#This Row],[RelInt]]-1)/4)^(2.5)+1),
 0
)</f>
        <v>0</v>
      </c>
      <c r="T352" s="35">
        <f>IFERROR(
 (1.907*EXP(1)^(-0.5*VALUE(tbl_CONTENT[[#This Row],[Layer]]))) *
 ((VALUE(tbl_CONTENT[[#This Row],[RelId]])-1)^(2.5)*4^(1-2.5)+1) +
 ((VALUE(tbl_CONTENT[[#This Row],[Comp]])-1)^(2.5)*4^(1-2.5)+1)*(0.5*((VALUE(tbl_CONTENT[[#This Row],[RelId]])-1)/4)^(2.5)+1),
 0
)</f>
        <v>0</v>
      </c>
      <c r="W352" s="22" t="str">
        <f>IFERROR(
  IF(_xlfn.XLOOKUP(tbl_CONTENT[[#This Row],[Topic]], tbl_TOPIC[Topic], tbl_TOPIC[ParentTopic])="", "",
       _xlfn.XLOOKUP(tbl_CONTENT[[#This Row],[Topic]], tbl_TOPIC[Topic], tbl_TOPIC[ParentTopic])),
  ""
)</f>
        <v/>
      </c>
      <c r="X352" s="22" t="str">
        <f>IFERROR(
  IF(_xlfn.XLOOKUP(tbl_CONTENT[[#This Row],[Topic]], tbl_TOPIC[Topic], tbl_TOPIC[TopicPath])="", "",
       _xlfn.XLOOKUP(tbl_CONTENT[[#This Row],[Topic]], tbl_TOPIC[Topic], tbl_TOPIC[TopicPath])),
  ""
)</f>
        <v>Faserbündel</v>
      </c>
    </row>
    <row r="353" spans="3:24" ht="51" x14ac:dyDescent="0.2">
      <c r="C353" s="22" t="str">
        <f>_xlfn.XLOOKUP(tbl_CONTENT[[#This Row],[TopicID]], tbl_TOPIC[TopicID], tbl_TOPIC[Subject], "")</f>
        <v>EFT1</v>
      </c>
      <c r="D3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EFT1-T12-02-07</v>
      </c>
      <c r="E353" s="22">
        <f>ROW()</f>
        <v>353</v>
      </c>
      <c r="F353" s="22" t="s">
        <v>1051</v>
      </c>
      <c r="G353" s="22" t="str">
        <f>_xlfn.XLOOKUP(tbl_CONTENT[[#This Row],[Topic]], tbl_TOPIC[Topic], tbl_TOPIC[TopicID], "")</f>
        <v>EFT1-1-02</v>
      </c>
      <c r="H353" s="22" cm="1">
        <f t="array" ref="H353">SUM((tbl_CONTENT[[#This Row],[TopicID]]=INDEX(tbl_CONTENT[TopicID],1):tbl_CONTENT[[#This Row],[TopicID]])*1)</f>
        <v>7</v>
      </c>
      <c r="I353" s="22" t="str">
        <f>_xlfn.XLOOKUP(tbl_CONTENT[[#This Row],[Topic]], tbl_TOPIC[Topic], tbl_TOPIC[TopicIndex], "")</f>
        <v>02</v>
      </c>
      <c r="J353" s="22" t="s">
        <v>596</v>
      </c>
      <c r="K353" s="22" t="s">
        <v>608</v>
      </c>
      <c r="L353" s="22" t="s">
        <v>152</v>
      </c>
      <c r="S353" s="35">
        <f>IFERROR(
 (1.907*EXP(1)^(-0.5*tbl_CONTENT[[#This Row],[Layer]])) *
 ((tbl_CONTENT[[#This Row],[RelInt]]-1)^(2.5)*4^(1-2.5)+1) +
 ((tbl_CONTENT[[#This Row],[Comp]]-1)^(2.5)*4^(1-2.5)+1)*(0.5*((tbl_CONTENT[[#This Row],[RelInt]]-1)/4)^(2.5)+1),
 0
)</f>
        <v>0</v>
      </c>
      <c r="T353" s="35">
        <f>IFERROR(
 (1.907*EXP(1)^(-0.5*VALUE(tbl_CONTENT[[#This Row],[Layer]]))) *
 ((VALUE(tbl_CONTENT[[#This Row],[RelId]])-1)^(2.5)*4^(1-2.5)+1) +
 ((VALUE(tbl_CONTENT[[#This Row],[Comp]])-1)^(2.5)*4^(1-2.5)+1)*(0.5*((VALUE(tbl_CONTENT[[#This Row],[RelId]])-1)/4)^(2.5)+1),
 0
)</f>
        <v>0</v>
      </c>
      <c r="W353" s="22" t="str">
        <f>IFERROR(
  IF(_xlfn.XLOOKUP(tbl_CONTENT[[#This Row],[Topic]], tbl_TOPIC[Topic], tbl_TOPIC[ParentTopic])="", "",
       _xlfn.XLOOKUP(tbl_CONTENT[[#This Row],[Topic]], tbl_TOPIC[Topic], tbl_TOPIC[ParentTopic])),
  ""
)</f>
        <v/>
      </c>
      <c r="X353" s="22" t="str">
        <f>IFERROR(
  IF(_xlfn.XLOOKUP(tbl_CONTENT[[#This Row],[Topic]], tbl_TOPIC[Topic], tbl_TOPIC[TopicPath])="", "",
       _xlfn.XLOOKUP(tbl_CONTENT[[#This Row],[Topic]], tbl_TOPIC[Topic], tbl_TOPIC[TopicPath])),
  ""
)</f>
        <v>Faserbündel</v>
      </c>
    </row>
    <row r="354" spans="3:24" ht="34" x14ac:dyDescent="0.2">
      <c r="C354" s="22" t="str">
        <f>_xlfn.XLOOKUP(tbl_CONTENT[[#This Row],[TopicID]], tbl_TOPIC[TopicID], tbl_TOPIC[Subject], "")</f>
        <v>EFT1</v>
      </c>
      <c r="D3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EFT1-T12-02-08</v>
      </c>
      <c r="E354" s="22">
        <f>ROW()</f>
        <v>354</v>
      </c>
      <c r="F354" s="22" t="s">
        <v>1051</v>
      </c>
      <c r="G354" s="22" t="str">
        <f>_xlfn.XLOOKUP(tbl_CONTENT[[#This Row],[Topic]], tbl_TOPIC[Topic], tbl_TOPIC[TopicID], "")</f>
        <v>EFT1-1-02</v>
      </c>
      <c r="H354" s="22" cm="1">
        <f t="array" ref="H354">SUM((tbl_CONTENT[[#This Row],[TopicID]]=INDEX(tbl_CONTENT[TopicID],1):tbl_CONTENT[[#This Row],[TopicID]])*1)</f>
        <v>8</v>
      </c>
      <c r="I354" s="22" t="str">
        <f>_xlfn.XLOOKUP(tbl_CONTENT[[#This Row],[Topic]], tbl_TOPIC[Topic], tbl_TOPIC[TopicIndex], "")</f>
        <v>02</v>
      </c>
      <c r="J354" s="22" t="s">
        <v>596</v>
      </c>
      <c r="K354" s="22" t="s">
        <v>609</v>
      </c>
      <c r="L354" s="22" t="s">
        <v>152</v>
      </c>
      <c r="S354" s="35">
        <f>IFERROR(
 (1.907*EXP(1)^(-0.5*tbl_CONTENT[[#This Row],[Layer]])) *
 ((tbl_CONTENT[[#This Row],[RelInt]]-1)^(2.5)*4^(1-2.5)+1) +
 ((tbl_CONTENT[[#This Row],[Comp]]-1)^(2.5)*4^(1-2.5)+1)*(0.5*((tbl_CONTENT[[#This Row],[RelInt]]-1)/4)^(2.5)+1),
 0
)</f>
        <v>0</v>
      </c>
      <c r="T354" s="35">
        <f>IFERROR(
 (1.907*EXP(1)^(-0.5*VALUE(tbl_CONTENT[[#This Row],[Layer]]))) *
 ((VALUE(tbl_CONTENT[[#This Row],[RelId]])-1)^(2.5)*4^(1-2.5)+1) +
 ((VALUE(tbl_CONTENT[[#This Row],[Comp]])-1)^(2.5)*4^(1-2.5)+1)*(0.5*((VALUE(tbl_CONTENT[[#This Row],[RelId]])-1)/4)^(2.5)+1),
 0
)</f>
        <v>0</v>
      </c>
      <c r="W354" s="22" t="str">
        <f>IFERROR(
  IF(_xlfn.XLOOKUP(tbl_CONTENT[[#This Row],[Topic]], tbl_TOPIC[Topic], tbl_TOPIC[ParentTopic])="", "",
       _xlfn.XLOOKUP(tbl_CONTENT[[#This Row],[Topic]], tbl_TOPIC[Topic], tbl_TOPIC[ParentTopic])),
  ""
)</f>
        <v/>
      </c>
      <c r="X354" s="22" t="str">
        <f>IFERROR(
  IF(_xlfn.XLOOKUP(tbl_CONTENT[[#This Row],[Topic]], tbl_TOPIC[Topic], tbl_TOPIC[TopicPath])="", "",
       _xlfn.XLOOKUP(tbl_CONTENT[[#This Row],[Topic]], tbl_TOPIC[Topic], tbl_TOPIC[TopicPath])),
  ""
)</f>
        <v>Faserbündel</v>
      </c>
    </row>
    <row r="355" spans="3:24" ht="34" x14ac:dyDescent="0.2">
      <c r="C355" s="22" t="str">
        <f>_xlfn.XLOOKUP(tbl_CONTENT[[#This Row],[TopicID]], tbl_TOPIC[TopicID], tbl_TOPIC[Subject], "")</f>
        <v>EFT1</v>
      </c>
      <c r="D3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EFT1-T12-02-09</v>
      </c>
      <c r="E355" s="22">
        <f>ROW()</f>
        <v>355</v>
      </c>
      <c r="F355" s="22" t="s">
        <v>1051</v>
      </c>
      <c r="G355" s="22" t="str">
        <f>_xlfn.XLOOKUP(tbl_CONTENT[[#This Row],[Topic]], tbl_TOPIC[Topic], tbl_TOPIC[TopicID], "")</f>
        <v>EFT1-1-02</v>
      </c>
      <c r="H355" s="22" cm="1">
        <f t="array" ref="H355">SUM((tbl_CONTENT[[#This Row],[TopicID]]=INDEX(tbl_CONTENT[TopicID],1):tbl_CONTENT[[#This Row],[TopicID]])*1)</f>
        <v>9</v>
      </c>
      <c r="I355" s="22" t="str">
        <f>_xlfn.XLOOKUP(tbl_CONTENT[[#This Row],[Topic]], tbl_TOPIC[Topic], tbl_TOPIC[TopicIndex], "")</f>
        <v>02</v>
      </c>
      <c r="J355" s="22" t="s">
        <v>596</v>
      </c>
      <c r="K355" s="22" t="s">
        <v>610</v>
      </c>
      <c r="L355" s="22" t="s">
        <v>152</v>
      </c>
      <c r="S355" s="35">
        <f>IFERROR(
 (1.907*EXP(1)^(-0.5*tbl_CONTENT[[#This Row],[Layer]])) *
 ((tbl_CONTENT[[#This Row],[RelInt]]-1)^(2.5)*4^(1-2.5)+1) +
 ((tbl_CONTENT[[#This Row],[Comp]]-1)^(2.5)*4^(1-2.5)+1)*(0.5*((tbl_CONTENT[[#This Row],[RelInt]]-1)/4)^(2.5)+1),
 0
)</f>
        <v>0</v>
      </c>
      <c r="T355" s="35">
        <f>IFERROR(
 (1.907*EXP(1)^(-0.5*VALUE(tbl_CONTENT[[#This Row],[Layer]]))) *
 ((VALUE(tbl_CONTENT[[#This Row],[RelId]])-1)^(2.5)*4^(1-2.5)+1) +
 ((VALUE(tbl_CONTENT[[#This Row],[Comp]])-1)^(2.5)*4^(1-2.5)+1)*(0.5*((VALUE(tbl_CONTENT[[#This Row],[RelId]])-1)/4)^(2.5)+1),
 0
)</f>
        <v>0</v>
      </c>
      <c r="W355" s="22" t="str">
        <f>IFERROR(
  IF(_xlfn.XLOOKUP(tbl_CONTENT[[#This Row],[Topic]], tbl_TOPIC[Topic], tbl_TOPIC[ParentTopic])="", "",
       _xlfn.XLOOKUP(tbl_CONTENT[[#This Row],[Topic]], tbl_TOPIC[Topic], tbl_TOPIC[ParentTopic])),
  ""
)</f>
        <v/>
      </c>
      <c r="X355" s="22" t="str">
        <f>IFERROR(
  IF(_xlfn.XLOOKUP(tbl_CONTENT[[#This Row],[Topic]], tbl_TOPIC[Topic], tbl_TOPIC[TopicPath])="", "",
       _xlfn.XLOOKUP(tbl_CONTENT[[#This Row],[Topic]], tbl_TOPIC[Topic], tbl_TOPIC[TopicPath])),
  ""
)</f>
        <v>Faserbündel</v>
      </c>
    </row>
    <row r="356" spans="3:24" ht="34" x14ac:dyDescent="0.2">
      <c r="C356" s="22" t="str">
        <f>_xlfn.XLOOKUP(tbl_CONTENT[[#This Row],[TopicID]], tbl_TOPIC[TopicID], tbl_TOPIC[Subject], "")</f>
        <v>EFT1</v>
      </c>
      <c r="D3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EFT1-T12-02-10</v>
      </c>
      <c r="E356" s="22">
        <f>ROW()</f>
        <v>356</v>
      </c>
      <c r="F356" s="22" t="s">
        <v>1051</v>
      </c>
      <c r="G356" s="22" t="str">
        <f>_xlfn.XLOOKUP(tbl_CONTENT[[#This Row],[Topic]], tbl_TOPIC[Topic], tbl_TOPIC[TopicID], "")</f>
        <v>EFT1-1-02</v>
      </c>
      <c r="H356" s="22" cm="1">
        <f t="array" ref="H356">SUM((tbl_CONTENT[[#This Row],[TopicID]]=INDEX(tbl_CONTENT[TopicID],1):tbl_CONTENT[[#This Row],[TopicID]])*1)</f>
        <v>10</v>
      </c>
      <c r="I356" s="22" t="str">
        <f>_xlfn.XLOOKUP(tbl_CONTENT[[#This Row],[Topic]], tbl_TOPIC[Topic], tbl_TOPIC[TopicIndex], "")</f>
        <v>02</v>
      </c>
      <c r="J356" s="22" t="s">
        <v>596</v>
      </c>
      <c r="K356" s="22" t="s">
        <v>611</v>
      </c>
      <c r="L356" s="22" t="s">
        <v>152</v>
      </c>
      <c r="S356" s="35">
        <f>IFERROR(
 (1.907*EXP(1)^(-0.5*tbl_CONTENT[[#This Row],[Layer]])) *
 ((tbl_CONTENT[[#This Row],[RelInt]]-1)^(2.5)*4^(1-2.5)+1) +
 ((tbl_CONTENT[[#This Row],[Comp]]-1)^(2.5)*4^(1-2.5)+1)*(0.5*((tbl_CONTENT[[#This Row],[RelInt]]-1)/4)^(2.5)+1),
 0
)</f>
        <v>0</v>
      </c>
      <c r="T356" s="35">
        <f>IFERROR(
 (1.907*EXP(1)^(-0.5*VALUE(tbl_CONTENT[[#This Row],[Layer]]))) *
 ((VALUE(tbl_CONTENT[[#This Row],[RelId]])-1)^(2.5)*4^(1-2.5)+1) +
 ((VALUE(tbl_CONTENT[[#This Row],[Comp]])-1)^(2.5)*4^(1-2.5)+1)*(0.5*((VALUE(tbl_CONTENT[[#This Row],[RelId]])-1)/4)^(2.5)+1),
 0
)</f>
        <v>0</v>
      </c>
      <c r="W356" s="22" t="str">
        <f>IFERROR(
  IF(_xlfn.XLOOKUP(tbl_CONTENT[[#This Row],[Topic]], tbl_TOPIC[Topic], tbl_TOPIC[ParentTopic])="", "",
       _xlfn.XLOOKUP(tbl_CONTENT[[#This Row],[Topic]], tbl_TOPIC[Topic], tbl_TOPIC[ParentTopic])),
  ""
)</f>
        <v/>
      </c>
      <c r="X356" s="22" t="str">
        <f>IFERROR(
  IF(_xlfn.XLOOKUP(tbl_CONTENT[[#This Row],[Topic]], tbl_TOPIC[Topic], tbl_TOPIC[TopicPath])="", "",
       _xlfn.XLOOKUP(tbl_CONTENT[[#This Row],[Topic]], tbl_TOPIC[Topic], tbl_TOPIC[TopicPath])),
  ""
)</f>
        <v>Faserbündel</v>
      </c>
    </row>
    <row r="357" spans="3:24" ht="34" x14ac:dyDescent="0.2">
      <c r="C357" s="22" t="str">
        <f>_xlfn.XLOOKUP(tbl_CONTENT[[#This Row],[TopicID]], tbl_TOPIC[TopicID], tbl_TOPIC[Subject], "")</f>
        <v>EFT1</v>
      </c>
      <c r="D3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EFT1-T12-02-11</v>
      </c>
      <c r="E357" s="22">
        <f>ROW()</f>
        <v>357</v>
      </c>
      <c r="F357" s="22" t="s">
        <v>1051</v>
      </c>
      <c r="G357" s="22" t="str">
        <f>_xlfn.XLOOKUP(tbl_CONTENT[[#This Row],[Topic]], tbl_TOPIC[Topic], tbl_TOPIC[TopicID], "")</f>
        <v>EFT1-1-02</v>
      </c>
      <c r="H357" s="22" cm="1">
        <f t="array" ref="H357">SUM((tbl_CONTENT[[#This Row],[TopicID]]=INDEX(tbl_CONTENT[TopicID],1):tbl_CONTENT[[#This Row],[TopicID]])*1)</f>
        <v>11</v>
      </c>
      <c r="I357" s="22" t="str">
        <f>_xlfn.XLOOKUP(tbl_CONTENT[[#This Row],[Topic]], tbl_TOPIC[Topic], tbl_TOPIC[TopicIndex], "")</f>
        <v>02</v>
      </c>
      <c r="J357" s="22" t="s">
        <v>596</v>
      </c>
      <c r="K357" s="22" t="s">
        <v>612</v>
      </c>
      <c r="L357" s="22" t="s">
        <v>152</v>
      </c>
      <c r="S357" s="35">
        <f>IFERROR(
 (1.907*EXP(1)^(-0.5*tbl_CONTENT[[#This Row],[Layer]])) *
 ((tbl_CONTENT[[#This Row],[RelInt]]-1)^(2.5)*4^(1-2.5)+1) +
 ((tbl_CONTENT[[#This Row],[Comp]]-1)^(2.5)*4^(1-2.5)+1)*(0.5*((tbl_CONTENT[[#This Row],[RelInt]]-1)/4)^(2.5)+1),
 0
)</f>
        <v>0</v>
      </c>
      <c r="T357" s="35">
        <f>IFERROR(
 (1.907*EXP(1)^(-0.5*VALUE(tbl_CONTENT[[#This Row],[Layer]]))) *
 ((VALUE(tbl_CONTENT[[#This Row],[RelId]])-1)^(2.5)*4^(1-2.5)+1) +
 ((VALUE(tbl_CONTENT[[#This Row],[Comp]])-1)^(2.5)*4^(1-2.5)+1)*(0.5*((VALUE(tbl_CONTENT[[#This Row],[RelId]])-1)/4)^(2.5)+1),
 0
)</f>
        <v>0</v>
      </c>
      <c r="W357" s="22" t="str">
        <f>IFERROR(
  IF(_xlfn.XLOOKUP(tbl_CONTENT[[#This Row],[Topic]], tbl_TOPIC[Topic], tbl_TOPIC[ParentTopic])="", "",
       _xlfn.XLOOKUP(tbl_CONTENT[[#This Row],[Topic]], tbl_TOPIC[Topic], tbl_TOPIC[ParentTopic])),
  ""
)</f>
        <v/>
      </c>
      <c r="X357" s="22" t="str">
        <f>IFERROR(
  IF(_xlfn.XLOOKUP(tbl_CONTENT[[#This Row],[Topic]], tbl_TOPIC[Topic], tbl_TOPIC[TopicPath])="", "",
       _xlfn.XLOOKUP(tbl_CONTENT[[#This Row],[Topic]], tbl_TOPIC[Topic], tbl_TOPIC[TopicPath])),
  ""
)</f>
        <v>Faserbündel</v>
      </c>
    </row>
    <row r="358" spans="3:24" ht="34" x14ac:dyDescent="0.2">
      <c r="C358" s="22" t="str">
        <f>_xlfn.XLOOKUP(tbl_CONTENT[[#This Row],[TopicID]], tbl_TOPIC[TopicID], tbl_TOPIC[Subject], "")</f>
        <v>EFT1</v>
      </c>
      <c r="D3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EFT1-T12-02-12</v>
      </c>
      <c r="E358" s="22">
        <f>ROW()</f>
        <v>358</v>
      </c>
      <c r="F358" s="22" t="s">
        <v>1051</v>
      </c>
      <c r="G358" s="22" t="str">
        <f>_xlfn.XLOOKUP(tbl_CONTENT[[#This Row],[Topic]], tbl_TOPIC[Topic], tbl_TOPIC[TopicID], "")</f>
        <v>EFT1-1-02</v>
      </c>
      <c r="H358" s="22" cm="1">
        <f t="array" ref="H358">SUM((tbl_CONTENT[[#This Row],[TopicID]]=INDEX(tbl_CONTENT[TopicID],1):tbl_CONTENT[[#This Row],[TopicID]])*1)</f>
        <v>12</v>
      </c>
      <c r="I358" s="22" t="str">
        <f>_xlfn.XLOOKUP(tbl_CONTENT[[#This Row],[Topic]], tbl_TOPIC[Topic], tbl_TOPIC[TopicIndex], "")</f>
        <v>02</v>
      </c>
      <c r="J358" s="22" t="s">
        <v>596</v>
      </c>
      <c r="K358" s="22" t="s">
        <v>613</v>
      </c>
      <c r="L358" s="22" t="s">
        <v>152</v>
      </c>
      <c r="S358" s="35">
        <f>IFERROR(
 (1.907*EXP(1)^(-0.5*tbl_CONTENT[[#This Row],[Layer]])) *
 ((tbl_CONTENT[[#This Row],[RelInt]]-1)^(2.5)*4^(1-2.5)+1) +
 ((tbl_CONTENT[[#This Row],[Comp]]-1)^(2.5)*4^(1-2.5)+1)*(0.5*((tbl_CONTENT[[#This Row],[RelInt]]-1)/4)^(2.5)+1),
 0
)</f>
        <v>0</v>
      </c>
      <c r="T358" s="35">
        <f>IFERROR(
 (1.907*EXP(1)^(-0.5*VALUE(tbl_CONTENT[[#This Row],[Layer]]))) *
 ((VALUE(tbl_CONTENT[[#This Row],[RelId]])-1)^(2.5)*4^(1-2.5)+1) +
 ((VALUE(tbl_CONTENT[[#This Row],[Comp]])-1)^(2.5)*4^(1-2.5)+1)*(0.5*((VALUE(tbl_CONTENT[[#This Row],[RelId]])-1)/4)^(2.5)+1),
 0
)</f>
        <v>0</v>
      </c>
      <c r="W358" s="22" t="str">
        <f>IFERROR(
  IF(_xlfn.XLOOKUP(tbl_CONTENT[[#This Row],[Topic]], tbl_TOPIC[Topic], tbl_TOPIC[ParentTopic])="", "",
       _xlfn.XLOOKUP(tbl_CONTENT[[#This Row],[Topic]], tbl_TOPIC[Topic], tbl_TOPIC[ParentTopic])),
  ""
)</f>
        <v/>
      </c>
      <c r="X358" s="22" t="str">
        <f>IFERROR(
  IF(_xlfn.XLOOKUP(tbl_CONTENT[[#This Row],[Topic]], tbl_TOPIC[Topic], tbl_TOPIC[TopicPath])="", "",
       _xlfn.XLOOKUP(tbl_CONTENT[[#This Row],[Topic]], tbl_TOPIC[Topic], tbl_TOPIC[TopicPath])),
  ""
)</f>
        <v>Faserbündel</v>
      </c>
    </row>
    <row r="359" spans="3:24" ht="34" x14ac:dyDescent="0.2">
      <c r="C359" s="22" t="str">
        <f>_xlfn.XLOOKUP(tbl_CONTENT[[#This Row],[TopicID]], tbl_TOPIC[TopicID], tbl_TOPIC[Subject], "")</f>
        <v>EFT1</v>
      </c>
      <c r="D3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EFT1-T12-02-13</v>
      </c>
      <c r="E359" s="22">
        <f>ROW()</f>
        <v>359</v>
      </c>
      <c r="F359" s="22" t="s">
        <v>1051</v>
      </c>
      <c r="G359" s="22" t="str">
        <f>_xlfn.XLOOKUP(tbl_CONTENT[[#This Row],[Topic]], tbl_TOPIC[Topic], tbl_TOPIC[TopicID], "")</f>
        <v>EFT1-1-02</v>
      </c>
      <c r="H359" s="22" cm="1">
        <f t="array" ref="H359">SUM((tbl_CONTENT[[#This Row],[TopicID]]=INDEX(tbl_CONTENT[TopicID],1):tbl_CONTENT[[#This Row],[TopicID]])*1)</f>
        <v>13</v>
      </c>
      <c r="I359" s="22" t="str">
        <f>_xlfn.XLOOKUP(tbl_CONTENT[[#This Row],[Topic]], tbl_TOPIC[Topic], tbl_TOPIC[TopicIndex], "")</f>
        <v>02</v>
      </c>
      <c r="J359" s="22" t="s">
        <v>596</v>
      </c>
      <c r="K359" s="22" t="s">
        <v>614</v>
      </c>
      <c r="L359" s="22" t="s">
        <v>152</v>
      </c>
      <c r="S359" s="35">
        <f>IFERROR(
 (1.907*EXP(1)^(-0.5*tbl_CONTENT[[#This Row],[Layer]])) *
 ((tbl_CONTENT[[#This Row],[RelInt]]-1)^(2.5)*4^(1-2.5)+1) +
 ((tbl_CONTENT[[#This Row],[Comp]]-1)^(2.5)*4^(1-2.5)+1)*(0.5*((tbl_CONTENT[[#This Row],[RelInt]]-1)/4)^(2.5)+1),
 0
)</f>
        <v>0</v>
      </c>
      <c r="T359" s="35">
        <f>IFERROR(
 (1.907*EXP(1)^(-0.5*VALUE(tbl_CONTENT[[#This Row],[Layer]]))) *
 ((VALUE(tbl_CONTENT[[#This Row],[RelId]])-1)^(2.5)*4^(1-2.5)+1) +
 ((VALUE(tbl_CONTENT[[#This Row],[Comp]])-1)^(2.5)*4^(1-2.5)+1)*(0.5*((VALUE(tbl_CONTENT[[#This Row],[RelId]])-1)/4)^(2.5)+1),
 0
)</f>
        <v>0</v>
      </c>
      <c r="W359" s="22" t="str">
        <f>IFERROR(
  IF(_xlfn.XLOOKUP(tbl_CONTENT[[#This Row],[Topic]], tbl_TOPIC[Topic], tbl_TOPIC[ParentTopic])="", "",
       _xlfn.XLOOKUP(tbl_CONTENT[[#This Row],[Topic]], tbl_TOPIC[Topic], tbl_TOPIC[ParentTopic])),
  ""
)</f>
        <v/>
      </c>
      <c r="X359" s="22" t="str">
        <f>IFERROR(
  IF(_xlfn.XLOOKUP(tbl_CONTENT[[#This Row],[Topic]], tbl_TOPIC[Topic], tbl_TOPIC[TopicPath])="", "",
       _xlfn.XLOOKUP(tbl_CONTENT[[#This Row],[Topic]], tbl_TOPIC[Topic], tbl_TOPIC[TopicPath])),
  ""
)</f>
        <v>Faserbündel</v>
      </c>
    </row>
    <row r="360" spans="3:24" ht="34" x14ac:dyDescent="0.2">
      <c r="C360" s="22" t="str">
        <f>_xlfn.XLOOKUP(tbl_CONTENT[[#This Row],[TopicID]], tbl_TOPIC[TopicID], tbl_TOPIC[Subject], "")</f>
        <v>EFT1</v>
      </c>
      <c r="D3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EFT1-T12-02-14</v>
      </c>
      <c r="E360" s="22">
        <f>ROW()</f>
        <v>360</v>
      </c>
      <c r="F360" s="22" t="s">
        <v>1051</v>
      </c>
      <c r="G360" s="22" t="str">
        <f>_xlfn.XLOOKUP(tbl_CONTENT[[#This Row],[Topic]], tbl_TOPIC[Topic], tbl_TOPIC[TopicID], "")</f>
        <v>EFT1-1-02</v>
      </c>
      <c r="H360" s="22" cm="1">
        <f t="array" ref="H360">SUM((tbl_CONTENT[[#This Row],[TopicID]]=INDEX(tbl_CONTENT[TopicID],1):tbl_CONTENT[[#This Row],[TopicID]])*1)</f>
        <v>14</v>
      </c>
      <c r="I360" s="22" t="str">
        <f>_xlfn.XLOOKUP(tbl_CONTENT[[#This Row],[Topic]], tbl_TOPIC[Topic], tbl_TOPIC[TopicIndex], "")</f>
        <v>02</v>
      </c>
      <c r="J360" s="22" t="s">
        <v>596</v>
      </c>
      <c r="K360" s="22" t="s">
        <v>615</v>
      </c>
      <c r="L360" s="22" t="s">
        <v>152</v>
      </c>
      <c r="S360" s="35">
        <f>IFERROR(
 (1.907*EXP(1)^(-0.5*tbl_CONTENT[[#This Row],[Layer]])) *
 ((tbl_CONTENT[[#This Row],[RelInt]]-1)^(2.5)*4^(1-2.5)+1) +
 ((tbl_CONTENT[[#This Row],[Comp]]-1)^(2.5)*4^(1-2.5)+1)*(0.5*((tbl_CONTENT[[#This Row],[RelInt]]-1)/4)^(2.5)+1),
 0
)</f>
        <v>0</v>
      </c>
      <c r="T360" s="35">
        <f>IFERROR(
 (1.907*EXP(1)^(-0.5*VALUE(tbl_CONTENT[[#This Row],[Layer]]))) *
 ((VALUE(tbl_CONTENT[[#This Row],[RelId]])-1)^(2.5)*4^(1-2.5)+1) +
 ((VALUE(tbl_CONTENT[[#This Row],[Comp]])-1)^(2.5)*4^(1-2.5)+1)*(0.5*((VALUE(tbl_CONTENT[[#This Row],[RelId]])-1)/4)^(2.5)+1),
 0
)</f>
        <v>0</v>
      </c>
      <c r="W360" s="22" t="str">
        <f>IFERROR(
  IF(_xlfn.XLOOKUP(tbl_CONTENT[[#This Row],[Topic]], tbl_TOPIC[Topic], tbl_TOPIC[ParentTopic])="", "",
       _xlfn.XLOOKUP(tbl_CONTENT[[#This Row],[Topic]], tbl_TOPIC[Topic], tbl_TOPIC[ParentTopic])),
  ""
)</f>
        <v/>
      </c>
      <c r="X360" s="22" t="str">
        <f>IFERROR(
  IF(_xlfn.XLOOKUP(tbl_CONTENT[[#This Row],[Topic]], tbl_TOPIC[Topic], tbl_TOPIC[TopicPath])="", "",
       _xlfn.XLOOKUP(tbl_CONTENT[[#This Row],[Topic]], tbl_TOPIC[Topic], tbl_TOPIC[TopicPath])),
  ""
)</f>
        <v>Faserbündel</v>
      </c>
    </row>
    <row r="361" spans="3:24" ht="51" x14ac:dyDescent="0.2">
      <c r="C361" s="22" t="str">
        <f>_xlfn.XLOOKUP(tbl_CONTENT[[#This Row],[TopicID]], tbl_TOPIC[TopicID], tbl_TOPIC[Subject], "")</f>
        <v>EFT1</v>
      </c>
      <c r="D3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EFT1-T12-02-15</v>
      </c>
      <c r="E361" s="22">
        <f>ROW()</f>
        <v>361</v>
      </c>
      <c r="F361" s="22" t="s">
        <v>1051</v>
      </c>
      <c r="G361" s="22" t="str">
        <f>_xlfn.XLOOKUP(tbl_CONTENT[[#This Row],[Topic]], tbl_TOPIC[Topic], tbl_TOPIC[TopicID], "")</f>
        <v>EFT1-1-02</v>
      </c>
      <c r="H361" s="22" cm="1">
        <f t="array" ref="H361">SUM((tbl_CONTENT[[#This Row],[TopicID]]=INDEX(tbl_CONTENT[TopicID],1):tbl_CONTENT[[#This Row],[TopicID]])*1)</f>
        <v>15</v>
      </c>
      <c r="I361" s="22" t="str">
        <f>_xlfn.XLOOKUP(tbl_CONTENT[[#This Row],[Topic]], tbl_TOPIC[Topic], tbl_TOPIC[TopicIndex], "")</f>
        <v>02</v>
      </c>
      <c r="J361" s="22" t="s">
        <v>596</v>
      </c>
      <c r="K361" s="22" t="s">
        <v>616</v>
      </c>
      <c r="L361" s="22" t="s">
        <v>147</v>
      </c>
      <c r="S361" s="35">
        <f>IFERROR(
 (1.907*EXP(1)^(-0.5*tbl_CONTENT[[#This Row],[Layer]])) *
 ((tbl_CONTENT[[#This Row],[RelInt]]-1)^(2.5)*4^(1-2.5)+1) +
 ((tbl_CONTENT[[#This Row],[Comp]]-1)^(2.5)*4^(1-2.5)+1)*(0.5*((tbl_CONTENT[[#This Row],[RelInt]]-1)/4)^(2.5)+1),
 0
)</f>
        <v>0</v>
      </c>
      <c r="T361" s="35">
        <f>IFERROR(
 (1.907*EXP(1)^(-0.5*VALUE(tbl_CONTENT[[#This Row],[Layer]]))) *
 ((VALUE(tbl_CONTENT[[#This Row],[RelId]])-1)^(2.5)*4^(1-2.5)+1) +
 ((VALUE(tbl_CONTENT[[#This Row],[Comp]])-1)^(2.5)*4^(1-2.5)+1)*(0.5*((VALUE(tbl_CONTENT[[#This Row],[RelId]])-1)/4)^(2.5)+1),
 0
)</f>
        <v>0</v>
      </c>
      <c r="W361" s="22" t="str">
        <f>IFERROR(
  IF(_xlfn.XLOOKUP(tbl_CONTENT[[#This Row],[Topic]], tbl_TOPIC[Topic], tbl_TOPIC[ParentTopic])="", "",
       _xlfn.XLOOKUP(tbl_CONTENT[[#This Row],[Topic]], tbl_TOPIC[Topic], tbl_TOPIC[ParentTopic])),
  ""
)</f>
        <v/>
      </c>
      <c r="X361" s="22" t="str">
        <f>IFERROR(
  IF(_xlfn.XLOOKUP(tbl_CONTENT[[#This Row],[Topic]], tbl_TOPIC[Topic], tbl_TOPIC[TopicPath])="", "",
       _xlfn.XLOOKUP(tbl_CONTENT[[#This Row],[Topic]], tbl_TOPIC[Topic], tbl_TOPIC[TopicPath])),
  ""
)</f>
        <v>Faserbündel</v>
      </c>
    </row>
    <row r="362" spans="3:24" ht="34" x14ac:dyDescent="0.2">
      <c r="C362" s="22" t="str">
        <f>_xlfn.XLOOKUP(tbl_CONTENT[[#This Row],[TopicID]], tbl_TOPIC[TopicID], tbl_TOPIC[Subject], "")</f>
        <v>EFT1</v>
      </c>
      <c r="D3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EFT1-T12-02-16</v>
      </c>
      <c r="E362" s="22">
        <f>ROW()</f>
        <v>362</v>
      </c>
      <c r="F362" s="22" t="s">
        <v>1051</v>
      </c>
      <c r="G362" s="22" t="str">
        <f>_xlfn.XLOOKUP(tbl_CONTENT[[#This Row],[Topic]], tbl_TOPIC[Topic], tbl_TOPIC[TopicID], "")</f>
        <v>EFT1-1-02</v>
      </c>
      <c r="H362" s="22" cm="1">
        <f t="array" ref="H362">SUM((tbl_CONTENT[[#This Row],[TopicID]]=INDEX(tbl_CONTENT[TopicID],1):tbl_CONTENT[[#This Row],[TopicID]])*1)</f>
        <v>16</v>
      </c>
      <c r="I362" s="22" t="str">
        <f>_xlfn.XLOOKUP(tbl_CONTENT[[#This Row],[Topic]], tbl_TOPIC[Topic], tbl_TOPIC[TopicIndex], "")</f>
        <v>02</v>
      </c>
      <c r="J362" s="22" t="s">
        <v>596</v>
      </c>
      <c r="K362" s="22" t="s">
        <v>617</v>
      </c>
      <c r="L362" s="22" t="s">
        <v>152</v>
      </c>
      <c r="S362" s="35">
        <f>IFERROR(
 (1.907*EXP(1)^(-0.5*tbl_CONTENT[[#This Row],[Layer]])) *
 ((tbl_CONTENT[[#This Row],[RelInt]]-1)^(2.5)*4^(1-2.5)+1) +
 ((tbl_CONTENT[[#This Row],[Comp]]-1)^(2.5)*4^(1-2.5)+1)*(0.5*((tbl_CONTENT[[#This Row],[RelInt]]-1)/4)^(2.5)+1),
 0
)</f>
        <v>0</v>
      </c>
      <c r="T362" s="35">
        <f>IFERROR(
 (1.907*EXP(1)^(-0.5*VALUE(tbl_CONTENT[[#This Row],[Layer]]))) *
 ((VALUE(tbl_CONTENT[[#This Row],[RelId]])-1)^(2.5)*4^(1-2.5)+1) +
 ((VALUE(tbl_CONTENT[[#This Row],[Comp]])-1)^(2.5)*4^(1-2.5)+1)*(0.5*((VALUE(tbl_CONTENT[[#This Row],[RelId]])-1)/4)^(2.5)+1),
 0
)</f>
        <v>0</v>
      </c>
      <c r="W362" s="22" t="str">
        <f>IFERROR(
  IF(_xlfn.XLOOKUP(tbl_CONTENT[[#This Row],[Topic]], tbl_TOPIC[Topic], tbl_TOPIC[ParentTopic])="", "",
       _xlfn.XLOOKUP(tbl_CONTENT[[#This Row],[Topic]], tbl_TOPIC[Topic], tbl_TOPIC[ParentTopic])),
  ""
)</f>
        <v/>
      </c>
      <c r="X362" s="22" t="str">
        <f>IFERROR(
  IF(_xlfn.XLOOKUP(tbl_CONTENT[[#This Row],[Topic]], tbl_TOPIC[Topic], tbl_TOPIC[TopicPath])="", "",
       _xlfn.XLOOKUP(tbl_CONTENT[[#This Row],[Topic]], tbl_TOPIC[Topic], tbl_TOPIC[TopicPath])),
  ""
)</f>
        <v>Faserbündel</v>
      </c>
    </row>
    <row r="363" spans="3:24" ht="34" x14ac:dyDescent="0.2">
      <c r="C363" s="22" t="str">
        <f>_xlfn.XLOOKUP(tbl_CONTENT[[#This Row],[TopicID]], tbl_TOPIC[TopicID], tbl_TOPIC[Subject], "")</f>
        <v>EFT1</v>
      </c>
      <c r="D3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EFT1-T12-02-17</v>
      </c>
      <c r="E363" s="22">
        <f>ROW()</f>
        <v>363</v>
      </c>
      <c r="F363" s="22" t="s">
        <v>1051</v>
      </c>
      <c r="G363" s="22" t="str">
        <f>_xlfn.XLOOKUP(tbl_CONTENT[[#This Row],[Topic]], tbl_TOPIC[Topic], tbl_TOPIC[TopicID], "")</f>
        <v>EFT1-1-02</v>
      </c>
      <c r="H363" s="22" cm="1">
        <f t="array" ref="H363">SUM((tbl_CONTENT[[#This Row],[TopicID]]=INDEX(tbl_CONTENT[TopicID],1):tbl_CONTENT[[#This Row],[TopicID]])*1)</f>
        <v>17</v>
      </c>
      <c r="I363" s="22" t="str">
        <f>_xlfn.XLOOKUP(tbl_CONTENT[[#This Row],[Topic]], tbl_TOPIC[Topic], tbl_TOPIC[TopicIndex], "")</f>
        <v>02</v>
      </c>
      <c r="J363" s="22" t="s">
        <v>596</v>
      </c>
      <c r="K363" s="22" t="s">
        <v>618</v>
      </c>
      <c r="L363" s="22" t="s">
        <v>152</v>
      </c>
      <c r="S363" s="35">
        <f>IFERROR(
 (1.907*EXP(1)^(-0.5*tbl_CONTENT[[#This Row],[Layer]])) *
 ((tbl_CONTENT[[#This Row],[RelInt]]-1)^(2.5)*4^(1-2.5)+1) +
 ((tbl_CONTENT[[#This Row],[Comp]]-1)^(2.5)*4^(1-2.5)+1)*(0.5*((tbl_CONTENT[[#This Row],[RelInt]]-1)/4)^(2.5)+1),
 0
)</f>
        <v>0</v>
      </c>
      <c r="T363" s="35">
        <f>IFERROR(
 (1.907*EXP(1)^(-0.5*VALUE(tbl_CONTENT[[#This Row],[Layer]]))) *
 ((VALUE(tbl_CONTENT[[#This Row],[RelId]])-1)^(2.5)*4^(1-2.5)+1) +
 ((VALUE(tbl_CONTENT[[#This Row],[Comp]])-1)^(2.5)*4^(1-2.5)+1)*(0.5*((VALUE(tbl_CONTENT[[#This Row],[RelId]])-1)/4)^(2.5)+1),
 0
)</f>
        <v>0</v>
      </c>
      <c r="W363" s="22" t="str">
        <f>IFERROR(
  IF(_xlfn.XLOOKUP(tbl_CONTENT[[#This Row],[Topic]], tbl_TOPIC[Topic], tbl_TOPIC[ParentTopic])="", "",
       _xlfn.XLOOKUP(tbl_CONTENT[[#This Row],[Topic]], tbl_TOPIC[Topic], tbl_TOPIC[ParentTopic])),
  ""
)</f>
        <v/>
      </c>
      <c r="X363" s="22" t="str">
        <f>IFERROR(
  IF(_xlfn.XLOOKUP(tbl_CONTENT[[#This Row],[Topic]], tbl_TOPIC[Topic], tbl_TOPIC[TopicPath])="", "",
       _xlfn.XLOOKUP(tbl_CONTENT[[#This Row],[Topic]], tbl_TOPIC[Topic], tbl_TOPIC[TopicPath])),
  ""
)</f>
        <v>Faserbündel</v>
      </c>
    </row>
    <row r="364" spans="3:24" ht="34" x14ac:dyDescent="0.2">
      <c r="C364" s="22" t="str">
        <f>_xlfn.XLOOKUP(tbl_CONTENT[[#This Row],[TopicID]], tbl_TOPIC[TopicID], tbl_TOPIC[Subject], "")</f>
        <v>EFT1</v>
      </c>
      <c r="D3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EFT1-T12-02-18</v>
      </c>
      <c r="E364" s="22">
        <f>ROW()</f>
        <v>364</v>
      </c>
      <c r="F364" s="22" t="s">
        <v>1051</v>
      </c>
      <c r="G364" s="22" t="str">
        <f>_xlfn.XLOOKUP(tbl_CONTENT[[#This Row],[Topic]], tbl_TOPIC[Topic], tbl_TOPIC[TopicID], "")</f>
        <v>EFT1-1-02</v>
      </c>
      <c r="H364" s="22" cm="1">
        <f t="array" ref="H364">SUM((tbl_CONTENT[[#This Row],[TopicID]]=INDEX(tbl_CONTENT[TopicID],1):tbl_CONTENT[[#This Row],[TopicID]])*1)</f>
        <v>18</v>
      </c>
      <c r="I364" s="22" t="str">
        <f>_xlfn.XLOOKUP(tbl_CONTENT[[#This Row],[Topic]], tbl_TOPIC[Topic], tbl_TOPIC[TopicIndex], "")</f>
        <v>02</v>
      </c>
      <c r="J364" s="22" t="s">
        <v>596</v>
      </c>
      <c r="K364" s="22" t="s">
        <v>619</v>
      </c>
      <c r="L364" s="22" t="s">
        <v>179</v>
      </c>
      <c r="S364" s="35">
        <f>IFERROR(
 (1.907*EXP(1)^(-0.5*tbl_CONTENT[[#This Row],[Layer]])) *
 ((tbl_CONTENT[[#This Row],[RelInt]]-1)^(2.5)*4^(1-2.5)+1) +
 ((tbl_CONTENT[[#This Row],[Comp]]-1)^(2.5)*4^(1-2.5)+1)*(0.5*((tbl_CONTENT[[#This Row],[RelInt]]-1)/4)^(2.5)+1),
 0
)</f>
        <v>0</v>
      </c>
      <c r="T364" s="35">
        <f>IFERROR(
 (1.907*EXP(1)^(-0.5*VALUE(tbl_CONTENT[[#This Row],[Layer]]))) *
 ((VALUE(tbl_CONTENT[[#This Row],[RelId]])-1)^(2.5)*4^(1-2.5)+1) +
 ((VALUE(tbl_CONTENT[[#This Row],[Comp]])-1)^(2.5)*4^(1-2.5)+1)*(0.5*((VALUE(tbl_CONTENT[[#This Row],[RelId]])-1)/4)^(2.5)+1),
 0
)</f>
        <v>0</v>
      </c>
      <c r="W364" s="22" t="str">
        <f>IFERROR(
  IF(_xlfn.XLOOKUP(tbl_CONTENT[[#This Row],[Topic]], tbl_TOPIC[Topic], tbl_TOPIC[ParentTopic])="", "",
       _xlfn.XLOOKUP(tbl_CONTENT[[#This Row],[Topic]], tbl_TOPIC[Topic], tbl_TOPIC[ParentTopic])),
  ""
)</f>
        <v/>
      </c>
      <c r="X364" s="22" t="str">
        <f>IFERROR(
  IF(_xlfn.XLOOKUP(tbl_CONTENT[[#This Row],[Topic]], tbl_TOPIC[Topic], tbl_TOPIC[TopicPath])="", "",
       _xlfn.XLOOKUP(tbl_CONTENT[[#This Row],[Topic]], tbl_TOPIC[Topic], tbl_TOPIC[TopicPath])),
  ""
)</f>
        <v>Faserbündel</v>
      </c>
    </row>
    <row r="365" spans="3:24" ht="34" x14ac:dyDescent="0.2">
      <c r="C365" s="22" t="str">
        <f>_xlfn.XLOOKUP(tbl_CONTENT[[#This Row],[TopicID]], tbl_TOPIC[TopicID], tbl_TOPIC[Subject], "")</f>
        <v>EFT1</v>
      </c>
      <c r="D3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EFT1-T12-02-19</v>
      </c>
      <c r="E365" s="22">
        <f>ROW()</f>
        <v>365</v>
      </c>
      <c r="F365" s="22" t="s">
        <v>1051</v>
      </c>
      <c r="G365" s="22" t="str">
        <f>_xlfn.XLOOKUP(tbl_CONTENT[[#This Row],[Topic]], tbl_TOPIC[Topic], tbl_TOPIC[TopicID], "")</f>
        <v>EFT1-1-02</v>
      </c>
      <c r="H365" s="22" cm="1">
        <f t="array" ref="H365">SUM((tbl_CONTENT[[#This Row],[TopicID]]=INDEX(tbl_CONTENT[TopicID],1):tbl_CONTENT[[#This Row],[TopicID]])*1)</f>
        <v>19</v>
      </c>
      <c r="I365" s="22" t="str">
        <f>_xlfn.XLOOKUP(tbl_CONTENT[[#This Row],[Topic]], tbl_TOPIC[Topic], tbl_TOPIC[TopicIndex], "")</f>
        <v>02</v>
      </c>
      <c r="J365" s="22" t="s">
        <v>596</v>
      </c>
      <c r="K365" s="22" t="s">
        <v>620</v>
      </c>
      <c r="L365" s="22" t="s">
        <v>179</v>
      </c>
      <c r="S365" s="35">
        <f>IFERROR(
 (1.907*EXP(1)^(-0.5*tbl_CONTENT[[#This Row],[Layer]])) *
 ((tbl_CONTENT[[#This Row],[RelInt]]-1)^(2.5)*4^(1-2.5)+1) +
 ((tbl_CONTENT[[#This Row],[Comp]]-1)^(2.5)*4^(1-2.5)+1)*(0.5*((tbl_CONTENT[[#This Row],[RelInt]]-1)/4)^(2.5)+1),
 0
)</f>
        <v>0</v>
      </c>
      <c r="T365" s="35">
        <f>IFERROR(
 (1.907*EXP(1)^(-0.5*VALUE(tbl_CONTENT[[#This Row],[Layer]]))) *
 ((VALUE(tbl_CONTENT[[#This Row],[RelId]])-1)^(2.5)*4^(1-2.5)+1) +
 ((VALUE(tbl_CONTENT[[#This Row],[Comp]])-1)^(2.5)*4^(1-2.5)+1)*(0.5*((VALUE(tbl_CONTENT[[#This Row],[RelId]])-1)/4)^(2.5)+1),
 0
)</f>
        <v>0</v>
      </c>
      <c r="W365" s="22" t="str">
        <f>IFERROR(
  IF(_xlfn.XLOOKUP(tbl_CONTENT[[#This Row],[Topic]], tbl_TOPIC[Topic], tbl_TOPIC[ParentTopic])="", "",
       _xlfn.XLOOKUP(tbl_CONTENT[[#This Row],[Topic]], tbl_TOPIC[Topic], tbl_TOPIC[ParentTopic])),
  ""
)</f>
        <v/>
      </c>
      <c r="X365" s="22" t="str">
        <f>IFERROR(
  IF(_xlfn.XLOOKUP(tbl_CONTENT[[#This Row],[Topic]], tbl_TOPIC[Topic], tbl_TOPIC[TopicPath])="", "",
       _xlfn.XLOOKUP(tbl_CONTENT[[#This Row],[Topic]], tbl_TOPIC[Topic], tbl_TOPIC[TopicPath])),
  ""
)</f>
        <v>Faserbündel</v>
      </c>
    </row>
    <row r="366" spans="3:24" ht="34" x14ac:dyDescent="0.2">
      <c r="C366" s="22" t="str">
        <f>_xlfn.XLOOKUP(tbl_CONTENT[[#This Row],[TopicID]], tbl_TOPIC[TopicID], tbl_TOPIC[Subject], "")</f>
        <v>EFT1</v>
      </c>
      <c r="D3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EFT1-T12-02-20</v>
      </c>
      <c r="E366" s="22">
        <f>ROW()</f>
        <v>366</v>
      </c>
      <c r="F366" s="22" t="s">
        <v>1051</v>
      </c>
      <c r="G366" s="22" t="str">
        <f>_xlfn.XLOOKUP(tbl_CONTENT[[#This Row],[Topic]], tbl_TOPIC[Topic], tbl_TOPIC[TopicID], "")</f>
        <v>EFT1-1-02</v>
      </c>
      <c r="H366" s="22" cm="1">
        <f t="array" ref="H366">SUM((tbl_CONTENT[[#This Row],[TopicID]]=INDEX(tbl_CONTENT[TopicID],1):tbl_CONTENT[[#This Row],[TopicID]])*1)</f>
        <v>20</v>
      </c>
      <c r="I366" s="22" t="str">
        <f>_xlfn.XLOOKUP(tbl_CONTENT[[#This Row],[Topic]], tbl_TOPIC[Topic], tbl_TOPIC[TopicIndex], "")</f>
        <v>02</v>
      </c>
      <c r="J366" s="22" t="s">
        <v>596</v>
      </c>
      <c r="K366" s="22" t="s">
        <v>996</v>
      </c>
      <c r="L366" s="22" t="s">
        <v>179</v>
      </c>
      <c r="S366" s="35">
        <f>IFERROR(
 (1.907*EXP(1)^(-0.5*tbl_CONTENT[[#This Row],[Layer]])) *
 ((tbl_CONTENT[[#This Row],[RelInt]]-1)^(2.5)*4^(1-2.5)+1) +
 ((tbl_CONTENT[[#This Row],[Comp]]-1)^(2.5)*4^(1-2.5)+1)*(0.5*((tbl_CONTENT[[#This Row],[RelInt]]-1)/4)^(2.5)+1),
 0
)</f>
        <v>0</v>
      </c>
      <c r="T366" s="35">
        <f>IFERROR(
 (1.907*EXP(1)^(-0.5*VALUE(tbl_CONTENT[[#This Row],[Layer]]))) *
 ((VALUE(tbl_CONTENT[[#This Row],[RelId]])-1)^(2.5)*4^(1-2.5)+1) +
 ((VALUE(tbl_CONTENT[[#This Row],[Comp]])-1)^(2.5)*4^(1-2.5)+1)*(0.5*((VALUE(tbl_CONTENT[[#This Row],[RelId]])-1)/4)^(2.5)+1),
 0
)</f>
        <v>0</v>
      </c>
      <c r="W366" s="22" t="str">
        <f>IFERROR(
  IF(_xlfn.XLOOKUP(tbl_CONTENT[[#This Row],[Topic]], tbl_TOPIC[Topic], tbl_TOPIC[ParentTopic])="", "",
       _xlfn.XLOOKUP(tbl_CONTENT[[#This Row],[Topic]], tbl_TOPIC[Topic], tbl_TOPIC[ParentTopic])),
  ""
)</f>
        <v/>
      </c>
      <c r="X366" s="22" t="str">
        <f>IFERROR(
  IF(_xlfn.XLOOKUP(tbl_CONTENT[[#This Row],[Topic]], tbl_TOPIC[Topic], tbl_TOPIC[TopicPath])="", "",
       _xlfn.XLOOKUP(tbl_CONTENT[[#This Row],[Topic]], tbl_TOPIC[Topic], tbl_TOPIC[TopicPath])),
  ""
)</f>
        <v>Faserbündel</v>
      </c>
    </row>
    <row r="367" spans="3:24" ht="34" x14ac:dyDescent="0.2">
      <c r="C367" s="22" t="str">
        <f>_xlfn.XLOOKUP(tbl_CONTENT[[#This Row],[TopicID]], tbl_TOPIC[TopicID], tbl_TOPIC[Subject], "")</f>
        <v>EFT1</v>
      </c>
      <c r="D3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EFT1-T12-02-21</v>
      </c>
      <c r="E367" s="22">
        <f>ROW()</f>
        <v>367</v>
      </c>
      <c r="F367" s="22" t="s">
        <v>1051</v>
      </c>
      <c r="G367" s="22" t="str">
        <f>_xlfn.XLOOKUP(tbl_CONTENT[[#This Row],[Topic]], tbl_TOPIC[Topic], tbl_TOPIC[TopicID], "")</f>
        <v>EFT1-1-02</v>
      </c>
      <c r="H367" s="22" cm="1">
        <f t="array" ref="H367">SUM((tbl_CONTENT[[#This Row],[TopicID]]=INDEX(tbl_CONTENT[TopicID],1):tbl_CONTENT[[#This Row],[TopicID]])*1)</f>
        <v>21</v>
      </c>
      <c r="I367" s="22" t="str">
        <f>_xlfn.XLOOKUP(tbl_CONTENT[[#This Row],[Topic]], tbl_TOPIC[Topic], tbl_TOPIC[TopicIndex], "")</f>
        <v>02</v>
      </c>
      <c r="J367" s="22" t="s">
        <v>596</v>
      </c>
      <c r="K367" s="22" t="s">
        <v>621</v>
      </c>
      <c r="L367" s="22" t="s">
        <v>179</v>
      </c>
      <c r="S367" s="35">
        <f>IFERROR(
 (1.907*EXP(1)^(-0.5*tbl_CONTENT[[#This Row],[Layer]])) *
 ((tbl_CONTENT[[#This Row],[RelInt]]-1)^(2.5)*4^(1-2.5)+1) +
 ((tbl_CONTENT[[#This Row],[Comp]]-1)^(2.5)*4^(1-2.5)+1)*(0.5*((tbl_CONTENT[[#This Row],[RelInt]]-1)/4)^(2.5)+1),
 0
)</f>
        <v>0</v>
      </c>
      <c r="T367" s="35">
        <f>IFERROR(
 (1.907*EXP(1)^(-0.5*VALUE(tbl_CONTENT[[#This Row],[Layer]]))) *
 ((VALUE(tbl_CONTENT[[#This Row],[RelId]])-1)^(2.5)*4^(1-2.5)+1) +
 ((VALUE(tbl_CONTENT[[#This Row],[Comp]])-1)^(2.5)*4^(1-2.5)+1)*(0.5*((VALUE(tbl_CONTENT[[#This Row],[RelId]])-1)/4)^(2.5)+1),
 0
)</f>
        <v>0</v>
      </c>
      <c r="W367" s="22" t="str">
        <f>IFERROR(
  IF(_xlfn.XLOOKUP(tbl_CONTENT[[#This Row],[Topic]], tbl_TOPIC[Topic], tbl_TOPIC[ParentTopic])="", "",
       _xlfn.XLOOKUP(tbl_CONTENT[[#This Row],[Topic]], tbl_TOPIC[Topic], tbl_TOPIC[ParentTopic])),
  ""
)</f>
        <v/>
      </c>
      <c r="X367" s="22" t="str">
        <f>IFERROR(
  IF(_xlfn.XLOOKUP(tbl_CONTENT[[#This Row],[Topic]], tbl_TOPIC[Topic], tbl_TOPIC[TopicPath])="", "",
       _xlfn.XLOOKUP(tbl_CONTENT[[#This Row],[Topic]], tbl_TOPIC[Topic], tbl_TOPIC[TopicPath])),
  ""
)</f>
        <v>Faserbündel</v>
      </c>
    </row>
    <row r="368" spans="3:24" ht="34" x14ac:dyDescent="0.2">
      <c r="C368" s="22" t="str">
        <f>_xlfn.XLOOKUP(tbl_CONTENT[[#This Row],[TopicID]], tbl_TOPIC[TopicID], tbl_TOPIC[Subject], "")</f>
        <v>EFT1</v>
      </c>
      <c r="D3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EFT1-T12-02-22</v>
      </c>
      <c r="E368" s="22">
        <f>ROW()</f>
        <v>368</v>
      </c>
      <c r="F368" s="22" t="s">
        <v>1051</v>
      </c>
      <c r="G368" s="22" t="str">
        <f>_xlfn.XLOOKUP(tbl_CONTENT[[#This Row],[Topic]], tbl_TOPIC[Topic], tbl_TOPIC[TopicID], "")</f>
        <v>EFT1-1-02</v>
      </c>
      <c r="H368" s="22" cm="1">
        <f t="array" ref="H368">SUM((tbl_CONTENT[[#This Row],[TopicID]]=INDEX(tbl_CONTENT[TopicID],1):tbl_CONTENT[[#This Row],[TopicID]])*1)</f>
        <v>22</v>
      </c>
      <c r="I368" s="22" t="str">
        <f>_xlfn.XLOOKUP(tbl_CONTENT[[#This Row],[Topic]], tbl_TOPIC[Topic], tbl_TOPIC[TopicIndex], "")</f>
        <v>02</v>
      </c>
      <c r="J368" s="22" t="s">
        <v>596</v>
      </c>
      <c r="K368" s="22" t="s">
        <v>997</v>
      </c>
      <c r="L368" s="22" t="s">
        <v>179</v>
      </c>
      <c r="S368" s="35">
        <f>IFERROR(
 (1.907*EXP(1)^(-0.5*tbl_CONTENT[[#This Row],[Layer]])) *
 ((tbl_CONTENT[[#This Row],[RelInt]]-1)^(2.5)*4^(1-2.5)+1) +
 ((tbl_CONTENT[[#This Row],[Comp]]-1)^(2.5)*4^(1-2.5)+1)*(0.5*((tbl_CONTENT[[#This Row],[RelInt]]-1)/4)^(2.5)+1),
 0
)</f>
        <v>0</v>
      </c>
      <c r="T368" s="35">
        <f>IFERROR(
 (1.907*EXP(1)^(-0.5*VALUE(tbl_CONTENT[[#This Row],[Layer]]))) *
 ((VALUE(tbl_CONTENT[[#This Row],[RelId]])-1)^(2.5)*4^(1-2.5)+1) +
 ((VALUE(tbl_CONTENT[[#This Row],[Comp]])-1)^(2.5)*4^(1-2.5)+1)*(0.5*((VALUE(tbl_CONTENT[[#This Row],[RelId]])-1)/4)^(2.5)+1),
 0
)</f>
        <v>0</v>
      </c>
      <c r="W368" s="22" t="str">
        <f>IFERROR(
  IF(_xlfn.XLOOKUP(tbl_CONTENT[[#This Row],[Topic]], tbl_TOPIC[Topic], tbl_TOPIC[ParentTopic])="", "",
       _xlfn.XLOOKUP(tbl_CONTENT[[#This Row],[Topic]], tbl_TOPIC[Topic], tbl_TOPIC[ParentTopic])),
  ""
)</f>
        <v/>
      </c>
      <c r="X368" s="22" t="str">
        <f>IFERROR(
  IF(_xlfn.XLOOKUP(tbl_CONTENT[[#This Row],[Topic]], tbl_TOPIC[Topic], tbl_TOPIC[TopicPath])="", "",
       _xlfn.XLOOKUP(tbl_CONTENT[[#This Row],[Topic]], tbl_TOPIC[Topic], tbl_TOPIC[TopicPath])),
  ""
)</f>
        <v>Faserbündel</v>
      </c>
    </row>
    <row r="369" spans="3:24" ht="51" x14ac:dyDescent="0.2">
      <c r="C369" s="22" t="str">
        <f>_xlfn.XLOOKUP(tbl_CONTENT[[#This Row],[TopicID]], tbl_TOPIC[TopicID], tbl_TOPIC[Subject], "")</f>
        <v>EFT1</v>
      </c>
      <c r="D3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EFT1-T12-02-23</v>
      </c>
      <c r="E369" s="22">
        <f>ROW()</f>
        <v>369</v>
      </c>
      <c r="F369" s="22" t="s">
        <v>1051</v>
      </c>
      <c r="G369" s="22" t="str">
        <f>_xlfn.XLOOKUP(tbl_CONTENT[[#This Row],[Topic]], tbl_TOPIC[Topic], tbl_TOPIC[TopicID], "")</f>
        <v>EFT1-1-02</v>
      </c>
      <c r="H369" s="22" cm="1">
        <f t="array" ref="H369">SUM((tbl_CONTENT[[#This Row],[TopicID]]=INDEX(tbl_CONTENT[TopicID],1):tbl_CONTENT[[#This Row],[TopicID]])*1)</f>
        <v>23</v>
      </c>
      <c r="I369" s="22" t="str">
        <f>_xlfn.XLOOKUP(tbl_CONTENT[[#This Row],[Topic]], tbl_TOPIC[Topic], tbl_TOPIC[TopicIndex], "")</f>
        <v>02</v>
      </c>
      <c r="J369" s="22" t="s">
        <v>596</v>
      </c>
      <c r="K369" s="22" t="s">
        <v>622</v>
      </c>
      <c r="L369" s="22" t="s">
        <v>147</v>
      </c>
      <c r="S369" s="35">
        <f>IFERROR(
 (1.907*EXP(1)^(-0.5*tbl_CONTENT[[#This Row],[Layer]])) *
 ((tbl_CONTENT[[#This Row],[RelInt]]-1)^(2.5)*4^(1-2.5)+1) +
 ((tbl_CONTENT[[#This Row],[Comp]]-1)^(2.5)*4^(1-2.5)+1)*(0.5*((tbl_CONTENT[[#This Row],[RelInt]]-1)/4)^(2.5)+1),
 0
)</f>
        <v>0</v>
      </c>
      <c r="T369" s="35">
        <f>IFERROR(
 (1.907*EXP(1)^(-0.5*VALUE(tbl_CONTENT[[#This Row],[Layer]]))) *
 ((VALUE(tbl_CONTENT[[#This Row],[RelId]])-1)^(2.5)*4^(1-2.5)+1) +
 ((VALUE(tbl_CONTENT[[#This Row],[Comp]])-1)^(2.5)*4^(1-2.5)+1)*(0.5*((VALUE(tbl_CONTENT[[#This Row],[RelId]])-1)/4)^(2.5)+1),
 0
)</f>
        <v>0</v>
      </c>
      <c r="W369" s="22" t="str">
        <f>IFERROR(
  IF(_xlfn.XLOOKUP(tbl_CONTENT[[#This Row],[Topic]], tbl_TOPIC[Topic], tbl_TOPIC[ParentTopic])="", "",
       _xlfn.XLOOKUP(tbl_CONTENT[[#This Row],[Topic]], tbl_TOPIC[Topic], tbl_TOPIC[ParentTopic])),
  ""
)</f>
        <v/>
      </c>
      <c r="X369" s="22" t="str">
        <f>IFERROR(
  IF(_xlfn.XLOOKUP(tbl_CONTENT[[#This Row],[Topic]], tbl_TOPIC[Topic], tbl_TOPIC[TopicPath])="", "",
       _xlfn.XLOOKUP(tbl_CONTENT[[#This Row],[Topic]], tbl_TOPIC[Topic], tbl_TOPIC[TopicPath])),
  ""
)</f>
        <v>Faserbündel</v>
      </c>
    </row>
    <row r="370" spans="3:24" ht="68" x14ac:dyDescent="0.2">
      <c r="C370" s="22" t="str">
        <f>_xlfn.XLOOKUP(tbl_CONTENT[[#This Row],[TopicID]], tbl_TOPIC[TopicID], tbl_TOPIC[Subject], "")</f>
        <v>EFT1</v>
      </c>
      <c r="D3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EFT1-T12-02-24</v>
      </c>
      <c r="E370" s="22">
        <f>ROW()</f>
        <v>370</v>
      </c>
      <c r="F370" s="22" t="s">
        <v>1051</v>
      </c>
      <c r="G370" s="22" t="str">
        <f>_xlfn.XLOOKUP(tbl_CONTENT[[#This Row],[Topic]], tbl_TOPIC[Topic], tbl_TOPIC[TopicID], "")</f>
        <v>EFT1-1-02</v>
      </c>
      <c r="H370" s="22" cm="1">
        <f t="array" ref="H370">SUM((tbl_CONTENT[[#This Row],[TopicID]]=INDEX(tbl_CONTENT[TopicID],1):tbl_CONTENT[[#This Row],[TopicID]])*1)</f>
        <v>24</v>
      </c>
      <c r="I370" s="22" t="str">
        <f>_xlfn.XLOOKUP(tbl_CONTENT[[#This Row],[Topic]], tbl_TOPIC[Topic], tbl_TOPIC[TopicIndex], "")</f>
        <v>02</v>
      </c>
      <c r="J370" s="22" t="s">
        <v>596</v>
      </c>
      <c r="K370" s="22" t="s">
        <v>623</v>
      </c>
      <c r="L370" s="22" t="s">
        <v>147</v>
      </c>
      <c r="S370" s="35">
        <f>IFERROR(
 (1.907*EXP(1)^(-0.5*tbl_CONTENT[[#This Row],[Layer]])) *
 ((tbl_CONTENT[[#This Row],[RelInt]]-1)^(2.5)*4^(1-2.5)+1) +
 ((tbl_CONTENT[[#This Row],[Comp]]-1)^(2.5)*4^(1-2.5)+1)*(0.5*((tbl_CONTENT[[#This Row],[RelInt]]-1)/4)^(2.5)+1),
 0
)</f>
        <v>0</v>
      </c>
      <c r="T370" s="35">
        <f>IFERROR(
 (1.907*EXP(1)^(-0.5*VALUE(tbl_CONTENT[[#This Row],[Layer]]))) *
 ((VALUE(tbl_CONTENT[[#This Row],[RelId]])-1)^(2.5)*4^(1-2.5)+1) +
 ((VALUE(tbl_CONTENT[[#This Row],[Comp]])-1)^(2.5)*4^(1-2.5)+1)*(0.5*((VALUE(tbl_CONTENT[[#This Row],[RelId]])-1)/4)^(2.5)+1),
 0
)</f>
        <v>0</v>
      </c>
      <c r="W370" s="22" t="str">
        <f>IFERROR(
  IF(_xlfn.XLOOKUP(tbl_CONTENT[[#This Row],[Topic]], tbl_TOPIC[Topic], tbl_TOPIC[ParentTopic])="", "",
       _xlfn.XLOOKUP(tbl_CONTENT[[#This Row],[Topic]], tbl_TOPIC[Topic], tbl_TOPIC[ParentTopic])),
  ""
)</f>
        <v/>
      </c>
      <c r="X370" s="22" t="str">
        <f>IFERROR(
  IF(_xlfn.XLOOKUP(tbl_CONTENT[[#This Row],[Topic]], tbl_TOPIC[Topic], tbl_TOPIC[TopicPath])="", "",
       _xlfn.XLOOKUP(tbl_CONTENT[[#This Row],[Topic]], tbl_TOPIC[Topic], tbl_TOPIC[TopicPath])),
  ""
)</f>
        <v>Faserbündel</v>
      </c>
    </row>
    <row r="371" spans="3:24" ht="51" x14ac:dyDescent="0.2">
      <c r="C371" s="22" t="str">
        <f>_xlfn.XLOOKUP(tbl_CONTENT[[#This Row],[TopicID]], tbl_TOPIC[TopicID], tbl_TOPIC[Subject], "")</f>
        <v>EFT1</v>
      </c>
      <c r="D3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EFT1-T12-02-25</v>
      </c>
      <c r="E371" s="22">
        <f>ROW()</f>
        <v>371</v>
      </c>
      <c r="F371" s="22" t="s">
        <v>1051</v>
      </c>
      <c r="G371" s="22" t="str">
        <f>_xlfn.XLOOKUP(tbl_CONTENT[[#This Row],[Topic]], tbl_TOPIC[Topic], tbl_TOPIC[TopicID], "")</f>
        <v>EFT1-1-02</v>
      </c>
      <c r="H371" s="22" cm="1">
        <f t="array" ref="H371">SUM((tbl_CONTENT[[#This Row],[TopicID]]=INDEX(tbl_CONTENT[TopicID],1):tbl_CONTENT[[#This Row],[TopicID]])*1)</f>
        <v>25</v>
      </c>
      <c r="I371" s="22" t="str">
        <f>_xlfn.XLOOKUP(tbl_CONTENT[[#This Row],[Topic]], tbl_TOPIC[Topic], tbl_TOPIC[TopicIndex], "")</f>
        <v>02</v>
      </c>
      <c r="J371" s="22" t="s">
        <v>596</v>
      </c>
      <c r="K371" s="22" t="s">
        <v>624</v>
      </c>
      <c r="L371" s="22" t="s">
        <v>147</v>
      </c>
      <c r="S371" s="35">
        <f>IFERROR(
 (1.907*EXP(1)^(-0.5*tbl_CONTENT[[#This Row],[Layer]])) *
 ((tbl_CONTENT[[#This Row],[RelInt]]-1)^(2.5)*4^(1-2.5)+1) +
 ((tbl_CONTENT[[#This Row],[Comp]]-1)^(2.5)*4^(1-2.5)+1)*(0.5*((tbl_CONTENT[[#This Row],[RelInt]]-1)/4)^(2.5)+1),
 0
)</f>
        <v>0</v>
      </c>
      <c r="T371" s="35">
        <f>IFERROR(
 (1.907*EXP(1)^(-0.5*VALUE(tbl_CONTENT[[#This Row],[Layer]]))) *
 ((VALUE(tbl_CONTENT[[#This Row],[RelId]])-1)^(2.5)*4^(1-2.5)+1) +
 ((VALUE(tbl_CONTENT[[#This Row],[Comp]])-1)^(2.5)*4^(1-2.5)+1)*(0.5*((VALUE(tbl_CONTENT[[#This Row],[RelId]])-1)/4)^(2.5)+1),
 0
)</f>
        <v>0</v>
      </c>
      <c r="W371" s="22" t="str">
        <f>IFERROR(
  IF(_xlfn.XLOOKUP(tbl_CONTENT[[#This Row],[Topic]], tbl_TOPIC[Topic], tbl_TOPIC[ParentTopic])="", "",
       _xlfn.XLOOKUP(tbl_CONTENT[[#This Row],[Topic]], tbl_TOPIC[Topic], tbl_TOPIC[ParentTopic])),
  ""
)</f>
        <v/>
      </c>
      <c r="X371" s="22" t="str">
        <f>IFERROR(
  IF(_xlfn.XLOOKUP(tbl_CONTENT[[#This Row],[Topic]], tbl_TOPIC[Topic], tbl_TOPIC[TopicPath])="", "",
       _xlfn.XLOOKUP(tbl_CONTENT[[#This Row],[Topic]], tbl_TOPIC[Topic], tbl_TOPIC[TopicPath])),
  ""
)</f>
        <v>Faserbündel</v>
      </c>
    </row>
    <row r="372" spans="3:24" ht="34" x14ac:dyDescent="0.2">
      <c r="C372" s="22" t="str">
        <f>_xlfn.XLOOKUP(tbl_CONTENT[[#This Row],[TopicID]], tbl_TOPIC[TopicID], tbl_TOPIC[Subject], "")</f>
        <v>EFT1</v>
      </c>
      <c r="D3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EFT1-T12-02-26</v>
      </c>
      <c r="E372" s="22">
        <f>ROW()</f>
        <v>372</v>
      </c>
      <c r="F372" s="22" t="s">
        <v>1051</v>
      </c>
      <c r="G372" s="22" t="str">
        <f>_xlfn.XLOOKUP(tbl_CONTENT[[#This Row],[Topic]], tbl_TOPIC[Topic], tbl_TOPIC[TopicID], "")</f>
        <v>EFT1-1-02</v>
      </c>
      <c r="H372" s="22" cm="1">
        <f t="array" ref="H372">SUM((tbl_CONTENT[[#This Row],[TopicID]]=INDEX(tbl_CONTENT[TopicID],1):tbl_CONTENT[[#This Row],[TopicID]])*1)</f>
        <v>26</v>
      </c>
      <c r="I372" s="22" t="str">
        <f>_xlfn.XLOOKUP(tbl_CONTENT[[#This Row],[Topic]], tbl_TOPIC[Topic], tbl_TOPIC[TopicIndex], "")</f>
        <v>02</v>
      </c>
      <c r="J372" s="22" t="s">
        <v>596</v>
      </c>
      <c r="K372" s="22" t="s">
        <v>625</v>
      </c>
      <c r="L372" s="22" t="s">
        <v>147</v>
      </c>
      <c r="S372" s="35">
        <f>IFERROR(
 (1.907*EXP(1)^(-0.5*tbl_CONTENT[[#This Row],[Layer]])) *
 ((tbl_CONTENT[[#This Row],[RelInt]]-1)^(2.5)*4^(1-2.5)+1) +
 ((tbl_CONTENT[[#This Row],[Comp]]-1)^(2.5)*4^(1-2.5)+1)*(0.5*((tbl_CONTENT[[#This Row],[RelInt]]-1)/4)^(2.5)+1),
 0
)</f>
        <v>0</v>
      </c>
      <c r="T372" s="35">
        <f>IFERROR(
 (1.907*EXP(1)^(-0.5*VALUE(tbl_CONTENT[[#This Row],[Layer]]))) *
 ((VALUE(tbl_CONTENT[[#This Row],[RelId]])-1)^(2.5)*4^(1-2.5)+1) +
 ((VALUE(tbl_CONTENT[[#This Row],[Comp]])-1)^(2.5)*4^(1-2.5)+1)*(0.5*((VALUE(tbl_CONTENT[[#This Row],[RelId]])-1)/4)^(2.5)+1),
 0
)</f>
        <v>0</v>
      </c>
      <c r="W372" s="22" t="str">
        <f>IFERROR(
  IF(_xlfn.XLOOKUP(tbl_CONTENT[[#This Row],[Topic]], tbl_TOPIC[Topic], tbl_TOPIC[ParentTopic])="", "",
       _xlfn.XLOOKUP(tbl_CONTENT[[#This Row],[Topic]], tbl_TOPIC[Topic], tbl_TOPIC[ParentTopic])),
  ""
)</f>
        <v/>
      </c>
      <c r="X372" s="22" t="str">
        <f>IFERROR(
  IF(_xlfn.XLOOKUP(tbl_CONTENT[[#This Row],[Topic]], tbl_TOPIC[Topic], tbl_TOPIC[TopicPath])="", "",
       _xlfn.XLOOKUP(tbl_CONTENT[[#This Row],[Topic]], tbl_TOPIC[Topic], tbl_TOPIC[TopicPath])),
  ""
)</f>
        <v>Faserbündel</v>
      </c>
    </row>
    <row r="373" spans="3:24" ht="51" x14ac:dyDescent="0.2">
      <c r="C373" s="22" t="str">
        <f>_xlfn.XLOOKUP(tbl_CONTENT[[#This Row],[TopicID]], tbl_TOPIC[TopicID], tbl_TOPIC[Subject], "")</f>
        <v>EFT1</v>
      </c>
      <c r="D3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EFT1-T12-02-27</v>
      </c>
      <c r="E373" s="22">
        <f>ROW()</f>
        <v>373</v>
      </c>
      <c r="F373" s="22" t="s">
        <v>1051</v>
      </c>
      <c r="G373" s="22" t="str">
        <f>_xlfn.XLOOKUP(tbl_CONTENT[[#This Row],[Topic]], tbl_TOPIC[Topic], tbl_TOPIC[TopicID], "")</f>
        <v>EFT1-1-02</v>
      </c>
      <c r="H373" s="22" cm="1">
        <f t="array" ref="H373">SUM((tbl_CONTENT[[#This Row],[TopicID]]=INDEX(tbl_CONTENT[TopicID],1):tbl_CONTENT[[#This Row],[TopicID]])*1)</f>
        <v>27</v>
      </c>
      <c r="I373" s="22" t="str">
        <f>_xlfn.XLOOKUP(tbl_CONTENT[[#This Row],[Topic]], tbl_TOPIC[Topic], tbl_TOPIC[TopicIndex], "")</f>
        <v>02</v>
      </c>
      <c r="J373" s="22" t="s">
        <v>596</v>
      </c>
      <c r="K373" s="22" t="s">
        <v>626</v>
      </c>
      <c r="L373" s="22" t="s">
        <v>147</v>
      </c>
      <c r="S373" s="35">
        <f>IFERROR(
 (1.907*EXP(1)^(-0.5*tbl_CONTENT[[#This Row],[Layer]])) *
 ((tbl_CONTENT[[#This Row],[RelInt]]-1)^(2.5)*4^(1-2.5)+1) +
 ((tbl_CONTENT[[#This Row],[Comp]]-1)^(2.5)*4^(1-2.5)+1)*(0.5*((tbl_CONTENT[[#This Row],[RelInt]]-1)/4)^(2.5)+1),
 0
)</f>
        <v>0</v>
      </c>
      <c r="T373" s="35">
        <f>IFERROR(
 (1.907*EXP(1)^(-0.5*VALUE(tbl_CONTENT[[#This Row],[Layer]]))) *
 ((VALUE(tbl_CONTENT[[#This Row],[RelId]])-1)^(2.5)*4^(1-2.5)+1) +
 ((VALUE(tbl_CONTENT[[#This Row],[Comp]])-1)^(2.5)*4^(1-2.5)+1)*(0.5*((VALUE(tbl_CONTENT[[#This Row],[RelId]])-1)/4)^(2.5)+1),
 0
)</f>
        <v>0</v>
      </c>
      <c r="W373" s="22" t="str">
        <f>IFERROR(
  IF(_xlfn.XLOOKUP(tbl_CONTENT[[#This Row],[Topic]], tbl_TOPIC[Topic], tbl_TOPIC[ParentTopic])="", "",
       _xlfn.XLOOKUP(tbl_CONTENT[[#This Row],[Topic]], tbl_TOPIC[Topic], tbl_TOPIC[ParentTopic])),
  ""
)</f>
        <v/>
      </c>
      <c r="X373" s="22" t="str">
        <f>IFERROR(
  IF(_xlfn.XLOOKUP(tbl_CONTENT[[#This Row],[Topic]], tbl_TOPIC[Topic], tbl_TOPIC[TopicPath])="", "",
       _xlfn.XLOOKUP(tbl_CONTENT[[#This Row],[Topic]], tbl_TOPIC[Topic], tbl_TOPIC[TopicPath])),
  ""
)</f>
        <v>Faserbündel</v>
      </c>
    </row>
    <row r="374" spans="3:24" ht="102" x14ac:dyDescent="0.2">
      <c r="C374" s="22" t="str">
        <f>_xlfn.XLOOKUP(tbl_CONTENT[[#This Row],[TopicID]], tbl_TOPIC[TopicID], tbl_TOPIC[Subject], "")</f>
        <v>EFT1</v>
      </c>
      <c r="D3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EFT1-T12-02-28</v>
      </c>
      <c r="E374" s="22">
        <f>ROW()</f>
        <v>374</v>
      </c>
      <c r="F374" s="22" t="s">
        <v>1051</v>
      </c>
      <c r="G374" s="22" t="str">
        <f>_xlfn.XLOOKUP(tbl_CONTENT[[#This Row],[Topic]], tbl_TOPIC[Topic], tbl_TOPIC[TopicID], "")</f>
        <v>EFT1-1-02</v>
      </c>
      <c r="H374" s="22" cm="1">
        <f t="array" ref="H374">SUM((tbl_CONTENT[[#This Row],[TopicID]]=INDEX(tbl_CONTENT[TopicID],1):tbl_CONTENT[[#This Row],[TopicID]])*1)</f>
        <v>28</v>
      </c>
      <c r="I374" s="22" t="str">
        <f>_xlfn.XLOOKUP(tbl_CONTENT[[#This Row],[Topic]], tbl_TOPIC[Topic], tbl_TOPIC[TopicIndex], "")</f>
        <v>02</v>
      </c>
      <c r="J374" s="22" t="s">
        <v>596</v>
      </c>
      <c r="K374" s="22" t="s">
        <v>998</v>
      </c>
      <c r="L374" s="22" t="s">
        <v>151</v>
      </c>
      <c r="S374" s="35">
        <f>IFERROR(
 (1.907*EXP(1)^(-0.5*tbl_CONTENT[[#This Row],[Layer]])) *
 ((tbl_CONTENT[[#This Row],[RelInt]]-1)^(2.5)*4^(1-2.5)+1) +
 ((tbl_CONTENT[[#This Row],[Comp]]-1)^(2.5)*4^(1-2.5)+1)*(0.5*((tbl_CONTENT[[#This Row],[RelInt]]-1)/4)^(2.5)+1),
 0
)</f>
        <v>0</v>
      </c>
      <c r="T374" s="35">
        <f>IFERROR(
 (1.907*EXP(1)^(-0.5*VALUE(tbl_CONTENT[[#This Row],[Layer]]))) *
 ((VALUE(tbl_CONTENT[[#This Row],[RelId]])-1)^(2.5)*4^(1-2.5)+1) +
 ((VALUE(tbl_CONTENT[[#This Row],[Comp]])-1)^(2.5)*4^(1-2.5)+1)*(0.5*((VALUE(tbl_CONTENT[[#This Row],[RelId]])-1)/4)^(2.5)+1),
 0
)</f>
        <v>0</v>
      </c>
      <c r="W374" s="22" t="str">
        <f>IFERROR(
  IF(_xlfn.XLOOKUP(tbl_CONTENT[[#This Row],[Topic]], tbl_TOPIC[Topic], tbl_TOPIC[ParentTopic])="", "",
       _xlfn.XLOOKUP(tbl_CONTENT[[#This Row],[Topic]], tbl_TOPIC[Topic], tbl_TOPIC[ParentTopic])),
  ""
)</f>
        <v/>
      </c>
      <c r="X374" s="22" t="str">
        <f>IFERROR(
  IF(_xlfn.XLOOKUP(tbl_CONTENT[[#This Row],[Topic]], tbl_TOPIC[Topic], tbl_TOPIC[TopicPath])="", "",
       _xlfn.XLOOKUP(tbl_CONTENT[[#This Row],[Topic]], tbl_TOPIC[Topic], tbl_TOPIC[TopicPath])),
  ""
)</f>
        <v>Faserbündel</v>
      </c>
    </row>
    <row r="375" spans="3:24" ht="51" x14ac:dyDescent="0.2">
      <c r="C375" s="22" t="str">
        <f>_xlfn.XLOOKUP(tbl_CONTENT[[#This Row],[TopicID]], tbl_TOPIC[TopicID], tbl_TOPIC[Subject], "")</f>
        <v>EFT1</v>
      </c>
      <c r="D3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EFT1-T12-02-29</v>
      </c>
      <c r="E375" s="22">
        <f>ROW()</f>
        <v>375</v>
      </c>
      <c r="F375" s="22" t="s">
        <v>1051</v>
      </c>
      <c r="G375" s="22" t="str">
        <f>_xlfn.XLOOKUP(tbl_CONTENT[[#This Row],[Topic]], tbl_TOPIC[Topic], tbl_TOPIC[TopicID], "")</f>
        <v>EFT1-1-02</v>
      </c>
      <c r="H375" s="22" cm="1">
        <f t="array" ref="H375">SUM((tbl_CONTENT[[#This Row],[TopicID]]=INDEX(tbl_CONTENT[TopicID],1):tbl_CONTENT[[#This Row],[TopicID]])*1)</f>
        <v>29</v>
      </c>
      <c r="I375" s="22" t="str">
        <f>_xlfn.XLOOKUP(tbl_CONTENT[[#This Row],[Topic]], tbl_TOPIC[Topic], tbl_TOPIC[TopicIndex], "")</f>
        <v>02</v>
      </c>
      <c r="J375" s="22" t="s">
        <v>596</v>
      </c>
      <c r="K375" s="22" t="s">
        <v>627</v>
      </c>
      <c r="L375" s="22" t="s">
        <v>179</v>
      </c>
      <c r="S375" s="35">
        <f>IFERROR(
 (1.907*EXP(1)^(-0.5*tbl_CONTENT[[#This Row],[Layer]])) *
 ((tbl_CONTENT[[#This Row],[RelInt]]-1)^(2.5)*4^(1-2.5)+1) +
 ((tbl_CONTENT[[#This Row],[Comp]]-1)^(2.5)*4^(1-2.5)+1)*(0.5*((tbl_CONTENT[[#This Row],[RelInt]]-1)/4)^(2.5)+1),
 0
)</f>
        <v>0</v>
      </c>
      <c r="T375" s="35">
        <f>IFERROR(
 (1.907*EXP(1)^(-0.5*VALUE(tbl_CONTENT[[#This Row],[Layer]]))) *
 ((VALUE(tbl_CONTENT[[#This Row],[RelId]])-1)^(2.5)*4^(1-2.5)+1) +
 ((VALUE(tbl_CONTENT[[#This Row],[Comp]])-1)^(2.5)*4^(1-2.5)+1)*(0.5*((VALUE(tbl_CONTENT[[#This Row],[RelId]])-1)/4)^(2.5)+1),
 0
)</f>
        <v>0</v>
      </c>
      <c r="W375" s="22" t="str">
        <f>IFERROR(
  IF(_xlfn.XLOOKUP(tbl_CONTENT[[#This Row],[Topic]], tbl_TOPIC[Topic], tbl_TOPIC[ParentTopic])="", "",
       _xlfn.XLOOKUP(tbl_CONTENT[[#This Row],[Topic]], tbl_TOPIC[Topic], tbl_TOPIC[ParentTopic])),
  ""
)</f>
        <v/>
      </c>
      <c r="X375" s="22" t="str">
        <f>IFERROR(
  IF(_xlfn.XLOOKUP(tbl_CONTENT[[#This Row],[Topic]], tbl_TOPIC[Topic], tbl_TOPIC[TopicPath])="", "",
       _xlfn.XLOOKUP(tbl_CONTENT[[#This Row],[Topic]], tbl_TOPIC[Topic], tbl_TOPIC[TopicPath])),
  ""
)</f>
        <v>Faserbündel</v>
      </c>
    </row>
    <row r="376" spans="3:24" ht="34" x14ac:dyDescent="0.2">
      <c r="C376" s="22" t="str">
        <f>_xlfn.XLOOKUP(tbl_CONTENT[[#This Row],[TopicID]], tbl_TOPIC[TopicID], tbl_TOPIC[Subject], "")</f>
        <v>EFT1</v>
      </c>
      <c r="D3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EFT1-T12-02-30</v>
      </c>
      <c r="E376" s="22">
        <f>ROW()</f>
        <v>376</v>
      </c>
      <c r="F376" s="22" t="s">
        <v>1051</v>
      </c>
      <c r="G376" s="22" t="str">
        <f>_xlfn.XLOOKUP(tbl_CONTENT[[#This Row],[Topic]], tbl_TOPIC[Topic], tbl_TOPIC[TopicID], "")</f>
        <v>EFT1-1-02</v>
      </c>
      <c r="H376" s="22" cm="1">
        <f t="array" ref="H376">SUM((tbl_CONTENT[[#This Row],[TopicID]]=INDEX(tbl_CONTENT[TopicID],1):tbl_CONTENT[[#This Row],[TopicID]])*1)</f>
        <v>30</v>
      </c>
      <c r="I376" s="22" t="str">
        <f>_xlfn.XLOOKUP(tbl_CONTENT[[#This Row],[Topic]], tbl_TOPIC[Topic], tbl_TOPIC[TopicIndex], "")</f>
        <v>02</v>
      </c>
      <c r="J376" s="22" t="s">
        <v>596</v>
      </c>
      <c r="K376" s="22" t="s">
        <v>628</v>
      </c>
      <c r="L376" s="22" t="s">
        <v>179</v>
      </c>
      <c r="S376" s="35">
        <f>IFERROR(
 (1.907*EXP(1)^(-0.5*tbl_CONTENT[[#This Row],[Layer]])) *
 ((tbl_CONTENT[[#This Row],[RelInt]]-1)^(2.5)*4^(1-2.5)+1) +
 ((tbl_CONTENT[[#This Row],[Comp]]-1)^(2.5)*4^(1-2.5)+1)*(0.5*((tbl_CONTENT[[#This Row],[RelInt]]-1)/4)^(2.5)+1),
 0
)</f>
        <v>0</v>
      </c>
      <c r="T376" s="35">
        <f>IFERROR(
 (1.907*EXP(1)^(-0.5*VALUE(tbl_CONTENT[[#This Row],[Layer]]))) *
 ((VALUE(tbl_CONTENT[[#This Row],[RelId]])-1)^(2.5)*4^(1-2.5)+1) +
 ((VALUE(tbl_CONTENT[[#This Row],[Comp]])-1)^(2.5)*4^(1-2.5)+1)*(0.5*((VALUE(tbl_CONTENT[[#This Row],[RelId]])-1)/4)^(2.5)+1),
 0
)</f>
        <v>0</v>
      </c>
      <c r="W376" s="22" t="str">
        <f>IFERROR(
  IF(_xlfn.XLOOKUP(tbl_CONTENT[[#This Row],[Topic]], tbl_TOPIC[Topic], tbl_TOPIC[ParentTopic])="", "",
       _xlfn.XLOOKUP(tbl_CONTENT[[#This Row],[Topic]], tbl_TOPIC[Topic], tbl_TOPIC[ParentTopic])),
  ""
)</f>
        <v/>
      </c>
      <c r="X376" s="22" t="str">
        <f>IFERROR(
  IF(_xlfn.XLOOKUP(tbl_CONTENT[[#This Row],[Topic]], tbl_TOPIC[Topic], tbl_TOPIC[TopicPath])="", "",
       _xlfn.XLOOKUP(tbl_CONTENT[[#This Row],[Topic]], tbl_TOPIC[Topic], tbl_TOPIC[TopicPath])),
  ""
)</f>
        <v>Faserbündel</v>
      </c>
    </row>
    <row r="377" spans="3:24" ht="34" x14ac:dyDescent="0.2">
      <c r="C377" s="22" t="str">
        <f>_xlfn.XLOOKUP(tbl_CONTENT[[#This Row],[TopicID]], tbl_TOPIC[TopicID], tbl_TOPIC[Subject], "")</f>
        <v>EFT1</v>
      </c>
      <c r="D3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EFT1-T12-02-31</v>
      </c>
      <c r="E377" s="22">
        <f>ROW()</f>
        <v>377</v>
      </c>
      <c r="F377" s="22" t="s">
        <v>1051</v>
      </c>
      <c r="G377" s="22" t="str">
        <f>_xlfn.XLOOKUP(tbl_CONTENT[[#This Row],[Topic]], tbl_TOPIC[Topic], tbl_TOPIC[TopicID], "")</f>
        <v>EFT1-1-02</v>
      </c>
      <c r="H377" s="22" cm="1">
        <f t="array" ref="H377">SUM((tbl_CONTENT[[#This Row],[TopicID]]=INDEX(tbl_CONTENT[TopicID],1):tbl_CONTENT[[#This Row],[TopicID]])*1)</f>
        <v>31</v>
      </c>
      <c r="I377" s="22" t="str">
        <f>_xlfn.XLOOKUP(tbl_CONTENT[[#This Row],[Topic]], tbl_TOPIC[Topic], tbl_TOPIC[TopicIndex], "")</f>
        <v>02</v>
      </c>
      <c r="J377" s="22" t="s">
        <v>596</v>
      </c>
      <c r="K377" s="22" t="s">
        <v>999</v>
      </c>
      <c r="L377" s="22" t="s">
        <v>179</v>
      </c>
      <c r="S377" s="35">
        <f>IFERROR(
 (1.907*EXP(1)^(-0.5*tbl_CONTENT[[#This Row],[Layer]])) *
 ((tbl_CONTENT[[#This Row],[RelInt]]-1)^(2.5)*4^(1-2.5)+1) +
 ((tbl_CONTENT[[#This Row],[Comp]]-1)^(2.5)*4^(1-2.5)+1)*(0.5*((tbl_CONTENT[[#This Row],[RelInt]]-1)/4)^(2.5)+1),
 0
)</f>
        <v>0</v>
      </c>
      <c r="T377" s="35">
        <f>IFERROR(
 (1.907*EXP(1)^(-0.5*VALUE(tbl_CONTENT[[#This Row],[Layer]]))) *
 ((VALUE(tbl_CONTENT[[#This Row],[RelId]])-1)^(2.5)*4^(1-2.5)+1) +
 ((VALUE(tbl_CONTENT[[#This Row],[Comp]])-1)^(2.5)*4^(1-2.5)+1)*(0.5*((VALUE(tbl_CONTENT[[#This Row],[RelId]])-1)/4)^(2.5)+1),
 0
)</f>
        <v>0</v>
      </c>
      <c r="W377" s="22" t="str">
        <f>IFERROR(
  IF(_xlfn.XLOOKUP(tbl_CONTENT[[#This Row],[Topic]], tbl_TOPIC[Topic], tbl_TOPIC[ParentTopic])="", "",
       _xlfn.XLOOKUP(tbl_CONTENT[[#This Row],[Topic]], tbl_TOPIC[Topic], tbl_TOPIC[ParentTopic])),
  ""
)</f>
        <v/>
      </c>
      <c r="X377" s="22" t="str">
        <f>IFERROR(
  IF(_xlfn.XLOOKUP(tbl_CONTENT[[#This Row],[Topic]], tbl_TOPIC[Topic], tbl_TOPIC[TopicPath])="", "",
       _xlfn.XLOOKUP(tbl_CONTENT[[#This Row],[Topic]], tbl_TOPIC[Topic], tbl_TOPIC[TopicPath])),
  ""
)</f>
        <v>Faserbündel</v>
      </c>
    </row>
    <row r="378" spans="3:24" ht="51" x14ac:dyDescent="0.2">
      <c r="C378" s="22" t="str">
        <f>_xlfn.XLOOKUP(tbl_CONTENT[[#This Row],[TopicID]], tbl_TOPIC[TopicID], tbl_TOPIC[Subject], "")</f>
        <v>EFT1</v>
      </c>
      <c r="D3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EFT1-T12-02-32</v>
      </c>
      <c r="E378" s="22">
        <f>ROW()</f>
        <v>378</v>
      </c>
      <c r="F378" s="22" t="s">
        <v>1051</v>
      </c>
      <c r="G378" s="22" t="str">
        <f>_xlfn.XLOOKUP(tbl_CONTENT[[#This Row],[Topic]], tbl_TOPIC[Topic], tbl_TOPIC[TopicID], "")</f>
        <v>EFT1-1-02</v>
      </c>
      <c r="H378" s="22" cm="1">
        <f t="array" ref="H378">SUM((tbl_CONTENT[[#This Row],[TopicID]]=INDEX(tbl_CONTENT[TopicID],1):tbl_CONTENT[[#This Row],[TopicID]])*1)</f>
        <v>32</v>
      </c>
      <c r="I378" s="22" t="str">
        <f>_xlfn.XLOOKUP(tbl_CONTENT[[#This Row],[Topic]], tbl_TOPIC[Topic], tbl_TOPIC[TopicIndex], "")</f>
        <v>02</v>
      </c>
      <c r="J378" s="22" t="s">
        <v>596</v>
      </c>
      <c r="K378" s="22" t="s">
        <v>629</v>
      </c>
      <c r="L378" s="22" t="s">
        <v>148</v>
      </c>
      <c r="S378" s="35">
        <f>IFERROR(
 (1.907*EXP(1)^(-0.5*tbl_CONTENT[[#This Row],[Layer]])) *
 ((tbl_CONTENT[[#This Row],[RelInt]]-1)^(2.5)*4^(1-2.5)+1) +
 ((tbl_CONTENT[[#This Row],[Comp]]-1)^(2.5)*4^(1-2.5)+1)*(0.5*((tbl_CONTENT[[#This Row],[RelInt]]-1)/4)^(2.5)+1),
 0
)</f>
        <v>0</v>
      </c>
      <c r="T378" s="35">
        <f>IFERROR(
 (1.907*EXP(1)^(-0.5*VALUE(tbl_CONTENT[[#This Row],[Layer]]))) *
 ((VALUE(tbl_CONTENT[[#This Row],[RelId]])-1)^(2.5)*4^(1-2.5)+1) +
 ((VALUE(tbl_CONTENT[[#This Row],[Comp]])-1)^(2.5)*4^(1-2.5)+1)*(0.5*((VALUE(tbl_CONTENT[[#This Row],[RelId]])-1)/4)^(2.5)+1),
 0
)</f>
        <v>0</v>
      </c>
      <c r="W378" s="22" t="str">
        <f>IFERROR(
  IF(_xlfn.XLOOKUP(tbl_CONTENT[[#This Row],[Topic]], tbl_TOPIC[Topic], tbl_TOPIC[ParentTopic])="", "",
       _xlfn.XLOOKUP(tbl_CONTENT[[#This Row],[Topic]], tbl_TOPIC[Topic], tbl_TOPIC[ParentTopic])),
  ""
)</f>
        <v/>
      </c>
      <c r="X378" s="22" t="str">
        <f>IFERROR(
  IF(_xlfn.XLOOKUP(tbl_CONTENT[[#This Row],[Topic]], tbl_TOPIC[Topic], tbl_TOPIC[TopicPath])="", "",
       _xlfn.XLOOKUP(tbl_CONTENT[[#This Row],[Topic]], tbl_TOPIC[Topic], tbl_TOPIC[TopicPath])),
  ""
)</f>
        <v>Faserbündel</v>
      </c>
    </row>
    <row r="379" spans="3:24" ht="51" x14ac:dyDescent="0.2">
      <c r="C379" s="22" t="str">
        <f>_xlfn.XLOOKUP(tbl_CONTENT[[#This Row],[TopicID]], tbl_TOPIC[TopicID], tbl_TOPIC[Subject], "")</f>
        <v>EFT1</v>
      </c>
      <c r="D3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EFT1-T12-02-33</v>
      </c>
      <c r="E379" s="22">
        <f>ROW()</f>
        <v>379</v>
      </c>
      <c r="F379" s="22" t="s">
        <v>1051</v>
      </c>
      <c r="G379" s="22" t="str">
        <f>_xlfn.XLOOKUP(tbl_CONTENT[[#This Row],[Topic]], tbl_TOPIC[Topic], tbl_TOPIC[TopicID], "")</f>
        <v>EFT1-1-02</v>
      </c>
      <c r="H379" s="22" cm="1">
        <f t="array" ref="H379">SUM((tbl_CONTENT[[#This Row],[TopicID]]=INDEX(tbl_CONTENT[TopicID],1):tbl_CONTENT[[#This Row],[TopicID]])*1)</f>
        <v>33</v>
      </c>
      <c r="I379" s="22" t="str">
        <f>_xlfn.XLOOKUP(tbl_CONTENT[[#This Row],[Topic]], tbl_TOPIC[Topic], tbl_TOPIC[TopicIndex], "")</f>
        <v>02</v>
      </c>
      <c r="J379" s="22" t="s">
        <v>596</v>
      </c>
      <c r="K379" s="22" t="s">
        <v>630</v>
      </c>
      <c r="L379" s="22" t="s">
        <v>179</v>
      </c>
      <c r="S379" s="35">
        <f>IFERROR(
 (1.907*EXP(1)^(-0.5*tbl_CONTENT[[#This Row],[Layer]])) *
 ((tbl_CONTENT[[#This Row],[RelInt]]-1)^(2.5)*4^(1-2.5)+1) +
 ((tbl_CONTENT[[#This Row],[Comp]]-1)^(2.5)*4^(1-2.5)+1)*(0.5*((tbl_CONTENT[[#This Row],[RelInt]]-1)/4)^(2.5)+1),
 0
)</f>
        <v>0</v>
      </c>
      <c r="T379" s="35">
        <f>IFERROR(
 (1.907*EXP(1)^(-0.5*VALUE(tbl_CONTENT[[#This Row],[Layer]]))) *
 ((VALUE(tbl_CONTENT[[#This Row],[RelId]])-1)^(2.5)*4^(1-2.5)+1) +
 ((VALUE(tbl_CONTENT[[#This Row],[Comp]])-1)^(2.5)*4^(1-2.5)+1)*(0.5*((VALUE(tbl_CONTENT[[#This Row],[RelId]])-1)/4)^(2.5)+1),
 0
)</f>
        <v>0</v>
      </c>
      <c r="W379" s="22" t="str">
        <f>IFERROR(
  IF(_xlfn.XLOOKUP(tbl_CONTENT[[#This Row],[Topic]], tbl_TOPIC[Topic], tbl_TOPIC[ParentTopic])="", "",
       _xlfn.XLOOKUP(tbl_CONTENT[[#This Row],[Topic]], tbl_TOPIC[Topic], tbl_TOPIC[ParentTopic])),
  ""
)</f>
        <v/>
      </c>
      <c r="X379" s="22" t="str">
        <f>IFERROR(
  IF(_xlfn.XLOOKUP(tbl_CONTENT[[#This Row],[Topic]], tbl_TOPIC[Topic], tbl_TOPIC[TopicPath])="", "",
       _xlfn.XLOOKUP(tbl_CONTENT[[#This Row],[Topic]], tbl_TOPIC[Topic], tbl_TOPIC[TopicPath])),
  ""
)</f>
        <v>Faserbündel</v>
      </c>
    </row>
    <row r="380" spans="3:24" ht="34" x14ac:dyDescent="0.2">
      <c r="C380" s="22" t="str">
        <f>_xlfn.XLOOKUP(tbl_CONTENT[[#This Row],[TopicID]], tbl_TOPIC[TopicID], tbl_TOPIC[Subject], "")</f>
        <v>EFT1</v>
      </c>
      <c r="D3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EFT1-T12-02-34</v>
      </c>
      <c r="E380" s="22">
        <f>ROW()</f>
        <v>380</v>
      </c>
      <c r="F380" s="22" t="s">
        <v>1051</v>
      </c>
      <c r="G380" s="22" t="str">
        <f>_xlfn.XLOOKUP(tbl_CONTENT[[#This Row],[Topic]], tbl_TOPIC[Topic], tbl_TOPIC[TopicID], "")</f>
        <v>EFT1-1-02</v>
      </c>
      <c r="H380" s="22" cm="1">
        <f t="array" ref="H380">SUM((tbl_CONTENT[[#This Row],[TopicID]]=INDEX(tbl_CONTENT[TopicID],1):tbl_CONTENT[[#This Row],[TopicID]])*1)</f>
        <v>34</v>
      </c>
      <c r="I380" s="22" t="str">
        <f>_xlfn.XLOOKUP(tbl_CONTENT[[#This Row],[Topic]], tbl_TOPIC[Topic], tbl_TOPIC[TopicIndex], "")</f>
        <v>02</v>
      </c>
      <c r="J380" s="22" t="s">
        <v>596</v>
      </c>
      <c r="K380" s="22" t="s">
        <v>631</v>
      </c>
      <c r="L380" s="22" t="s">
        <v>179</v>
      </c>
      <c r="S380" s="35">
        <f>IFERROR(
 (1.907*EXP(1)^(-0.5*tbl_CONTENT[[#This Row],[Layer]])) *
 ((tbl_CONTENT[[#This Row],[RelInt]]-1)^(2.5)*4^(1-2.5)+1) +
 ((tbl_CONTENT[[#This Row],[Comp]]-1)^(2.5)*4^(1-2.5)+1)*(0.5*((tbl_CONTENT[[#This Row],[RelInt]]-1)/4)^(2.5)+1),
 0
)</f>
        <v>0</v>
      </c>
      <c r="T380" s="35">
        <f>IFERROR(
 (1.907*EXP(1)^(-0.5*VALUE(tbl_CONTENT[[#This Row],[Layer]]))) *
 ((VALUE(tbl_CONTENT[[#This Row],[RelId]])-1)^(2.5)*4^(1-2.5)+1) +
 ((VALUE(tbl_CONTENT[[#This Row],[Comp]])-1)^(2.5)*4^(1-2.5)+1)*(0.5*((VALUE(tbl_CONTENT[[#This Row],[RelId]])-1)/4)^(2.5)+1),
 0
)</f>
        <v>0</v>
      </c>
      <c r="W380" s="22" t="str">
        <f>IFERROR(
  IF(_xlfn.XLOOKUP(tbl_CONTENT[[#This Row],[Topic]], tbl_TOPIC[Topic], tbl_TOPIC[ParentTopic])="", "",
       _xlfn.XLOOKUP(tbl_CONTENT[[#This Row],[Topic]], tbl_TOPIC[Topic], tbl_TOPIC[ParentTopic])),
  ""
)</f>
        <v/>
      </c>
      <c r="X380" s="22" t="str">
        <f>IFERROR(
  IF(_xlfn.XLOOKUP(tbl_CONTENT[[#This Row],[Topic]], tbl_TOPIC[Topic], tbl_TOPIC[TopicPath])="", "",
       _xlfn.XLOOKUP(tbl_CONTENT[[#This Row],[Topic]], tbl_TOPIC[Topic], tbl_TOPIC[TopicPath])),
  ""
)</f>
        <v>Faserbündel</v>
      </c>
    </row>
    <row r="381" spans="3:24" ht="34" x14ac:dyDescent="0.2">
      <c r="C381" s="22" t="str">
        <f>_xlfn.XLOOKUP(tbl_CONTENT[[#This Row],[TopicID]], tbl_TOPIC[TopicID], tbl_TOPIC[Subject], "")</f>
        <v>EFT1</v>
      </c>
      <c r="D3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EFT1-T12-02-35</v>
      </c>
      <c r="E381" s="22">
        <f>ROW()</f>
        <v>381</v>
      </c>
      <c r="F381" s="22" t="s">
        <v>1051</v>
      </c>
      <c r="G381" s="22" t="str">
        <f>_xlfn.XLOOKUP(tbl_CONTENT[[#This Row],[Topic]], tbl_TOPIC[Topic], tbl_TOPIC[TopicID], "")</f>
        <v>EFT1-1-02</v>
      </c>
      <c r="H381" s="22" cm="1">
        <f t="array" ref="H381">SUM((tbl_CONTENT[[#This Row],[TopicID]]=INDEX(tbl_CONTENT[TopicID],1):tbl_CONTENT[[#This Row],[TopicID]])*1)</f>
        <v>35</v>
      </c>
      <c r="I381" s="22" t="str">
        <f>_xlfn.XLOOKUP(tbl_CONTENT[[#This Row],[Topic]], tbl_TOPIC[Topic], tbl_TOPIC[TopicIndex], "")</f>
        <v>02</v>
      </c>
      <c r="J381" s="22" t="s">
        <v>596</v>
      </c>
      <c r="K381" s="22" t="s">
        <v>632</v>
      </c>
      <c r="L381" s="22" t="s">
        <v>179</v>
      </c>
      <c r="S381" s="35">
        <f>IFERROR(
 (1.907*EXP(1)^(-0.5*tbl_CONTENT[[#This Row],[Layer]])) *
 ((tbl_CONTENT[[#This Row],[RelInt]]-1)^(2.5)*4^(1-2.5)+1) +
 ((tbl_CONTENT[[#This Row],[Comp]]-1)^(2.5)*4^(1-2.5)+1)*(0.5*((tbl_CONTENT[[#This Row],[RelInt]]-1)/4)^(2.5)+1),
 0
)</f>
        <v>0</v>
      </c>
      <c r="T381" s="35">
        <f>IFERROR(
 (1.907*EXP(1)^(-0.5*VALUE(tbl_CONTENT[[#This Row],[Layer]]))) *
 ((VALUE(tbl_CONTENT[[#This Row],[RelId]])-1)^(2.5)*4^(1-2.5)+1) +
 ((VALUE(tbl_CONTENT[[#This Row],[Comp]])-1)^(2.5)*4^(1-2.5)+1)*(0.5*((VALUE(tbl_CONTENT[[#This Row],[RelId]])-1)/4)^(2.5)+1),
 0
)</f>
        <v>0</v>
      </c>
      <c r="W381" s="22" t="str">
        <f>IFERROR(
  IF(_xlfn.XLOOKUP(tbl_CONTENT[[#This Row],[Topic]], tbl_TOPIC[Topic], tbl_TOPIC[ParentTopic])="", "",
       _xlfn.XLOOKUP(tbl_CONTENT[[#This Row],[Topic]], tbl_TOPIC[Topic], tbl_TOPIC[ParentTopic])),
  ""
)</f>
        <v/>
      </c>
      <c r="X381" s="22" t="str">
        <f>IFERROR(
  IF(_xlfn.XLOOKUP(tbl_CONTENT[[#This Row],[Topic]], tbl_TOPIC[Topic], tbl_TOPIC[TopicPath])="", "",
       _xlfn.XLOOKUP(tbl_CONTENT[[#This Row],[Topic]], tbl_TOPIC[Topic], tbl_TOPIC[TopicPath])),
  ""
)</f>
        <v>Faserbündel</v>
      </c>
    </row>
    <row r="382" spans="3:24" ht="34" x14ac:dyDescent="0.2">
      <c r="C382" s="22" t="str">
        <f>_xlfn.XLOOKUP(tbl_CONTENT[[#This Row],[TopicID]], tbl_TOPIC[TopicID], tbl_TOPIC[Subject], "")</f>
        <v>EFT1</v>
      </c>
      <c r="D3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EFT1-T12-02-36</v>
      </c>
      <c r="E382" s="22">
        <f>ROW()</f>
        <v>382</v>
      </c>
      <c r="F382" s="22" t="s">
        <v>1051</v>
      </c>
      <c r="G382" s="22" t="str">
        <f>_xlfn.XLOOKUP(tbl_CONTENT[[#This Row],[Topic]], tbl_TOPIC[Topic], tbl_TOPIC[TopicID], "")</f>
        <v>EFT1-1-02</v>
      </c>
      <c r="H382" s="22" cm="1">
        <f t="array" ref="H382">SUM((tbl_CONTENT[[#This Row],[TopicID]]=INDEX(tbl_CONTENT[TopicID],1):tbl_CONTENT[[#This Row],[TopicID]])*1)</f>
        <v>36</v>
      </c>
      <c r="I382" s="22" t="str">
        <f>_xlfn.XLOOKUP(tbl_CONTENT[[#This Row],[Topic]], tbl_TOPIC[Topic], tbl_TOPIC[TopicIndex], "")</f>
        <v>02</v>
      </c>
      <c r="J382" s="22" t="s">
        <v>596</v>
      </c>
      <c r="K382" s="22" t="s">
        <v>633</v>
      </c>
      <c r="L382" s="22" t="s">
        <v>179</v>
      </c>
      <c r="S382" s="35">
        <f>IFERROR(
 (1.907*EXP(1)^(-0.5*tbl_CONTENT[[#This Row],[Layer]])) *
 ((tbl_CONTENT[[#This Row],[RelInt]]-1)^(2.5)*4^(1-2.5)+1) +
 ((tbl_CONTENT[[#This Row],[Comp]]-1)^(2.5)*4^(1-2.5)+1)*(0.5*((tbl_CONTENT[[#This Row],[RelInt]]-1)/4)^(2.5)+1),
 0
)</f>
        <v>0</v>
      </c>
      <c r="T382" s="35">
        <f>IFERROR(
 (1.907*EXP(1)^(-0.5*VALUE(tbl_CONTENT[[#This Row],[Layer]]))) *
 ((VALUE(tbl_CONTENT[[#This Row],[RelId]])-1)^(2.5)*4^(1-2.5)+1) +
 ((VALUE(tbl_CONTENT[[#This Row],[Comp]])-1)^(2.5)*4^(1-2.5)+1)*(0.5*((VALUE(tbl_CONTENT[[#This Row],[RelId]])-1)/4)^(2.5)+1),
 0
)</f>
        <v>0</v>
      </c>
      <c r="W382" s="22" t="str">
        <f>IFERROR(
  IF(_xlfn.XLOOKUP(tbl_CONTENT[[#This Row],[Topic]], tbl_TOPIC[Topic], tbl_TOPIC[ParentTopic])="", "",
       _xlfn.XLOOKUP(tbl_CONTENT[[#This Row],[Topic]], tbl_TOPIC[Topic], tbl_TOPIC[ParentTopic])),
  ""
)</f>
        <v/>
      </c>
      <c r="X382" s="22" t="str">
        <f>IFERROR(
  IF(_xlfn.XLOOKUP(tbl_CONTENT[[#This Row],[Topic]], tbl_TOPIC[Topic], tbl_TOPIC[TopicPath])="", "",
       _xlfn.XLOOKUP(tbl_CONTENT[[#This Row],[Topic]], tbl_TOPIC[Topic], tbl_TOPIC[TopicPath])),
  ""
)</f>
        <v>Faserbündel</v>
      </c>
    </row>
    <row r="383" spans="3:24" ht="51" x14ac:dyDescent="0.2">
      <c r="C383" s="22" t="str">
        <f>_xlfn.XLOOKUP(tbl_CONTENT[[#This Row],[TopicID]], tbl_TOPIC[TopicID], tbl_TOPIC[Subject], "")</f>
        <v>EFT1</v>
      </c>
      <c r="D3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EFT1-T12-02-37</v>
      </c>
      <c r="E383" s="22">
        <f>ROW()</f>
        <v>383</v>
      </c>
      <c r="F383" s="22" t="s">
        <v>1051</v>
      </c>
      <c r="G383" s="22" t="str">
        <f>_xlfn.XLOOKUP(tbl_CONTENT[[#This Row],[Topic]], tbl_TOPIC[Topic], tbl_TOPIC[TopicID], "")</f>
        <v>EFT1-1-02</v>
      </c>
      <c r="H383" s="22" cm="1">
        <f t="array" ref="H383">SUM((tbl_CONTENT[[#This Row],[TopicID]]=INDEX(tbl_CONTENT[TopicID],1):tbl_CONTENT[[#This Row],[TopicID]])*1)</f>
        <v>37</v>
      </c>
      <c r="I383" s="22" t="str">
        <f>_xlfn.XLOOKUP(tbl_CONTENT[[#This Row],[Topic]], tbl_TOPIC[Topic], tbl_TOPIC[TopicIndex], "")</f>
        <v>02</v>
      </c>
      <c r="J383" s="22" t="s">
        <v>596</v>
      </c>
      <c r="K383" s="22" t="s">
        <v>1000</v>
      </c>
      <c r="L383" s="22" t="s">
        <v>152</v>
      </c>
      <c r="S383" s="35">
        <f>IFERROR(
 (1.907*EXP(1)^(-0.5*tbl_CONTENT[[#This Row],[Layer]])) *
 ((tbl_CONTENT[[#This Row],[RelInt]]-1)^(2.5)*4^(1-2.5)+1) +
 ((tbl_CONTENT[[#This Row],[Comp]]-1)^(2.5)*4^(1-2.5)+1)*(0.5*((tbl_CONTENT[[#This Row],[RelInt]]-1)/4)^(2.5)+1),
 0
)</f>
        <v>0</v>
      </c>
      <c r="T383" s="35">
        <f>IFERROR(
 (1.907*EXP(1)^(-0.5*VALUE(tbl_CONTENT[[#This Row],[Layer]]))) *
 ((VALUE(tbl_CONTENT[[#This Row],[RelId]])-1)^(2.5)*4^(1-2.5)+1) +
 ((VALUE(tbl_CONTENT[[#This Row],[Comp]])-1)^(2.5)*4^(1-2.5)+1)*(0.5*((VALUE(tbl_CONTENT[[#This Row],[RelId]])-1)/4)^(2.5)+1),
 0
)</f>
        <v>0</v>
      </c>
      <c r="W383" s="22" t="str">
        <f>IFERROR(
  IF(_xlfn.XLOOKUP(tbl_CONTENT[[#This Row],[Topic]], tbl_TOPIC[Topic], tbl_TOPIC[ParentTopic])="", "",
       _xlfn.XLOOKUP(tbl_CONTENT[[#This Row],[Topic]], tbl_TOPIC[Topic], tbl_TOPIC[ParentTopic])),
  ""
)</f>
        <v/>
      </c>
      <c r="X383" s="22" t="str">
        <f>IFERROR(
  IF(_xlfn.XLOOKUP(tbl_CONTENT[[#This Row],[Topic]], tbl_TOPIC[Topic], tbl_TOPIC[TopicPath])="", "",
       _xlfn.XLOOKUP(tbl_CONTENT[[#This Row],[Topic]], tbl_TOPIC[Topic], tbl_TOPIC[TopicPath])),
  ""
)</f>
        <v>Faserbündel</v>
      </c>
    </row>
    <row r="384" spans="3:24" ht="34" x14ac:dyDescent="0.2">
      <c r="C384" s="22" t="str">
        <f>_xlfn.XLOOKUP(tbl_CONTENT[[#This Row],[TopicID]], tbl_TOPIC[TopicID], tbl_TOPIC[Subject], "")</f>
        <v>EFT1</v>
      </c>
      <c r="D3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EFT1-T12-02-38</v>
      </c>
      <c r="E384" s="22">
        <f>ROW()</f>
        <v>384</v>
      </c>
      <c r="F384" s="22" t="s">
        <v>1051</v>
      </c>
      <c r="G384" s="22" t="str">
        <f>_xlfn.XLOOKUP(tbl_CONTENT[[#This Row],[Topic]], tbl_TOPIC[Topic], tbl_TOPIC[TopicID], "")</f>
        <v>EFT1-1-02</v>
      </c>
      <c r="H384" s="22" cm="1">
        <f t="array" ref="H384">SUM((tbl_CONTENT[[#This Row],[TopicID]]=INDEX(tbl_CONTENT[TopicID],1):tbl_CONTENT[[#This Row],[TopicID]])*1)</f>
        <v>38</v>
      </c>
      <c r="I384" s="22" t="str">
        <f>_xlfn.XLOOKUP(tbl_CONTENT[[#This Row],[Topic]], tbl_TOPIC[Topic], tbl_TOPIC[TopicIndex], "")</f>
        <v>02</v>
      </c>
      <c r="J384" s="22" t="s">
        <v>596</v>
      </c>
      <c r="K384" s="22" t="s">
        <v>634</v>
      </c>
      <c r="L384" s="22" t="s">
        <v>179</v>
      </c>
      <c r="S384" s="35">
        <f>IFERROR(
 (1.907*EXP(1)^(-0.5*tbl_CONTENT[[#This Row],[Layer]])) *
 ((tbl_CONTENT[[#This Row],[RelInt]]-1)^(2.5)*4^(1-2.5)+1) +
 ((tbl_CONTENT[[#This Row],[Comp]]-1)^(2.5)*4^(1-2.5)+1)*(0.5*((tbl_CONTENT[[#This Row],[RelInt]]-1)/4)^(2.5)+1),
 0
)</f>
        <v>0</v>
      </c>
      <c r="T384" s="35">
        <f>IFERROR(
 (1.907*EXP(1)^(-0.5*VALUE(tbl_CONTENT[[#This Row],[Layer]]))) *
 ((VALUE(tbl_CONTENT[[#This Row],[RelId]])-1)^(2.5)*4^(1-2.5)+1) +
 ((VALUE(tbl_CONTENT[[#This Row],[Comp]])-1)^(2.5)*4^(1-2.5)+1)*(0.5*((VALUE(tbl_CONTENT[[#This Row],[RelId]])-1)/4)^(2.5)+1),
 0
)</f>
        <v>0</v>
      </c>
      <c r="W384" s="22" t="str">
        <f>IFERROR(
  IF(_xlfn.XLOOKUP(tbl_CONTENT[[#This Row],[Topic]], tbl_TOPIC[Topic], tbl_TOPIC[ParentTopic])="", "",
       _xlfn.XLOOKUP(tbl_CONTENT[[#This Row],[Topic]], tbl_TOPIC[Topic], tbl_TOPIC[ParentTopic])),
  ""
)</f>
        <v/>
      </c>
      <c r="X384" s="22" t="str">
        <f>IFERROR(
  IF(_xlfn.XLOOKUP(tbl_CONTENT[[#This Row],[Topic]], tbl_TOPIC[Topic], tbl_TOPIC[TopicPath])="", "",
       _xlfn.XLOOKUP(tbl_CONTENT[[#This Row],[Topic]], tbl_TOPIC[Topic], tbl_TOPIC[TopicPath])),
  ""
)</f>
        <v>Faserbündel</v>
      </c>
    </row>
    <row r="385" spans="3:24" ht="34" x14ac:dyDescent="0.2">
      <c r="C385" s="22" t="str">
        <f>_xlfn.XLOOKUP(tbl_CONTENT[[#This Row],[TopicID]], tbl_TOPIC[TopicID], tbl_TOPIC[Subject], "")</f>
        <v>EFT1</v>
      </c>
      <c r="D3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EFT1-T12-02-39</v>
      </c>
      <c r="E385" s="22">
        <f>ROW()</f>
        <v>385</v>
      </c>
      <c r="F385" s="22" t="s">
        <v>1051</v>
      </c>
      <c r="G385" s="22" t="str">
        <f>_xlfn.XLOOKUP(tbl_CONTENT[[#This Row],[Topic]], tbl_TOPIC[Topic], tbl_TOPIC[TopicID], "")</f>
        <v>EFT1-1-02</v>
      </c>
      <c r="H385" s="22" cm="1">
        <f t="array" ref="H385">SUM((tbl_CONTENT[[#This Row],[TopicID]]=INDEX(tbl_CONTENT[TopicID],1):tbl_CONTENT[[#This Row],[TopicID]])*1)</f>
        <v>39</v>
      </c>
      <c r="I385" s="22" t="str">
        <f>_xlfn.XLOOKUP(tbl_CONTENT[[#This Row],[Topic]], tbl_TOPIC[Topic], tbl_TOPIC[TopicIndex], "")</f>
        <v>02</v>
      </c>
      <c r="J385" s="22" t="s">
        <v>596</v>
      </c>
      <c r="K385" s="22" t="s">
        <v>1001</v>
      </c>
      <c r="L385" s="22" t="s">
        <v>179</v>
      </c>
      <c r="S385" s="35">
        <f>IFERROR(
 (1.907*EXP(1)^(-0.5*tbl_CONTENT[[#This Row],[Layer]])) *
 ((tbl_CONTENT[[#This Row],[RelInt]]-1)^(2.5)*4^(1-2.5)+1) +
 ((tbl_CONTENT[[#This Row],[Comp]]-1)^(2.5)*4^(1-2.5)+1)*(0.5*((tbl_CONTENT[[#This Row],[RelInt]]-1)/4)^(2.5)+1),
 0
)</f>
        <v>0</v>
      </c>
      <c r="T385" s="35">
        <f>IFERROR(
 (1.907*EXP(1)^(-0.5*VALUE(tbl_CONTENT[[#This Row],[Layer]]))) *
 ((VALUE(tbl_CONTENT[[#This Row],[RelId]])-1)^(2.5)*4^(1-2.5)+1) +
 ((VALUE(tbl_CONTENT[[#This Row],[Comp]])-1)^(2.5)*4^(1-2.5)+1)*(0.5*((VALUE(tbl_CONTENT[[#This Row],[RelId]])-1)/4)^(2.5)+1),
 0
)</f>
        <v>0</v>
      </c>
      <c r="W385" s="22" t="str">
        <f>IFERROR(
  IF(_xlfn.XLOOKUP(tbl_CONTENT[[#This Row],[Topic]], tbl_TOPIC[Topic], tbl_TOPIC[ParentTopic])="", "",
       _xlfn.XLOOKUP(tbl_CONTENT[[#This Row],[Topic]], tbl_TOPIC[Topic], tbl_TOPIC[ParentTopic])),
  ""
)</f>
        <v/>
      </c>
      <c r="X385" s="22" t="str">
        <f>IFERROR(
  IF(_xlfn.XLOOKUP(tbl_CONTENT[[#This Row],[Topic]], tbl_TOPIC[Topic], tbl_TOPIC[TopicPath])="", "",
       _xlfn.XLOOKUP(tbl_CONTENT[[#This Row],[Topic]], tbl_TOPIC[Topic], tbl_TOPIC[TopicPath])),
  ""
)</f>
        <v>Faserbündel</v>
      </c>
    </row>
    <row r="386" spans="3:24" ht="34" x14ac:dyDescent="0.2">
      <c r="C386" s="22" t="str">
        <f>_xlfn.XLOOKUP(tbl_CONTENT[[#This Row],[TopicID]], tbl_TOPIC[TopicID], tbl_TOPIC[Subject], "")</f>
        <v>EFT1</v>
      </c>
      <c r="D3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EFT1-T12-02-40</v>
      </c>
      <c r="E386" s="22">
        <f>ROW()</f>
        <v>386</v>
      </c>
      <c r="F386" s="22" t="s">
        <v>1051</v>
      </c>
      <c r="G386" s="22" t="str">
        <f>_xlfn.XLOOKUP(tbl_CONTENT[[#This Row],[Topic]], tbl_TOPIC[Topic], tbl_TOPIC[TopicID], "")</f>
        <v>EFT1-1-02</v>
      </c>
      <c r="H386" s="22" cm="1">
        <f t="array" ref="H386">SUM((tbl_CONTENT[[#This Row],[TopicID]]=INDEX(tbl_CONTENT[TopicID],1):tbl_CONTENT[[#This Row],[TopicID]])*1)</f>
        <v>40</v>
      </c>
      <c r="I386" s="22" t="str">
        <f>_xlfn.XLOOKUP(tbl_CONTENT[[#This Row],[Topic]], tbl_TOPIC[Topic], tbl_TOPIC[TopicIndex], "")</f>
        <v>02</v>
      </c>
      <c r="J386" s="22" t="s">
        <v>596</v>
      </c>
      <c r="K386" s="22" t="s">
        <v>635</v>
      </c>
      <c r="L386" s="22" t="s">
        <v>152</v>
      </c>
      <c r="S386" s="35">
        <f>IFERROR(
 (1.907*EXP(1)^(-0.5*tbl_CONTENT[[#This Row],[Layer]])) *
 ((tbl_CONTENT[[#This Row],[RelInt]]-1)^(2.5)*4^(1-2.5)+1) +
 ((tbl_CONTENT[[#This Row],[Comp]]-1)^(2.5)*4^(1-2.5)+1)*(0.5*((tbl_CONTENT[[#This Row],[RelInt]]-1)/4)^(2.5)+1),
 0
)</f>
        <v>0</v>
      </c>
      <c r="T386" s="35">
        <f>IFERROR(
 (1.907*EXP(1)^(-0.5*VALUE(tbl_CONTENT[[#This Row],[Layer]]))) *
 ((VALUE(tbl_CONTENT[[#This Row],[RelId]])-1)^(2.5)*4^(1-2.5)+1) +
 ((VALUE(tbl_CONTENT[[#This Row],[Comp]])-1)^(2.5)*4^(1-2.5)+1)*(0.5*((VALUE(tbl_CONTENT[[#This Row],[RelId]])-1)/4)^(2.5)+1),
 0
)</f>
        <v>0</v>
      </c>
      <c r="W386" s="22" t="str">
        <f>IFERROR(
  IF(_xlfn.XLOOKUP(tbl_CONTENT[[#This Row],[Topic]], tbl_TOPIC[Topic], tbl_TOPIC[ParentTopic])="", "",
       _xlfn.XLOOKUP(tbl_CONTENT[[#This Row],[Topic]], tbl_TOPIC[Topic], tbl_TOPIC[ParentTopic])),
  ""
)</f>
        <v/>
      </c>
      <c r="X386" s="22" t="str">
        <f>IFERROR(
  IF(_xlfn.XLOOKUP(tbl_CONTENT[[#This Row],[Topic]], tbl_TOPIC[Topic], tbl_TOPIC[TopicPath])="", "",
       _xlfn.XLOOKUP(tbl_CONTENT[[#This Row],[Topic]], tbl_TOPIC[Topic], tbl_TOPIC[TopicPath])),
  ""
)</f>
        <v>Faserbündel</v>
      </c>
    </row>
    <row r="387" spans="3:24" ht="34" x14ac:dyDescent="0.2">
      <c r="C387" s="22" t="str">
        <f>_xlfn.XLOOKUP(tbl_CONTENT[[#This Row],[TopicID]], tbl_TOPIC[TopicID], tbl_TOPIC[Subject], "")</f>
        <v>EFT1</v>
      </c>
      <c r="D3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EFT1-T12-02-41</v>
      </c>
      <c r="E387" s="22">
        <f>ROW()</f>
        <v>387</v>
      </c>
      <c r="F387" s="22" t="s">
        <v>1051</v>
      </c>
      <c r="G387" s="22" t="str">
        <f>_xlfn.XLOOKUP(tbl_CONTENT[[#This Row],[Topic]], tbl_TOPIC[Topic], tbl_TOPIC[TopicID], "")</f>
        <v>EFT1-1-02</v>
      </c>
      <c r="H387" s="22" cm="1">
        <f t="array" ref="H387">SUM((tbl_CONTENT[[#This Row],[TopicID]]=INDEX(tbl_CONTENT[TopicID],1):tbl_CONTENT[[#This Row],[TopicID]])*1)</f>
        <v>41</v>
      </c>
      <c r="I387" s="22" t="str">
        <f>_xlfn.XLOOKUP(tbl_CONTENT[[#This Row],[Topic]], tbl_TOPIC[Topic], tbl_TOPIC[TopicIndex], "")</f>
        <v>02</v>
      </c>
      <c r="J387" s="22" t="s">
        <v>596</v>
      </c>
      <c r="K387" s="22" t="s">
        <v>1002</v>
      </c>
      <c r="L387" s="22" t="s">
        <v>179</v>
      </c>
      <c r="S387" s="35">
        <f>IFERROR(
 (1.907*EXP(1)^(-0.5*tbl_CONTENT[[#This Row],[Layer]])) *
 ((tbl_CONTENT[[#This Row],[RelInt]]-1)^(2.5)*4^(1-2.5)+1) +
 ((tbl_CONTENT[[#This Row],[Comp]]-1)^(2.5)*4^(1-2.5)+1)*(0.5*((tbl_CONTENT[[#This Row],[RelInt]]-1)/4)^(2.5)+1),
 0
)</f>
        <v>0</v>
      </c>
      <c r="T387" s="35">
        <f>IFERROR(
 (1.907*EXP(1)^(-0.5*VALUE(tbl_CONTENT[[#This Row],[Layer]]))) *
 ((VALUE(tbl_CONTENT[[#This Row],[RelId]])-1)^(2.5)*4^(1-2.5)+1) +
 ((VALUE(tbl_CONTENT[[#This Row],[Comp]])-1)^(2.5)*4^(1-2.5)+1)*(0.5*((VALUE(tbl_CONTENT[[#This Row],[RelId]])-1)/4)^(2.5)+1),
 0
)</f>
        <v>0</v>
      </c>
      <c r="W387" s="22" t="str">
        <f>IFERROR(
  IF(_xlfn.XLOOKUP(tbl_CONTENT[[#This Row],[Topic]], tbl_TOPIC[Topic], tbl_TOPIC[ParentTopic])="", "",
       _xlfn.XLOOKUP(tbl_CONTENT[[#This Row],[Topic]], tbl_TOPIC[Topic], tbl_TOPIC[ParentTopic])),
  ""
)</f>
        <v/>
      </c>
      <c r="X387" s="22" t="str">
        <f>IFERROR(
  IF(_xlfn.XLOOKUP(tbl_CONTENT[[#This Row],[Topic]], tbl_TOPIC[Topic], tbl_TOPIC[TopicPath])="", "",
       _xlfn.XLOOKUP(tbl_CONTENT[[#This Row],[Topic]], tbl_TOPIC[Topic], tbl_TOPIC[TopicPath])),
  ""
)</f>
        <v>Faserbündel</v>
      </c>
    </row>
    <row r="388" spans="3:24" ht="34" x14ac:dyDescent="0.2">
      <c r="C388" s="22" t="str">
        <f>_xlfn.XLOOKUP(tbl_CONTENT[[#This Row],[TopicID]], tbl_TOPIC[TopicID], tbl_TOPIC[Subject], "")</f>
        <v>EFT1</v>
      </c>
      <c r="D3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EFT1-T12-02-42</v>
      </c>
      <c r="E388" s="22">
        <f>ROW()</f>
        <v>388</v>
      </c>
      <c r="F388" s="22" t="s">
        <v>1051</v>
      </c>
      <c r="G388" s="22" t="str">
        <f>_xlfn.XLOOKUP(tbl_CONTENT[[#This Row],[Topic]], tbl_TOPIC[Topic], tbl_TOPIC[TopicID], "")</f>
        <v>EFT1-1-02</v>
      </c>
      <c r="H388" s="22" cm="1">
        <f t="array" ref="H388">SUM((tbl_CONTENT[[#This Row],[TopicID]]=INDEX(tbl_CONTENT[TopicID],1):tbl_CONTENT[[#This Row],[TopicID]])*1)</f>
        <v>42</v>
      </c>
      <c r="I388" s="22" t="str">
        <f>_xlfn.XLOOKUP(tbl_CONTENT[[#This Row],[Topic]], tbl_TOPIC[Topic], tbl_TOPIC[TopicIndex], "")</f>
        <v>02</v>
      </c>
      <c r="J388" s="22" t="s">
        <v>596</v>
      </c>
      <c r="K388" s="22" t="s">
        <v>636</v>
      </c>
      <c r="S388" s="35">
        <f>IFERROR(
 (1.907*EXP(1)^(-0.5*tbl_CONTENT[[#This Row],[Layer]])) *
 ((tbl_CONTENT[[#This Row],[RelInt]]-1)^(2.5)*4^(1-2.5)+1) +
 ((tbl_CONTENT[[#This Row],[Comp]]-1)^(2.5)*4^(1-2.5)+1)*(0.5*((tbl_CONTENT[[#This Row],[RelInt]]-1)/4)^(2.5)+1),
 0
)</f>
        <v>0</v>
      </c>
      <c r="T388" s="35">
        <f>IFERROR(
 (1.907*EXP(1)^(-0.5*VALUE(tbl_CONTENT[[#This Row],[Layer]]))) *
 ((VALUE(tbl_CONTENT[[#This Row],[RelId]])-1)^(2.5)*4^(1-2.5)+1) +
 ((VALUE(tbl_CONTENT[[#This Row],[Comp]])-1)^(2.5)*4^(1-2.5)+1)*(0.5*((VALUE(tbl_CONTENT[[#This Row],[RelId]])-1)/4)^(2.5)+1),
 0
)</f>
        <v>0</v>
      </c>
      <c r="W388" s="22" t="str">
        <f>IFERROR(
  IF(_xlfn.XLOOKUP(tbl_CONTENT[[#This Row],[Topic]], tbl_TOPIC[Topic], tbl_TOPIC[ParentTopic])="", "",
       _xlfn.XLOOKUP(tbl_CONTENT[[#This Row],[Topic]], tbl_TOPIC[Topic], tbl_TOPIC[ParentTopic])),
  ""
)</f>
        <v/>
      </c>
      <c r="X388" s="22" t="str">
        <f>IFERROR(
  IF(_xlfn.XLOOKUP(tbl_CONTENT[[#This Row],[Topic]], tbl_TOPIC[Topic], tbl_TOPIC[TopicPath])="", "",
       _xlfn.XLOOKUP(tbl_CONTENT[[#This Row],[Topic]], tbl_TOPIC[Topic], tbl_TOPIC[TopicPath])),
  ""
)</f>
        <v>Faserbündel</v>
      </c>
    </row>
    <row r="389" spans="3:24" ht="34" x14ac:dyDescent="0.2">
      <c r="C389" s="22" t="str">
        <f>_xlfn.XLOOKUP(tbl_CONTENT[[#This Row],[TopicID]], tbl_TOPIC[TopicID], tbl_TOPIC[Subject], "")</f>
        <v>EFT1</v>
      </c>
      <c r="D3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EFT1-T12-02-43</v>
      </c>
      <c r="E389" s="22">
        <f>ROW()</f>
        <v>389</v>
      </c>
      <c r="F389" s="22" t="s">
        <v>1051</v>
      </c>
      <c r="G389" s="22" t="str">
        <f>_xlfn.XLOOKUP(tbl_CONTENT[[#This Row],[Topic]], tbl_TOPIC[Topic], tbl_TOPIC[TopicID], "")</f>
        <v>EFT1-1-02</v>
      </c>
      <c r="H389" s="22" cm="1">
        <f t="array" ref="H389">SUM((tbl_CONTENT[[#This Row],[TopicID]]=INDEX(tbl_CONTENT[TopicID],1):tbl_CONTENT[[#This Row],[TopicID]])*1)</f>
        <v>43</v>
      </c>
      <c r="I389" s="22" t="str">
        <f>_xlfn.XLOOKUP(tbl_CONTENT[[#This Row],[Topic]], tbl_TOPIC[Topic], tbl_TOPIC[TopicIndex], "")</f>
        <v>02</v>
      </c>
      <c r="J389" s="22" t="s">
        <v>596</v>
      </c>
      <c r="K389" s="22" t="s">
        <v>637</v>
      </c>
      <c r="L389" s="22" t="s">
        <v>152</v>
      </c>
      <c r="S389" s="35">
        <f>IFERROR(
 (1.907*EXP(1)^(-0.5*tbl_CONTENT[[#This Row],[Layer]])) *
 ((tbl_CONTENT[[#This Row],[RelInt]]-1)^(2.5)*4^(1-2.5)+1) +
 ((tbl_CONTENT[[#This Row],[Comp]]-1)^(2.5)*4^(1-2.5)+1)*(0.5*((tbl_CONTENT[[#This Row],[RelInt]]-1)/4)^(2.5)+1),
 0
)</f>
        <v>0</v>
      </c>
      <c r="T389" s="35">
        <f>IFERROR(
 (1.907*EXP(1)^(-0.5*VALUE(tbl_CONTENT[[#This Row],[Layer]]))) *
 ((VALUE(tbl_CONTENT[[#This Row],[RelId]])-1)^(2.5)*4^(1-2.5)+1) +
 ((VALUE(tbl_CONTENT[[#This Row],[Comp]])-1)^(2.5)*4^(1-2.5)+1)*(0.5*((VALUE(tbl_CONTENT[[#This Row],[RelId]])-1)/4)^(2.5)+1),
 0
)</f>
        <v>0</v>
      </c>
      <c r="W389" s="22" t="str">
        <f>IFERROR(
  IF(_xlfn.XLOOKUP(tbl_CONTENT[[#This Row],[Topic]], tbl_TOPIC[Topic], tbl_TOPIC[ParentTopic])="", "",
       _xlfn.XLOOKUP(tbl_CONTENT[[#This Row],[Topic]], tbl_TOPIC[Topic], tbl_TOPIC[ParentTopic])),
  ""
)</f>
        <v/>
      </c>
      <c r="X389" s="22" t="str">
        <f>IFERROR(
  IF(_xlfn.XLOOKUP(tbl_CONTENT[[#This Row],[Topic]], tbl_TOPIC[Topic], tbl_TOPIC[TopicPath])="", "",
       _xlfn.XLOOKUP(tbl_CONTENT[[#This Row],[Topic]], tbl_TOPIC[Topic], tbl_TOPIC[TopicPath])),
  ""
)</f>
        <v>Faserbündel</v>
      </c>
    </row>
    <row r="390" spans="3:24" ht="34" x14ac:dyDescent="0.2">
      <c r="C390" s="22" t="str">
        <f>_xlfn.XLOOKUP(tbl_CONTENT[[#This Row],[TopicID]], tbl_TOPIC[TopicID], tbl_TOPIC[Subject], "")</f>
        <v>EFT1</v>
      </c>
      <c r="D3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EFT1-T12-02-44</v>
      </c>
      <c r="E390" s="22">
        <f>ROW()</f>
        <v>390</v>
      </c>
      <c r="F390" s="22" t="s">
        <v>1051</v>
      </c>
      <c r="G390" s="22" t="str">
        <f>_xlfn.XLOOKUP(tbl_CONTENT[[#This Row],[Topic]], tbl_TOPIC[Topic], tbl_TOPIC[TopicID], "")</f>
        <v>EFT1-1-02</v>
      </c>
      <c r="H390" s="22" cm="1">
        <f t="array" ref="H390">SUM((tbl_CONTENT[[#This Row],[TopicID]]=INDEX(tbl_CONTENT[TopicID],1):tbl_CONTENT[[#This Row],[TopicID]])*1)</f>
        <v>44</v>
      </c>
      <c r="I390" s="22" t="str">
        <f>_xlfn.XLOOKUP(tbl_CONTENT[[#This Row],[Topic]], tbl_TOPIC[Topic], tbl_TOPIC[TopicIndex], "")</f>
        <v>02</v>
      </c>
      <c r="J390" s="22" t="s">
        <v>596</v>
      </c>
      <c r="K390" s="22" t="s">
        <v>638</v>
      </c>
      <c r="L390" s="22" t="s">
        <v>152</v>
      </c>
      <c r="S390" s="35">
        <f>IFERROR(
 (1.907*EXP(1)^(-0.5*tbl_CONTENT[[#This Row],[Layer]])) *
 ((tbl_CONTENT[[#This Row],[RelInt]]-1)^(2.5)*4^(1-2.5)+1) +
 ((tbl_CONTENT[[#This Row],[Comp]]-1)^(2.5)*4^(1-2.5)+1)*(0.5*((tbl_CONTENT[[#This Row],[RelInt]]-1)/4)^(2.5)+1),
 0
)</f>
        <v>0</v>
      </c>
      <c r="T390" s="35">
        <f>IFERROR(
 (1.907*EXP(1)^(-0.5*VALUE(tbl_CONTENT[[#This Row],[Layer]]))) *
 ((VALUE(tbl_CONTENT[[#This Row],[RelId]])-1)^(2.5)*4^(1-2.5)+1) +
 ((VALUE(tbl_CONTENT[[#This Row],[Comp]])-1)^(2.5)*4^(1-2.5)+1)*(0.5*((VALUE(tbl_CONTENT[[#This Row],[RelId]])-1)/4)^(2.5)+1),
 0
)</f>
        <v>0</v>
      </c>
      <c r="W390" s="22" t="str">
        <f>IFERROR(
  IF(_xlfn.XLOOKUP(tbl_CONTENT[[#This Row],[Topic]], tbl_TOPIC[Topic], tbl_TOPIC[ParentTopic])="", "",
       _xlfn.XLOOKUP(tbl_CONTENT[[#This Row],[Topic]], tbl_TOPIC[Topic], tbl_TOPIC[ParentTopic])),
  ""
)</f>
        <v/>
      </c>
      <c r="X390" s="22" t="str">
        <f>IFERROR(
  IF(_xlfn.XLOOKUP(tbl_CONTENT[[#This Row],[Topic]], tbl_TOPIC[Topic], tbl_TOPIC[TopicPath])="", "",
       _xlfn.XLOOKUP(tbl_CONTENT[[#This Row],[Topic]], tbl_TOPIC[Topic], tbl_TOPIC[TopicPath])),
  ""
)</f>
        <v>Faserbündel</v>
      </c>
    </row>
    <row r="391" spans="3:24" ht="51" x14ac:dyDescent="0.2">
      <c r="C391" s="22" t="str">
        <f>_xlfn.XLOOKUP(tbl_CONTENT[[#This Row],[TopicID]], tbl_TOPIC[TopicID], tbl_TOPIC[Subject], "")</f>
        <v>EFT1</v>
      </c>
      <c r="D3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EFT1-T12-02-45</v>
      </c>
      <c r="E391" s="22">
        <f>ROW()</f>
        <v>391</v>
      </c>
      <c r="F391" s="22" t="s">
        <v>1051</v>
      </c>
      <c r="G391" s="22" t="str">
        <f>_xlfn.XLOOKUP(tbl_CONTENT[[#This Row],[Topic]], tbl_TOPIC[Topic], tbl_TOPIC[TopicID], "")</f>
        <v>EFT1-1-02</v>
      </c>
      <c r="H391" s="22" cm="1">
        <f t="array" ref="H391">SUM((tbl_CONTENT[[#This Row],[TopicID]]=INDEX(tbl_CONTENT[TopicID],1):tbl_CONTENT[[#This Row],[TopicID]])*1)</f>
        <v>45</v>
      </c>
      <c r="I391" s="22" t="str">
        <f>_xlfn.XLOOKUP(tbl_CONTENT[[#This Row],[Topic]], tbl_TOPIC[Topic], tbl_TOPIC[TopicIndex], "")</f>
        <v>02</v>
      </c>
      <c r="J391" s="22" t="s">
        <v>596</v>
      </c>
      <c r="K391" s="22" t="s">
        <v>640</v>
      </c>
      <c r="L391" s="22" t="s">
        <v>152</v>
      </c>
      <c r="S391" s="35">
        <f>IFERROR(
 (1.907*EXP(1)^(-0.5*tbl_CONTENT[[#This Row],[Layer]])) *
 ((tbl_CONTENT[[#This Row],[RelInt]]-1)^(2.5)*4^(1-2.5)+1) +
 ((tbl_CONTENT[[#This Row],[Comp]]-1)^(2.5)*4^(1-2.5)+1)*(0.5*((tbl_CONTENT[[#This Row],[RelInt]]-1)/4)^(2.5)+1),
 0
)</f>
        <v>0</v>
      </c>
      <c r="T391" s="35">
        <f>IFERROR(
 (1.907*EXP(1)^(-0.5*VALUE(tbl_CONTENT[[#This Row],[Layer]]))) *
 ((VALUE(tbl_CONTENT[[#This Row],[RelId]])-1)^(2.5)*4^(1-2.5)+1) +
 ((VALUE(tbl_CONTENT[[#This Row],[Comp]])-1)^(2.5)*4^(1-2.5)+1)*(0.5*((VALUE(tbl_CONTENT[[#This Row],[RelId]])-1)/4)^(2.5)+1),
 0
)</f>
        <v>0</v>
      </c>
      <c r="W391" s="22" t="str">
        <f>IFERROR(
  IF(_xlfn.XLOOKUP(tbl_CONTENT[[#This Row],[Topic]], tbl_TOPIC[Topic], tbl_TOPIC[ParentTopic])="", "",
       _xlfn.XLOOKUP(tbl_CONTENT[[#This Row],[Topic]], tbl_TOPIC[Topic], tbl_TOPIC[ParentTopic])),
  ""
)</f>
        <v/>
      </c>
      <c r="X391" s="22" t="str">
        <f>IFERROR(
  IF(_xlfn.XLOOKUP(tbl_CONTENT[[#This Row],[Topic]], tbl_TOPIC[Topic], tbl_TOPIC[TopicPath])="", "",
       _xlfn.XLOOKUP(tbl_CONTENT[[#This Row],[Topic]], tbl_TOPIC[Topic], tbl_TOPIC[TopicPath])),
  ""
)</f>
        <v>Faserbündel</v>
      </c>
    </row>
    <row r="392" spans="3:24" ht="34" x14ac:dyDescent="0.2">
      <c r="C392" s="22" t="str">
        <f>_xlfn.XLOOKUP(tbl_CONTENT[[#This Row],[TopicID]], tbl_TOPIC[TopicID], tbl_TOPIC[Subject], "")</f>
        <v>EFT1</v>
      </c>
      <c r="D3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EFT1-T12-02-46</v>
      </c>
      <c r="E392" s="22">
        <f>ROW()</f>
        <v>392</v>
      </c>
      <c r="F392" s="22" t="s">
        <v>1051</v>
      </c>
      <c r="G392" s="22" t="str">
        <f>_xlfn.XLOOKUP(tbl_CONTENT[[#This Row],[Topic]], tbl_TOPIC[Topic], tbl_TOPIC[TopicID], "")</f>
        <v>EFT1-1-02</v>
      </c>
      <c r="H392" s="22" cm="1">
        <f t="array" ref="H392">SUM((tbl_CONTENT[[#This Row],[TopicID]]=INDEX(tbl_CONTENT[TopicID],1):tbl_CONTENT[[#This Row],[TopicID]])*1)</f>
        <v>46</v>
      </c>
      <c r="I392" s="22" t="str">
        <f>_xlfn.XLOOKUP(tbl_CONTENT[[#This Row],[Topic]], tbl_TOPIC[Topic], tbl_TOPIC[TopicIndex], "")</f>
        <v>02</v>
      </c>
      <c r="J392" s="22" t="s">
        <v>596</v>
      </c>
      <c r="K392" s="22" t="s">
        <v>639</v>
      </c>
      <c r="L392" s="22" t="s">
        <v>152</v>
      </c>
      <c r="S392" s="35">
        <f>IFERROR(
 (1.907*EXP(1)^(-0.5*tbl_CONTENT[[#This Row],[Layer]])) *
 ((tbl_CONTENT[[#This Row],[RelInt]]-1)^(2.5)*4^(1-2.5)+1) +
 ((tbl_CONTENT[[#This Row],[Comp]]-1)^(2.5)*4^(1-2.5)+1)*(0.5*((tbl_CONTENT[[#This Row],[RelInt]]-1)/4)^(2.5)+1),
 0
)</f>
        <v>0</v>
      </c>
      <c r="T392" s="35">
        <f>IFERROR(
 (1.907*EXP(1)^(-0.5*VALUE(tbl_CONTENT[[#This Row],[Layer]]))) *
 ((VALUE(tbl_CONTENT[[#This Row],[RelId]])-1)^(2.5)*4^(1-2.5)+1) +
 ((VALUE(tbl_CONTENT[[#This Row],[Comp]])-1)^(2.5)*4^(1-2.5)+1)*(0.5*((VALUE(tbl_CONTENT[[#This Row],[RelId]])-1)/4)^(2.5)+1),
 0
)</f>
        <v>0</v>
      </c>
      <c r="W392" s="22" t="str">
        <f>IFERROR(
  IF(_xlfn.XLOOKUP(tbl_CONTENT[[#This Row],[Topic]], tbl_TOPIC[Topic], tbl_TOPIC[ParentTopic])="", "",
       _xlfn.XLOOKUP(tbl_CONTENT[[#This Row],[Topic]], tbl_TOPIC[Topic], tbl_TOPIC[ParentTopic])),
  ""
)</f>
        <v/>
      </c>
      <c r="X392" s="22" t="str">
        <f>IFERROR(
  IF(_xlfn.XLOOKUP(tbl_CONTENT[[#This Row],[Topic]], tbl_TOPIC[Topic], tbl_TOPIC[TopicPath])="", "",
       _xlfn.XLOOKUP(tbl_CONTENT[[#This Row],[Topic]], tbl_TOPIC[Topic], tbl_TOPIC[TopicPath])),
  ""
)</f>
        <v>Faserbündel</v>
      </c>
    </row>
    <row r="393" spans="3:24" ht="68" x14ac:dyDescent="0.2">
      <c r="C393" s="22" t="str">
        <f>_xlfn.XLOOKUP(tbl_CONTENT[[#This Row],[TopicID]], tbl_TOPIC[TopicID], tbl_TOPIC[Subject], "")</f>
        <v>EFT1</v>
      </c>
      <c r="D3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EFT1-T12-02-47</v>
      </c>
      <c r="E393" s="22">
        <f>ROW()</f>
        <v>393</v>
      </c>
      <c r="F393" s="22" t="s">
        <v>1051</v>
      </c>
      <c r="G393" s="22" t="str">
        <f>_xlfn.XLOOKUP(tbl_CONTENT[[#This Row],[Topic]], tbl_TOPIC[Topic], tbl_TOPIC[TopicID], "")</f>
        <v>EFT1-1-02</v>
      </c>
      <c r="H393" s="22" cm="1">
        <f t="array" ref="H393">SUM((tbl_CONTENT[[#This Row],[TopicID]]=INDEX(tbl_CONTENT[TopicID],1):tbl_CONTENT[[#This Row],[TopicID]])*1)</f>
        <v>47</v>
      </c>
      <c r="I393" s="22" t="str">
        <f>_xlfn.XLOOKUP(tbl_CONTENT[[#This Row],[Topic]], tbl_TOPIC[Topic], tbl_TOPIC[TopicIndex], "")</f>
        <v>02</v>
      </c>
      <c r="J393" s="22" t="s">
        <v>596</v>
      </c>
      <c r="K393" s="22" t="s">
        <v>1048</v>
      </c>
      <c r="L393" s="22" t="s">
        <v>179</v>
      </c>
      <c r="S393" s="35">
        <f>IFERROR(
 (1.907*EXP(1)^(-0.5*tbl_CONTENT[[#This Row],[Layer]])) *
 ((tbl_CONTENT[[#This Row],[RelInt]]-1)^(2.5)*4^(1-2.5)+1) +
 ((tbl_CONTENT[[#This Row],[Comp]]-1)^(2.5)*4^(1-2.5)+1)*(0.5*((tbl_CONTENT[[#This Row],[RelInt]]-1)/4)^(2.5)+1),
 0
)</f>
        <v>0</v>
      </c>
      <c r="T393" s="35">
        <f>IFERROR(
 (1.907*EXP(1)^(-0.5*VALUE(tbl_CONTENT[[#This Row],[Layer]]))) *
 ((VALUE(tbl_CONTENT[[#This Row],[RelId]])-1)^(2.5)*4^(1-2.5)+1) +
 ((VALUE(tbl_CONTENT[[#This Row],[Comp]])-1)^(2.5)*4^(1-2.5)+1)*(0.5*((VALUE(tbl_CONTENT[[#This Row],[RelId]])-1)/4)^(2.5)+1),
 0
)</f>
        <v>0</v>
      </c>
      <c r="W393" s="22" t="str">
        <f>IFERROR(
  IF(_xlfn.XLOOKUP(tbl_CONTENT[[#This Row],[Topic]], tbl_TOPIC[Topic], tbl_TOPIC[ParentTopic])="", "",
       _xlfn.XLOOKUP(tbl_CONTENT[[#This Row],[Topic]], tbl_TOPIC[Topic], tbl_TOPIC[ParentTopic])),
  ""
)</f>
        <v/>
      </c>
      <c r="X393" s="22" t="str">
        <f>IFERROR(
  IF(_xlfn.XLOOKUP(tbl_CONTENT[[#This Row],[Topic]], tbl_TOPIC[Topic], tbl_TOPIC[TopicPath])="", "",
       _xlfn.XLOOKUP(tbl_CONTENT[[#This Row],[Topic]], tbl_TOPIC[Topic], tbl_TOPIC[TopicPath])),
  ""
)</f>
        <v>Faserbündel</v>
      </c>
    </row>
    <row r="394" spans="3:24" ht="34" x14ac:dyDescent="0.2">
      <c r="C394" s="22" t="str">
        <f>_xlfn.XLOOKUP(tbl_CONTENT[[#This Row],[TopicID]], tbl_TOPIC[TopicID], tbl_TOPIC[Subject], "")</f>
        <v>EFT1</v>
      </c>
      <c r="D3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EFT1-T12-02-48</v>
      </c>
      <c r="E394" s="22">
        <f>ROW()</f>
        <v>394</v>
      </c>
      <c r="F394" s="22" t="s">
        <v>1051</v>
      </c>
      <c r="G394" s="22" t="str">
        <f>_xlfn.XLOOKUP(tbl_CONTENT[[#This Row],[Topic]], tbl_TOPIC[Topic], tbl_TOPIC[TopicID], "")</f>
        <v>EFT1-1-02</v>
      </c>
      <c r="H394" s="22" cm="1">
        <f t="array" ref="H394">SUM((tbl_CONTENT[[#This Row],[TopicID]]=INDEX(tbl_CONTENT[TopicID],1):tbl_CONTENT[[#This Row],[TopicID]])*1)</f>
        <v>48</v>
      </c>
      <c r="I394" s="22" t="str">
        <f>_xlfn.XLOOKUP(tbl_CONTENT[[#This Row],[Topic]], tbl_TOPIC[Topic], tbl_TOPIC[TopicIndex], "")</f>
        <v>02</v>
      </c>
      <c r="J394" s="22" t="s">
        <v>596</v>
      </c>
      <c r="K394" s="22" t="s">
        <v>641</v>
      </c>
      <c r="L394" s="22" t="s">
        <v>152</v>
      </c>
      <c r="S394" s="35">
        <f>IFERROR(
 (1.907*EXP(1)^(-0.5*tbl_CONTENT[[#This Row],[Layer]])) *
 ((tbl_CONTENT[[#This Row],[RelInt]]-1)^(2.5)*4^(1-2.5)+1) +
 ((tbl_CONTENT[[#This Row],[Comp]]-1)^(2.5)*4^(1-2.5)+1)*(0.5*((tbl_CONTENT[[#This Row],[RelInt]]-1)/4)^(2.5)+1),
 0
)</f>
        <v>0</v>
      </c>
      <c r="T394" s="35">
        <f>IFERROR(
 (1.907*EXP(1)^(-0.5*VALUE(tbl_CONTENT[[#This Row],[Layer]]))) *
 ((VALUE(tbl_CONTENT[[#This Row],[RelId]])-1)^(2.5)*4^(1-2.5)+1) +
 ((VALUE(tbl_CONTENT[[#This Row],[Comp]])-1)^(2.5)*4^(1-2.5)+1)*(0.5*((VALUE(tbl_CONTENT[[#This Row],[RelId]])-1)/4)^(2.5)+1),
 0
)</f>
        <v>0</v>
      </c>
      <c r="W394" s="22" t="str">
        <f>IFERROR(
  IF(_xlfn.XLOOKUP(tbl_CONTENT[[#This Row],[Topic]], tbl_TOPIC[Topic], tbl_TOPIC[ParentTopic])="", "",
       _xlfn.XLOOKUP(tbl_CONTENT[[#This Row],[Topic]], tbl_TOPIC[Topic], tbl_TOPIC[ParentTopic])),
  ""
)</f>
        <v/>
      </c>
      <c r="X394" s="22" t="str">
        <f>IFERROR(
  IF(_xlfn.XLOOKUP(tbl_CONTENT[[#This Row],[Topic]], tbl_TOPIC[Topic], tbl_TOPIC[TopicPath])="", "",
       _xlfn.XLOOKUP(tbl_CONTENT[[#This Row],[Topic]], tbl_TOPIC[Topic], tbl_TOPIC[TopicPath])),
  ""
)</f>
        <v>Faserbündel</v>
      </c>
    </row>
    <row r="395" spans="3:24" ht="34" x14ac:dyDescent="0.2">
      <c r="C395" s="22" t="str">
        <f>_xlfn.XLOOKUP(tbl_CONTENT[[#This Row],[TopicID]], tbl_TOPIC[TopicID], tbl_TOPIC[Subject], "")</f>
        <v>EFT1</v>
      </c>
      <c r="D3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EFT1-T12-02-49</v>
      </c>
      <c r="E395" s="22">
        <f>ROW()</f>
        <v>395</v>
      </c>
      <c r="F395" s="22" t="s">
        <v>1051</v>
      </c>
      <c r="G395" s="22" t="str">
        <f>_xlfn.XLOOKUP(tbl_CONTENT[[#This Row],[Topic]], tbl_TOPIC[Topic], tbl_TOPIC[TopicID], "")</f>
        <v>EFT1-1-02</v>
      </c>
      <c r="H395" s="22" cm="1">
        <f t="array" ref="H395">SUM((tbl_CONTENT[[#This Row],[TopicID]]=INDEX(tbl_CONTENT[TopicID],1):tbl_CONTENT[[#This Row],[TopicID]])*1)</f>
        <v>49</v>
      </c>
      <c r="I395" s="22" t="str">
        <f>_xlfn.XLOOKUP(tbl_CONTENT[[#This Row],[Topic]], tbl_TOPIC[Topic], tbl_TOPIC[TopicIndex], "")</f>
        <v>02</v>
      </c>
      <c r="J395" s="22" t="s">
        <v>596</v>
      </c>
      <c r="K395" s="22" t="s">
        <v>1049</v>
      </c>
      <c r="L395" s="22" t="s">
        <v>151</v>
      </c>
      <c r="S395" s="35">
        <f>IFERROR(
 (1.907*EXP(1)^(-0.5*tbl_CONTENT[[#This Row],[Layer]])) *
 ((tbl_CONTENT[[#This Row],[RelInt]]-1)^(2.5)*4^(1-2.5)+1) +
 ((tbl_CONTENT[[#This Row],[Comp]]-1)^(2.5)*4^(1-2.5)+1)*(0.5*((tbl_CONTENT[[#This Row],[RelInt]]-1)/4)^(2.5)+1),
 0
)</f>
        <v>0</v>
      </c>
      <c r="T395" s="35">
        <f>IFERROR(
 (1.907*EXP(1)^(-0.5*VALUE(tbl_CONTENT[[#This Row],[Layer]]))) *
 ((VALUE(tbl_CONTENT[[#This Row],[RelId]])-1)^(2.5)*4^(1-2.5)+1) +
 ((VALUE(tbl_CONTENT[[#This Row],[Comp]])-1)^(2.5)*4^(1-2.5)+1)*(0.5*((VALUE(tbl_CONTENT[[#This Row],[RelId]])-1)/4)^(2.5)+1),
 0
)</f>
        <v>0</v>
      </c>
      <c r="W395" s="22" t="str">
        <f>IFERROR(
  IF(_xlfn.XLOOKUP(tbl_CONTENT[[#This Row],[Topic]], tbl_TOPIC[Topic], tbl_TOPIC[ParentTopic])="", "",
       _xlfn.XLOOKUP(tbl_CONTENT[[#This Row],[Topic]], tbl_TOPIC[Topic], tbl_TOPIC[ParentTopic])),
  ""
)</f>
        <v/>
      </c>
      <c r="X395" s="22" t="str">
        <f>IFERROR(
  IF(_xlfn.XLOOKUP(tbl_CONTENT[[#This Row],[Topic]], tbl_TOPIC[Topic], tbl_TOPIC[TopicPath])="", "",
       _xlfn.XLOOKUP(tbl_CONTENT[[#This Row],[Topic]], tbl_TOPIC[Topic], tbl_TOPIC[TopicPath])),
  ""
)</f>
        <v>Faserbündel</v>
      </c>
    </row>
    <row r="396" spans="3:24" ht="34" x14ac:dyDescent="0.2">
      <c r="C396" s="22" t="str">
        <f>_xlfn.XLOOKUP(tbl_CONTENT[[#This Row],[TopicID]], tbl_TOPIC[TopicID], tbl_TOPIC[Subject], "")</f>
        <v>EFT1</v>
      </c>
      <c r="D3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EFT1-T12-02-50</v>
      </c>
      <c r="E396" s="22">
        <f>ROW()</f>
        <v>396</v>
      </c>
      <c r="F396" s="22" t="s">
        <v>1051</v>
      </c>
      <c r="G396" s="22" t="str">
        <f>_xlfn.XLOOKUP(tbl_CONTENT[[#This Row],[Topic]], tbl_TOPIC[Topic], tbl_TOPIC[TopicID], "")</f>
        <v>EFT1-1-02</v>
      </c>
      <c r="H396" s="22" cm="1">
        <f t="array" ref="H396">SUM((tbl_CONTENT[[#This Row],[TopicID]]=INDEX(tbl_CONTENT[TopicID],1):tbl_CONTENT[[#This Row],[TopicID]])*1)</f>
        <v>50</v>
      </c>
      <c r="I396" s="22" t="str">
        <f>_xlfn.XLOOKUP(tbl_CONTENT[[#This Row],[Topic]], tbl_TOPIC[Topic], tbl_TOPIC[TopicIndex], "")</f>
        <v>02</v>
      </c>
      <c r="J396" s="22" t="s">
        <v>596</v>
      </c>
      <c r="K396" s="22" t="s">
        <v>642</v>
      </c>
      <c r="L396" s="22" t="s">
        <v>179</v>
      </c>
      <c r="S396" s="35">
        <f>IFERROR(
 (1.907*EXP(1)^(-0.5*tbl_CONTENT[[#This Row],[Layer]])) *
 ((tbl_CONTENT[[#This Row],[RelInt]]-1)^(2.5)*4^(1-2.5)+1) +
 ((tbl_CONTENT[[#This Row],[Comp]]-1)^(2.5)*4^(1-2.5)+1)*(0.5*((tbl_CONTENT[[#This Row],[RelInt]]-1)/4)^(2.5)+1),
 0
)</f>
        <v>0</v>
      </c>
      <c r="T396" s="35">
        <f>IFERROR(
 (1.907*EXP(1)^(-0.5*VALUE(tbl_CONTENT[[#This Row],[Layer]]))) *
 ((VALUE(tbl_CONTENT[[#This Row],[RelId]])-1)^(2.5)*4^(1-2.5)+1) +
 ((VALUE(tbl_CONTENT[[#This Row],[Comp]])-1)^(2.5)*4^(1-2.5)+1)*(0.5*((VALUE(tbl_CONTENT[[#This Row],[RelId]])-1)/4)^(2.5)+1),
 0
)</f>
        <v>0</v>
      </c>
      <c r="W396" s="22" t="str">
        <f>IFERROR(
  IF(_xlfn.XLOOKUP(tbl_CONTENT[[#This Row],[Topic]], tbl_TOPIC[Topic], tbl_TOPIC[ParentTopic])="", "",
       _xlfn.XLOOKUP(tbl_CONTENT[[#This Row],[Topic]], tbl_TOPIC[Topic], tbl_TOPIC[ParentTopic])),
  ""
)</f>
        <v/>
      </c>
      <c r="X396" s="22" t="str">
        <f>IFERROR(
  IF(_xlfn.XLOOKUP(tbl_CONTENT[[#This Row],[Topic]], tbl_TOPIC[Topic], tbl_TOPIC[TopicPath])="", "",
       _xlfn.XLOOKUP(tbl_CONTENT[[#This Row],[Topic]], tbl_TOPIC[Topic], tbl_TOPIC[TopicPath])),
  ""
)</f>
        <v>Faserbündel</v>
      </c>
    </row>
    <row r="397" spans="3:24" ht="34" x14ac:dyDescent="0.2">
      <c r="C397" s="22" t="str">
        <f>_xlfn.XLOOKUP(tbl_CONTENT[[#This Row],[TopicID]], tbl_TOPIC[TopicID], tbl_TOPIC[Subject], "")</f>
        <v>EFT1</v>
      </c>
      <c r="D3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EFT1-T12-02-51</v>
      </c>
      <c r="E397" s="22">
        <f>ROW()</f>
        <v>397</v>
      </c>
      <c r="F397" s="22" t="s">
        <v>1051</v>
      </c>
      <c r="G397" s="22" t="str">
        <f>_xlfn.XLOOKUP(tbl_CONTENT[[#This Row],[Topic]], tbl_TOPIC[Topic], tbl_TOPIC[TopicID], "")</f>
        <v>EFT1-1-02</v>
      </c>
      <c r="H397" s="22" cm="1">
        <f t="array" ref="H397">SUM((tbl_CONTENT[[#This Row],[TopicID]]=INDEX(tbl_CONTENT[TopicID],1):tbl_CONTENT[[#This Row],[TopicID]])*1)</f>
        <v>51</v>
      </c>
      <c r="I397" s="22" t="str">
        <f>_xlfn.XLOOKUP(tbl_CONTENT[[#This Row],[Topic]], tbl_TOPIC[Topic], tbl_TOPIC[TopicIndex], "")</f>
        <v>02</v>
      </c>
      <c r="J397" s="22" t="s">
        <v>596</v>
      </c>
      <c r="K397" s="22" t="s">
        <v>643</v>
      </c>
      <c r="L397" s="22" t="s">
        <v>179</v>
      </c>
      <c r="S397" s="35">
        <f>IFERROR(
 (1.907*EXP(1)^(-0.5*tbl_CONTENT[[#This Row],[Layer]])) *
 ((tbl_CONTENT[[#This Row],[RelInt]]-1)^(2.5)*4^(1-2.5)+1) +
 ((tbl_CONTENT[[#This Row],[Comp]]-1)^(2.5)*4^(1-2.5)+1)*(0.5*((tbl_CONTENT[[#This Row],[RelInt]]-1)/4)^(2.5)+1),
 0
)</f>
        <v>0</v>
      </c>
      <c r="T397" s="35">
        <f>IFERROR(
 (1.907*EXP(1)^(-0.5*VALUE(tbl_CONTENT[[#This Row],[Layer]]))) *
 ((VALUE(tbl_CONTENT[[#This Row],[RelId]])-1)^(2.5)*4^(1-2.5)+1) +
 ((VALUE(tbl_CONTENT[[#This Row],[Comp]])-1)^(2.5)*4^(1-2.5)+1)*(0.5*((VALUE(tbl_CONTENT[[#This Row],[RelId]])-1)/4)^(2.5)+1),
 0
)</f>
        <v>0</v>
      </c>
      <c r="W397" s="22" t="str">
        <f>IFERROR(
  IF(_xlfn.XLOOKUP(tbl_CONTENT[[#This Row],[Topic]], tbl_TOPIC[Topic], tbl_TOPIC[ParentTopic])="", "",
       _xlfn.XLOOKUP(tbl_CONTENT[[#This Row],[Topic]], tbl_TOPIC[Topic], tbl_TOPIC[ParentTopic])),
  ""
)</f>
        <v/>
      </c>
      <c r="X397" s="22" t="str">
        <f>IFERROR(
  IF(_xlfn.XLOOKUP(tbl_CONTENT[[#This Row],[Topic]], tbl_TOPIC[Topic], tbl_TOPIC[TopicPath])="", "",
       _xlfn.XLOOKUP(tbl_CONTENT[[#This Row],[Topic]], tbl_TOPIC[Topic], tbl_TOPIC[TopicPath])),
  ""
)</f>
        <v>Faserbündel</v>
      </c>
    </row>
    <row r="398" spans="3:24" ht="34" x14ac:dyDescent="0.2">
      <c r="C398" s="22" t="str">
        <f>_xlfn.XLOOKUP(tbl_CONTENT[[#This Row],[TopicID]], tbl_TOPIC[TopicID], tbl_TOPIC[Subject], "")</f>
        <v>EFT1</v>
      </c>
      <c r="D3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EFT1-T12-02-52</v>
      </c>
      <c r="E398" s="22">
        <f>ROW()</f>
        <v>398</v>
      </c>
      <c r="F398" s="22" t="s">
        <v>1051</v>
      </c>
      <c r="G398" s="22" t="str">
        <f>_xlfn.XLOOKUP(tbl_CONTENT[[#This Row],[Topic]], tbl_TOPIC[Topic], tbl_TOPIC[TopicID], "")</f>
        <v>EFT1-1-02</v>
      </c>
      <c r="H398" s="22" cm="1">
        <f t="array" ref="H398">SUM((tbl_CONTENT[[#This Row],[TopicID]]=INDEX(tbl_CONTENT[TopicID],1):tbl_CONTENT[[#This Row],[TopicID]])*1)</f>
        <v>52</v>
      </c>
      <c r="I398" s="22" t="str">
        <f>_xlfn.XLOOKUP(tbl_CONTENT[[#This Row],[Topic]], tbl_TOPIC[Topic], tbl_TOPIC[TopicIndex], "")</f>
        <v>02</v>
      </c>
      <c r="J398" s="22" t="s">
        <v>596</v>
      </c>
      <c r="K398" s="22" t="s">
        <v>644</v>
      </c>
      <c r="L398" s="22" t="s">
        <v>147</v>
      </c>
      <c r="S398" s="35">
        <f>IFERROR(
 (1.907*EXP(1)^(-0.5*tbl_CONTENT[[#This Row],[Layer]])) *
 ((tbl_CONTENT[[#This Row],[RelInt]]-1)^(2.5)*4^(1-2.5)+1) +
 ((tbl_CONTENT[[#This Row],[Comp]]-1)^(2.5)*4^(1-2.5)+1)*(0.5*((tbl_CONTENT[[#This Row],[RelInt]]-1)/4)^(2.5)+1),
 0
)</f>
        <v>0</v>
      </c>
      <c r="T398" s="35">
        <f>IFERROR(
 (1.907*EXP(1)^(-0.5*VALUE(tbl_CONTENT[[#This Row],[Layer]]))) *
 ((VALUE(tbl_CONTENT[[#This Row],[RelId]])-1)^(2.5)*4^(1-2.5)+1) +
 ((VALUE(tbl_CONTENT[[#This Row],[Comp]])-1)^(2.5)*4^(1-2.5)+1)*(0.5*((VALUE(tbl_CONTENT[[#This Row],[RelId]])-1)/4)^(2.5)+1),
 0
)</f>
        <v>0</v>
      </c>
      <c r="W398" s="22" t="str">
        <f>IFERROR(
  IF(_xlfn.XLOOKUP(tbl_CONTENT[[#This Row],[Topic]], tbl_TOPIC[Topic], tbl_TOPIC[ParentTopic])="", "",
       _xlfn.XLOOKUP(tbl_CONTENT[[#This Row],[Topic]], tbl_TOPIC[Topic], tbl_TOPIC[ParentTopic])),
  ""
)</f>
        <v/>
      </c>
      <c r="X398" s="22" t="str">
        <f>IFERROR(
  IF(_xlfn.XLOOKUP(tbl_CONTENT[[#This Row],[Topic]], tbl_TOPIC[Topic], tbl_TOPIC[TopicPath])="", "",
       _xlfn.XLOOKUP(tbl_CONTENT[[#This Row],[Topic]], tbl_TOPIC[Topic], tbl_TOPIC[TopicPath])),
  ""
)</f>
        <v>Faserbündel</v>
      </c>
    </row>
    <row r="399" spans="3:24" ht="34" x14ac:dyDescent="0.2">
      <c r="C399" s="22" t="str">
        <f>_xlfn.XLOOKUP(tbl_CONTENT[[#This Row],[TopicID]], tbl_TOPIC[TopicID], tbl_TOPIC[Subject], "")</f>
        <v>EFT1</v>
      </c>
      <c r="D3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EFT1-T12-02-53</v>
      </c>
      <c r="E399" s="22">
        <f>ROW()</f>
        <v>399</v>
      </c>
      <c r="F399" s="22" t="s">
        <v>1051</v>
      </c>
      <c r="G399" s="22" t="str">
        <f>_xlfn.XLOOKUP(tbl_CONTENT[[#This Row],[Topic]], tbl_TOPIC[Topic], tbl_TOPIC[TopicID], "")</f>
        <v>EFT1-1-02</v>
      </c>
      <c r="H399" s="22" cm="1">
        <f t="array" ref="H399">SUM((tbl_CONTENT[[#This Row],[TopicID]]=INDEX(tbl_CONTENT[TopicID],1):tbl_CONTENT[[#This Row],[TopicID]])*1)</f>
        <v>53</v>
      </c>
      <c r="I399" s="22" t="str">
        <f>_xlfn.XLOOKUP(tbl_CONTENT[[#This Row],[Topic]], tbl_TOPIC[Topic], tbl_TOPIC[TopicIndex], "")</f>
        <v>02</v>
      </c>
      <c r="J399" s="22" t="s">
        <v>596</v>
      </c>
      <c r="K399" s="22" t="s">
        <v>645</v>
      </c>
      <c r="L399" s="22" t="s">
        <v>148</v>
      </c>
      <c r="S399" s="35">
        <f>IFERROR(
 (1.907*EXP(1)^(-0.5*tbl_CONTENT[[#This Row],[Layer]])) *
 ((tbl_CONTENT[[#This Row],[RelInt]]-1)^(2.5)*4^(1-2.5)+1) +
 ((tbl_CONTENT[[#This Row],[Comp]]-1)^(2.5)*4^(1-2.5)+1)*(0.5*((tbl_CONTENT[[#This Row],[RelInt]]-1)/4)^(2.5)+1),
 0
)</f>
        <v>0</v>
      </c>
      <c r="T399" s="35">
        <f>IFERROR(
 (1.907*EXP(1)^(-0.5*VALUE(tbl_CONTENT[[#This Row],[Layer]]))) *
 ((VALUE(tbl_CONTENT[[#This Row],[RelId]])-1)^(2.5)*4^(1-2.5)+1) +
 ((VALUE(tbl_CONTENT[[#This Row],[Comp]])-1)^(2.5)*4^(1-2.5)+1)*(0.5*((VALUE(tbl_CONTENT[[#This Row],[RelId]])-1)/4)^(2.5)+1),
 0
)</f>
        <v>0</v>
      </c>
      <c r="W399" s="22" t="str">
        <f>IFERROR(
  IF(_xlfn.XLOOKUP(tbl_CONTENT[[#This Row],[Topic]], tbl_TOPIC[Topic], tbl_TOPIC[ParentTopic])="", "",
       _xlfn.XLOOKUP(tbl_CONTENT[[#This Row],[Topic]], tbl_TOPIC[Topic], tbl_TOPIC[ParentTopic])),
  ""
)</f>
        <v/>
      </c>
      <c r="X399" s="22" t="str">
        <f>IFERROR(
  IF(_xlfn.XLOOKUP(tbl_CONTENT[[#This Row],[Topic]], tbl_TOPIC[Topic], tbl_TOPIC[TopicPath])="", "",
       _xlfn.XLOOKUP(tbl_CONTENT[[#This Row],[Topic]], tbl_TOPIC[Topic], tbl_TOPIC[TopicPath])),
  ""
)</f>
        <v>Faserbündel</v>
      </c>
    </row>
    <row r="400" spans="3:24" ht="34" x14ac:dyDescent="0.2">
      <c r="C400" s="22" t="str">
        <f>_xlfn.XLOOKUP(tbl_CONTENT[[#This Row],[TopicID]], tbl_TOPIC[TopicID], tbl_TOPIC[Subject], "")</f>
        <v>EFT1</v>
      </c>
      <c r="D4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EFT1-T12-02-54</v>
      </c>
      <c r="E400" s="22">
        <f>ROW()</f>
        <v>400</v>
      </c>
      <c r="F400" s="22" t="s">
        <v>1051</v>
      </c>
      <c r="G400" s="22" t="str">
        <f>_xlfn.XLOOKUP(tbl_CONTENT[[#This Row],[Topic]], tbl_TOPIC[Topic], tbl_TOPIC[TopicID], "")</f>
        <v>EFT1-1-02</v>
      </c>
      <c r="H400" s="22" cm="1">
        <f t="array" ref="H400">SUM((tbl_CONTENT[[#This Row],[TopicID]]=INDEX(tbl_CONTENT[TopicID],1):tbl_CONTENT[[#This Row],[TopicID]])*1)</f>
        <v>54</v>
      </c>
      <c r="I400" s="22" t="str">
        <f>_xlfn.XLOOKUP(tbl_CONTENT[[#This Row],[Topic]], tbl_TOPIC[Topic], tbl_TOPIC[TopicIndex], "")</f>
        <v>02</v>
      </c>
      <c r="J400" s="22" t="s">
        <v>596</v>
      </c>
      <c r="K400" s="22" t="s">
        <v>646</v>
      </c>
      <c r="L400" s="22" t="s">
        <v>152</v>
      </c>
      <c r="S400" s="35">
        <f>IFERROR(
 (1.907*EXP(1)^(-0.5*tbl_CONTENT[[#This Row],[Layer]])) *
 ((tbl_CONTENT[[#This Row],[RelInt]]-1)^(2.5)*4^(1-2.5)+1) +
 ((tbl_CONTENT[[#This Row],[Comp]]-1)^(2.5)*4^(1-2.5)+1)*(0.5*((tbl_CONTENT[[#This Row],[RelInt]]-1)/4)^(2.5)+1),
 0
)</f>
        <v>0</v>
      </c>
      <c r="T400" s="35">
        <f>IFERROR(
 (1.907*EXP(1)^(-0.5*VALUE(tbl_CONTENT[[#This Row],[Layer]]))) *
 ((VALUE(tbl_CONTENT[[#This Row],[RelId]])-1)^(2.5)*4^(1-2.5)+1) +
 ((VALUE(tbl_CONTENT[[#This Row],[Comp]])-1)^(2.5)*4^(1-2.5)+1)*(0.5*((VALUE(tbl_CONTENT[[#This Row],[RelId]])-1)/4)^(2.5)+1),
 0
)</f>
        <v>0</v>
      </c>
      <c r="W400" s="22" t="str">
        <f>IFERROR(
  IF(_xlfn.XLOOKUP(tbl_CONTENT[[#This Row],[Topic]], tbl_TOPIC[Topic], tbl_TOPIC[ParentTopic])="", "",
       _xlfn.XLOOKUP(tbl_CONTENT[[#This Row],[Topic]], tbl_TOPIC[Topic], tbl_TOPIC[ParentTopic])),
  ""
)</f>
        <v/>
      </c>
      <c r="X400" s="22" t="str">
        <f>IFERROR(
  IF(_xlfn.XLOOKUP(tbl_CONTENT[[#This Row],[Topic]], tbl_TOPIC[Topic], tbl_TOPIC[TopicPath])="", "",
       _xlfn.XLOOKUP(tbl_CONTENT[[#This Row],[Topic]], tbl_TOPIC[Topic], tbl_TOPIC[TopicPath])),
  ""
)</f>
        <v>Faserbündel</v>
      </c>
    </row>
    <row r="401" spans="3:24" ht="34" x14ac:dyDescent="0.2">
      <c r="C401" s="22" t="str">
        <f>_xlfn.XLOOKUP(tbl_CONTENT[[#This Row],[TopicID]], tbl_TOPIC[TopicID], tbl_TOPIC[Subject], "")</f>
        <v>EFT1</v>
      </c>
      <c r="D4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EFT1-T12-02-55</v>
      </c>
      <c r="E401" s="22">
        <f>ROW()</f>
        <v>401</v>
      </c>
      <c r="F401" s="22" t="s">
        <v>1051</v>
      </c>
      <c r="G401" s="22" t="str">
        <f>_xlfn.XLOOKUP(tbl_CONTENT[[#This Row],[Topic]], tbl_TOPIC[Topic], tbl_TOPIC[TopicID], "")</f>
        <v>EFT1-1-02</v>
      </c>
      <c r="H401" s="22" cm="1">
        <f t="array" ref="H401">SUM((tbl_CONTENT[[#This Row],[TopicID]]=INDEX(tbl_CONTENT[TopicID],1):tbl_CONTENT[[#This Row],[TopicID]])*1)</f>
        <v>55</v>
      </c>
      <c r="I401" s="22" t="str">
        <f>_xlfn.XLOOKUP(tbl_CONTENT[[#This Row],[Topic]], tbl_TOPIC[Topic], tbl_TOPIC[TopicIndex], "")</f>
        <v>02</v>
      </c>
      <c r="J401" s="22" t="s">
        <v>596</v>
      </c>
      <c r="K401" s="22" t="s">
        <v>647</v>
      </c>
      <c r="L401" s="22" t="s">
        <v>152</v>
      </c>
      <c r="S401" s="35">
        <f>IFERROR(
 (1.907*EXP(1)^(-0.5*tbl_CONTENT[[#This Row],[Layer]])) *
 ((tbl_CONTENT[[#This Row],[RelInt]]-1)^(2.5)*4^(1-2.5)+1) +
 ((tbl_CONTENT[[#This Row],[Comp]]-1)^(2.5)*4^(1-2.5)+1)*(0.5*((tbl_CONTENT[[#This Row],[RelInt]]-1)/4)^(2.5)+1),
 0
)</f>
        <v>0</v>
      </c>
      <c r="T401" s="35">
        <f>IFERROR(
 (1.907*EXP(1)^(-0.5*VALUE(tbl_CONTENT[[#This Row],[Layer]]))) *
 ((VALUE(tbl_CONTENT[[#This Row],[RelId]])-1)^(2.5)*4^(1-2.5)+1) +
 ((VALUE(tbl_CONTENT[[#This Row],[Comp]])-1)^(2.5)*4^(1-2.5)+1)*(0.5*((VALUE(tbl_CONTENT[[#This Row],[RelId]])-1)/4)^(2.5)+1),
 0
)</f>
        <v>0</v>
      </c>
      <c r="W401" s="22" t="str">
        <f>IFERROR(
  IF(_xlfn.XLOOKUP(tbl_CONTENT[[#This Row],[Topic]], tbl_TOPIC[Topic], tbl_TOPIC[ParentTopic])="", "",
       _xlfn.XLOOKUP(tbl_CONTENT[[#This Row],[Topic]], tbl_TOPIC[Topic], tbl_TOPIC[ParentTopic])),
  ""
)</f>
        <v/>
      </c>
      <c r="X401" s="22" t="str">
        <f>IFERROR(
  IF(_xlfn.XLOOKUP(tbl_CONTENT[[#This Row],[Topic]], tbl_TOPIC[Topic], tbl_TOPIC[TopicPath])="", "",
       _xlfn.XLOOKUP(tbl_CONTENT[[#This Row],[Topic]], tbl_TOPIC[Topic], tbl_TOPIC[TopicPath])),
  ""
)</f>
        <v>Faserbündel</v>
      </c>
    </row>
    <row r="402" spans="3:24" ht="34" x14ac:dyDescent="0.2">
      <c r="C402" s="22" t="str">
        <f>_xlfn.XLOOKUP(tbl_CONTENT[[#This Row],[TopicID]], tbl_TOPIC[TopicID], tbl_TOPIC[Subject], "")</f>
        <v>EFT1</v>
      </c>
      <c r="D4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EFT1-T12-02-56</v>
      </c>
      <c r="E402" s="22">
        <f>ROW()</f>
        <v>402</v>
      </c>
      <c r="F402" s="22" t="s">
        <v>1051</v>
      </c>
      <c r="G402" s="22" t="str">
        <f>_xlfn.XLOOKUP(tbl_CONTENT[[#This Row],[Topic]], tbl_TOPIC[Topic], tbl_TOPIC[TopicID], "")</f>
        <v>EFT1-1-02</v>
      </c>
      <c r="H402" s="22" cm="1">
        <f t="array" ref="H402">SUM((tbl_CONTENT[[#This Row],[TopicID]]=INDEX(tbl_CONTENT[TopicID],1):tbl_CONTENT[[#This Row],[TopicID]])*1)</f>
        <v>56</v>
      </c>
      <c r="I402" s="22" t="str">
        <f>_xlfn.XLOOKUP(tbl_CONTENT[[#This Row],[Topic]], tbl_TOPIC[Topic], tbl_TOPIC[TopicIndex], "")</f>
        <v>02</v>
      </c>
      <c r="J402" s="22" t="s">
        <v>596</v>
      </c>
      <c r="K402" s="22" t="s">
        <v>648</v>
      </c>
      <c r="L402" s="22" t="s">
        <v>147</v>
      </c>
      <c r="S402" s="35">
        <f>IFERROR(
 (1.907*EXP(1)^(-0.5*tbl_CONTENT[[#This Row],[Layer]])) *
 ((tbl_CONTENT[[#This Row],[RelInt]]-1)^(2.5)*4^(1-2.5)+1) +
 ((tbl_CONTENT[[#This Row],[Comp]]-1)^(2.5)*4^(1-2.5)+1)*(0.5*((tbl_CONTENT[[#This Row],[RelInt]]-1)/4)^(2.5)+1),
 0
)</f>
        <v>0</v>
      </c>
      <c r="T402" s="35">
        <f>IFERROR(
 (1.907*EXP(1)^(-0.5*VALUE(tbl_CONTENT[[#This Row],[Layer]]))) *
 ((VALUE(tbl_CONTENT[[#This Row],[RelId]])-1)^(2.5)*4^(1-2.5)+1) +
 ((VALUE(tbl_CONTENT[[#This Row],[Comp]])-1)^(2.5)*4^(1-2.5)+1)*(0.5*((VALUE(tbl_CONTENT[[#This Row],[RelId]])-1)/4)^(2.5)+1),
 0
)</f>
        <v>0</v>
      </c>
      <c r="W402" s="22" t="str">
        <f>IFERROR(
  IF(_xlfn.XLOOKUP(tbl_CONTENT[[#This Row],[Topic]], tbl_TOPIC[Topic], tbl_TOPIC[ParentTopic])="", "",
       _xlfn.XLOOKUP(tbl_CONTENT[[#This Row],[Topic]], tbl_TOPIC[Topic], tbl_TOPIC[ParentTopic])),
  ""
)</f>
        <v/>
      </c>
      <c r="X402" s="22" t="str">
        <f>IFERROR(
  IF(_xlfn.XLOOKUP(tbl_CONTENT[[#This Row],[Topic]], tbl_TOPIC[Topic], tbl_TOPIC[TopicPath])="", "",
       _xlfn.XLOOKUP(tbl_CONTENT[[#This Row],[Topic]], tbl_TOPIC[Topic], tbl_TOPIC[TopicPath])),
  ""
)</f>
        <v>Faserbündel</v>
      </c>
    </row>
    <row r="403" spans="3:24" ht="51" x14ac:dyDescent="0.2">
      <c r="C403" s="22" t="str">
        <f>_xlfn.XLOOKUP(tbl_CONTENT[[#This Row],[TopicID]], tbl_TOPIC[TopicID], tbl_TOPIC[Subject], "")</f>
        <v>EFT1</v>
      </c>
      <c r="D4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EFT1-T12-02-57</v>
      </c>
      <c r="E403" s="22">
        <f>ROW()</f>
        <v>403</v>
      </c>
      <c r="F403" s="22" t="s">
        <v>1051</v>
      </c>
      <c r="G403" s="22" t="str">
        <f>_xlfn.XLOOKUP(tbl_CONTENT[[#This Row],[Topic]], tbl_TOPIC[Topic], tbl_TOPIC[TopicID], "")</f>
        <v>EFT1-1-02</v>
      </c>
      <c r="H403" s="22" cm="1">
        <f t="array" ref="H403">SUM((tbl_CONTENT[[#This Row],[TopicID]]=INDEX(tbl_CONTENT[TopicID],1):tbl_CONTENT[[#This Row],[TopicID]])*1)</f>
        <v>57</v>
      </c>
      <c r="I403" s="22" t="str">
        <f>_xlfn.XLOOKUP(tbl_CONTENT[[#This Row],[Topic]], tbl_TOPIC[Topic], tbl_TOPIC[TopicIndex], "")</f>
        <v>02</v>
      </c>
      <c r="J403" s="22" t="s">
        <v>596</v>
      </c>
      <c r="K403" s="22" t="s">
        <v>649</v>
      </c>
      <c r="L403" s="22" t="s">
        <v>147</v>
      </c>
      <c r="S403" s="35">
        <f>IFERROR(
 (1.907*EXP(1)^(-0.5*tbl_CONTENT[[#This Row],[Layer]])) *
 ((tbl_CONTENT[[#This Row],[RelInt]]-1)^(2.5)*4^(1-2.5)+1) +
 ((tbl_CONTENT[[#This Row],[Comp]]-1)^(2.5)*4^(1-2.5)+1)*(0.5*((tbl_CONTENT[[#This Row],[RelInt]]-1)/4)^(2.5)+1),
 0
)</f>
        <v>0</v>
      </c>
      <c r="T403" s="35">
        <f>IFERROR(
 (1.907*EXP(1)^(-0.5*VALUE(tbl_CONTENT[[#This Row],[Layer]]))) *
 ((VALUE(tbl_CONTENT[[#This Row],[RelId]])-1)^(2.5)*4^(1-2.5)+1) +
 ((VALUE(tbl_CONTENT[[#This Row],[Comp]])-1)^(2.5)*4^(1-2.5)+1)*(0.5*((VALUE(tbl_CONTENT[[#This Row],[RelId]])-1)/4)^(2.5)+1),
 0
)</f>
        <v>0</v>
      </c>
      <c r="W403" s="22" t="str">
        <f>IFERROR(
  IF(_xlfn.XLOOKUP(tbl_CONTENT[[#This Row],[Topic]], tbl_TOPIC[Topic], tbl_TOPIC[ParentTopic])="", "",
       _xlfn.XLOOKUP(tbl_CONTENT[[#This Row],[Topic]], tbl_TOPIC[Topic], tbl_TOPIC[ParentTopic])),
  ""
)</f>
        <v/>
      </c>
      <c r="X403" s="22" t="str">
        <f>IFERROR(
  IF(_xlfn.XLOOKUP(tbl_CONTENT[[#This Row],[Topic]], tbl_TOPIC[Topic], tbl_TOPIC[TopicPath])="", "",
       _xlfn.XLOOKUP(tbl_CONTENT[[#This Row],[Topic]], tbl_TOPIC[Topic], tbl_TOPIC[TopicPath])),
  ""
)</f>
        <v>Faserbündel</v>
      </c>
    </row>
    <row r="404" spans="3:24" ht="34" x14ac:dyDescent="0.2">
      <c r="C404" s="22" t="str">
        <f>_xlfn.XLOOKUP(tbl_CONTENT[[#This Row],[TopicID]], tbl_TOPIC[TopicID], tbl_TOPIC[Subject], "")</f>
        <v>EFT1</v>
      </c>
      <c r="D4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EFT1-T12-02-58</v>
      </c>
      <c r="E404" s="22">
        <f>ROW()</f>
        <v>404</v>
      </c>
      <c r="F404" s="22" t="s">
        <v>1051</v>
      </c>
      <c r="G404" s="22" t="str">
        <f>_xlfn.XLOOKUP(tbl_CONTENT[[#This Row],[Topic]], tbl_TOPIC[Topic], tbl_TOPIC[TopicID], "")</f>
        <v>EFT1-1-02</v>
      </c>
      <c r="H404" s="22" cm="1">
        <f t="array" ref="H404">SUM((tbl_CONTENT[[#This Row],[TopicID]]=INDEX(tbl_CONTENT[TopicID],1):tbl_CONTENT[[#This Row],[TopicID]])*1)</f>
        <v>58</v>
      </c>
      <c r="I404" s="22" t="str">
        <f>_xlfn.XLOOKUP(tbl_CONTENT[[#This Row],[Topic]], tbl_TOPIC[Topic], tbl_TOPIC[TopicIndex], "")</f>
        <v>02</v>
      </c>
      <c r="J404" s="22" t="s">
        <v>596</v>
      </c>
      <c r="K404" s="22" t="s">
        <v>650</v>
      </c>
      <c r="L404" s="22" t="s">
        <v>147</v>
      </c>
      <c r="S404" s="35">
        <f>IFERROR(
 (1.907*EXP(1)^(-0.5*tbl_CONTENT[[#This Row],[Layer]])) *
 ((tbl_CONTENT[[#This Row],[RelInt]]-1)^(2.5)*4^(1-2.5)+1) +
 ((tbl_CONTENT[[#This Row],[Comp]]-1)^(2.5)*4^(1-2.5)+1)*(0.5*((tbl_CONTENT[[#This Row],[RelInt]]-1)/4)^(2.5)+1),
 0
)</f>
        <v>0</v>
      </c>
      <c r="T404" s="35">
        <f>IFERROR(
 (1.907*EXP(1)^(-0.5*VALUE(tbl_CONTENT[[#This Row],[Layer]]))) *
 ((VALUE(tbl_CONTENT[[#This Row],[RelId]])-1)^(2.5)*4^(1-2.5)+1) +
 ((VALUE(tbl_CONTENT[[#This Row],[Comp]])-1)^(2.5)*4^(1-2.5)+1)*(0.5*((VALUE(tbl_CONTENT[[#This Row],[RelId]])-1)/4)^(2.5)+1),
 0
)</f>
        <v>0</v>
      </c>
      <c r="W404" s="22" t="str">
        <f>IFERROR(
  IF(_xlfn.XLOOKUP(tbl_CONTENT[[#This Row],[Topic]], tbl_TOPIC[Topic], tbl_TOPIC[ParentTopic])="", "",
       _xlfn.XLOOKUP(tbl_CONTENT[[#This Row],[Topic]], tbl_TOPIC[Topic], tbl_TOPIC[ParentTopic])),
  ""
)</f>
        <v/>
      </c>
      <c r="X404" s="22" t="str">
        <f>IFERROR(
  IF(_xlfn.XLOOKUP(tbl_CONTENT[[#This Row],[Topic]], tbl_TOPIC[Topic], tbl_TOPIC[TopicPath])="", "",
       _xlfn.XLOOKUP(tbl_CONTENT[[#This Row],[Topic]], tbl_TOPIC[Topic], tbl_TOPIC[TopicPath])),
  ""
)</f>
        <v>Faserbündel</v>
      </c>
    </row>
    <row r="405" spans="3:24" ht="34" x14ac:dyDescent="0.2">
      <c r="C405" s="22" t="str">
        <f>_xlfn.XLOOKUP(tbl_CONTENT[[#This Row],[TopicID]], tbl_TOPIC[TopicID], tbl_TOPIC[Subject], "")</f>
        <v>EFT1</v>
      </c>
      <c r="D4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EFT1-T12-02-59</v>
      </c>
      <c r="E405" s="22">
        <f>ROW()</f>
        <v>405</v>
      </c>
      <c r="F405" s="22" t="s">
        <v>1051</v>
      </c>
      <c r="G405" s="22" t="str">
        <f>_xlfn.XLOOKUP(tbl_CONTENT[[#This Row],[Topic]], tbl_TOPIC[Topic], tbl_TOPIC[TopicID], "")</f>
        <v>EFT1-1-02</v>
      </c>
      <c r="H405" s="22" cm="1">
        <f t="array" ref="H405">SUM((tbl_CONTENT[[#This Row],[TopicID]]=INDEX(tbl_CONTENT[TopicID],1):tbl_CONTENT[[#This Row],[TopicID]])*1)</f>
        <v>59</v>
      </c>
      <c r="I405" s="22" t="str">
        <f>_xlfn.XLOOKUP(tbl_CONTENT[[#This Row],[Topic]], tbl_TOPIC[Topic], tbl_TOPIC[TopicIndex], "")</f>
        <v>02</v>
      </c>
      <c r="J405" s="22" t="s">
        <v>596</v>
      </c>
      <c r="K405" s="22" t="s">
        <v>651</v>
      </c>
      <c r="L405" s="22" t="s">
        <v>147</v>
      </c>
      <c r="S405" s="35">
        <f>IFERROR(
 (1.907*EXP(1)^(-0.5*tbl_CONTENT[[#This Row],[Layer]])) *
 ((tbl_CONTENT[[#This Row],[RelInt]]-1)^(2.5)*4^(1-2.5)+1) +
 ((tbl_CONTENT[[#This Row],[Comp]]-1)^(2.5)*4^(1-2.5)+1)*(0.5*((tbl_CONTENT[[#This Row],[RelInt]]-1)/4)^(2.5)+1),
 0
)</f>
        <v>0</v>
      </c>
      <c r="T405" s="35">
        <f>IFERROR(
 (1.907*EXP(1)^(-0.5*VALUE(tbl_CONTENT[[#This Row],[Layer]]))) *
 ((VALUE(tbl_CONTENT[[#This Row],[RelId]])-1)^(2.5)*4^(1-2.5)+1) +
 ((VALUE(tbl_CONTENT[[#This Row],[Comp]])-1)^(2.5)*4^(1-2.5)+1)*(0.5*((VALUE(tbl_CONTENT[[#This Row],[RelId]])-1)/4)^(2.5)+1),
 0
)</f>
        <v>0</v>
      </c>
      <c r="W405" s="22" t="str">
        <f>IFERROR(
  IF(_xlfn.XLOOKUP(tbl_CONTENT[[#This Row],[Topic]], tbl_TOPIC[Topic], tbl_TOPIC[ParentTopic])="", "",
       _xlfn.XLOOKUP(tbl_CONTENT[[#This Row],[Topic]], tbl_TOPIC[Topic], tbl_TOPIC[ParentTopic])),
  ""
)</f>
        <v/>
      </c>
      <c r="X405" s="22" t="str">
        <f>IFERROR(
  IF(_xlfn.XLOOKUP(tbl_CONTENT[[#This Row],[Topic]], tbl_TOPIC[Topic], tbl_TOPIC[TopicPath])="", "",
       _xlfn.XLOOKUP(tbl_CONTENT[[#This Row],[Topic]], tbl_TOPIC[Topic], tbl_TOPIC[TopicPath])),
  ""
)</f>
        <v>Faserbündel</v>
      </c>
    </row>
    <row r="406" spans="3:24" ht="34" x14ac:dyDescent="0.2">
      <c r="C406" s="22" t="str">
        <f>_xlfn.XLOOKUP(tbl_CONTENT[[#This Row],[TopicID]], tbl_TOPIC[TopicID], tbl_TOPIC[Subject], "")</f>
        <v>EFT1</v>
      </c>
      <c r="D4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EFT1-T12-02-60</v>
      </c>
      <c r="E406" s="22">
        <f>ROW()</f>
        <v>406</v>
      </c>
      <c r="F406" s="22" t="s">
        <v>1051</v>
      </c>
      <c r="G406" s="22" t="str">
        <f>_xlfn.XLOOKUP(tbl_CONTENT[[#This Row],[Topic]], tbl_TOPIC[Topic], tbl_TOPIC[TopicID], "")</f>
        <v>EFT1-1-02</v>
      </c>
      <c r="H406" s="22" cm="1">
        <f t="array" ref="H406">SUM((tbl_CONTENT[[#This Row],[TopicID]]=INDEX(tbl_CONTENT[TopicID],1):tbl_CONTENT[[#This Row],[TopicID]])*1)</f>
        <v>60</v>
      </c>
      <c r="I406" s="22" t="str">
        <f>_xlfn.XLOOKUP(tbl_CONTENT[[#This Row],[Topic]], tbl_TOPIC[Topic], tbl_TOPIC[TopicIndex], "")</f>
        <v>02</v>
      </c>
      <c r="J406" s="22" t="s">
        <v>596</v>
      </c>
      <c r="K406" s="22" t="s">
        <v>652</v>
      </c>
      <c r="L406" s="22" t="s">
        <v>147</v>
      </c>
      <c r="S406" s="35">
        <f>IFERROR(
 (1.907*EXP(1)^(-0.5*tbl_CONTENT[[#This Row],[Layer]])) *
 ((tbl_CONTENT[[#This Row],[RelInt]]-1)^(2.5)*4^(1-2.5)+1) +
 ((tbl_CONTENT[[#This Row],[Comp]]-1)^(2.5)*4^(1-2.5)+1)*(0.5*((tbl_CONTENT[[#This Row],[RelInt]]-1)/4)^(2.5)+1),
 0
)</f>
        <v>0</v>
      </c>
      <c r="T406" s="35">
        <f>IFERROR(
 (1.907*EXP(1)^(-0.5*VALUE(tbl_CONTENT[[#This Row],[Layer]]))) *
 ((VALUE(tbl_CONTENT[[#This Row],[RelId]])-1)^(2.5)*4^(1-2.5)+1) +
 ((VALUE(tbl_CONTENT[[#This Row],[Comp]])-1)^(2.5)*4^(1-2.5)+1)*(0.5*((VALUE(tbl_CONTENT[[#This Row],[RelId]])-1)/4)^(2.5)+1),
 0
)</f>
        <v>0</v>
      </c>
      <c r="W406" s="22" t="str">
        <f>IFERROR(
  IF(_xlfn.XLOOKUP(tbl_CONTENT[[#This Row],[Topic]], tbl_TOPIC[Topic], tbl_TOPIC[ParentTopic])="", "",
       _xlfn.XLOOKUP(tbl_CONTENT[[#This Row],[Topic]], tbl_TOPIC[Topic], tbl_TOPIC[ParentTopic])),
  ""
)</f>
        <v/>
      </c>
      <c r="X406" s="22" t="str">
        <f>IFERROR(
  IF(_xlfn.XLOOKUP(tbl_CONTENT[[#This Row],[Topic]], tbl_TOPIC[Topic], tbl_TOPIC[TopicPath])="", "",
       _xlfn.XLOOKUP(tbl_CONTENT[[#This Row],[Topic]], tbl_TOPIC[Topic], tbl_TOPIC[TopicPath])),
  ""
)</f>
        <v>Faserbündel</v>
      </c>
    </row>
    <row r="407" spans="3:24" ht="68" x14ac:dyDescent="0.2">
      <c r="C407" s="22" t="str">
        <f>_xlfn.XLOOKUP(tbl_CONTENT[[#This Row],[TopicID]], tbl_TOPIC[TopicID], tbl_TOPIC[Subject], "")</f>
        <v>EFT1</v>
      </c>
      <c r="D4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EFT1-T12-02-61</v>
      </c>
      <c r="E407" s="22">
        <f>ROW()</f>
        <v>407</v>
      </c>
      <c r="F407" s="22" t="s">
        <v>1051</v>
      </c>
      <c r="G407" s="22" t="str">
        <f>_xlfn.XLOOKUP(tbl_CONTENT[[#This Row],[Topic]], tbl_TOPIC[Topic], tbl_TOPIC[TopicID], "")</f>
        <v>EFT1-1-02</v>
      </c>
      <c r="H407" s="22" cm="1">
        <f t="array" ref="H407">SUM((tbl_CONTENT[[#This Row],[TopicID]]=INDEX(tbl_CONTENT[TopicID],1):tbl_CONTENT[[#This Row],[TopicID]])*1)</f>
        <v>61</v>
      </c>
      <c r="I407" s="22" t="str">
        <f>_xlfn.XLOOKUP(tbl_CONTENT[[#This Row],[Topic]], tbl_TOPIC[Topic], tbl_TOPIC[TopicIndex], "")</f>
        <v>02</v>
      </c>
      <c r="J407" s="22" t="s">
        <v>596</v>
      </c>
      <c r="K407" s="22" t="s">
        <v>653</v>
      </c>
      <c r="L407" s="22" t="s">
        <v>151</v>
      </c>
      <c r="S407" s="35">
        <f>IFERROR(
 (1.907*EXP(1)^(-0.5*tbl_CONTENT[[#This Row],[Layer]])) *
 ((tbl_CONTENT[[#This Row],[RelInt]]-1)^(2.5)*4^(1-2.5)+1) +
 ((tbl_CONTENT[[#This Row],[Comp]]-1)^(2.5)*4^(1-2.5)+1)*(0.5*((tbl_CONTENT[[#This Row],[RelInt]]-1)/4)^(2.5)+1),
 0
)</f>
        <v>0</v>
      </c>
      <c r="T407" s="35">
        <f>IFERROR(
 (1.907*EXP(1)^(-0.5*VALUE(tbl_CONTENT[[#This Row],[Layer]]))) *
 ((VALUE(tbl_CONTENT[[#This Row],[RelId]])-1)^(2.5)*4^(1-2.5)+1) +
 ((VALUE(tbl_CONTENT[[#This Row],[Comp]])-1)^(2.5)*4^(1-2.5)+1)*(0.5*((VALUE(tbl_CONTENT[[#This Row],[RelId]])-1)/4)^(2.5)+1),
 0
)</f>
        <v>0</v>
      </c>
      <c r="W407" s="22" t="str">
        <f>IFERROR(
  IF(_xlfn.XLOOKUP(tbl_CONTENT[[#This Row],[Topic]], tbl_TOPIC[Topic], tbl_TOPIC[ParentTopic])="", "",
       _xlfn.XLOOKUP(tbl_CONTENT[[#This Row],[Topic]], tbl_TOPIC[Topic], tbl_TOPIC[ParentTopic])),
  ""
)</f>
        <v/>
      </c>
      <c r="X407" s="22" t="str">
        <f>IFERROR(
  IF(_xlfn.XLOOKUP(tbl_CONTENT[[#This Row],[Topic]], tbl_TOPIC[Topic], tbl_TOPIC[TopicPath])="", "",
       _xlfn.XLOOKUP(tbl_CONTENT[[#This Row],[Topic]], tbl_TOPIC[Topic], tbl_TOPIC[TopicPath])),
  ""
)</f>
        <v>Faserbündel</v>
      </c>
    </row>
    <row r="408" spans="3:24" ht="34" x14ac:dyDescent="0.2">
      <c r="C408" s="22" t="str">
        <f>_xlfn.XLOOKUP(tbl_CONTENT[[#This Row],[TopicID]], tbl_TOPIC[TopicID], tbl_TOPIC[Subject], "")</f>
        <v>EFT1</v>
      </c>
      <c r="D4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EFT1-T12-02-62</v>
      </c>
      <c r="E408" s="22">
        <f>ROW()</f>
        <v>408</v>
      </c>
      <c r="F408" s="22" t="s">
        <v>1051</v>
      </c>
      <c r="G408" s="22" t="str">
        <f>_xlfn.XLOOKUP(tbl_CONTENT[[#This Row],[Topic]], tbl_TOPIC[Topic], tbl_TOPIC[TopicID], "")</f>
        <v>EFT1-1-02</v>
      </c>
      <c r="H408" s="22" cm="1">
        <f t="array" ref="H408">SUM((tbl_CONTENT[[#This Row],[TopicID]]=INDEX(tbl_CONTENT[TopicID],1):tbl_CONTENT[[#This Row],[TopicID]])*1)</f>
        <v>62</v>
      </c>
      <c r="I408" s="22" t="str">
        <f>_xlfn.XLOOKUP(tbl_CONTENT[[#This Row],[Topic]], tbl_TOPIC[Topic], tbl_TOPIC[TopicIndex], "")</f>
        <v>02</v>
      </c>
      <c r="J408" s="22" t="s">
        <v>596</v>
      </c>
      <c r="K408" s="22" t="s">
        <v>654</v>
      </c>
      <c r="L408" s="22" t="s">
        <v>148</v>
      </c>
      <c r="S408" s="35">
        <f>IFERROR(
 (1.907*EXP(1)^(-0.5*tbl_CONTENT[[#This Row],[Layer]])) *
 ((tbl_CONTENT[[#This Row],[RelInt]]-1)^(2.5)*4^(1-2.5)+1) +
 ((tbl_CONTENT[[#This Row],[Comp]]-1)^(2.5)*4^(1-2.5)+1)*(0.5*((tbl_CONTENT[[#This Row],[RelInt]]-1)/4)^(2.5)+1),
 0
)</f>
        <v>0</v>
      </c>
      <c r="T408" s="35">
        <f>IFERROR(
 (1.907*EXP(1)^(-0.5*VALUE(tbl_CONTENT[[#This Row],[Layer]]))) *
 ((VALUE(tbl_CONTENT[[#This Row],[RelId]])-1)^(2.5)*4^(1-2.5)+1) +
 ((VALUE(tbl_CONTENT[[#This Row],[Comp]])-1)^(2.5)*4^(1-2.5)+1)*(0.5*((VALUE(tbl_CONTENT[[#This Row],[RelId]])-1)/4)^(2.5)+1),
 0
)</f>
        <v>0</v>
      </c>
      <c r="W408" s="22" t="str">
        <f>IFERROR(
  IF(_xlfn.XLOOKUP(tbl_CONTENT[[#This Row],[Topic]], tbl_TOPIC[Topic], tbl_TOPIC[ParentTopic])="", "",
       _xlfn.XLOOKUP(tbl_CONTENT[[#This Row],[Topic]], tbl_TOPIC[Topic], tbl_TOPIC[ParentTopic])),
  ""
)</f>
        <v/>
      </c>
      <c r="X408" s="22" t="str">
        <f>IFERROR(
  IF(_xlfn.XLOOKUP(tbl_CONTENT[[#This Row],[Topic]], tbl_TOPIC[Topic], tbl_TOPIC[TopicPath])="", "",
       _xlfn.XLOOKUP(tbl_CONTENT[[#This Row],[Topic]], tbl_TOPIC[Topic], tbl_TOPIC[TopicPath])),
  ""
)</f>
        <v>Faserbündel</v>
      </c>
    </row>
    <row r="409" spans="3:24" ht="51" x14ac:dyDescent="0.2">
      <c r="C409" s="22" t="str">
        <f>_xlfn.XLOOKUP(tbl_CONTENT[[#This Row],[TopicID]], tbl_TOPIC[TopicID], tbl_TOPIC[Subject], "")</f>
        <v>EFT1</v>
      </c>
      <c r="D4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EFT1-T12-02-63</v>
      </c>
      <c r="E409" s="22">
        <f>ROW()</f>
        <v>409</v>
      </c>
      <c r="F409" s="22" t="s">
        <v>1051</v>
      </c>
      <c r="G409" s="22" t="str">
        <f>_xlfn.XLOOKUP(tbl_CONTENT[[#This Row],[Topic]], tbl_TOPIC[Topic], tbl_TOPIC[TopicID], "")</f>
        <v>EFT1-1-02</v>
      </c>
      <c r="H409" s="22" cm="1">
        <f t="array" ref="H409">SUM((tbl_CONTENT[[#This Row],[TopicID]]=INDEX(tbl_CONTENT[TopicID],1):tbl_CONTENT[[#This Row],[TopicID]])*1)</f>
        <v>63</v>
      </c>
      <c r="I409" s="22" t="str">
        <f>_xlfn.XLOOKUP(tbl_CONTENT[[#This Row],[Topic]], tbl_TOPIC[Topic], tbl_TOPIC[TopicIndex], "")</f>
        <v>02</v>
      </c>
      <c r="J409" s="22" t="s">
        <v>596</v>
      </c>
      <c r="K409" s="22" t="s">
        <v>655</v>
      </c>
      <c r="L409" s="22" t="s">
        <v>152</v>
      </c>
      <c r="S409" s="35">
        <f>IFERROR(
 (1.907*EXP(1)^(-0.5*tbl_CONTENT[[#This Row],[Layer]])) *
 ((tbl_CONTENT[[#This Row],[RelInt]]-1)^(2.5)*4^(1-2.5)+1) +
 ((tbl_CONTENT[[#This Row],[Comp]]-1)^(2.5)*4^(1-2.5)+1)*(0.5*((tbl_CONTENT[[#This Row],[RelInt]]-1)/4)^(2.5)+1),
 0
)</f>
        <v>0</v>
      </c>
      <c r="T409" s="35">
        <f>IFERROR(
 (1.907*EXP(1)^(-0.5*VALUE(tbl_CONTENT[[#This Row],[Layer]]))) *
 ((VALUE(tbl_CONTENT[[#This Row],[RelId]])-1)^(2.5)*4^(1-2.5)+1) +
 ((VALUE(tbl_CONTENT[[#This Row],[Comp]])-1)^(2.5)*4^(1-2.5)+1)*(0.5*((VALUE(tbl_CONTENT[[#This Row],[RelId]])-1)/4)^(2.5)+1),
 0
)</f>
        <v>0</v>
      </c>
      <c r="W409" s="22" t="str">
        <f>IFERROR(
  IF(_xlfn.XLOOKUP(tbl_CONTENT[[#This Row],[Topic]], tbl_TOPIC[Topic], tbl_TOPIC[ParentTopic])="", "",
       _xlfn.XLOOKUP(tbl_CONTENT[[#This Row],[Topic]], tbl_TOPIC[Topic], tbl_TOPIC[ParentTopic])),
  ""
)</f>
        <v/>
      </c>
      <c r="X409" s="22" t="str">
        <f>IFERROR(
  IF(_xlfn.XLOOKUP(tbl_CONTENT[[#This Row],[Topic]], tbl_TOPIC[Topic], tbl_TOPIC[TopicPath])="", "",
       _xlfn.XLOOKUP(tbl_CONTENT[[#This Row],[Topic]], tbl_TOPIC[Topic], tbl_TOPIC[TopicPath])),
  ""
)</f>
        <v>Faserbündel</v>
      </c>
    </row>
    <row r="410" spans="3:24" ht="34" x14ac:dyDescent="0.2">
      <c r="C410" s="22" t="str">
        <f>_xlfn.XLOOKUP(tbl_CONTENT[[#This Row],[TopicID]], tbl_TOPIC[TopicID], tbl_TOPIC[Subject], "")</f>
        <v>EFT1</v>
      </c>
      <c r="D4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EFT1-T12-02-64</v>
      </c>
      <c r="E410" s="22">
        <f>ROW()</f>
        <v>410</v>
      </c>
      <c r="F410" s="22" t="s">
        <v>1051</v>
      </c>
      <c r="G410" s="22" t="str">
        <f>_xlfn.XLOOKUP(tbl_CONTENT[[#This Row],[Topic]], tbl_TOPIC[Topic], tbl_TOPIC[TopicID], "")</f>
        <v>EFT1-1-02</v>
      </c>
      <c r="H410" s="22" cm="1">
        <f t="array" ref="H410">SUM((tbl_CONTENT[[#This Row],[TopicID]]=INDEX(tbl_CONTENT[TopicID],1):tbl_CONTENT[[#This Row],[TopicID]])*1)</f>
        <v>64</v>
      </c>
      <c r="I410" s="22" t="str">
        <f>_xlfn.XLOOKUP(tbl_CONTENT[[#This Row],[Topic]], tbl_TOPIC[Topic], tbl_TOPIC[TopicIndex], "")</f>
        <v>02</v>
      </c>
      <c r="J410" s="22" t="s">
        <v>596</v>
      </c>
      <c r="K410" s="22" t="s">
        <v>656</v>
      </c>
      <c r="L410" s="22" t="s">
        <v>179</v>
      </c>
      <c r="S410" s="35">
        <f>IFERROR(
 (1.907*EXP(1)^(-0.5*tbl_CONTENT[[#This Row],[Layer]])) *
 ((tbl_CONTENT[[#This Row],[RelInt]]-1)^(2.5)*4^(1-2.5)+1) +
 ((tbl_CONTENT[[#This Row],[Comp]]-1)^(2.5)*4^(1-2.5)+1)*(0.5*((tbl_CONTENT[[#This Row],[RelInt]]-1)/4)^(2.5)+1),
 0
)</f>
        <v>0</v>
      </c>
      <c r="T410" s="35">
        <f>IFERROR(
 (1.907*EXP(1)^(-0.5*VALUE(tbl_CONTENT[[#This Row],[Layer]]))) *
 ((VALUE(tbl_CONTENT[[#This Row],[RelId]])-1)^(2.5)*4^(1-2.5)+1) +
 ((VALUE(tbl_CONTENT[[#This Row],[Comp]])-1)^(2.5)*4^(1-2.5)+1)*(0.5*((VALUE(tbl_CONTENT[[#This Row],[RelId]])-1)/4)^(2.5)+1),
 0
)</f>
        <v>0</v>
      </c>
      <c r="W410" s="22" t="str">
        <f>IFERROR(
  IF(_xlfn.XLOOKUP(tbl_CONTENT[[#This Row],[Topic]], tbl_TOPIC[Topic], tbl_TOPIC[ParentTopic])="", "",
       _xlfn.XLOOKUP(tbl_CONTENT[[#This Row],[Topic]], tbl_TOPIC[Topic], tbl_TOPIC[ParentTopic])),
  ""
)</f>
        <v/>
      </c>
      <c r="X410" s="22" t="str">
        <f>IFERROR(
  IF(_xlfn.XLOOKUP(tbl_CONTENT[[#This Row],[Topic]], tbl_TOPIC[Topic], tbl_TOPIC[TopicPath])="", "",
       _xlfn.XLOOKUP(tbl_CONTENT[[#This Row],[Topic]], tbl_TOPIC[Topic], tbl_TOPIC[TopicPath])),
  ""
)</f>
        <v>Faserbündel</v>
      </c>
    </row>
    <row r="411" spans="3:24" ht="85" x14ac:dyDescent="0.2">
      <c r="C411" s="22" t="str">
        <f>_xlfn.XLOOKUP(tbl_CONTENT[[#This Row],[TopicID]], tbl_TOPIC[TopicID], tbl_TOPIC[Subject], "")</f>
        <v>EFT1</v>
      </c>
      <c r="D4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EFT1-T12-02-65</v>
      </c>
      <c r="E411" s="22">
        <f>ROW()</f>
        <v>411</v>
      </c>
      <c r="F411" s="22" t="s">
        <v>1051</v>
      </c>
      <c r="G411" s="22" t="str">
        <f>_xlfn.XLOOKUP(tbl_CONTENT[[#This Row],[Topic]], tbl_TOPIC[Topic], tbl_TOPIC[TopicID], "")</f>
        <v>EFT1-1-02</v>
      </c>
      <c r="H411" s="22" cm="1">
        <f t="array" ref="H411">SUM((tbl_CONTENT[[#This Row],[TopicID]]=INDEX(tbl_CONTENT[TopicID],1):tbl_CONTENT[[#This Row],[TopicID]])*1)</f>
        <v>65</v>
      </c>
      <c r="I411" s="22" t="str">
        <f>_xlfn.XLOOKUP(tbl_CONTENT[[#This Row],[Topic]], tbl_TOPIC[Topic], tbl_TOPIC[TopicIndex], "")</f>
        <v>02</v>
      </c>
      <c r="J411" s="22" t="s">
        <v>596</v>
      </c>
      <c r="K411" s="22" t="s">
        <v>657</v>
      </c>
      <c r="L411" s="22" t="s">
        <v>151</v>
      </c>
      <c r="S411" s="35">
        <f>IFERROR(
 (1.907*EXP(1)^(-0.5*tbl_CONTENT[[#This Row],[Layer]])) *
 ((tbl_CONTENT[[#This Row],[RelInt]]-1)^(2.5)*4^(1-2.5)+1) +
 ((tbl_CONTENT[[#This Row],[Comp]]-1)^(2.5)*4^(1-2.5)+1)*(0.5*((tbl_CONTENT[[#This Row],[RelInt]]-1)/4)^(2.5)+1),
 0
)</f>
        <v>0</v>
      </c>
      <c r="T411" s="35">
        <f>IFERROR(
 (1.907*EXP(1)^(-0.5*VALUE(tbl_CONTENT[[#This Row],[Layer]]))) *
 ((VALUE(tbl_CONTENT[[#This Row],[RelId]])-1)^(2.5)*4^(1-2.5)+1) +
 ((VALUE(tbl_CONTENT[[#This Row],[Comp]])-1)^(2.5)*4^(1-2.5)+1)*(0.5*((VALUE(tbl_CONTENT[[#This Row],[RelId]])-1)/4)^(2.5)+1),
 0
)</f>
        <v>0</v>
      </c>
      <c r="W411" s="22" t="str">
        <f>IFERROR(
  IF(_xlfn.XLOOKUP(tbl_CONTENT[[#This Row],[Topic]], tbl_TOPIC[Topic], tbl_TOPIC[ParentTopic])="", "",
       _xlfn.XLOOKUP(tbl_CONTENT[[#This Row],[Topic]], tbl_TOPIC[Topic], tbl_TOPIC[ParentTopic])),
  ""
)</f>
        <v/>
      </c>
      <c r="X411" s="22" t="str">
        <f>IFERROR(
  IF(_xlfn.XLOOKUP(tbl_CONTENT[[#This Row],[Topic]], tbl_TOPIC[Topic], tbl_TOPIC[TopicPath])="", "",
       _xlfn.XLOOKUP(tbl_CONTENT[[#This Row],[Topic]], tbl_TOPIC[Topic], tbl_TOPIC[TopicPath])),
  ""
)</f>
        <v>Faserbündel</v>
      </c>
    </row>
    <row r="412" spans="3:24" ht="17" x14ac:dyDescent="0.2">
      <c r="C412" s="22" t="str">
        <f>_xlfn.XLOOKUP(tbl_CONTENT[[#This Row],[TopicID]], tbl_TOPIC[TopicID], tbl_TOPIC[Subject], "")</f>
        <v>QM</v>
      </c>
      <c r="D4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QM-T12-13-01</v>
      </c>
      <c r="E412" s="22">
        <f>ROW()</f>
        <v>412</v>
      </c>
      <c r="F412" s="22" t="s">
        <v>1051</v>
      </c>
      <c r="G412" s="22" t="str">
        <f>_xlfn.XLOOKUP(tbl_CONTENT[[#This Row],[Topic]], tbl_TOPIC[Topic], tbl_TOPIC[TopicID], "")</f>
        <v>QM-1-13</v>
      </c>
      <c r="H412" s="22" cm="1">
        <f t="array" ref="H412">SUM((tbl_CONTENT[[#This Row],[TopicID]]=INDEX(tbl_CONTENT[TopicID],1):tbl_CONTENT[[#This Row],[TopicID]])*1)</f>
        <v>1</v>
      </c>
      <c r="I412" s="22" t="str">
        <f>_xlfn.XLOOKUP(tbl_CONTENT[[#This Row],[Topic]], tbl_TOPIC[Topic], tbl_TOPIC[TopicIndex], "")</f>
        <v>13</v>
      </c>
      <c r="J412" s="22" t="s">
        <v>374</v>
      </c>
      <c r="K412" s="22" t="s">
        <v>658</v>
      </c>
      <c r="L412" s="22" t="s">
        <v>152</v>
      </c>
      <c r="S412" s="35">
        <f>IFERROR(
 (1.907*EXP(1)^(-0.5*tbl_CONTENT[[#This Row],[Layer]])) *
 ((tbl_CONTENT[[#This Row],[RelInt]]-1)^(2.5)*4^(1-2.5)+1) +
 ((tbl_CONTENT[[#This Row],[Comp]]-1)^(2.5)*4^(1-2.5)+1)*(0.5*((tbl_CONTENT[[#This Row],[RelInt]]-1)/4)^(2.5)+1),
 0
)</f>
        <v>0</v>
      </c>
      <c r="T412" s="35">
        <f>IFERROR(
 (1.907*EXP(1)^(-0.5*VALUE(tbl_CONTENT[[#This Row],[Layer]]))) *
 ((VALUE(tbl_CONTENT[[#This Row],[RelId]])-1)^(2.5)*4^(1-2.5)+1) +
 ((VALUE(tbl_CONTENT[[#This Row],[Comp]])-1)^(2.5)*4^(1-2.5)+1)*(0.5*((VALUE(tbl_CONTENT[[#This Row],[RelId]])-1)/4)^(2.5)+1),
 0
)</f>
        <v>0</v>
      </c>
      <c r="W412" s="22" t="str">
        <f>IFERROR(
  IF(_xlfn.XLOOKUP(tbl_CONTENT[[#This Row],[Topic]], tbl_TOPIC[Topic], tbl_TOPIC[ParentTopic])="", "",
       _xlfn.XLOOKUP(tbl_CONTENT[[#This Row],[Topic]], tbl_TOPIC[Topic], tbl_TOPIC[ParentTopic])),
  ""
)</f>
        <v>Interpretation der Wellenfunktion</v>
      </c>
      <c r="X412" s="22" t="str">
        <f>IFERROR(
  IF(_xlfn.XLOOKUP(tbl_CONTENT[[#This Row],[Topic]], tbl_TOPIC[Topic], tbl_TOPIC[TopicPath])="", "",
       _xlfn.XLOOKUP(tbl_CONTENT[[#This Row],[Topic]], tbl_TOPIC[Topic], tbl_TOPIC[TopicPath])),
  ""
)</f>
        <v>Schrödinger Gleichung/Interpretation der Wellenfunktion/Erwartungswert</v>
      </c>
    </row>
    <row r="413" spans="3:24" ht="17" x14ac:dyDescent="0.2">
      <c r="C413" s="22" t="str">
        <f>_xlfn.XLOOKUP(tbl_CONTENT[[#This Row],[TopicID]], tbl_TOPIC[TopicID], tbl_TOPIC[Subject], "")</f>
        <v>QM</v>
      </c>
      <c r="D4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QM-T12-13-02</v>
      </c>
      <c r="E413" s="22">
        <f>ROW()</f>
        <v>413</v>
      </c>
      <c r="F413" s="22" t="s">
        <v>1051</v>
      </c>
      <c r="G413" s="22" t="str">
        <f>_xlfn.XLOOKUP(tbl_CONTENT[[#This Row],[Topic]], tbl_TOPIC[Topic], tbl_TOPIC[TopicID], "")</f>
        <v>QM-1-13</v>
      </c>
      <c r="H413" s="22" cm="1">
        <f t="array" ref="H413">SUM((tbl_CONTENT[[#This Row],[TopicID]]=INDEX(tbl_CONTENT[TopicID],1):tbl_CONTENT[[#This Row],[TopicID]])*1)</f>
        <v>2</v>
      </c>
      <c r="I413" s="22" t="str">
        <f>_xlfn.XLOOKUP(tbl_CONTENT[[#This Row],[Topic]], tbl_TOPIC[Topic], tbl_TOPIC[TopicIndex], "")</f>
        <v>13</v>
      </c>
      <c r="J413" s="22" t="s">
        <v>374</v>
      </c>
      <c r="K413" s="22" t="s">
        <v>904</v>
      </c>
      <c r="L413" s="22" t="s">
        <v>380</v>
      </c>
      <c r="M413" s="22">
        <v>1</v>
      </c>
      <c r="S413" s="35">
        <f>IFERROR(
 (1.907*EXP(1)^(-0.5*tbl_CONTENT[[#This Row],[Layer]])) *
 ((tbl_CONTENT[[#This Row],[RelInt]]-1)^(2.5)*4^(1-2.5)+1) +
 ((tbl_CONTENT[[#This Row],[Comp]]-1)^(2.5)*4^(1-2.5)+1)*(0.5*((tbl_CONTENT[[#This Row],[RelInt]]-1)/4)^(2.5)+1),
 0
)</f>
        <v>0</v>
      </c>
      <c r="T413" s="35">
        <f>IFERROR(
 (1.907*EXP(1)^(-0.5*VALUE(tbl_CONTENT[[#This Row],[Layer]]))) *
 ((VALUE(tbl_CONTENT[[#This Row],[RelId]])-1)^(2.5)*4^(1-2.5)+1) +
 ((VALUE(tbl_CONTENT[[#This Row],[Comp]])-1)^(2.5)*4^(1-2.5)+1)*(0.5*((VALUE(tbl_CONTENT[[#This Row],[RelId]])-1)/4)^(2.5)+1),
 0
)</f>
        <v>0</v>
      </c>
      <c r="W413" s="22" t="str">
        <f>IFERROR(
  IF(_xlfn.XLOOKUP(tbl_CONTENT[[#This Row],[Topic]], tbl_TOPIC[Topic], tbl_TOPIC[ParentTopic])="", "",
       _xlfn.XLOOKUP(tbl_CONTENT[[#This Row],[Topic]], tbl_TOPIC[Topic], tbl_TOPIC[ParentTopic])),
  ""
)</f>
        <v>Interpretation der Wellenfunktion</v>
      </c>
      <c r="X413" s="22" t="str">
        <f>IFERROR(
  IF(_xlfn.XLOOKUP(tbl_CONTENT[[#This Row],[Topic]], tbl_TOPIC[Topic], tbl_TOPIC[TopicPath])="", "",
       _xlfn.XLOOKUP(tbl_CONTENT[[#This Row],[Topic]], tbl_TOPIC[Topic], tbl_TOPIC[TopicPath])),
  ""
)</f>
        <v>Schrödinger Gleichung/Interpretation der Wellenfunktion/Erwartungswert</v>
      </c>
    </row>
    <row r="414" spans="3:24" ht="34" x14ac:dyDescent="0.2">
      <c r="C414" s="22" t="str">
        <f>_xlfn.XLOOKUP(tbl_CONTENT[[#This Row],[TopicID]], tbl_TOPIC[TopicID], tbl_TOPIC[Subject], "")</f>
        <v>QM</v>
      </c>
      <c r="D4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QM-T12-13-03</v>
      </c>
      <c r="E414" s="22">
        <f>ROW()</f>
        <v>414</v>
      </c>
      <c r="F414" s="22" t="s">
        <v>1051</v>
      </c>
      <c r="G414" s="22" t="str">
        <f>_xlfn.XLOOKUP(tbl_CONTENT[[#This Row],[Topic]], tbl_TOPIC[Topic], tbl_TOPIC[TopicID], "")</f>
        <v>QM-1-13</v>
      </c>
      <c r="H414" s="22" cm="1">
        <f t="array" ref="H414">SUM((tbl_CONTENT[[#This Row],[TopicID]]=INDEX(tbl_CONTENT[TopicID],1):tbl_CONTENT[[#This Row],[TopicID]])*1)</f>
        <v>3</v>
      </c>
      <c r="I414" s="22" t="str">
        <f>_xlfn.XLOOKUP(tbl_CONTENT[[#This Row],[Topic]], tbl_TOPIC[Topic], tbl_TOPIC[TopicIndex], "")</f>
        <v>13</v>
      </c>
      <c r="J414" s="22" t="s">
        <v>374</v>
      </c>
      <c r="K414" s="22" t="s">
        <v>660</v>
      </c>
      <c r="L414" s="22" t="s">
        <v>380</v>
      </c>
      <c r="M414" s="22">
        <v>1</v>
      </c>
      <c r="S414" s="35">
        <f>IFERROR(
 (1.907*EXP(1)^(-0.5*tbl_CONTENT[[#This Row],[Layer]])) *
 ((tbl_CONTENT[[#This Row],[RelInt]]-1)^(2.5)*4^(1-2.5)+1) +
 ((tbl_CONTENT[[#This Row],[Comp]]-1)^(2.5)*4^(1-2.5)+1)*(0.5*((tbl_CONTENT[[#This Row],[RelInt]]-1)/4)^(2.5)+1),
 0
)</f>
        <v>0</v>
      </c>
      <c r="T414" s="35">
        <f>IFERROR(
 (1.907*EXP(1)^(-0.5*VALUE(tbl_CONTENT[[#This Row],[Layer]]))) *
 ((VALUE(tbl_CONTENT[[#This Row],[RelId]])-1)^(2.5)*4^(1-2.5)+1) +
 ((VALUE(tbl_CONTENT[[#This Row],[Comp]])-1)^(2.5)*4^(1-2.5)+1)*(0.5*((VALUE(tbl_CONTENT[[#This Row],[RelId]])-1)/4)^(2.5)+1),
 0
)</f>
        <v>0</v>
      </c>
      <c r="W414" s="22" t="str">
        <f>IFERROR(
  IF(_xlfn.XLOOKUP(tbl_CONTENT[[#This Row],[Topic]], tbl_TOPIC[Topic], tbl_TOPIC[ParentTopic])="", "",
       _xlfn.XLOOKUP(tbl_CONTENT[[#This Row],[Topic]], tbl_TOPIC[Topic], tbl_TOPIC[ParentTopic])),
  ""
)</f>
        <v>Interpretation der Wellenfunktion</v>
      </c>
      <c r="X414" s="22" t="str">
        <f>IFERROR(
  IF(_xlfn.XLOOKUP(tbl_CONTENT[[#This Row],[Topic]], tbl_TOPIC[Topic], tbl_TOPIC[TopicPath])="", "",
       _xlfn.XLOOKUP(tbl_CONTENT[[#This Row],[Topic]], tbl_TOPIC[Topic], tbl_TOPIC[TopicPath])),
  ""
)</f>
        <v>Schrödinger Gleichung/Interpretation der Wellenfunktion/Erwartungswert</v>
      </c>
    </row>
    <row r="415" spans="3:24" ht="34" x14ac:dyDescent="0.2">
      <c r="C415" s="22" t="str">
        <f>_xlfn.XLOOKUP(tbl_CONTENT[[#This Row],[TopicID]], tbl_TOPIC[TopicID], tbl_TOPIC[Subject], "")</f>
        <v>QM</v>
      </c>
      <c r="D4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QM-T12-13-04</v>
      </c>
      <c r="E415" s="22">
        <f>ROW()</f>
        <v>415</v>
      </c>
      <c r="F415" s="22" t="s">
        <v>1051</v>
      </c>
      <c r="G415" s="22" t="str">
        <f>_xlfn.XLOOKUP(tbl_CONTENT[[#This Row],[Topic]], tbl_TOPIC[Topic], tbl_TOPIC[TopicID], "")</f>
        <v>QM-1-13</v>
      </c>
      <c r="H415" s="22" cm="1">
        <f t="array" ref="H415">SUM((tbl_CONTENT[[#This Row],[TopicID]]=INDEX(tbl_CONTENT[TopicID],1):tbl_CONTENT[[#This Row],[TopicID]])*1)</f>
        <v>4</v>
      </c>
      <c r="I415" s="22" t="str">
        <f>_xlfn.XLOOKUP(tbl_CONTENT[[#This Row],[Topic]], tbl_TOPIC[Topic], tbl_TOPIC[TopicIndex], "")</f>
        <v>13</v>
      </c>
      <c r="J415" s="22" t="s">
        <v>374</v>
      </c>
      <c r="K415" s="22" t="s">
        <v>659</v>
      </c>
      <c r="L415" s="22" t="s">
        <v>380</v>
      </c>
      <c r="M415" s="22">
        <v>1</v>
      </c>
      <c r="S415" s="35">
        <f>IFERROR(
 (1.907*EXP(1)^(-0.5*tbl_CONTENT[[#This Row],[Layer]])) *
 ((tbl_CONTENT[[#This Row],[RelInt]]-1)^(2.5)*4^(1-2.5)+1) +
 ((tbl_CONTENT[[#This Row],[Comp]]-1)^(2.5)*4^(1-2.5)+1)*(0.5*((tbl_CONTENT[[#This Row],[RelInt]]-1)/4)^(2.5)+1),
 0
)</f>
        <v>0</v>
      </c>
      <c r="T415" s="35">
        <f>IFERROR(
 (1.907*EXP(1)^(-0.5*VALUE(tbl_CONTENT[[#This Row],[Layer]]))) *
 ((VALUE(tbl_CONTENT[[#This Row],[RelId]])-1)^(2.5)*4^(1-2.5)+1) +
 ((VALUE(tbl_CONTENT[[#This Row],[Comp]])-1)^(2.5)*4^(1-2.5)+1)*(0.5*((VALUE(tbl_CONTENT[[#This Row],[RelId]])-1)/4)^(2.5)+1),
 0
)</f>
        <v>0</v>
      </c>
      <c r="W415" s="22" t="str">
        <f>IFERROR(
  IF(_xlfn.XLOOKUP(tbl_CONTENT[[#This Row],[Topic]], tbl_TOPIC[Topic], tbl_TOPIC[ParentTopic])="", "",
       _xlfn.XLOOKUP(tbl_CONTENT[[#This Row],[Topic]], tbl_TOPIC[Topic], tbl_TOPIC[ParentTopic])),
  ""
)</f>
        <v>Interpretation der Wellenfunktion</v>
      </c>
      <c r="X415" s="22" t="str">
        <f>IFERROR(
  IF(_xlfn.XLOOKUP(tbl_CONTENT[[#This Row],[Topic]], tbl_TOPIC[Topic], tbl_TOPIC[TopicPath])="", "",
       _xlfn.XLOOKUP(tbl_CONTENT[[#This Row],[Topic]], tbl_TOPIC[Topic], tbl_TOPIC[TopicPath])),
  ""
)</f>
        <v>Schrödinger Gleichung/Interpretation der Wellenfunktion/Erwartungswert</v>
      </c>
    </row>
    <row r="416" spans="3:24" ht="17" x14ac:dyDescent="0.2">
      <c r="C416" s="22" t="str">
        <f>_xlfn.XLOOKUP(tbl_CONTENT[[#This Row],[TopicID]], tbl_TOPIC[TopicID], tbl_TOPIC[Subject], "")</f>
        <v>QM</v>
      </c>
      <c r="D4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QM-T12-13-05</v>
      </c>
      <c r="E416" s="22">
        <f>ROW()</f>
        <v>416</v>
      </c>
      <c r="F416" s="22" t="s">
        <v>1051</v>
      </c>
      <c r="G416" s="22" t="str">
        <f>_xlfn.XLOOKUP(tbl_CONTENT[[#This Row],[Topic]], tbl_TOPIC[Topic], tbl_TOPIC[TopicID], "")</f>
        <v>QM-1-13</v>
      </c>
      <c r="H416" s="22" cm="1">
        <f t="array" ref="H416">SUM((tbl_CONTENT[[#This Row],[TopicID]]=INDEX(tbl_CONTENT[TopicID],1):tbl_CONTENT[[#This Row],[TopicID]])*1)</f>
        <v>5</v>
      </c>
      <c r="I416" s="22" t="str">
        <f>_xlfn.XLOOKUP(tbl_CONTENT[[#This Row],[Topic]], tbl_TOPIC[Topic], tbl_TOPIC[TopicIndex], "")</f>
        <v>13</v>
      </c>
      <c r="J416" s="22" t="s">
        <v>374</v>
      </c>
      <c r="K416" s="22" t="s">
        <v>661</v>
      </c>
      <c r="L416" s="22" t="s">
        <v>147</v>
      </c>
      <c r="M416" s="22">
        <v>1</v>
      </c>
      <c r="S416" s="35">
        <f>IFERROR(
 (1.907*EXP(1)^(-0.5*tbl_CONTENT[[#This Row],[Layer]])) *
 ((tbl_CONTENT[[#This Row],[RelInt]]-1)^(2.5)*4^(1-2.5)+1) +
 ((tbl_CONTENT[[#This Row],[Comp]]-1)^(2.5)*4^(1-2.5)+1)*(0.5*((tbl_CONTENT[[#This Row],[RelInt]]-1)/4)^(2.5)+1),
 0
)</f>
        <v>0</v>
      </c>
      <c r="T416" s="35">
        <f>IFERROR(
 (1.907*EXP(1)^(-0.5*VALUE(tbl_CONTENT[[#This Row],[Layer]]))) *
 ((VALUE(tbl_CONTENT[[#This Row],[RelId]])-1)^(2.5)*4^(1-2.5)+1) +
 ((VALUE(tbl_CONTENT[[#This Row],[Comp]])-1)^(2.5)*4^(1-2.5)+1)*(0.5*((VALUE(tbl_CONTENT[[#This Row],[RelId]])-1)/4)^(2.5)+1),
 0
)</f>
        <v>0</v>
      </c>
      <c r="W416" s="22" t="str">
        <f>IFERROR(
  IF(_xlfn.XLOOKUP(tbl_CONTENT[[#This Row],[Topic]], tbl_TOPIC[Topic], tbl_TOPIC[ParentTopic])="", "",
       _xlfn.XLOOKUP(tbl_CONTENT[[#This Row],[Topic]], tbl_TOPIC[Topic], tbl_TOPIC[ParentTopic])),
  ""
)</f>
        <v>Interpretation der Wellenfunktion</v>
      </c>
      <c r="X416" s="22" t="str">
        <f>IFERROR(
  IF(_xlfn.XLOOKUP(tbl_CONTENT[[#This Row],[Topic]], tbl_TOPIC[Topic], tbl_TOPIC[TopicPath])="", "",
       _xlfn.XLOOKUP(tbl_CONTENT[[#This Row],[Topic]], tbl_TOPIC[Topic], tbl_TOPIC[TopicPath])),
  ""
)</f>
        <v>Schrödinger Gleichung/Interpretation der Wellenfunktion/Erwartungswert</v>
      </c>
    </row>
    <row r="417" spans="3:24" ht="34" x14ac:dyDescent="0.2">
      <c r="C417" s="22" t="str">
        <f>_xlfn.XLOOKUP(tbl_CONTENT[[#This Row],[TopicID]], tbl_TOPIC[TopicID], tbl_TOPIC[Subject], "")</f>
        <v>QM</v>
      </c>
      <c r="D4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QM-T12-13-06</v>
      </c>
      <c r="E417" s="22">
        <f>ROW()</f>
        <v>417</v>
      </c>
      <c r="F417" s="22" t="s">
        <v>1051</v>
      </c>
      <c r="G417" s="22" t="str">
        <f>_xlfn.XLOOKUP(tbl_CONTENT[[#This Row],[Topic]], tbl_TOPIC[Topic], tbl_TOPIC[TopicID], "")</f>
        <v>QM-1-13</v>
      </c>
      <c r="H417" s="22" cm="1">
        <f t="array" ref="H417">SUM((tbl_CONTENT[[#This Row],[TopicID]]=INDEX(tbl_CONTENT[TopicID],1):tbl_CONTENT[[#This Row],[TopicID]])*1)</f>
        <v>6</v>
      </c>
      <c r="I417" s="22" t="str">
        <f>_xlfn.XLOOKUP(tbl_CONTENT[[#This Row],[Topic]], tbl_TOPIC[Topic], tbl_TOPIC[TopicIndex], "")</f>
        <v>13</v>
      </c>
      <c r="J417" s="22" t="s">
        <v>374</v>
      </c>
      <c r="K417" s="22" t="s">
        <v>662</v>
      </c>
      <c r="L417" s="22" t="s">
        <v>152</v>
      </c>
      <c r="M417" s="22">
        <v>1</v>
      </c>
      <c r="S417" s="35">
        <f>IFERROR(
 (1.907*EXP(1)^(-0.5*tbl_CONTENT[[#This Row],[Layer]])) *
 ((tbl_CONTENT[[#This Row],[RelInt]]-1)^(2.5)*4^(1-2.5)+1) +
 ((tbl_CONTENT[[#This Row],[Comp]]-1)^(2.5)*4^(1-2.5)+1)*(0.5*((tbl_CONTENT[[#This Row],[RelInt]]-1)/4)^(2.5)+1),
 0
)</f>
        <v>0</v>
      </c>
      <c r="T417" s="35">
        <f>IFERROR(
 (1.907*EXP(1)^(-0.5*VALUE(tbl_CONTENT[[#This Row],[Layer]]))) *
 ((VALUE(tbl_CONTENT[[#This Row],[RelId]])-1)^(2.5)*4^(1-2.5)+1) +
 ((VALUE(tbl_CONTENT[[#This Row],[Comp]])-1)^(2.5)*4^(1-2.5)+1)*(0.5*((VALUE(tbl_CONTENT[[#This Row],[RelId]])-1)/4)^(2.5)+1),
 0
)</f>
        <v>0</v>
      </c>
      <c r="W417" s="22" t="str">
        <f>IFERROR(
  IF(_xlfn.XLOOKUP(tbl_CONTENT[[#This Row],[Topic]], tbl_TOPIC[Topic], tbl_TOPIC[ParentTopic])="", "",
       _xlfn.XLOOKUP(tbl_CONTENT[[#This Row],[Topic]], tbl_TOPIC[Topic], tbl_TOPIC[ParentTopic])),
  ""
)</f>
        <v>Interpretation der Wellenfunktion</v>
      </c>
      <c r="X417" s="22" t="str">
        <f>IFERROR(
  IF(_xlfn.XLOOKUP(tbl_CONTENT[[#This Row],[Topic]], tbl_TOPIC[Topic], tbl_TOPIC[TopicPath])="", "",
       _xlfn.XLOOKUP(tbl_CONTENT[[#This Row],[Topic]], tbl_TOPIC[Topic], tbl_TOPIC[TopicPath])),
  ""
)</f>
        <v>Schrödinger Gleichung/Interpretation der Wellenfunktion/Erwartungswert</v>
      </c>
    </row>
    <row r="418" spans="3:24" ht="17" x14ac:dyDescent="0.2">
      <c r="C418" s="22" t="str">
        <f>_xlfn.XLOOKUP(tbl_CONTENT[[#This Row],[TopicID]], tbl_TOPIC[TopicID], tbl_TOPIC[Subject], "")</f>
        <v>QM</v>
      </c>
      <c r="D4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QM-T12-13-07</v>
      </c>
      <c r="E418" s="22">
        <f>ROW()</f>
        <v>418</v>
      </c>
      <c r="F418" s="22" t="s">
        <v>1051</v>
      </c>
      <c r="G418" s="22" t="str">
        <f>_xlfn.XLOOKUP(tbl_CONTENT[[#This Row],[Topic]], tbl_TOPIC[Topic], tbl_TOPIC[TopicID], "")</f>
        <v>QM-1-13</v>
      </c>
      <c r="H418" s="22" cm="1">
        <f t="array" ref="H418">SUM((tbl_CONTENT[[#This Row],[TopicID]]=INDEX(tbl_CONTENT[TopicID],1):tbl_CONTENT[[#This Row],[TopicID]])*1)</f>
        <v>7</v>
      </c>
      <c r="I418" s="22" t="str">
        <f>_xlfn.XLOOKUP(tbl_CONTENT[[#This Row],[Topic]], tbl_TOPIC[Topic], tbl_TOPIC[TopicIndex], "")</f>
        <v>13</v>
      </c>
      <c r="J418" s="22" t="s">
        <v>374</v>
      </c>
      <c r="K418" s="22" t="s">
        <v>663</v>
      </c>
      <c r="L418" s="22" t="s">
        <v>380</v>
      </c>
      <c r="M418" s="22">
        <v>1</v>
      </c>
      <c r="S418" s="35">
        <f>IFERROR(
 (1.907*EXP(1)^(-0.5*tbl_CONTENT[[#This Row],[Layer]])) *
 ((tbl_CONTENT[[#This Row],[RelInt]]-1)^(2.5)*4^(1-2.5)+1) +
 ((tbl_CONTENT[[#This Row],[Comp]]-1)^(2.5)*4^(1-2.5)+1)*(0.5*((tbl_CONTENT[[#This Row],[RelInt]]-1)/4)^(2.5)+1),
 0
)</f>
        <v>0</v>
      </c>
      <c r="T418" s="35">
        <f>IFERROR(
 (1.907*EXP(1)^(-0.5*VALUE(tbl_CONTENT[[#This Row],[Layer]]))) *
 ((VALUE(tbl_CONTENT[[#This Row],[RelId]])-1)^(2.5)*4^(1-2.5)+1) +
 ((VALUE(tbl_CONTENT[[#This Row],[Comp]])-1)^(2.5)*4^(1-2.5)+1)*(0.5*((VALUE(tbl_CONTENT[[#This Row],[RelId]])-1)/4)^(2.5)+1),
 0
)</f>
        <v>0</v>
      </c>
      <c r="W418" s="22" t="str">
        <f>IFERROR(
  IF(_xlfn.XLOOKUP(tbl_CONTENT[[#This Row],[Topic]], tbl_TOPIC[Topic], tbl_TOPIC[ParentTopic])="", "",
       _xlfn.XLOOKUP(tbl_CONTENT[[#This Row],[Topic]], tbl_TOPIC[Topic], tbl_TOPIC[ParentTopic])),
  ""
)</f>
        <v>Interpretation der Wellenfunktion</v>
      </c>
      <c r="X418" s="22" t="str">
        <f>IFERROR(
  IF(_xlfn.XLOOKUP(tbl_CONTENT[[#This Row],[Topic]], tbl_TOPIC[Topic], tbl_TOPIC[TopicPath])="", "",
       _xlfn.XLOOKUP(tbl_CONTENT[[#This Row],[Topic]], tbl_TOPIC[Topic], tbl_TOPIC[TopicPath])),
  ""
)</f>
        <v>Schrödinger Gleichung/Interpretation der Wellenfunktion/Erwartungswert</v>
      </c>
    </row>
    <row r="419" spans="3:24" ht="34" x14ac:dyDescent="0.2">
      <c r="C419" s="22" t="str">
        <f>_xlfn.XLOOKUP(tbl_CONTENT[[#This Row],[TopicID]], tbl_TOPIC[TopicID], tbl_TOPIC[Subject], "")</f>
        <v>QM</v>
      </c>
      <c r="D4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QM-T12-14-01</v>
      </c>
      <c r="E419" s="22">
        <f>ROW()</f>
        <v>419</v>
      </c>
      <c r="F419" s="22" t="s">
        <v>1051</v>
      </c>
      <c r="G419" s="22" t="str">
        <f>_xlfn.XLOOKUP(tbl_CONTENT[[#This Row],[Topic]], tbl_TOPIC[Topic], tbl_TOPIC[TopicID], "")</f>
        <v>QM-1-14</v>
      </c>
      <c r="H419" s="22" cm="1">
        <f t="array" ref="H419">SUM((tbl_CONTENT[[#This Row],[TopicID]]=INDEX(tbl_CONTENT[TopicID],1):tbl_CONTENT[[#This Row],[TopicID]])*1)</f>
        <v>1</v>
      </c>
      <c r="I419" s="22" t="str">
        <f>_xlfn.XLOOKUP(tbl_CONTENT[[#This Row],[Topic]], tbl_TOPIC[Topic], tbl_TOPIC[TopicIndex], "")</f>
        <v>14</v>
      </c>
      <c r="J419" s="22" t="s">
        <v>375</v>
      </c>
      <c r="K419" s="22" t="s">
        <v>664</v>
      </c>
      <c r="L419" s="22" t="s">
        <v>380</v>
      </c>
      <c r="M419" s="22">
        <v>1</v>
      </c>
      <c r="S419" s="35">
        <f>IFERROR(
 (1.907*EXP(1)^(-0.5*tbl_CONTENT[[#This Row],[Layer]])) *
 ((tbl_CONTENT[[#This Row],[RelInt]]-1)^(2.5)*4^(1-2.5)+1) +
 ((tbl_CONTENT[[#This Row],[Comp]]-1)^(2.5)*4^(1-2.5)+1)*(0.5*((tbl_CONTENT[[#This Row],[RelInt]]-1)/4)^(2.5)+1),
 0
)</f>
        <v>0</v>
      </c>
      <c r="T419" s="35">
        <f>IFERROR(
 (1.907*EXP(1)^(-0.5*VALUE(tbl_CONTENT[[#This Row],[Layer]]))) *
 ((VALUE(tbl_CONTENT[[#This Row],[RelId]])-1)^(2.5)*4^(1-2.5)+1) +
 ((VALUE(tbl_CONTENT[[#This Row],[Comp]])-1)^(2.5)*4^(1-2.5)+1)*(0.5*((VALUE(tbl_CONTENT[[#This Row],[RelId]])-1)/4)^(2.5)+1),
 0
)</f>
        <v>0</v>
      </c>
      <c r="V419" s="22" t="s">
        <v>665</v>
      </c>
      <c r="W419" s="22" t="str">
        <f>IFERROR(
  IF(_xlfn.XLOOKUP(tbl_CONTENT[[#This Row],[Topic]], tbl_TOPIC[Topic], tbl_TOPIC[ParentTopic])="", "",
       _xlfn.XLOOKUP(tbl_CONTENT[[#This Row],[Topic]], tbl_TOPIC[Topic], tbl_TOPIC[ParentTopic])),
  ""
)</f>
        <v>Interpretation der Wellenfunktion</v>
      </c>
      <c r="X419" s="22" t="str">
        <f>IFERROR(
  IF(_xlfn.XLOOKUP(tbl_CONTENT[[#This Row],[Topic]], tbl_TOPIC[Topic], tbl_TOPIC[TopicPath])="", "",
       _xlfn.XLOOKUP(tbl_CONTENT[[#This Row],[Topic]], tbl_TOPIC[Topic], tbl_TOPIC[TopicPath])),
  ""
)</f>
        <v>Schrödinger Gleichung/Interpretation der Wellenfunktion/Beugung und Inferenz</v>
      </c>
    </row>
    <row r="420" spans="3:24" ht="34" x14ac:dyDescent="0.2">
      <c r="C420" s="22" t="str">
        <f>_xlfn.XLOOKUP(tbl_CONTENT[[#This Row],[TopicID]], tbl_TOPIC[TopicID], tbl_TOPIC[Subject], "")</f>
        <v>QM</v>
      </c>
      <c r="D4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QM-T12-14-02</v>
      </c>
      <c r="E420" s="22">
        <f>ROW()</f>
        <v>420</v>
      </c>
      <c r="F420" s="22" t="s">
        <v>1051</v>
      </c>
      <c r="G420" s="22" t="str">
        <f>_xlfn.XLOOKUP(tbl_CONTENT[[#This Row],[Topic]], tbl_TOPIC[Topic], tbl_TOPIC[TopicID], "")</f>
        <v>QM-1-14</v>
      </c>
      <c r="H420" s="22" cm="1">
        <f t="array" ref="H420">SUM((tbl_CONTENT[[#This Row],[TopicID]]=INDEX(tbl_CONTENT[TopicID],1):tbl_CONTENT[[#This Row],[TopicID]])*1)</f>
        <v>2</v>
      </c>
      <c r="I420" s="22" t="str">
        <f>_xlfn.XLOOKUP(tbl_CONTENT[[#This Row],[Topic]], tbl_TOPIC[Topic], tbl_TOPIC[TopicIndex], "")</f>
        <v>14</v>
      </c>
      <c r="J420" s="22" t="s">
        <v>375</v>
      </c>
      <c r="K420" s="22" t="s">
        <v>666</v>
      </c>
      <c r="L420" s="22" t="s">
        <v>380</v>
      </c>
      <c r="M420" s="22">
        <v>1</v>
      </c>
      <c r="S420" s="35">
        <f>IFERROR(
 (1.907*EXP(1)^(-0.5*tbl_CONTENT[[#This Row],[Layer]])) *
 ((tbl_CONTENT[[#This Row],[RelInt]]-1)^(2.5)*4^(1-2.5)+1) +
 ((tbl_CONTENT[[#This Row],[Comp]]-1)^(2.5)*4^(1-2.5)+1)*(0.5*((tbl_CONTENT[[#This Row],[RelInt]]-1)/4)^(2.5)+1),
 0
)</f>
        <v>0</v>
      </c>
      <c r="T420" s="35">
        <f>IFERROR(
 (1.907*EXP(1)^(-0.5*VALUE(tbl_CONTENT[[#This Row],[Layer]]))) *
 ((VALUE(tbl_CONTENT[[#This Row],[RelId]])-1)^(2.5)*4^(1-2.5)+1) +
 ((VALUE(tbl_CONTENT[[#This Row],[Comp]])-1)^(2.5)*4^(1-2.5)+1)*(0.5*((VALUE(tbl_CONTENT[[#This Row],[RelId]])-1)/4)^(2.5)+1),
 0
)</f>
        <v>0</v>
      </c>
      <c r="W420" s="22" t="str">
        <f>IFERROR(
  IF(_xlfn.XLOOKUP(tbl_CONTENT[[#This Row],[Topic]], tbl_TOPIC[Topic], tbl_TOPIC[ParentTopic])="", "",
       _xlfn.XLOOKUP(tbl_CONTENT[[#This Row],[Topic]], tbl_TOPIC[Topic], tbl_TOPIC[ParentTopic])),
  ""
)</f>
        <v>Interpretation der Wellenfunktion</v>
      </c>
      <c r="X420" s="22" t="str">
        <f>IFERROR(
  IF(_xlfn.XLOOKUP(tbl_CONTENT[[#This Row],[Topic]], tbl_TOPIC[Topic], tbl_TOPIC[TopicPath])="", "",
       _xlfn.XLOOKUP(tbl_CONTENT[[#This Row],[Topic]], tbl_TOPIC[Topic], tbl_TOPIC[TopicPath])),
  ""
)</f>
        <v>Schrödinger Gleichung/Interpretation der Wellenfunktion/Beugung und Inferenz</v>
      </c>
    </row>
    <row r="421" spans="3:24" ht="17" x14ac:dyDescent="0.2">
      <c r="C421" s="22" t="str">
        <f>_xlfn.XLOOKUP(tbl_CONTENT[[#This Row],[TopicID]], tbl_TOPIC[TopicID], tbl_TOPIC[Subject], "")</f>
        <v>QM</v>
      </c>
      <c r="D4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QM-T12-14-03</v>
      </c>
      <c r="E421" s="22">
        <f>ROW()</f>
        <v>421</v>
      </c>
      <c r="F421" s="22" t="s">
        <v>1051</v>
      </c>
      <c r="G421" s="22" t="str">
        <f>_xlfn.XLOOKUP(tbl_CONTENT[[#This Row],[Topic]], tbl_TOPIC[Topic], tbl_TOPIC[TopicID], "")</f>
        <v>QM-1-14</v>
      </c>
      <c r="H421" s="22" cm="1">
        <f t="array" ref="H421">SUM((tbl_CONTENT[[#This Row],[TopicID]]=INDEX(tbl_CONTENT[TopicID],1):tbl_CONTENT[[#This Row],[TopicID]])*1)</f>
        <v>3</v>
      </c>
      <c r="I421" s="22" t="str">
        <f>_xlfn.XLOOKUP(tbl_CONTENT[[#This Row],[Topic]], tbl_TOPIC[Topic], tbl_TOPIC[TopicIndex], "")</f>
        <v>14</v>
      </c>
      <c r="J421" s="22" t="s">
        <v>375</v>
      </c>
      <c r="K421" s="22" t="s">
        <v>667</v>
      </c>
      <c r="L421" s="22" t="s">
        <v>380</v>
      </c>
      <c r="M421" s="22">
        <v>1</v>
      </c>
      <c r="S421" s="35">
        <f>IFERROR(
 (1.907*EXP(1)^(-0.5*tbl_CONTENT[[#This Row],[Layer]])) *
 ((tbl_CONTENT[[#This Row],[RelInt]]-1)^(2.5)*4^(1-2.5)+1) +
 ((tbl_CONTENT[[#This Row],[Comp]]-1)^(2.5)*4^(1-2.5)+1)*(0.5*((tbl_CONTENT[[#This Row],[RelInt]]-1)/4)^(2.5)+1),
 0
)</f>
        <v>0</v>
      </c>
      <c r="T421" s="35">
        <f>IFERROR(
 (1.907*EXP(1)^(-0.5*VALUE(tbl_CONTENT[[#This Row],[Layer]]))) *
 ((VALUE(tbl_CONTENT[[#This Row],[RelId]])-1)^(2.5)*4^(1-2.5)+1) +
 ((VALUE(tbl_CONTENT[[#This Row],[Comp]])-1)^(2.5)*4^(1-2.5)+1)*(0.5*((VALUE(tbl_CONTENT[[#This Row],[RelId]])-1)/4)^(2.5)+1),
 0
)</f>
        <v>0</v>
      </c>
      <c r="W421" s="22" t="str">
        <f>IFERROR(
  IF(_xlfn.XLOOKUP(tbl_CONTENT[[#This Row],[Topic]], tbl_TOPIC[Topic], tbl_TOPIC[ParentTopic])="", "",
       _xlfn.XLOOKUP(tbl_CONTENT[[#This Row],[Topic]], tbl_TOPIC[Topic], tbl_TOPIC[ParentTopic])),
  ""
)</f>
        <v>Interpretation der Wellenfunktion</v>
      </c>
      <c r="X421" s="22" t="str">
        <f>IFERROR(
  IF(_xlfn.XLOOKUP(tbl_CONTENT[[#This Row],[Topic]], tbl_TOPIC[Topic], tbl_TOPIC[TopicPath])="", "",
       _xlfn.XLOOKUP(tbl_CONTENT[[#This Row],[Topic]], tbl_TOPIC[Topic], tbl_TOPIC[TopicPath])),
  ""
)</f>
        <v>Schrödinger Gleichung/Interpretation der Wellenfunktion/Beugung und Inferenz</v>
      </c>
    </row>
    <row r="422" spans="3:24" ht="34" x14ac:dyDescent="0.2">
      <c r="C422" s="22" t="str">
        <f>_xlfn.XLOOKUP(tbl_CONTENT[[#This Row],[TopicID]], tbl_TOPIC[TopicID], tbl_TOPIC[Subject], "")</f>
        <v>QM</v>
      </c>
      <c r="D4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QM-T12-16-01</v>
      </c>
      <c r="E422" s="22">
        <f>ROW()</f>
        <v>422</v>
      </c>
      <c r="F422" s="22" t="s">
        <v>1051</v>
      </c>
      <c r="G422" s="22" t="str">
        <f>_xlfn.XLOOKUP(tbl_CONTENT[[#This Row],[Topic]], tbl_TOPIC[Topic], tbl_TOPIC[TopicID], "")</f>
        <v>QM-1-16</v>
      </c>
      <c r="H422" s="22" cm="1">
        <f t="array" ref="H422">SUM((tbl_CONTENT[[#This Row],[TopicID]]=INDEX(tbl_CONTENT[TopicID],1):tbl_CONTENT[[#This Row],[TopicID]])*1)</f>
        <v>1</v>
      </c>
      <c r="I422" s="22" t="str">
        <f>_xlfn.XLOOKUP(tbl_CONTENT[[#This Row],[Topic]], tbl_TOPIC[Topic], tbl_TOPIC[TopicIndex], "")</f>
        <v>16</v>
      </c>
      <c r="J422" s="22" t="s">
        <v>377</v>
      </c>
      <c r="K422" s="22" t="s">
        <v>668</v>
      </c>
      <c r="L422" s="22" t="s">
        <v>152</v>
      </c>
      <c r="M422" s="22">
        <v>1</v>
      </c>
      <c r="S422" s="35">
        <f>IFERROR(
 (1.907*EXP(1)^(-0.5*tbl_CONTENT[[#This Row],[Layer]])) *
 ((tbl_CONTENT[[#This Row],[RelInt]]-1)^(2.5)*4^(1-2.5)+1) +
 ((tbl_CONTENT[[#This Row],[Comp]]-1)^(2.5)*4^(1-2.5)+1)*(0.5*((tbl_CONTENT[[#This Row],[RelInt]]-1)/4)^(2.5)+1),
 0
)</f>
        <v>0</v>
      </c>
      <c r="T422" s="35">
        <f>IFERROR(
 (1.907*EXP(1)^(-0.5*VALUE(tbl_CONTENT[[#This Row],[Layer]]))) *
 ((VALUE(tbl_CONTENT[[#This Row],[RelId]])-1)^(2.5)*4^(1-2.5)+1) +
 ((VALUE(tbl_CONTENT[[#This Row],[Comp]])-1)^(2.5)*4^(1-2.5)+1)*(0.5*((VALUE(tbl_CONTENT[[#This Row],[RelId]])-1)/4)^(2.5)+1),
 0
)</f>
        <v>0</v>
      </c>
      <c r="W422" s="22" t="str">
        <f>IFERROR(
  IF(_xlfn.XLOOKUP(tbl_CONTENT[[#This Row],[Topic]], tbl_TOPIC[Topic], tbl_TOPIC[ParentTopic])="", "",
       _xlfn.XLOOKUP(tbl_CONTENT[[#This Row],[Topic]], tbl_TOPIC[Topic], tbl_TOPIC[ParentTopic])),
  ""
)</f>
        <v>Ehrenfest Theorem</v>
      </c>
      <c r="X422" s="22" t="str">
        <f>IFERROR(
  IF(_xlfn.XLOOKUP(tbl_CONTENT[[#This Row],[Topic]], tbl_TOPIC[Topic], tbl_TOPIC[TopicPath])="", "",
       _xlfn.XLOOKUP(tbl_CONTENT[[#This Row],[Topic]], tbl_TOPIC[Topic], tbl_TOPIC[TopicPath])),
  ""
)</f>
        <v>Schrödinger Gleichung/Ehrenfest Theorem/Hermitisch konjugierte Operatoren</v>
      </c>
    </row>
    <row r="423" spans="3:24" ht="34" x14ac:dyDescent="0.2">
      <c r="C423" s="22" t="str">
        <f>_xlfn.XLOOKUP(tbl_CONTENT[[#This Row],[TopicID]], tbl_TOPIC[TopicID], tbl_TOPIC[Subject], "")</f>
        <v>QM</v>
      </c>
      <c r="D4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QM-T12-16-02</v>
      </c>
      <c r="E423" s="22">
        <f>ROW()</f>
        <v>423</v>
      </c>
      <c r="F423" s="22" t="s">
        <v>1051</v>
      </c>
      <c r="G423" s="22" t="str">
        <f>_xlfn.XLOOKUP(tbl_CONTENT[[#This Row],[Topic]], tbl_TOPIC[Topic], tbl_TOPIC[TopicID], "")</f>
        <v>QM-1-16</v>
      </c>
      <c r="H423" s="22" cm="1">
        <f t="array" ref="H423">SUM((tbl_CONTENT[[#This Row],[TopicID]]=INDEX(tbl_CONTENT[TopicID],1):tbl_CONTENT[[#This Row],[TopicID]])*1)</f>
        <v>2</v>
      </c>
      <c r="I423" s="22" t="str">
        <f>_xlfn.XLOOKUP(tbl_CONTENT[[#This Row],[Topic]], tbl_TOPIC[Topic], tbl_TOPIC[TopicIndex], "")</f>
        <v>16</v>
      </c>
      <c r="J423" s="22" t="s">
        <v>377</v>
      </c>
      <c r="K423" s="22" t="s">
        <v>1003</v>
      </c>
      <c r="L423" s="22" t="s">
        <v>151</v>
      </c>
      <c r="M423" s="22">
        <v>1</v>
      </c>
      <c r="S423" s="35">
        <f>IFERROR(
 (1.907*EXP(1)^(-0.5*tbl_CONTENT[[#This Row],[Layer]])) *
 ((tbl_CONTENT[[#This Row],[RelInt]]-1)^(2.5)*4^(1-2.5)+1) +
 ((tbl_CONTENT[[#This Row],[Comp]]-1)^(2.5)*4^(1-2.5)+1)*(0.5*((tbl_CONTENT[[#This Row],[RelInt]]-1)/4)^(2.5)+1),
 0
)</f>
        <v>0</v>
      </c>
      <c r="T423" s="35">
        <f>IFERROR(
 (1.907*EXP(1)^(-0.5*VALUE(tbl_CONTENT[[#This Row],[Layer]]))) *
 ((VALUE(tbl_CONTENT[[#This Row],[RelId]])-1)^(2.5)*4^(1-2.5)+1) +
 ((VALUE(tbl_CONTENT[[#This Row],[Comp]])-1)^(2.5)*4^(1-2.5)+1)*(0.5*((VALUE(tbl_CONTENT[[#This Row],[RelId]])-1)/4)^(2.5)+1),
 0
)</f>
        <v>0</v>
      </c>
      <c r="W423" s="22" t="str">
        <f>IFERROR(
  IF(_xlfn.XLOOKUP(tbl_CONTENT[[#This Row],[Topic]], tbl_TOPIC[Topic], tbl_TOPIC[ParentTopic])="", "",
       _xlfn.XLOOKUP(tbl_CONTENT[[#This Row],[Topic]], tbl_TOPIC[Topic], tbl_TOPIC[ParentTopic])),
  ""
)</f>
        <v>Ehrenfest Theorem</v>
      </c>
      <c r="X423" s="22" t="str">
        <f>IFERROR(
  IF(_xlfn.XLOOKUP(tbl_CONTENT[[#This Row],[Topic]], tbl_TOPIC[Topic], tbl_TOPIC[TopicPath])="", "",
       _xlfn.XLOOKUP(tbl_CONTENT[[#This Row],[Topic]], tbl_TOPIC[Topic], tbl_TOPIC[TopicPath])),
  ""
)</f>
        <v>Schrödinger Gleichung/Ehrenfest Theorem/Hermitisch konjugierte Operatoren</v>
      </c>
    </row>
    <row r="424" spans="3:24" ht="34" x14ac:dyDescent="0.2">
      <c r="C424" s="22" t="str">
        <f>_xlfn.XLOOKUP(tbl_CONTENT[[#This Row],[TopicID]], tbl_TOPIC[TopicID], tbl_TOPIC[Subject], "")</f>
        <v>QM</v>
      </c>
      <c r="D4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QM-T12-16-03</v>
      </c>
      <c r="E424" s="22">
        <f>ROW()</f>
        <v>424</v>
      </c>
      <c r="F424" s="22" t="s">
        <v>1051</v>
      </c>
      <c r="G424" s="22" t="str">
        <f>_xlfn.XLOOKUP(tbl_CONTENT[[#This Row],[Topic]], tbl_TOPIC[Topic], tbl_TOPIC[TopicID], "")</f>
        <v>QM-1-16</v>
      </c>
      <c r="H424" s="22" cm="1">
        <f t="array" ref="H424">SUM((tbl_CONTENT[[#This Row],[TopicID]]=INDEX(tbl_CONTENT[TopicID],1):tbl_CONTENT[[#This Row],[TopicID]])*1)</f>
        <v>3</v>
      </c>
      <c r="I424" s="22" t="str">
        <f>_xlfn.XLOOKUP(tbl_CONTENT[[#This Row],[Topic]], tbl_TOPIC[Topic], tbl_TOPIC[TopicIndex], "")</f>
        <v>16</v>
      </c>
      <c r="J424" s="22" t="s">
        <v>377</v>
      </c>
      <c r="K424" s="22" t="s">
        <v>670</v>
      </c>
      <c r="L424" s="22" t="s">
        <v>380</v>
      </c>
      <c r="S424" s="35">
        <f>IFERROR(
 (1.907*EXP(1)^(-0.5*tbl_CONTENT[[#This Row],[Layer]])) *
 ((tbl_CONTENT[[#This Row],[RelInt]]-1)^(2.5)*4^(1-2.5)+1) +
 ((tbl_CONTENT[[#This Row],[Comp]]-1)^(2.5)*4^(1-2.5)+1)*(0.5*((tbl_CONTENT[[#This Row],[RelInt]]-1)/4)^(2.5)+1),
 0
)</f>
        <v>0</v>
      </c>
      <c r="T424" s="35">
        <f>IFERROR(
 (1.907*EXP(1)^(-0.5*VALUE(tbl_CONTENT[[#This Row],[Layer]]))) *
 ((VALUE(tbl_CONTENT[[#This Row],[RelId]])-1)^(2.5)*4^(1-2.5)+1) +
 ((VALUE(tbl_CONTENT[[#This Row],[Comp]])-1)^(2.5)*4^(1-2.5)+1)*(0.5*((VALUE(tbl_CONTENT[[#This Row],[RelId]])-1)/4)^(2.5)+1),
 0
)</f>
        <v>0</v>
      </c>
      <c r="W424" s="22" t="str">
        <f>IFERROR(
  IF(_xlfn.XLOOKUP(tbl_CONTENT[[#This Row],[Topic]], tbl_TOPIC[Topic], tbl_TOPIC[ParentTopic])="", "",
       _xlfn.XLOOKUP(tbl_CONTENT[[#This Row],[Topic]], tbl_TOPIC[Topic], tbl_TOPIC[ParentTopic])),
  ""
)</f>
        <v>Ehrenfest Theorem</v>
      </c>
      <c r="X424" s="22" t="str">
        <f>IFERROR(
  IF(_xlfn.XLOOKUP(tbl_CONTENT[[#This Row],[Topic]], tbl_TOPIC[Topic], tbl_TOPIC[TopicPath])="", "",
       _xlfn.XLOOKUP(tbl_CONTENT[[#This Row],[Topic]], tbl_TOPIC[Topic], tbl_TOPIC[TopicPath])),
  ""
)</f>
        <v>Schrödinger Gleichung/Ehrenfest Theorem/Hermitisch konjugierte Operatoren</v>
      </c>
    </row>
    <row r="425" spans="3:24" ht="34" x14ac:dyDescent="0.2">
      <c r="C425" s="22" t="str">
        <f>_xlfn.XLOOKUP(tbl_CONTENT[[#This Row],[TopicID]], tbl_TOPIC[TopicID], tbl_TOPIC[Subject], "")</f>
        <v>QM</v>
      </c>
      <c r="D4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QM-T12-16-04</v>
      </c>
      <c r="E425" s="22">
        <f>ROW()</f>
        <v>425</v>
      </c>
      <c r="F425" s="22" t="s">
        <v>1051</v>
      </c>
      <c r="G425" s="22" t="str">
        <f>_xlfn.XLOOKUP(tbl_CONTENT[[#This Row],[Topic]], tbl_TOPIC[Topic], tbl_TOPIC[TopicID], "")</f>
        <v>QM-1-16</v>
      </c>
      <c r="H425" s="22" cm="1">
        <f t="array" ref="H425">SUM((tbl_CONTENT[[#This Row],[TopicID]]=INDEX(tbl_CONTENT[TopicID],1):tbl_CONTENT[[#This Row],[TopicID]])*1)</f>
        <v>4</v>
      </c>
      <c r="I425" s="22" t="str">
        <f>_xlfn.XLOOKUP(tbl_CONTENT[[#This Row],[Topic]], tbl_TOPIC[Topic], tbl_TOPIC[TopicIndex], "")</f>
        <v>16</v>
      </c>
      <c r="J425" s="22" t="s">
        <v>377</v>
      </c>
      <c r="K425" s="22" t="s">
        <v>671</v>
      </c>
      <c r="L425" s="22" t="s">
        <v>152</v>
      </c>
      <c r="S425" s="35">
        <f>IFERROR(
 (1.907*EXP(1)^(-0.5*tbl_CONTENT[[#This Row],[Layer]])) *
 ((tbl_CONTENT[[#This Row],[RelInt]]-1)^(2.5)*4^(1-2.5)+1) +
 ((tbl_CONTENT[[#This Row],[Comp]]-1)^(2.5)*4^(1-2.5)+1)*(0.5*((tbl_CONTENT[[#This Row],[RelInt]]-1)/4)^(2.5)+1),
 0
)</f>
        <v>0</v>
      </c>
      <c r="T425" s="35">
        <f>IFERROR(
 (1.907*EXP(1)^(-0.5*VALUE(tbl_CONTENT[[#This Row],[Layer]]))) *
 ((VALUE(tbl_CONTENT[[#This Row],[RelId]])-1)^(2.5)*4^(1-2.5)+1) +
 ((VALUE(tbl_CONTENT[[#This Row],[Comp]])-1)^(2.5)*4^(1-2.5)+1)*(0.5*((VALUE(tbl_CONTENT[[#This Row],[RelId]])-1)/4)^(2.5)+1),
 0
)</f>
        <v>0</v>
      </c>
      <c r="W425" s="22" t="str">
        <f>IFERROR(
  IF(_xlfn.XLOOKUP(tbl_CONTENT[[#This Row],[Topic]], tbl_TOPIC[Topic], tbl_TOPIC[ParentTopic])="", "",
       _xlfn.XLOOKUP(tbl_CONTENT[[#This Row],[Topic]], tbl_TOPIC[Topic], tbl_TOPIC[ParentTopic])),
  ""
)</f>
        <v>Ehrenfest Theorem</v>
      </c>
      <c r="X425" s="22" t="str">
        <f>IFERROR(
  IF(_xlfn.XLOOKUP(tbl_CONTENT[[#This Row],[Topic]], tbl_TOPIC[Topic], tbl_TOPIC[TopicPath])="", "",
       _xlfn.XLOOKUP(tbl_CONTENT[[#This Row],[Topic]], tbl_TOPIC[Topic], tbl_TOPIC[TopicPath])),
  ""
)</f>
        <v>Schrödinger Gleichung/Ehrenfest Theorem/Hermitisch konjugierte Operatoren</v>
      </c>
    </row>
    <row r="426" spans="3:24" ht="34" x14ac:dyDescent="0.2">
      <c r="C426" s="62" t="str">
        <f>_xlfn.XLOOKUP(tbl_CONTENT[[#This Row],[TopicID]], tbl_TOPIC[TopicID], tbl_TOPIC[Subject], "")</f>
        <v>QM</v>
      </c>
      <c r="D42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QM-T12-16-05</v>
      </c>
      <c r="E426" s="62">
        <f>ROW()</f>
        <v>426</v>
      </c>
      <c r="F426" s="22" t="s">
        <v>1051</v>
      </c>
      <c r="G426" s="22" t="str">
        <f>_xlfn.XLOOKUP(tbl_CONTENT[[#This Row],[Topic]], tbl_TOPIC[Topic], tbl_TOPIC[TopicID], "")</f>
        <v>QM-1-16</v>
      </c>
      <c r="H426" s="62" cm="1">
        <f t="array" ref="H426">SUM((tbl_CONTENT[[#This Row],[TopicID]]=INDEX(tbl_CONTENT[TopicID],1):tbl_CONTENT[[#This Row],[TopicID]])*1)</f>
        <v>5</v>
      </c>
      <c r="I426" s="62" t="str">
        <f>_xlfn.XLOOKUP(tbl_CONTENT[[#This Row],[Topic]], tbl_TOPIC[Topic], tbl_TOPIC[TopicIndex], "")</f>
        <v>16</v>
      </c>
      <c r="J426" s="22" t="s">
        <v>377</v>
      </c>
      <c r="K426" s="22" t="s">
        <v>905</v>
      </c>
      <c r="L426" s="22" t="s">
        <v>380</v>
      </c>
      <c r="M426" s="22">
        <v>1</v>
      </c>
      <c r="R426" s="62"/>
      <c r="S426" s="35">
        <f>IFERROR(
 (1.907*EXP(1)^(-0.5*tbl_CONTENT[[#This Row],[Layer]])) *
 ((tbl_CONTENT[[#This Row],[RelInt]]-1)^(2.5)*4^(1-2.5)+1) +
 ((tbl_CONTENT[[#This Row],[Comp]]-1)^(2.5)*4^(1-2.5)+1)*(0.5*((tbl_CONTENT[[#This Row],[RelInt]]-1)/4)^(2.5)+1),
 0
)</f>
        <v>0</v>
      </c>
      <c r="T426" s="35">
        <f>IFERROR(
 (1.907*EXP(1)^(-0.5*VALUE(tbl_CONTENT[[#This Row],[Layer]]))) *
 ((VALUE(tbl_CONTENT[[#This Row],[RelId]])-1)^(2.5)*4^(1-2.5)+1) +
 ((VALUE(tbl_CONTENT[[#This Row],[Comp]])-1)^(2.5)*4^(1-2.5)+1)*(0.5*((VALUE(tbl_CONTENT[[#This Row],[RelId]])-1)/4)^(2.5)+1),
 0
)</f>
        <v>0</v>
      </c>
      <c r="V426" s="62"/>
      <c r="W426" s="22" t="str">
        <f>IFERROR(
  IF(_xlfn.XLOOKUP(tbl_CONTENT[[#This Row],[Topic]], tbl_TOPIC[Topic], tbl_TOPIC[ParentTopic])="", "",
       _xlfn.XLOOKUP(tbl_CONTENT[[#This Row],[Topic]], tbl_TOPIC[Topic], tbl_TOPIC[ParentTopic])),
  ""
)</f>
        <v>Ehrenfest Theorem</v>
      </c>
      <c r="X426" s="22" t="str">
        <f>IFERROR(
  IF(_xlfn.XLOOKUP(tbl_CONTENT[[#This Row],[Topic]], tbl_TOPIC[Topic], tbl_TOPIC[TopicPath])="", "",
       _xlfn.XLOOKUP(tbl_CONTENT[[#This Row],[Topic]], tbl_TOPIC[Topic], tbl_TOPIC[TopicPath])),
  ""
)</f>
        <v>Schrödinger Gleichung/Ehrenfest Theorem/Hermitisch konjugierte Operatoren</v>
      </c>
    </row>
    <row r="427" spans="3:24" ht="34" x14ac:dyDescent="0.2">
      <c r="C427" s="22" t="str">
        <f>_xlfn.XLOOKUP(tbl_CONTENT[[#This Row],[TopicID]], tbl_TOPIC[TopicID], tbl_TOPIC[Subject], "")</f>
        <v>QM</v>
      </c>
      <c r="D4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QM-T12-17-01</v>
      </c>
      <c r="E427" s="22">
        <f>ROW()</f>
        <v>427</v>
      </c>
      <c r="F427" s="22" t="s">
        <v>1051</v>
      </c>
      <c r="G427" s="22" t="str">
        <f>_xlfn.XLOOKUP(tbl_CONTENT[[#This Row],[Topic]], tbl_TOPIC[Topic], tbl_TOPIC[TopicID], "")</f>
        <v>QM-1-17</v>
      </c>
      <c r="H427" s="22" cm="1">
        <f t="array" ref="H427">SUM((tbl_CONTENT[[#This Row],[TopicID]]=INDEX(tbl_CONTENT[TopicID],1):tbl_CONTENT[[#This Row],[TopicID]])*1)</f>
        <v>1</v>
      </c>
      <c r="I427" s="22" t="str">
        <f>_xlfn.XLOOKUP(tbl_CONTENT[[#This Row],[Topic]], tbl_TOPIC[Topic], tbl_TOPIC[TopicIndex], "")</f>
        <v>17</v>
      </c>
      <c r="J427" s="22" t="s">
        <v>378</v>
      </c>
      <c r="K427" s="22" t="s">
        <v>672</v>
      </c>
      <c r="L427" s="22" t="s">
        <v>380</v>
      </c>
      <c r="M427" s="22">
        <v>1</v>
      </c>
      <c r="S427" s="35">
        <f>IFERROR(
 (1.907*EXP(1)^(-0.5*tbl_CONTENT[[#This Row],[Layer]])) *
 ((tbl_CONTENT[[#This Row],[RelInt]]-1)^(2.5)*4^(1-2.5)+1) +
 ((tbl_CONTENT[[#This Row],[Comp]]-1)^(2.5)*4^(1-2.5)+1)*(0.5*((tbl_CONTENT[[#This Row],[RelInt]]-1)/4)^(2.5)+1),
 0
)</f>
        <v>0</v>
      </c>
      <c r="T427" s="35">
        <f>IFERROR(
 (1.907*EXP(1)^(-0.5*VALUE(tbl_CONTENT[[#This Row],[Layer]]))) *
 ((VALUE(tbl_CONTENT[[#This Row],[RelId]])-1)^(2.5)*4^(1-2.5)+1) +
 ((VALUE(tbl_CONTENT[[#This Row],[Comp]])-1)^(2.5)*4^(1-2.5)+1)*(0.5*((VALUE(tbl_CONTENT[[#This Row],[RelId]])-1)/4)^(2.5)+1),
 0
)</f>
        <v>0</v>
      </c>
      <c r="W427" s="22" t="str">
        <f>IFERROR(
  IF(_xlfn.XLOOKUP(tbl_CONTENT[[#This Row],[Topic]], tbl_TOPIC[Topic], tbl_TOPIC[ParentTopic])="", "",
       _xlfn.XLOOKUP(tbl_CONTENT[[#This Row],[Topic]], tbl_TOPIC[Topic], tbl_TOPIC[ParentTopic])),
  ""
)</f>
        <v>Ehrenfest Theorem</v>
      </c>
      <c r="X427" s="22" t="str">
        <f>IFERROR(
  IF(_xlfn.XLOOKUP(tbl_CONTENT[[#This Row],[Topic]], tbl_TOPIC[Topic], tbl_TOPIC[TopicPath])="", "",
       _xlfn.XLOOKUP(tbl_CONTENT[[#This Row],[Topic]], tbl_TOPIC[Topic], tbl_TOPIC[TopicPath])),
  ""
)</f>
        <v>Schrödinger Gleichung/Ehrenfest Theorem/Bewegungsgleichung für Erwartungswert</v>
      </c>
    </row>
    <row r="428" spans="3:24" ht="34" x14ac:dyDescent="0.2">
      <c r="C428" s="22" t="str">
        <f>_xlfn.XLOOKUP(tbl_CONTENT[[#This Row],[TopicID]], tbl_TOPIC[TopicID], tbl_TOPIC[Subject], "")</f>
        <v>QM</v>
      </c>
      <c r="D4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QM-T12-17-02</v>
      </c>
      <c r="E428" s="22">
        <f>ROW()</f>
        <v>428</v>
      </c>
      <c r="F428" s="22" t="s">
        <v>1051</v>
      </c>
      <c r="G428" s="22" t="str">
        <f>_xlfn.XLOOKUP(tbl_CONTENT[[#This Row],[Topic]], tbl_TOPIC[Topic], tbl_TOPIC[TopicID], "")</f>
        <v>QM-1-17</v>
      </c>
      <c r="H428" s="22" cm="1">
        <f t="array" ref="H428">SUM((tbl_CONTENT[[#This Row],[TopicID]]=INDEX(tbl_CONTENT[TopicID],1):tbl_CONTENT[[#This Row],[TopicID]])*1)</f>
        <v>2</v>
      </c>
      <c r="I428" s="22" t="str">
        <f>_xlfn.XLOOKUP(tbl_CONTENT[[#This Row],[Topic]], tbl_TOPIC[Topic], tbl_TOPIC[TopicIndex], "")</f>
        <v>17</v>
      </c>
      <c r="J428" s="22" t="s">
        <v>378</v>
      </c>
      <c r="K428" s="22" t="s">
        <v>673</v>
      </c>
      <c r="L428" s="22" t="s">
        <v>380</v>
      </c>
      <c r="M428" s="22">
        <v>1</v>
      </c>
      <c r="S428" s="35">
        <f>IFERROR(
 (1.907*EXP(1)^(-0.5*tbl_CONTENT[[#This Row],[Layer]])) *
 ((tbl_CONTENT[[#This Row],[RelInt]]-1)^(2.5)*4^(1-2.5)+1) +
 ((tbl_CONTENT[[#This Row],[Comp]]-1)^(2.5)*4^(1-2.5)+1)*(0.5*((tbl_CONTENT[[#This Row],[RelInt]]-1)/4)^(2.5)+1),
 0
)</f>
        <v>0</v>
      </c>
      <c r="T428" s="35">
        <f>IFERROR(
 (1.907*EXP(1)^(-0.5*VALUE(tbl_CONTENT[[#This Row],[Layer]]))) *
 ((VALUE(tbl_CONTENT[[#This Row],[RelId]])-1)^(2.5)*4^(1-2.5)+1) +
 ((VALUE(tbl_CONTENT[[#This Row],[Comp]])-1)^(2.5)*4^(1-2.5)+1)*(0.5*((VALUE(tbl_CONTENT[[#This Row],[RelId]])-1)/4)^(2.5)+1),
 0
)</f>
        <v>0</v>
      </c>
      <c r="W428" s="22" t="str">
        <f>IFERROR(
  IF(_xlfn.XLOOKUP(tbl_CONTENT[[#This Row],[Topic]], tbl_TOPIC[Topic], tbl_TOPIC[ParentTopic])="", "",
       _xlfn.XLOOKUP(tbl_CONTENT[[#This Row],[Topic]], tbl_TOPIC[Topic], tbl_TOPIC[ParentTopic])),
  ""
)</f>
        <v>Ehrenfest Theorem</v>
      </c>
      <c r="X428" s="22" t="str">
        <f>IFERROR(
  IF(_xlfn.XLOOKUP(tbl_CONTENT[[#This Row],[Topic]], tbl_TOPIC[Topic], tbl_TOPIC[TopicPath])="", "",
       _xlfn.XLOOKUP(tbl_CONTENT[[#This Row],[Topic]], tbl_TOPIC[Topic], tbl_TOPIC[TopicPath])),
  ""
)</f>
        <v>Schrödinger Gleichung/Ehrenfest Theorem/Bewegungsgleichung für Erwartungswert</v>
      </c>
    </row>
    <row r="429" spans="3:24" ht="51" x14ac:dyDescent="0.2">
      <c r="C429" s="22" t="str">
        <f>_xlfn.XLOOKUP(tbl_CONTENT[[#This Row],[TopicID]], tbl_TOPIC[TopicID], tbl_TOPIC[Subject], "")</f>
        <v>QM</v>
      </c>
      <c r="D4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QM-T12-18-01</v>
      </c>
      <c r="E429" s="22">
        <f>ROW()</f>
        <v>429</v>
      </c>
      <c r="F429" s="22" t="s">
        <v>1051</v>
      </c>
      <c r="G429" s="22" t="str">
        <f>_xlfn.XLOOKUP(tbl_CONTENT[[#This Row],[Topic]], tbl_TOPIC[Topic], tbl_TOPIC[TopicID], "")</f>
        <v>QM-1-18</v>
      </c>
      <c r="H429" s="22" cm="1">
        <f t="array" ref="H429">SUM((tbl_CONTENT[[#This Row],[TopicID]]=INDEX(tbl_CONTENT[TopicID],1):tbl_CONTENT[[#This Row],[TopicID]])*1)</f>
        <v>1</v>
      </c>
      <c r="I429" s="22" t="str">
        <f>_xlfn.XLOOKUP(tbl_CONTENT[[#This Row],[Topic]], tbl_TOPIC[Topic], tbl_TOPIC[TopicIndex], "")</f>
        <v>18</v>
      </c>
      <c r="J429" s="22" t="s">
        <v>379</v>
      </c>
      <c r="K429" s="22" t="s">
        <v>674</v>
      </c>
      <c r="L429" s="22" t="s">
        <v>380</v>
      </c>
      <c r="M429" s="22">
        <v>1</v>
      </c>
      <c r="S429" s="35">
        <f>IFERROR(
 (1.907*EXP(1)^(-0.5*tbl_CONTENT[[#This Row],[Layer]])) *
 ((tbl_CONTENT[[#This Row],[RelInt]]-1)^(2.5)*4^(1-2.5)+1) +
 ((tbl_CONTENT[[#This Row],[Comp]]-1)^(2.5)*4^(1-2.5)+1)*(0.5*((tbl_CONTENT[[#This Row],[RelInt]]-1)/4)^(2.5)+1),
 0
)</f>
        <v>0</v>
      </c>
      <c r="T429" s="35">
        <f>IFERROR(
 (1.907*EXP(1)^(-0.5*VALUE(tbl_CONTENT[[#This Row],[Layer]]))) *
 ((VALUE(tbl_CONTENT[[#This Row],[RelId]])-1)^(2.5)*4^(1-2.5)+1) +
 ((VALUE(tbl_CONTENT[[#This Row],[Comp]])-1)^(2.5)*4^(1-2.5)+1)*(0.5*((VALUE(tbl_CONTENT[[#This Row],[RelId]])-1)/4)^(2.5)+1),
 0
)</f>
        <v>0</v>
      </c>
      <c r="W429" s="22" t="str">
        <f>IFERROR(
  IF(_xlfn.XLOOKUP(tbl_CONTENT[[#This Row],[Topic]], tbl_TOPIC[Topic], tbl_TOPIC[ParentTopic])="", "",
       _xlfn.XLOOKUP(tbl_CONTENT[[#This Row],[Topic]], tbl_TOPIC[Topic], tbl_TOPIC[ParentTopic])),
  ""
)</f>
        <v>Ehrenfest Theorem</v>
      </c>
      <c r="X429" s="22" t="str">
        <f>IFERROR(
  IF(_xlfn.XLOOKUP(tbl_CONTENT[[#This Row],[Topic]], tbl_TOPIC[Topic], tbl_TOPIC[TopicPath])="", "",
       _xlfn.XLOOKUP(tbl_CONTENT[[#This Row],[Topic]], tbl_TOPIC[Topic], tbl_TOPIC[TopicPath])),
  ""
)</f>
        <v>Schrödinger Gleichung/Ehrenfest Theorem/Quasiklassische Bewegung</v>
      </c>
    </row>
    <row r="430" spans="3:24" ht="68" x14ac:dyDescent="0.2">
      <c r="C430" s="22" t="str">
        <f>_xlfn.XLOOKUP(tbl_CONTENT[[#This Row],[TopicID]], tbl_TOPIC[TopicID], tbl_TOPIC[Subject], "")</f>
        <v>QM</v>
      </c>
      <c r="D4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QM-T12-18-02</v>
      </c>
      <c r="E430" s="22">
        <f>ROW()</f>
        <v>430</v>
      </c>
      <c r="F430" s="22" t="s">
        <v>1051</v>
      </c>
      <c r="G430" s="22" t="str">
        <f>_xlfn.XLOOKUP(tbl_CONTENT[[#This Row],[Topic]], tbl_TOPIC[Topic], tbl_TOPIC[TopicID], "")</f>
        <v>QM-1-18</v>
      </c>
      <c r="H430" s="22" cm="1">
        <f t="array" ref="H430">SUM((tbl_CONTENT[[#This Row],[TopicID]]=INDEX(tbl_CONTENT[TopicID],1):tbl_CONTENT[[#This Row],[TopicID]])*1)</f>
        <v>2</v>
      </c>
      <c r="I430" s="22" t="str">
        <f>_xlfn.XLOOKUP(tbl_CONTENT[[#This Row],[Topic]], tbl_TOPIC[Topic], tbl_TOPIC[TopicIndex], "")</f>
        <v>18</v>
      </c>
      <c r="J430" s="22" t="s">
        <v>379</v>
      </c>
      <c r="K430" s="22" t="s">
        <v>675</v>
      </c>
      <c r="L430" s="22" t="s">
        <v>380</v>
      </c>
      <c r="M430" s="22">
        <v>1</v>
      </c>
      <c r="S430" s="35">
        <f>IFERROR(
 (1.907*EXP(1)^(-0.5*tbl_CONTENT[[#This Row],[Layer]])) *
 ((tbl_CONTENT[[#This Row],[RelInt]]-1)^(2.5)*4^(1-2.5)+1) +
 ((tbl_CONTENT[[#This Row],[Comp]]-1)^(2.5)*4^(1-2.5)+1)*(0.5*((tbl_CONTENT[[#This Row],[RelInt]]-1)/4)^(2.5)+1),
 0
)</f>
        <v>0</v>
      </c>
      <c r="T430" s="35">
        <f>IFERROR(
 (1.907*EXP(1)^(-0.5*VALUE(tbl_CONTENT[[#This Row],[Layer]]))) *
 ((VALUE(tbl_CONTENT[[#This Row],[RelId]])-1)^(2.5)*4^(1-2.5)+1) +
 ((VALUE(tbl_CONTENT[[#This Row],[Comp]])-1)^(2.5)*4^(1-2.5)+1)*(0.5*((VALUE(tbl_CONTENT[[#This Row],[RelId]])-1)/4)^(2.5)+1),
 0
)</f>
        <v>0</v>
      </c>
      <c r="W430" s="22" t="str">
        <f>IFERROR(
  IF(_xlfn.XLOOKUP(tbl_CONTENT[[#This Row],[Topic]], tbl_TOPIC[Topic], tbl_TOPIC[ParentTopic])="", "",
       _xlfn.XLOOKUP(tbl_CONTENT[[#This Row],[Topic]], tbl_TOPIC[Topic], tbl_TOPIC[ParentTopic])),
  ""
)</f>
        <v>Ehrenfest Theorem</v>
      </c>
      <c r="X430" s="22" t="str">
        <f>IFERROR(
  IF(_xlfn.XLOOKUP(tbl_CONTENT[[#This Row],[Topic]], tbl_TOPIC[Topic], tbl_TOPIC[TopicPath])="", "",
       _xlfn.XLOOKUP(tbl_CONTENT[[#This Row],[Topic]], tbl_TOPIC[Topic], tbl_TOPIC[TopicPath])),
  ""
)</f>
        <v>Schrödinger Gleichung/Ehrenfest Theorem/Quasiklassische Bewegung</v>
      </c>
    </row>
    <row r="431" spans="3:24" ht="34" x14ac:dyDescent="0.2">
      <c r="C431" s="22" t="str">
        <f>_xlfn.XLOOKUP(tbl_CONTENT[[#This Row],[TopicID]], tbl_TOPIC[TopicID], tbl_TOPIC[Subject], "")</f>
        <v>QM</v>
      </c>
      <c r="D4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QM-T12-06-01</v>
      </c>
      <c r="E431" s="22">
        <f>ROW()</f>
        <v>431</v>
      </c>
      <c r="F431" s="22" t="s">
        <v>1051</v>
      </c>
      <c r="G431" s="22" t="str">
        <f>_xlfn.XLOOKUP(tbl_CONTENT[[#This Row],[Topic]], tbl_TOPIC[Topic], tbl_TOPIC[TopicID], "")</f>
        <v>QM-1-06</v>
      </c>
      <c r="H431" s="22" cm="1">
        <f t="array" ref="H431">SUM((tbl_CONTENT[[#This Row],[TopicID]]=INDEX(tbl_CONTENT[TopicID],1):tbl_CONTENT[[#This Row],[TopicID]])*1)</f>
        <v>1</v>
      </c>
      <c r="I431" s="22" t="str">
        <f>_xlfn.XLOOKUP(tbl_CONTENT[[#This Row],[Topic]], tbl_TOPIC[Topic], tbl_TOPIC[TopicIndex], "")</f>
        <v>06</v>
      </c>
      <c r="J431" s="22" t="s">
        <v>367</v>
      </c>
      <c r="K431" s="22" t="s">
        <v>687</v>
      </c>
      <c r="L431" s="22" t="s">
        <v>380</v>
      </c>
      <c r="M431" s="22">
        <v>1</v>
      </c>
      <c r="S431" s="35">
        <f>IFERROR(
 (1.907*EXP(1)^(-0.5*tbl_CONTENT[[#This Row],[Layer]])) *
 ((tbl_CONTENT[[#This Row],[RelInt]]-1)^(2.5)*4^(1-2.5)+1) +
 ((tbl_CONTENT[[#This Row],[Comp]]-1)^(2.5)*4^(1-2.5)+1)*(0.5*((tbl_CONTENT[[#This Row],[RelInt]]-1)/4)^(2.5)+1),
 0
)</f>
        <v>0</v>
      </c>
      <c r="T431" s="35">
        <f>IFERROR(
 (1.907*EXP(1)^(-0.5*VALUE(tbl_CONTENT[[#This Row],[Layer]]))) *
 ((VALUE(tbl_CONTENT[[#This Row],[RelId]])-1)^(2.5)*4^(1-2.5)+1) +
 ((VALUE(tbl_CONTENT[[#This Row],[Comp]])-1)^(2.5)*4^(1-2.5)+1)*(0.5*((VALUE(tbl_CONTENT[[#This Row],[RelId]])-1)/4)^(2.5)+1),
 0
)</f>
        <v>0</v>
      </c>
      <c r="W431" s="22" t="str">
        <f>IFERROR(
  IF(_xlfn.XLOOKUP(tbl_CONTENT[[#This Row],[Topic]], tbl_TOPIC[Topic], tbl_TOPIC[ParentTopic])="", "",
       _xlfn.XLOOKUP(tbl_CONTENT[[#This Row],[Topic]], tbl_TOPIC[Topic], tbl_TOPIC[ParentTopic])),
  ""
)</f>
        <v>Einführung der Schrödinger Gleichung</v>
      </c>
      <c r="X431" s="22" t="str">
        <f>IFERROR(
  IF(_xlfn.XLOOKUP(tbl_CONTENT[[#This Row],[Topic]], tbl_TOPIC[Topic], tbl_TOPIC[TopicPath])="", "",
       _xlfn.XLOOKUP(tbl_CONTENT[[#This Row],[Topic]], tbl_TOPIC[Topic], tbl_TOPIC[TopicPath])),
  ""
)</f>
        <v>Schrödinger Gleichung/Einführung der Schrödinger Gleichung/Teilchen in äußeren Potentialen</v>
      </c>
    </row>
    <row r="432" spans="3:24" ht="34" x14ac:dyDescent="0.2">
      <c r="C432" s="22" t="str">
        <f>_xlfn.XLOOKUP(tbl_CONTENT[[#This Row],[TopicID]], tbl_TOPIC[TopicID], tbl_TOPIC[Subject], "")</f>
        <v>QM</v>
      </c>
      <c r="D4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QM-T12-06-02</v>
      </c>
      <c r="E432" s="22">
        <f>ROW()</f>
        <v>432</v>
      </c>
      <c r="F432" s="22" t="s">
        <v>1051</v>
      </c>
      <c r="G432" s="22" t="str">
        <f>_xlfn.XLOOKUP(tbl_CONTENT[[#This Row],[Topic]], tbl_TOPIC[Topic], tbl_TOPIC[TopicID], "")</f>
        <v>QM-1-06</v>
      </c>
      <c r="H432" s="22" cm="1">
        <f t="array" ref="H432">SUM((tbl_CONTENT[[#This Row],[TopicID]]=INDEX(tbl_CONTENT[TopicID],1):tbl_CONTENT[[#This Row],[TopicID]])*1)</f>
        <v>2</v>
      </c>
      <c r="I432" s="22" t="str">
        <f>_xlfn.XLOOKUP(tbl_CONTENT[[#This Row],[Topic]], tbl_TOPIC[Topic], tbl_TOPIC[TopicIndex], "")</f>
        <v>06</v>
      </c>
      <c r="J432" s="22" t="s">
        <v>367</v>
      </c>
      <c r="K432" s="22" t="s">
        <v>688</v>
      </c>
      <c r="L432" s="22" t="s">
        <v>380</v>
      </c>
      <c r="M432" s="22">
        <v>1</v>
      </c>
      <c r="S432" s="35">
        <f>IFERROR(
 (1.907*EXP(1)^(-0.5*tbl_CONTENT[[#This Row],[Layer]])) *
 ((tbl_CONTENT[[#This Row],[RelInt]]-1)^(2.5)*4^(1-2.5)+1) +
 ((tbl_CONTENT[[#This Row],[Comp]]-1)^(2.5)*4^(1-2.5)+1)*(0.5*((tbl_CONTENT[[#This Row],[RelInt]]-1)/4)^(2.5)+1),
 0
)</f>
        <v>0</v>
      </c>
      <c r="T432" s="35">
        <f>IFERROR(
 (1.907*EXP(1)^(-0.5*VALUE(tbl_CONTENT[[#This Row],[Layer]]))) *
 ((VALUE(tbl_CONTENT[[#This Row],[RelId]])-1)^(2.5)*4^(1-2.5)+1) +
 ((VALUE(tbl_CONTENT[[#This Row],[Comp]])-1)^(2.5)*4^(1-2.5)+1)*(0.5*((VALUE(tbl_CONTENT[[#This Row],[RelId]])-1)/4)^(2.5)+1),
 0
)</f>
        <v>0</v>
      </c>
      <c r="W432" s="22" t="str">
        <f>IFERROR(
  IF(_xlfn.XLOOKUP(tbl_CONTENT[[#This Row],[Topic]], tbl_TOPIC[Topic], tbl_TOPIC[ParentTopic])="", "",
       _xlfn.XLOOKUP(tbl_CONTENT[[#This Row],[Topic]], tbl_TOPIC[Topic], tbl_TOPIC[ParentTopic])),
  ""
)</f>
        <v>Einführung der Schrödinger Gleichung</v>
      </c>
      <c r="X432" s="22" t="str">
        <f>IFERROR(
  IF(_xlfn.XLOOKUP(tbl_CONTENT[[#This Row],[Topic]], tbl_TOPIC[Topic], tbl_TOPIC[TopicPath])="", "",
       _xlfn.XLOOKUP(tbl_CONTENT[[#This Row],[Topic]], tbl_TOPIC[Topic], tbl_TOPIC[TopicPath])),
  ""
)</f>
        <v>Schrödinger Gleichung/Einführung der Schrödinger Gleichung/Teilchen in äußeren Potentialen</v>
      </c>
    </row>
    <row r="433" spans="3:24" ht="34" x14ac:dyDescent="0.2">
      <c r="C433" s="22" t="str">
        <f>_xlfn.XLOOKUP(tbl_CONTENT[[#This Row],[TopicID]], tbl_TOPIC[TopicID], tbl_TOPIC[Subject], "")</f>
        <v>QM</v>
      </c>
      <c r="D4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QM-T12-06-03</v>
      </c>
      <c r="E433" s="22">
        <f>ROW()</f>
        <v>433</v>
      </c>
      <c r="F433" s="22" t="s">
        <v>1051</v>
      </c>
      <c r="G433" s="22" t="str">
        <f>_xlfn.XLOOKUP(tbl_CONTENT[[#This Row],[Topic]], tbl_TOPIC[Topic], tbl_TOPIC[TopicID], "")</f>
        <v>QM-1-06</v>
      </c>
      <c r="H433" s="22" cm="1">
        <f t="array" ref="H433">SUM((tbl_CONTENT[[#This Row],[TopicID]]=INDEX(tbl_CONTENT[TopicID],1):tbl_CONTENT[[#This Row],[TopicID]])*1)</f>
        <v>3</v>
      </c>
      <c r="I433" s="22" t="str">
        <f>_xlfn.XLOOKUP(tbl_CONTENT[[#This Row],[Topic]], tbl_TOPIC[Topic], tbl_TOPIC[TopicIndex], "")</f>
        <v>06</v>
      </c>
      <c r="J433" s="22" t="s">
        <v>367</v>
      </c>
      <c r="K433" s="22" t="s">
        <v>689</v>
      </c>
      <c r="L433" s="22" t="s">
        <v>147</v>
      </c>
      <c r="M433" s="22">
        <v>1</v>
      </c>
      <c r="S433" s="35">
        <f>IFERROR(
 (1.907*EXP(1)^(-0.5*tbl_CONTENT[[#This Row],[Layer]])) *
 ((tbl_CONTENT[[#This Row],[RelInt]]-1)^(2.5)*4^(1-2.5)+1) +
 ((tbl_CONTENT[[#This Row],[Comp]]-1)^(2.5)*4^(1-2.5)+1)*(0.5*((tbl_CONTENT[[#This Row],[RelInt]]-1)/4)^(2.5)+1),
 0
)</f>
        <v>0</v>
      </c>
      <c r="T433" s="35">
        <f>IFERROR(
 (1.907*EXP(1)^(-0.5*VALUE(tbl_CONTENT[[#This Row],[Layer]]))) *
 ((VALUE(tbl_CONTENT[[#This Row],[RelId]])-1)^(2.5)*4^(1-2.5)+1) +
 ((VALUE(tbl_CONTENT[[#This Row],[Comp]])-1)^(2.5)*4^(1-2.5)+1)*(0.5*((VALUE(tbl_CONTENT[[#This Row],[RelId]])-1)/4)^(2.5)+1),
 0
)</f>
        <v>0</v>
      </c>
      <c r="W433" s="22" t="str">
        <f>IFERROR(
  IF(_xlfn.XLOOKUP(tbl_CONTENT[[#This Row],[Topic]], tbl_TOPIC[Topic], tbl_TOPIC[ParentTopic])="", "",
       _xlfn.XLOOKUP(tbl_CONTENT[[#This Row],[Topic]], tbl_TOPIC[Topic], tbl_TOPIC[ParentTopic])),
  ""
)</f>
        <v>Einführung der Schrödinger Gleichung</v>
      </c>
      <c r="X433" s="22" t="str">
        <f>IFERROR(
  IF(_xlfn.XLOOKUP(tbl_CONTENT[[#This Row],[Topic]], tbl_TOPIC[Topic], tbl_TOPIC[TopicPath])="", "",
       _xlfn.XLOOKUP(tbl_CONTENT[[#This Row],[Topic]], tbl_TOPIC[Topic], tbl_TOPIC[TopicPath])),
  ""
)</f>
        <v>Schrödinger Gleichung/Einführung der Schrödinger Gleichung/Teilchen in äußeren Potentialen</v>
      </c>
    </row>
    <row r="434" spans="3:24" ht="34" x14ac:dyDescent="0.2">
      <c r="C434" s="62" t="str">
        <f>_xlfn.XLOOKUP(tbl_CONTENT[[#This Row],[TopicID]], tbl_TOPIC[TopicID], tbl_TOPIC[Subject], "")</f>
        <v>QM</v>
      </c>
      <c r="D43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QM-T12-31-01</v>
      </c>
      <c r="E434" s="62">
        <f>ROW()</f>
        <v>434</v>
      </c>
      <c r="F434" s="22" t="s">
        <v>1051</v>
      </c>
      <c r="G434" s="22" t="str">
        <f>_xlfn.XLOOKUP(tbl_CONTENT[[#This Row],[Topic]], tbl_TOPIC[Topic], tbl_TOPIC[TopicID], "")</f>
        <v>QM-1-31</v>
      </c>
      <c r="H434" s="62" cm="1">
        <f t="array" ref="H434">SUM((tbl_CONTENT[[#This Row],[TopicID]]=INDEX(tbl_CONTENT[TopicID],1):tbl_CONTENT[[#This Row],[TopicID]])*1)</f>
        <v>1</v>
      </c>
      <c r="I434" s="62" t="str">
        <f>_xlfn.XLOOKUP(tbl_CONTENT[[#This Row],[Topic]], tbl_TOPIC[Topic], tbl_TOPIC[TopicIndex], "")</f>
        <v>31</v>
      </c>
      <c r="J434" s="22" t="s">
        <v>691</v>
      </c>
      <c r="K434" s="22" t="s">
        <v>758</v>
      </c>
      <c r="L434" s="22" t="s">
        <v>492</v>
      </c>
      <c r="M434" s="22">
        <v>1</v>
      </c>
      <c r="R434" s="62"/>
      <c r="S434" s="35">
        <f>IFERROR(
 (1.907*EXP(1)^(-0.5*tbl_CONTENT[[#This Row],[Layer]])) *
 ((tbl_CONTENT[[#This Row],[RelInt]]-1)^(2.5)*4^(1-2.5)+1) +
 ((tbl_CONTENT[[#This Row],[Comp]]-1)^(2.5)*4^(1-2.5)+1)*(0.5*((tbl_CONTENT[[#This Row],[RelInt]]-1)/4)^(2.5)+1),
 0
)</f>
        <v>0</v>
      </c>
      <c r="T434" s="35">
        <f>IFERROR(
 (1.907*EXP(1)^(-0.5*VALUE(tbl_CONTENT[[#This Row],[Layer]]))) *
 ((VALUE(tbl_CONTENT[[#This Row],[RelId]])-1)^(2.5)*4^(1-2.5)+1) +
 ((VALUE(tbl_CONTENT[[#This Row],[Comp]])-1)^(2.5)*4^(1-2.5)+1)*(0.5*((VALUE(tbl_CONTENT[[#This Row],[RelId]])-1)/4)^(2.5)+1),
 0
)</f>
        <v>0</v>
      </c>
      <c r="V434" s="62"/>
      <c r="W434" s="22" t="str">
        <f>IFERROR(
  IF(_xlfn.XLOOKUP(tbl_CONTENT[[#This Row],[Topic]], tbl_TOPIC[Topic], tbl_TOPIC[ParentTopic])="", "",
       _xlfn.XLOOKUP(tbl_CONTENT[[#This Row],[Topic]], tbl_TOPIC[Topic], tbl_TOPIC[ParentTopic])),
  ""
)</f>
        <v>QM-ÜB</v>
      </c>
      <c r="X434" s="22" t="str">
        <f>IFERROR(
  IF(_xlfn.XLOOKUP(tbl_CONTENT[[#This Row],[Topic]], tbl_TOPIC[Topic], tbl_TOPIC[TopicPath])="", "",
       _xlfn.XLOOKUP(tbl_CONTENT[[#This Row],[Topic]], tbl_TOPIC[Topic], tbl_TOPIC[TopicPath])),
  ""
)</f>
        <v>QM-ÜB/QM-ÜB-01: Delta-Distribution, Kommutator und W-keit</v>
      </c>
    </row>
    <row r="435" spans="3:24" ht="34" x14ac:dyDescent="0.2">
      <c r="C435" s="62" t="str">
        <f>_xlfn.XLOOKUP(tbl_CONTENT[[#This Row],[TopicID]], tbl_TOPIC[TopicID], tbl_TOPIC[Subject], "")</f>
        <v>QM</v>
      </c>
      <c r="D43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QM-T12-31-02</v>
      </c>
      <c r="E435" s="62">
        <f>ROW()</f>
        <v>435</v>
      </c>
      <c r="F435" s="22" t="s">
        <v>1051</v>
      </c>
      <c r="G435" s="22" t="str">
        <f>_xlfn.XLOOKUP(tbl_CONTENT[[#This Row],[Topic]], tbl_TOPIC[Topic], tbl_TOPIC[TopicID], "")</f>
        <v>QM-1-31</v>
      </c>
      <c r="H435" s="62" cm="1">
        <f t="array" ref="H435">SUM((tbl_CONTENT[[#This Row],[TopicID]]=INDEX(tbl_CONTENT[TopicID],1):tbl_CONTENT[[#This Row],[TopicID]])*1)</f>
        <v>2</v>
      </c>
      <c r="I435" s="62" t="str">
        <f>_xlfn.XLOOKUP(tbl_CONTENT[[#This Row],[Topic]], tbl_TOPIC[Topic], tbl_TOPIC[TopicIndex], "")</f>
        <v>31</v>
      </c>
      <c r="J435" s="22" t="s">
        <v>691</v>
      </c>
      <c r="K435" s="22" t="s">
        <v>759</v>
      </c>
      <c r="L435" s="22" t="s">
        <v>492</v>
      </c>
      <c r="M435" s="22">
        <v>1</v>
      </c>
      <c r="R435" s="62"/>
      <c r="S435" s="35">
        <f>IFERROR(
 (1.907*EXP(1)^(-0.5*tbl_CONTENT[[#This Row],[Layer]])) *
 ((tbl_CONTENT[[#This Row],[RelInt]]-1)^(2.5)*4^(1-2.5)+1) +
 ((tbl_CONTENT[[#This Row],[Comp]]-1)^(2.5)*4^(1-2.5)+1)*(0.5*((tbl_CONTENT[[#This Row],[RelInt]]-1)/4)^(2.5)+1),
 0
)</f>
        <v>0</v>
      </c>
      <c r="T435" s="35">
        <f>IFERROR(
 (1.907*EXP(1)^(-0.5*VALUE(tbl_CONTENT[[#This Row],[Layer]]))) *
 ((VALUE(tbl_CONTENT[[#This Row],[RelId]])-1)^(2.5)*4^(1-2.5)+1) +
 ((VALUE(tbl_CONTENT[[#This Row],[Comp]])-1)^(2.5)*4^(1-2.5)+1)*(0.5*((VALUE(tbl_CONTENT[[#This Row],[RelId]])-1)/4)^(2.5)+1),
 0
)</f>
        <v>0</v>
      </c>
      <c r="V435" s="62"/>
      <c r="W435" s="22" t="str">
        <f>IFERROR(
  IF(_xlfn.XLOOKUP(tbl_CONTENT[[#This Row],[Topic]], tbl_TOPIC[Topic], tbl_TOPIC[ParentTopic])="", "",
       _xlfn.XLOOKUP(tbl_CONTENT[[#This Row],[Topic]], tbl_TOPIC[Topic], tbl_TOPIC[ParentTopic])),
  ""
)</f>
        <v>QM-ÜB</v>
      </c>
      <c r="X435" s="22" t="str">
        <f>IFERROR(
  IF(_xlfn.XLOOKUP(tbl_CONTENT[[#This Row],[Topic]], tbl_TOPIC[Topic], tbl_TOPIC[TopicPath])="", "",
       _xlfn.XLOOKUP(tbl_CONTENT[[#This Row],[Topic]], tbl_TOPIC[Topic], tbl_TOPIC[TopicPath])),
  ""
)</f>
        <v>QM-ÜB/QM-ÜB-01: Delta-Distribution, Kommutator und W-keit</v>
      </c>
    </row>
    <row r="436" spans="3:24" ht="34" x14ac:dyDescent="0.2">
      <c r="C436" s="62" t="str">
        <f>_xlfn.XLOOKUP(tbl_CONTENT[[#This Row],[TopicID]], tbl_TOPIC[TopicID], tbl_TOPIC[Subject], "")</f>
        <v>QM</v>
      </c>
      <c r="D43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QM-T12-31-03</v>
      </c>
      <c r="E436" s="62">
        <f>ROW()</f>
        <v>436</v>
      </c>
      <c r="F436" s="22" t="s">
        <v>1051</v>
      </c>
      <c r="G436" s="22" t="str">
        <f>_xlfn.XLOOKUP(tbl_CONTENT[[#This Row],[Topic]], tbl_TOPIC[Topic], tbl_TOPIC[TopicID], "")</f>
        <v>QM-1-31</v>
      </c>
      <c r="H436" s="62" cm="1">
        <f t="array" ref="H436">SUM((tbl_CONTENT[[#This Row],[TopicID]]=INDEX(tbl_CONTENT[TopicID],1):tbl_CONTENT[[#This Row],[TopicID]])*1)</f>
        <v>3</v>
      </c>
      <c r="I436" s="62" t="str">
        <f>_xlfn.XLOOKUP(tbl_CONTENT[[#This Row],[Topic]], tbl_TOPIC[Topic], tbl_TOPIC[TopicIndex], "")</f>
        <v>31</v>
      </c>
      <c r="J436" s="22" t="s">
        <v>691</v>
      </c>
      <c r="K436" s="22" t="s">
        <v>760</v>
      </c>
      <c r="L436" s="22" t="s">
        <v>492</v>
      </c>
      <c r="M436" s="22">
        <v>1</v>
      </c>
      <c r="R436" s="62"/>
      <c r="S436" s="35">
        <f>IFERROR(
 (1.907*EXP(1)^(-0.5*tbl_CONTENT[[#This Row],[Layer]])) *
 ((tbl_CONTENT[[#This Row],[RelInt]]-1)^(2.5)*4^(1-2.5)+1) +
 ((tbl_CONTENT[[#This Row],[Comp]]-1)^(2.5)*4^(1-2.5)+1)*(0.5*((tbl_CONTENT[[#This Row],[RelInt]]-1)/4)^(2.5)+1),
 0
)</f>
        <v>0</v>
      </c>
      <c r="T436" s="35">
        <f>IFERROR(
 (1.907*EXP(1)^(-0.5*VALUE(tbl_CONTENT[[#This Row],[Layer]]))) *
 ((VALUE(tbl_CONTENT[[#This Row],[RelId]])-1)^(2.5)*4^(1-2.5)+1) +
 ((VALUE(tbl_CONTENT[[#This Row],[Comp]])-1)^(2.5)*4^(1-2.5)+1)*(0.5*((VALUE(tbl_CONTENT[[#This Row],[RelId]])-1)/4)^(2.5)+1),
 0
)</f>
        <v>0</v>
      </c>
      <c r="V436" s="62"/>
      <c r="W436" s="22" t="str">
        <f>IFERROR(
  IF(_xlfn.XLOOKUP(tbl_CONTENT[[#This Row],[Topic]], tbl_TOPIC[Topic], tbl_TOPIC[ParentTopic])="", "",
       _xlfn.XLOOKUP(tbl_CONTENT[[#This Row],[Topic]], tbl_TOPIC[Topic], tbl_TOPIC[ParentTopic])),
  ""
)</f>
        <v>QM-ÜB</v>
      </c>
      <c r="X436" s="22" t="str">
        <f>IFERROR(
  IF(_xlfn.XLOOKUP(tbl_CONTENT[[#This Row],[Topic]], tbl_TOPIC[Topic], tbl_TOPIC[TopicPath])="", "",
       _xlfn.XLOOKUP(tbl_CONTENT[[#This Row],[Topic]], tbl_TOPIC[Topic], tbl_TOPIC[TopicPath])),
  ""
)</f>
        <v>QM-ÜB/QM-ÜB-01: Delta-Distribution, Kommutator und W-keit</v>
      </c>
    </row>
    <row r="437" spans="3:24" ht="34" x14ac:dyDescent="0.2">
      <c r="C437" s="62" t="str">
        <f>_xlfn.XLOOKUP(tbl_CONTENT[[#This Row],[TopicID]], tbl_TOPIC[TopicID], tbl_TOPIC[Subject], "")</f>
        <v>QM</v>
      </c>
      <c r="D43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QM-T12-31-04</v>
      </c>
      <c r="E437" s="62">
        <f>ROW()</f>
        <v>437</v>
      </c>
      <c r="F437" s="22" t="s">
        <v>1051</v>
      </c>
      <c r="G437" s="22" t="str">
        <f>_xlfn.XLOOKUP(tbl_CONTENT[[#This Row],[Topic]], tbl_TOPIC[Topic], tbl_TOPIC[TopicID], "")</f>
        <v>QM-1-31</v>
      </c>
      <c r="H437" s="62" cm="1">
        <f t="array" ref="H437">SUM((tbl_CONTENT[[#This Row],[TopicID]]=INDEX(tbl_CONTENT[TopicID],1):tbl_CONTENT[[#This Row],[TopicID]])*1)</f>
        <v>4</v>
      </c>
      <c r="I437" s="62" t="str">
        <f>_xlfn.XLOOKUP(tbl_CONTENT[[#This Row],[Topic]], tbl_TOPIC[Topic], tbl_TOPIC[TopicIndex], "")</f>
        <v>31</v>
      </c>
      <c r="J437" s="22" t="s">
        <v>691</v>
      </c>
      <c r="K437" s="22" t="s">
        <v>761</v>
      </c>
      <c r="L437" s="22" t="s">
        <v>492</v>
      </c>
      <c r="M437" s="22">
        <v>1</v>
      </c>
      <c r="R437" s="62"/>
      <c r="S437" s="35">
        <f>IFERROR(
 (1.907*EXP(1)^(-0.5*tbl_CONTENT[[#This Row],[Layer]])) *
 ((tbl_CONTENT[[#This Row],[RelInt]]-1)^(2.5)*4^(1-2.5)+1) +
 ((tbl_CONTENT[[#This Row],[Comp]]-1)^(2.5)*4^(1-2.5)+1)*(0.5*((tbl_CONTENT[[#This Row],[RelInt]]-1)/4)^(2.5)+1),
 0
)</f>
        <v>0</v>
      </c>
      <c r="T437" s="35">
        <f>IFERROR(
 (1.907*EXP(1)^(-0.5*VALUE(tbl_CONTENT[[#This Row],[Layer]]))) *
 ((VALUE(tbl_CONTENT[[#This Row],[RelId]])-1)^(2.5)*4^(1-2.5)+1) +
 ((VALUE(tbl_CONTENT[[#This Row],[Comp]])-1)^(2.5)*4^(1-2.5)+1)*(0.5*((VALUE(tbl_CONTENT[[#This Row],[RelId]])-1)/4)^(2.5)+1),
 0
)</f>
        <v>0</v>
      </c>
      <c r="V437" s="62"/>
      <c r="W437" s="22" t="str">
        <f>IFERROR(
  IF(_xlfn.XLOOKUP(tbl_CONTENT[[#This Row],[Topic]], tbl_TOPIC[Topic], tbl_TOPIC[ParentTopic])="", "",
       _xlfn.XLOOKUP(tbl_CONTENT[[#This Row],[Topic]], tbl_TOPIC[Topic], tbl_TOPIC[ParentTopic])),
  ""
)</f>
        <v>QM-ÜB</v>
      </c>
      <c r="X437" s="22" t="str">
        <f>IFERROR(
  IF(_xlfn.XLOOKUP(tbl_CONTENT[[#This Row],[Topic]], tbl_TOPIC[Topic], tbl_TOPIC[TopicPath])="", "",
       _xlfn.XLOOKUP(tbl_CONTENT[[#This Row],[Topic]], tbl_TOPIC[Topic], tbl_TOPIC[TopicPath])),
  ""
)</f>
        <v>QM-ÜB/QM-ÜB-01: Delta-Distribution, Kommutator und W-keit</v>
      </c>
    </row>
    <row r="438" spans="3:24" ht="136" x14ac:dyDescent="0.2">
      <c r="C438" s="62" t="str">
        <f>_xlfn.XLOOKUP(tbl_CONTENT[[#This Row],[TopicID]], tbl_TOPIC[TopicID], tbl_TOPIC[Subject], "")</f>
        <v>QM</v>
      </c>
      <c r="D43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QM-T12-31-05</v>
      </c>
      <c r="E438" s="62">
        <f>ROW()</f>
        <v>438</v>
      </c>
      <c r="F438" s="22" t="s">
        <v>1051</v>
      </c>
      <c r="G438" s="22" t="str">
        <f>_xlfn.XLOOKUP(tbl_CONTENT[[#This Row],[Topic]], tbl_TOPIC[Topic], tbl_TOPIC[TopicID], "")</f>
        <v>QM-1-31</v>
      </c>
      <c r="H438" s="62" cm="1">
        <f t="array" ref="H438">SUM((tbl_CONTENT[[#This Row],[TopicID]]=INDEX(tbl_CONTENT[TopicID],1):tbl_CONTENT[[#This Row],[TopicID]])*1)</f>
        <v>5</v>
      </c>
      <c r="I438" s="62" t="str">
        <f>_xlfn.XLOOKUP(tbl_CONTENT[[#This Row],[Topic]], tbl_TOPIC[Topic], tbl_TOPIC[TopicIndex], "")</f>
        <v>31</v>
      </c>
      <c r="J438" s="22" t="s">
        <v>691</v>
      </c>
      <c r="K438" s="22" t="s">
        <v>1004</v>
      </c>
      <c r="L438" s="22" t="s">
        <v>492</v>
      </c>
      <c r="M438" s="22">
        <v>1</v>
      </c>
      <c r="R438" s="62"/>
      <c r="S438" s="35">
        <f>IFERROR(
 (1.907*EXP(1)^(-0.5*tbl_CONTENT[[#This Row],[Layer]])) *
 ((tbl_CONTENT[[#This Row],[RelInt]]-1)^(2.5)*4^(1-2.5)+1) +
 ((tbl_CONTENT[[#This Row],[Comp]]-1)^(2.5)*4^(1-2.5)+1)*(0.5*((tbl_CONTENT[[#This Row],[RelInt]]-1)/4)^(2.5)+1),
 0
)</f>
        <v>0</v>
      </c>
      <c r="T438" s="35">
        <f>IFERROR(
 (1.907*EXP(1)^(-0.5*VALUE(tbl_CONTENT[[#This Row],[Layer]]))) *
 ((VALUE(tbl_CONTENT[[#This Row],[RelId]])-1)^(2.5)*4^(1-2.5)+1) +
 ((VALUE(tbl_CONTENT[[#This Row],[Comp]])-1)^(2.5)*4^(1-2.5)+1)*(0.5*((VALUE(tbl_CONTENT[[#This Row],[RelId]])-1)/4)^(2.5)+1),
 0
)</f>
        <v>0</v>
      </c>
      <c r="V438" s="62"/>
      <c r="W438" s="22" t="str">
        <f>IFERROR(
  IF(_xlfn.XLOOKUP(tbl_CONTENT[[#This Row],[Topic]], tbl_TOPIC[Topic], tbl_TOPIC[ParentTopic])="", "",
       _xlfn.XLOOKUP(tbl_CONTENT[[#This Row],[Topic]], tbl_TOPIC[Topic], tbl_TOPIC[ParentTopic])),
  ""
)</f>
        <v>QM-ÜB</v>
      </c>
      <c r="X438" s="22" t="str">
        <f>IFERROR(
  IF(_xlfn.XLOOKUP(tbl_CONTENT[[#This Row],[Topic]], tbl_TOPIC[Topic], tbl_TOPIC[TopicPath])="", "",
       _xlfn.XLOOKUP(tbl_CONTENT[[#This Row],[Topic]], tbl_TOPIC[Topic], tbl_TOPIC[TopicPath])),
  ""
)</f>
        <v>QM-ÜB/QM-ÜB-01: Delta-Distribution, Kommutator und W-keit</v>
      </c>
    </row>
    <row r="439" spans="3:24" ht="170" x14ac:dyDescent="0.2">
      <c r="C439" s="62" t="str">
        <f>_xlfn.XLOOKUP(tbl_CONTENT[[#This Row],[TopicID]], tbl_TOPIC[TopicID], tbl_TOPIC[Subject], "")</f>
        <v>QM</v>
      </c>
      <c r="D43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QM-T12-31-06</v>
      </c>
      <c r="E439" s="62">
        <f>ROW()</f>
        <v>439</v>
      </c>
      <c r="F439" s="22" t="s">
        <v>1051</v>
      </c>
      <c r="G439" s="22" t="str">
        <f>_xlfn.XLOOKUP(tbl_CONTENT[[#This Row],[Topic]], tbl_TOPIC[Topic], tbl_TOPIC[TopicID], "")</f>
        <v>QM-1-31</v>
      </c>
      <c r="H439" s="62" cm="1">
        <f t="array" ref="H439">SUM((tbl_CONTENT[[#This Row],[TopicID]]=INDEX(tbl_CONTENT[TopicID],1):tbl_CONTENT[[#This Row],[TopicID]])*1)</f>
        <v>6</v>
      </c>
      <c r="I439" s="62" t="str">
        <f>_xlfn.XLOOKUP(tbl_CONTENT[[#This Row],[Topic]], tbl_TOPIC[Topic], tbl_TOPIC[TopicIndex], "")</f>
        <v>31</v>
      </c>
      <c r="J439" s="22" t="s">
        <v>691</v>
      </c>
      <c r="K439" s="22" t="s">
        <v>1005</v>
      </c>
      <c r="L439" s="22" t="s">
        <v>492</v>
      </c>
      <c r="M439" s="22">
        <v>1</v>
      </c>
      <c r="R439" s="62"/>
      <c r="S439" s="35">
        <f>IFERROR(
 (1.907*EXP(1)^(-0.5*tbl_CONTENT[[#This Row],[Layer]])) *
 ((tbl_CONTENT[[#This Row],[RelInt]]-1)^(2.5)*4^(1-2.5)+1) +
 ((tbl_CONTENT[[#This Row],[Comp]]-1)^(2.5)*4^(1-2.5)+1)*(0.5*((tbl_CONTENT[[#This Row],[RelInt]]-1)/4)^(2.5)+1),
 0
)</f>
        <v>0</v>
      </c>
      <c r="T439" s="35">
        <f>IFERROR(
 (1.907*EXP(1)^(-0.5*VALUE(tbl_CONTENT[[#This Row],[Layer]]))) *
 ((VALUE(tbl_CONTENT[[#This Row],[RelId]])-1)^(2.5)*4^(1-2.5)+1) +
 ((VALUE(tbl_CONTENT[[#This Row],[Comp]])-1)^(2.5)*4^(1-2.5)+1)*(0.5*((VALUE(tbl_CONTENT[[#This Row],[RelId]])-1)/4)^(2.5)+1),
 0
)</f>
        <v>0</v>
      </c>
      <c r="V439" s="62"/>
      <c r="W439" s="22" t="str">
        <f>IFERROR(
  IF(_xlfn.XLOOKUP(tbl_CONTENT[[#This Row],[Topic]], tbl_TOPIC[Topic], tbl_TOPIC[ParentTopic])="", "",
       _xlfn.XLOOKUP(tbl_CONTENT[[#This Row],[Topic]], tbl_TOPIC[Topic], tbl_TOPIC[ParentTopic])),
  ""
)</f>
        <v>QM-ÜB</v>
      </c>
      <c r="X439" s="22" t="str">
        <f>IFERROR(
  IF(_xlfn.XLOOKUP(tbl_CONTENT[[#This Row],[Topic]], tbl_TOPIC[Topic], tbl_TOPIC[TopicPath])="", "",
       _xlfn.XLOOKUP(tbl_CONTENT[[#This Row],[Topic]], tbl_TOPIC[Topic], tbl_TOPIC[TopicPath])),
  ""
)</f>
        <v>QM-ÜB/QM-ÜB-01: Delta-Distribution, Kommutator und W-keit</v>
      </c>
    </row>
    <row r="440" spans="3:24" ht="34" x14ac:dyDescent="0.2">
      <c r="C440" s="62" t="str">
        <f>_xlfn.XLOOKUP(tbl_CONTENT[[#This Row],[TopicID]], tbl_TOPIC[TopicID], tbl_TOPIC[Subject], "")</f>
        <v>QM</v>
      </c>
      <c r="D44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QM-T12-20-01</v>
      </c>
      <c r="E440" s="62">
        <f>ROW()</f>
        <v>440</v>
      </c>
      <c r="F440" s="22" t="s">
        <v>1051</v>
      </c>
      <c r="G440" s="22" t="str">
        <f>_xlfn.XLOOKUP(tbl_CONTENT[[#This Row],[Topic]], tbl_TOPIC[Topic], tbl_TOPIC[TopicID], "")</f>
        <v>QM-1-20</v>
      </c>
      <c r="H440" s="62" cm="1">
        <f t="array" ref="H440">SUM((tbl_CONTENT[[#This Row],[TopicID]]=INDEX(tbl_CONTENT[TopicID],1):tbl_CONTENT[[#This Row],[TopicID]])*1)</f>
        <v>1</v>
      </c>
      <c r="I440" s="62" t="str">
        <f>_xlfn.XLOOKUP(tbl_CONTENT[[#This Row],[Topic]], tbl_TOPIC[Topic], tbl_TOPIC[TopicIndex], "")</f>
        <v>20</v>
      </c>
      <c r="J440" s="22" t="s">
        <v>454</v>
      </c>
      <c r="L440" s="22" t="s">
        <v>492</v>
      </c>
      <c r="M440" s="22">
        <v>1</v>
      </c>
      <c r="R440" s="62"/>
      <c r="S440" s="35">
        <f>IFERROR(
 (1.907*EXP(1)^(-0.5*tbl_CONTENT[[#This Row],[Layer]])) *
 ((tbl_CONTENT[[#This Row],[RelInt]]-1)^(2.5)*4^(1-2.5)+1) +
 ((tbl_CONTENT[[#This Row],[Comp]]-1)^(2.5)*4^(1-2.5)+1)*(0.5*((tbl_CONTENT[[#This Row],[RelInt]]-1)/4)^(2.5)+1),
 0
)</f>
        <v>0</v>
      </c>
      <c r="T440" s="35">
        <f>IFERROR(
 (1.907*EXP(1)^(-0.5*VALUE(tbl_CONTENT[[#This Row],[Layer]]))) *
 ((VALUE(tbl_CONTENT[[#This Row],[RelId]])-1)^(2.5)*4^(1-2.5)+1) +
 ((VALUE(tbl_CONTENT[[#This Row],[Comp]])-1)^(2.5)*4^(1-2.5)+1)*(0.5*((VALUE(tbl_CONTENT[[#This Row],[RelId]])-1)/4)^(2.5)+1),
 0
)</f>
        <v>0</v>
      </c>
      <c r="V440" s="62"/>
      <c r="W440" s="22" t="str">
        <f>IFERROR(
  IF(_xlfn.XLOOKUP(tbl_CONTENT[[#This Row],[Topic]], tbl_TOPIC[Topic], tbl_TOPIC[ParentTopic])="", "",
       _xlfn.XLOOKUP(tbl_CONTENT[[#This Row],[Topic]], tbl_TOPIC[Topic], tbl_TOPIC[ParentTopic])),
  ""
)</f>
        <v>QM-ÜB</v>
      </c>
      <c r="X440" s="22" t="str">
        <f>IFERROR(
  IF(_xlfn.XLOOKUP(tbl_CONTENT[[#This Row],[Topic]], tbl_TOPIC[Topic], tbl_TOPIC[TopicPath])="", "",
       _xlfn.XLOOKUP(tbl_CONTENT[[#This Row],[Topic]], tbl_TOPIC[Topic], tbl_TOPIC[TopicPath])),
  ""
)</f>
        <v>QM-ÜB/QM-ÜB-00: Hermitische Unitäre Matrizen</v>
      </c>
    </row>
    <row r="441" spans="3:24" ht="51" x14ac:dyDescent="0.2">
      <c r="C441" s="62" t="str">
        <f>_xlfn.XLOOKUP(tbl_CONTENT[[#This Row],[TopicID]], tbl_TOPIC[TopicID], tbl_TOPIC[Subject], "")</f>
        <v>CM</v>
      </c>
      <c r="D44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CM-T12-04-02</v>
      </c>
      <c r="E441" s="62">
        <f>ROW()</f>
        <v>441</v>
      </c>
      <c r="F441" s="22" t="s">
        <v>1051</v>
      </c>
      <c r="G441" s="22" t="str">
        <f>_xlfn.XLOOKUP(tbl_CONTENT[[#This Row],[Topic]], tbl_TOPIC[Topic], tbl_TOPIC[TopicID], "")</f>
        <v>CM-1-04</v>
      </c>
      <c r="H441" s="62" cm="1">
        <f t="array" ref="H441">SUM((tbl_CONTENT[[#This Row],[TopicID]]=INDEX(tbl_CONTENT[TopicID],1):tbl_CONTENT[[#This Row],[TopicID]])*1)</f>
        <v>2</v>
      </c>
      <c r="I441" s="62" t="str">
        <f>_xlfn.XLOOKUP(tbl_CONTENT[[#This Row],[Topic]], tbl_TOPIC[Topic], tbl_TOPIC[TopicIndex], "")</f>
        <v>04</v>
      </c>
      <c r="J441" s="22" t="s">
        <v>463</v>
      </c>
      <c r="K441" s="22" t="s">
        <v>799</v>
      </c>
      <c r="L441" s="22" t="s">
        <v>380</v>
      </c>
      <c r="R441" s="62"/>
      <c r="S441" s="35">
        <f>IFERROR(
 (1.907*EXP(1)^(-0.5*tbl_CONTENT[[#This Row],[Layer]])) *
 ((tbl_CONTENT[[#This Row],[RelInt]]-1)^(2.5)*4^(1-2.5)+1) +
 ((tbl_CONTENT[[#This Row],[Comp]]-1)^(2.5)*4^(1-2.5)+1)*(0.5*((tbl_CONTENT[[#This Row],[RelInt]]-1)/4)^(2.5)+1),
 0
)</f>
        <v>0</v>
      </c>
      <c r="T441" s="35">
        <f>IFERROR(
 (1.907*EXP(1)^(-0.5*VALUE(tbl_CONTENT[[#This Row],[Layer]]))) *
 ((VALUE(tbl_CONTENT[[#This Row],[RelId]])-1)^(2.5)*4^(1-2.5)+1) +
 ((VALUE(tbl_CONTENT[[#This Row],[Comp]])-1)^(2.5)*4^(1-2.5)+1)*(0.5*((VALUE(tbl_CONTENT[[#This Row],[RelId]])-1)/4)^(2.5)+1),
 0
)</f>
        <v>0</v>
      </c>
      <c r="V441" s="62"/>
      <c r="W441" s="22" t="str">
        <f>IFERROR(
  IF(_xlfn.XLOOKUP(tbl_CONTENT[[#This Row],[Topic]], tbl_TOPIC[Topic], tbl_TOPIC[ParentTopic])="", "",
       _xlfn.XLOOKUP(tbl_CONTENT[[#This Row],[Topic]], tbl_TOPIC[Topic], tbl_TOPIC[ParentTopic])),
  ""
)</f>
        <v>Klassische Streutheorie</v>
      </c>
      <c r="X441" s="22" t="str">
        <f>IFERROR(
  IF(_xlfn.XLOOKUP(tbl_CONTENT[[#This Row],[Topic]], tbl_TOPIC[Topic], tbl_TOPIC[TopicPath])="", "",
       _xlfn.XLOOKUP(tbl_CONTENT[[#This Row],[Topic]], tbl_TOPIC[Topic], tbl_TOPIC[TopicPath])),
  ""
)</f>
        <v>Klassische Streutheorie/Rücktransformation ins Laborsystem</v>
      </c>
    </row>
    <row r="442" spans="3:24" ht="51" x14ac:dyDescent="0.2">
      <c r="C442" s="62" t="str">
        <f>_xlfn.XLOOKUP(tbl_CONTENT[[#This Row],[TopicID]], tbl_TOPIC[TopicID], tbl_TOPIC[Subject], "")</f>
        <v>CM</v>
      </c>
      <c r="D44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CM-T12-04-03</v>
      </c>
      <c r="E442" s="62">
        <f>ROW()</f>
        <v>442</v>
      </c>
      <c r="F442" s="22" t="s">
        <v>1051</v>
      </c>
      <c r="G442" s="22" t="str">
        <f>_xlfn.XLOOKUP(tbl_CONTENT[[#This Row],[Topic]], tbl_TOPIC[Topic], tbl_TOPIC[TopicID], "")</f>
        <v>CM-1-04</v>
      </c>
      <c r="H442" s="62" cm="1">
        <f t="array" ref="H442">SUM((tbl_CONTENT[[#This Row],[TopicID]]=INDEX(tbl_CONTENT[TopicID],1):tbl_CONTENT[[#This Row],[TopicID]])*1)</f>
        <v>3</v>
      </c>
      <c r="I442" s="62" t="str">
        <f>_xlfn.XLOOKUP(tbl_CONTENT[[#This Row],[Topic]], tbl_TOPIC[Topic], tbl_TOPIC[TopicIndex], "")</f>
        <v>04</v>
      </c>
      <c r="J442" s="22" t="s">
        <v>463</v>
      </c>
      <c r="K442" s="22" t="s">
        <v>800</v>
      </c>
      <c r="L442" s="22" t="s">
        <v>380</v>
      </c>
      <c r="R442" s="62"/>
      <c r="S442" s="35">
        <f>IFERROR(
 (1.907*EXP(1)^(-0.5*tbl_CONTENT[[#This Row],[Layer]])) *
 ((tbl_CONTENT[[#This Row],[RelInt]]-1)^(2.5)*4^(1-2.5)+1) +
 ((tbl_CONTENT[[#This Row],[Comp]]-1)^(2.5)*4^(1-2.5)+1)*(0.5*((tbl_CONTENT[[#This Row],[RelInt]]-1)/4)^(2.5)+1),
 0
)</f>
        <v>0</v>
      </c>
      <c r="T442" s="35">
        <f>IFERROR(
 (1.907*EXP(1)^(-0.5*VALUE(tbl_CONTENT[[#This Row],[Layer]]))) *
 ((VALUE(tbl_CONTENT[[#This Row],[RelId]])-1)^(2.5)*4^(1-2.5)+1) +
 ((VALUE(tbl_CONTENT[[#This Row],[Comp]])-1)^(2.5)*4^(1-2.5)+1)*(0.5*((VALUE(tbl_CONTENT[[#This Row],[RelId]])-1)/4)^(2.5)+1),
 0
)</f>
        <v>0</v>
      </c>
      <c r="V442" s="62"/>
      <c r="W442" s="22" t="str">
        <f>IFERROR(
  IF(_xlfn.XLOOKUP(tbl_CONTENT[[#This Row],[Topic]], tbl_TOPIC[Topic], tbl_TOPIC[ParentTopic])="", "",
       _xlfn.XLOOKUP(tbl_CONTENT[[#This Row],[Topic]], tbl_TOPIC[Topic], tbl_TOPIC[ParentTopic])),
  ""
)</f>
        <v>Klassische Streutheorie</v>
      </c>
      <c r="X442" s="22" t="str">
        <f>IFERROR(
  IF(_xlfn.XLOOKUP(tbl_CONTENT[[#This Row],[Topic]], tbl_TOPIC[Topic], tbl_TOPIC[TopicPath])="", "",
       _xlfn.XLOOKUP(tbl_CONTENT[[#This Row],[Topic]], tbl_TOPIC[Topic], tbl_TOPIC[TopicPath])),
  ""
)</f>
        <v>Klassische Streutheorie/Rücktransformation ins Laborsystem</v>
      </c>
    </row>
    <row r="443" spans="3:24" ht="51" x14ac:dyDescent="0.2">
      <c r="C443" s="62" t="str">
        <f>_xlfn.XLOOKUP(tbl_CONTENT[[#This Row],[TopicID]], tbl_TOPIC[TopicID], tbl_TOPIC[Subject], "")</f>
        <v>CM</v>
      </c>
      <c r="D44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CM-T12-04-04</v>
      </c>
      <c r="E443" s="62">
        <f>ROW()</f>
        <v>443</v>
      </c>
      <c r="F443" s="22" t="s">
        <v>1051</v>
      </c>
      <c r="G443" s="22" t="str">
        <f>_xlfn.XLOOKUP(tbl_CONTENT[[#This Row],[Topic]], tbl_TOPIC[Topic], tbl_TOPIC[TopicID], "")</f>
        <v>CM-1-04</v>
      </c>
      <c r="H443" s="62" cm="1">
        <f t="array" ref="H443">SUM((tbl_CONTENT[[#This Row],[TopicID]]=INDEX(tbl_CONTENT[TopicID],1):tbl_CONTENT[[#This Row],[TopicID]])*1)</f>
        <v>4</v>
      </c>
      <c r="I443" s="62" t="str">
        <f>_xlfn.XLOOKUP(tbl_CONTENT[[#This Row],[Topic]], tbl_TOPIC[Topic], tbl_TOPIC[TopicIndex], "")</f>
        <v>04</v>
      </c>
      <c r="J443" s="22" t="s">
        <v>463</v>
      </c>
      <c r="K443" s="22" t="s">
        <v>801</v>
      </c>
      <c r="L443" s="22" t="s">
        <v>380</v>
      </c>
      <c r="R443" s="62"/>
      <c r="S443" s="35">
        <f>IFERROR(
 (1.907*EXP(1)^(-0.5*tbl_CONTENT[[#This Row],[Layer]])) *
 ((tbl_CONTENT[[#This Row],[RelInt]]-1)^(2.5)*4^(1-2.5)+1) +
 ((tbl_CONTENT[[#This Row],[Comp]]-1)^(2.5)*4^(1-2.5)+1)*(0.5*((tbl_CONTENT[[#This Row],[RelInt]]-1)/4)^(2.5)+1),
 0
)</f>
        <v>0</v>
      </c>
      <c r="T443" s="35">
        <f>IFERROR(
 (1.907*EXP(1)^(-0.5*VALUE(tbl_CONTENT[[#This Row],[Layer]]))) *
 ((VALUE(tbl_CONTENT[[#This Row],[RelId]])-1)^(2.5)*4^(1-2.5)+1) +
 ((VALUE(tbl_CONTENT[[#This Row],[Comp]])-1)^(2.5)*4^(1-2.5)+1)*(0.5*((VALUE(tbl_CONTENT[[#This Row],[RelId]])-1)/4)^(2.5)+1),
 0
)</f>
        <v>0</v>
      </c>
      <c r="V443" s="62" t="s">
        <v>803</v>
      </c>
      <c r="W443" s="22" t="str">
        <f>IFERROR(
  IF(_xlfn.XLOOKUP(tbl_CONTENT[[#This Row],[Topic]], tbl_TOPIC[Topic], tbl_TOPIC[ParentTopic])="", "",
       _xlfn.XLOOKUP(tbl_CONTENT[[#This Row],[Topic]], tbl_TOPIC[Topic], tbl_TOPIC[ParentTopic])),
  ""
)</f>
        <v>Klassische Streutheorie</v>
      </c>
      <c r="X443" s="22" t="str">
        <f>IFERROR(
  IF(_xlfn.XLOOKUP(tbl_CONTENT[[#This Row],[Topic]], tbl_TOPIC[Topic], tbl_TOPIC[TopicPath])="", "",
       _xlfn.XLOOKUP(tbl_CONTENT[[#This Row],[Topic]], tbl_TOPIC[Topic], tbl_TOPIC[TopicPath])),
  ""
)</f>
        <v>Klassische Streutheorie/Rücktransformation ins Laborsystem</v>
      </c>
    </row>
    <row r="444" spans="3:24" ht="68" x14ac:dyDescent="0.2">
      <c r="C444" s="62" t="str">
        <f>_xlfn.XLOOKUP(tbl_CONTENT[[#This Row],[TopicID]], tbl_TOPIC[TopicID], tbl_TOPIC[Subject], "")</f>
        <v>CM</v>
      </c>
      <c r="D44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CM-T12-04-05</v>
      </c>
      <c r="E444" s="62">
        <f>ROW()</f>
        <v>444</v>
      </c>
      <c r="F444" s="22" t="s">
        <v>1051</v>
      </c>
      <c r="G444" s="22" t="str">
        <f>_xlfn.XLOOKUP(tbl_CONTENT[[#This Row],[Topic]], tbl_TOPIC[Topic], tbl_TOPIC[TopicID], "")</f>
        <v>CM-1-04</v>
      </c>
      <c r="H444" s="62" cm="1">
        <f t="array" ref="H444">SUM((tbl_CONTENT[[#This Row],[TopicID]]=INDEX(tbl_CONTENT[TopicID],1):tbl_CONTENT[[#This Row],[TopicID]])*1)</f>
        <v>5</v>
      </c>
      <c r="I444" s="62" t="str">
        <f>_xlfn.XLOOKUP(tbl_CONTENT[[#This Row],[Topic]], tbl_TOPIC[Topic], tbl_TOPIC[TopicIndex], "")</f>
        <v>04</v>
      </c>
      <c r="J444" s="22" t="s">
        <v>463</v>
      </c>
      <c r="K444" s="22" t="s">
        <v>802</v>
      </c>
      <c r="L444" s="22" t="s">
        <v>151</v>
      </c>
      <c r="R444" s="62"/>
      <c r="S444" s="35">
        <f>IFERROR(
 (1.907*EXP(1)^(-0.5*tbl_CONTENT[[#This Row],[Layer]])) *
 ((tbl_CONTENT[[#This Row],[RelInt]]-1)^(2.5)*4^(1-2.5)+1) +
 ((tbl_CONTENT[[#This Row],[Comp]]-1)^(2.5)*4^(1-2.5)+1)*(0.5*((tbl_CONTENT[[#This Row],[RelInt]]-1)/4)^(2.5)+1),
 0
)</f>
        <v>0</v>
      </c>
      <c r="T444" s="35">
        <f>IFERROR(
 (1.907*EXP(1)^(-0.5*VALUE(tbl_CONTENT[[#This Row],[Layer]]))) *
 ((VALUE(tbl_CONTENT[[#This Row],[RelId]])-1)^(2.5)*4^(1-2.5)+1) +
 ((VALUE(tbl_CONTENT[[#This Row],[Comp]])-1)^(2.5)*4^(1-2.5)+1)*(0.5*((VALUE(tbl_CONTENT[[#This Row],[RelId]])-1)/4)^(2.5)+1),
 0
)</f>
        <v>0</v>
      </c>
      <c r="V444" s="62"/>
      <c r="W444" s="22" t="str">
        <f>IFERROR(
  IF(_xlfn.XLOOKUP(tbl_CONTENT[[#This Row],[Topic]], tbl_TOPIC[Topic], tbl_TOPIC[ParentTopic])="", "",
       _xlfn.XLOOKUP(tbl_CONTENT[[#This Row],[Topic]], tbl_TOPIC[Topic], tbl_TOPIC[ParentTopic])),
  ""
)</f>
        <v>Klassische Streutheorie</v>
      </c>
      <c r="X444" s="22" t="str">
        <f>IFERROR(
  IF(_xlfn.XLOOKUP(tbl_CONTENT[[#This Row],[Topic]], tbl_TOPIC[Topic], tbl_TOPIC[TopicPath])="", "",
       _xlfn.XLOOKUP(tbl_CONTENT[[#This Row],[Topic]], tbl_TOPIC[Topic], tbl_TOPIC[TopicPath])),
  ""
)</f>
        <v>Klassische Streutheorie/Rücktransformation ins Laborsystem</v>
      </c>
    </row>
    <row r="445" spans="3:24" ht="51" x14ac:dyDescent="0.2">
      <c r="C445" s="62" t="str">
        <f>_xlfn.XLOOKUP(tbl_CONTENT[[#This Row],[TopicID]], tbl_TOPIC[TopicID], tbl_TOPIC[Subject], "")</f>
        <v>CM</v>
      </c>
      <c r="D44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CM-T12-04-06</v>
      </c>
      <c r="E445" s="62">
        <f>ROW()</f>
        <v>445</v>
      </c>
      <c r="F445" s="22" t="s">
        <v>1051</v>
      </c>
      <c r="G445" s="22" t="str">
        <f>_xlfn.XLOOKUP(tbl_CONTENT[[#This Row],[Topic]], tbl_TOPIC[Topic], tbl_TOPIC[TopicID], "")</f>
        <v>CM-1-04</v>
      </c>
      <c r="H445" s="62" cm="1">
        <f t="array" ref="H445">SUM((tbl_CONTENT[[#This Row],[TopicID]]=INDEX(tbl_CONTENT[TopicID],1):tbl_CONTENT[[#This Row],[TopicID]])*1)</f>
        <v>6</v>
      </c>
      <c r="I445" s="62" t="str">
        <f>_xlfn.XLOOKUP(tbl_CONTENT[[#This Row],[Topic]], tbl_TOPIC[Topic], tbl_TOPIC[TopicIndex], "")</f>
        <v>04</v>
      </c>
      <c r="J445" s="22" t="s">
        <v>463</v>
      </c>
      <c r="K445" s="22" t="s">
        <v>804</v>
      </c>
      <c r="L445" s="22" t="s">
        <v>380</v>
      </c>
      <c r="R445" s="62"/>
      <c r="S445" s="35">
        <f>IFERROR(
 (1.907*EXP(1)^(-0.5*tbl_CONTENT[[#This Row],[Layer]])) *
 ((tbl_CONTENT[[#This Row],[RelInt]]-1)^(2.5)*4^(1-2.5)+1) +
 ((tbl_CONTENT[[#This Row],[Comp]]-1)^(2.5)*4^(1-2.5)+1)*(0.5*((tbl_CONTENT[[#This Row],[RelInt]]-1)/4)^(2.5)+1),
 0
)</f>
        <v>0</v>
      </c>
      <c r="T445" s="35">
        <f>IFERROR(
 (1.907*EXP(1)^(-0.5*VALUE(tbl_CONTENT[[#This Row],[Layer]]))) *
 ((VALUE(tbl_CONTENT[[#This Row],[RelId]])-1)^(2.5)*4^(1-2.5)+1) +
 ((VALUE(tbl_CONTENT[[#This Row],[Comp]])-1)^(2.5)*4^(1-2.5)+1)*(0.5*((VALUE(tbl_CONTENT[[#This Row],[RelId]])-1)/4)^(2.5)+1),
 0
)</f>
        <v>0</v>
      </c>
      <c r="V445" s="62"/>
      <c r="W445" s="22" t="str">
        <f>IFERROR(
  IF(_xlfn.XLOOKUP(tbl_CONTENT[[#This Row],[Topic]], tbl_TOPIC[Topic], tbl_TOPIC[ParentTopic])="", "",
       _xlfn.XLOOKUP(tbl_CONTENT[[#This Row],[Topic]], tbl_TOPIC[Topic], tbl_TOPIC[ParentTopic])),
  ""
)</f>
        <v>Klassische Streutheorie</v>
      </c>
      <c r="X445" s="22" t="str">
        <f>IFERROR(
  IF(_xlfn.XLOOKUP(tbl_CONTENT[[#This Row],[Topic]], tbl_TOPIC[Topic], tbl_TOPIC[TopicPath])="", "",
       _xlfn.XLOOKUP(tbl_CONTENT[[#This Row],[Topic]], tbl_TOPIC[Topic], tbl_TOPIC[TopicPath])),
  ""
)</f>
        <v>Klassische Streutheorie/Rücktransformation ins Laborsystem</v>
      </c>
    </row>
    <row r="446" spans="3:24" ht="34" x14ac:dyDescent="0.2">
      <c r="C446" s="62" t="str">
        <f>_xlfn.XLOOKUP(tbl_CONTENT[[#This Row],[TopicID]], tbl_TOPIC[TopicID], tbl_TOPIC[Subject], "")</f>
        <v>CM</v>
      </c>
      <c r="D44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CM-T12-04-07</v>
      </c>
      <c r="E446" s="62">
        <f>ROW()</f>
        <v>446</v>
      </c>
      <c r="F446" s="22" t="s">
        <v>1051</v>
      </c>
      <c r="G446" s="22" t="str">
        <f>_xlfn.XLOOKUP(tbl_CONTENT[[#This Row],[Topic]], tbl_TOPIC[Topic], tbl_TOPIC[TopicID], "")</f>
        <v>CM-1-04</v>
      </c>
      <c r="H446" s="62" cm="1">
        <f t="array" ref="H446">SUM((tbl_CONTENT[[#This Row],[TopicID]]=INDEX(tbl_CONTENT[TopicID],1):tbl_CONTENT[[#This Row],[TopicID]])*1)</f>
        <v>7</v>
      </c>
      <c r="I446" s="62" t="str">
        <f>_xlfn.XLOOKUP(tbl_CONTENT[[#This Row],[Topic]], tbl_TOPIC[Topic], tbl_TOPIC[TopicIndex], "")</f>
        <v>04</v>
      </c>
      <c r="J446" s="22" t="s">
        <v>463</v>
      </c>
      <c r="K446" s="22" t="s">
        <v>805</v>
      </c>
      <c r="L446" s="22" t="s">
        <v>380</v>
      </c>
      <c r="R446" s="62"/>
      <c r="S446" s="35">
        <f>IFERROR(
 (1.907*EXP(1)^(-0.5*tbl_CONTENT[[#This Row],[Layer]])) *
 ((tbl_CONTENT[[#This Row],[RelInt]]-1)^(2.5)*4^(1-2.5)+1) +
 ((tbl_CONTENT[[#This Row],[Comp]]-1)^(2.5)*4^(1-2.5)+1)*(0.5*((tbl_CONTENT[[#This Row],[RelInt]]-1)/4)^(2.5)+1),
 0
)</f>
        <v>0</v>
      </c>
      <c r="T446" s="35">
        <f>IFERROR(
 (1.907*EXP(1)^(-0.5*VALUE(tbl_CONTENT[[#This Row],[Layer]]))) *
 ((VALUE(tbl_CONTENT[[#This Row],[RelId]])-1)^(2.5)*4^(1-2.5)+1) +
 ((VALUE(tbl_CONTENT[[#This Row],[Comp]])-1)^(2.5)*4^(1-2.5)+1)*(0.5*((VALUE(tbl_CONTENT[[#This Row],[RelId]])-1)/4)^(2.5)+1),
 0
)</f>
        <v>0</v>
      </c>
      <c r="V446" s="62"/>
      <c r="W446" s="22" t="str">
        <f>IFERROR(
  IF(_xlfn.XLOOKUP(tbl_CONTENT[[#This Row],[Topic]], tbl_TOPIC[Topic], tbl_TOPIC[ParentTopic])="", "",
       _xlfn.XLOOKUP(tbl_CONTENT[[#This Row],[Topic]], tbl_TOPIC[Topic], tbl_TOPIC[ParentTopic])),
  ""
)</f>
        <v>Klassische Streutheorie</v>
      </c>
      <c r="X446" s="22" t="str">
        <f>IFERROR(
  IF(_xlfn.XLOOKUP(tbl_CONTENT[[#This Row],[Topic]], tbl_TOPIC[Topic], tbl_TOPIC[TopicPath])="", "",
       _xlfn.XLOOKUP(tbl_CONTENT[[#This Row],[Topic]], tbl_TOPIC[Topic], tbl_TOPIC[TopicPath])),
  ""
)</f>
        <v>Klassische Streutheorie/Rücktransformation ins Laborsystem</v>
      </c>
    </row>
    <row r="447" spans="3:24" ht="51" x14ac:dyDescent="0.2">
      <c r="C447" s="62" t="str">
        <f>_xlfn.XLOOKUP(tbl_CONTENT[[#This Row],[TopicID]], tbl_TOPIC[TopicID], tbl_TOPIC[Subject], "")</f>
        <v>CM</v>
      </c>
      <c r="D44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CM-T12-04-08</v>
      </c>
      <c r="E447" s="62">
        <f>ROW()</f>
        <v>447</v>
      </c>
      <c r="F447" s="22" t="s">
        <v>1051</v>
      </c>
      <c r="G447" s="22" t="str">
        <f>_xlfn.XLOOKUP(tbl_CONTENT[[#This Row],[Topic]], tbl_TOPIC[Topic], tbl_TOPIC[TopicID], "")</f>
        <v>CM-1-04</v>
      </c>
      <c r="H447" s="62" cm="1">
        <f t="array" ref="H447">SUM((tbl_CONTENT[[#This Row],[TopicID]]=INDEX(tbl_CONTENT[TopicID],1):tbl_CONTENT[[#This Row],[TopicID]])*1)</f>
        <v>8</v>
      </c>
      <c r="I447" s="62" t="str">
        <f>_xlfn.XLOOKUP(tbl_CONTENT[[#This Row],[Topic]], tbl_TOPIC[Topic], tbl_TOPIC[TopicIndex], "")</f>
        <v>04</v>
      </c>
      <c r="J447" s="22" t="s">
        <v>463</v>
      </c>
      <c r="K447" s="22" t="s">
        <v>806</v>
      </c>
      <c r="L447" s="22" t="s">
        <v>151</v>
      </c>
      <c r="R447" s="62"/>
      <c r="S447" s="35">
        <f>IFERROR(
 (1.907*EXP(1)^(-0.5*tbl_CONTENT[[#This Row],[Layer]])) *
 ((tbl_CONTENT[[#This Row],[RelInt]]-1)^(2.5)*4^(1-2.5)+1) +
 ((tbl_CONTENT[[#This Row],[Comp]]-1)^(2.5)*4^(1-2.5)+1)*(0.5*((tbl_CONTENT[[#This Row],[RelInt]]-1)/4)^(2.5)+1),
 0
)</f>
        <v>0</v>
      </c>
      <c r="T447" s="35">
        <f>IFERROR(
 (1.907*EXP(1)^(-0.5*VALUE(tbl_CONTENT[[#This Row],[Layer]]))) *
 ((VALUE(tbl_CONTENT[[#This Row],[RelId]])-1)^(2.5)*4^(1-2.5)+1) +
 ((VALUE(tbl_CONTENT[[#This Row],[Comp]])-1)^(2.5)*4^(1-2.5)+1)*(0.5*((VALUE(tbl_CONTENT[[#This Row],[RelId]])-1)/4)^(2.5)+1),
 0
)</f>
        <v>0</v>
      </c>
      <c r="V447" s="62"/>
      <c r="W447" s="22" t="str">
        <f>IFERROR(
  IF(_xlfn.XLOOKUP(tbl_CONTENT[[#This Row],[Topic]], tbl_TOPIC[Topic], tbl_TOPIC[ParentTopic])="", "",
       _xlfn.XLOOKUP(tbl_CONTENT[[#This Row],[Topic]], tbl_TOPIC[Topic], tbl_TOPIC[ParentTopic])),
  ""
)</f>
        <v>Klassische Streutheorie</v>
      </c>
      <c r="X447" s="22" t="str">
        <f>IFERROR(
  IF(_xlfn.XLOOKUP(tbl_CONTENT[[#This Row],[Topic]], tbl_TOPIC[Topic], tbl_TOPIC[TopicPath])="", "",
       _xlfn.XLOOKUP(tbl_CONTENT[[#This Row],[Topic]], tbl_TOPIC[Topic], tbl_TOPIC[TopicPath])),
  ""
)</f>
        <v>Klassische Streutheorie/Rücktransformation ins Laborsystem</v>
      </c>
    </row>
    <row r="448" spans="3:24" ht="34" x14ac:dyDescent="0.2">
      <c r="C448" s="62" t="str">
        <f>_xlfn.XLOOKUP(tbl_CONTENT[[#This Row],[TopicID]], tbl_TOPIC[TopicID], tbl_TOPIC[Subject], "")</f>
        <v>CM</v>
      </c>
      <c r="D44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CM-T12-04-09</v>
      </c>
      <c r="E448" s="62">
        <f>ROW()</f>
        <v>448</v>
      </c>
      <c r="F448" s="22" t="s">
        <v>1051</v>
      </c>
      <c r="G448" s="22" t="str">
        <f>_xlfn.XLOOKUP(tbl_CONTENT[[#This Row],[Topic]], tbl_TOPIC[Topic], tbl_TOPIC[TopicID], "")</f>
        <v>CM-1-04</v>
      </c>
      <c r="H448" s="62" cm="1">
        <f t="array" ref="H448">SUM((tbl_CONTENT[[#This Row],[TopicID]]=INDEX(tbl_CONTENT[TopicID],1):tbl_CONTENT[[#This Row],[TopicID]])*1)</f>
        <v>9</v>
      </c>
      <c r="I448" s="62" t="str">
        <f>_xlfn.XLOOKUP(tbl_CONTENT[[#This Row],[Topic]], tbl_TOPIC[Topic], tbl_TOPIC[TopicIndex], "")</f>
        <v>04</v>
      </c>
      <c r="J448" s="22" t="s">
        <v>463</v>
      </c>
      <c r="K448" s="22" t="s">
        <v>807</v>
      </c>
      <c r="L448" s="22" t="s">
        <v>380</v>
      </c>
      <c r="R448" s="62"/>
      <c r="S448" s="35">
        <f>IFERROR(
 (1.907*EXP(1)^(-0.5*tbl_CONTENT[[#This Row],[Layer]])) *
 ((tbl_CONTENT[[#This Row],[RelInt]]-1)^(2.5)*4^(1-2.5)+1) +
 ((tbl_CONTENT[[#This Row],[Comp]]-1)^(2.5)*4^(1-2.5)+1)*(0.5*((tbl_CONTENT[[#This Row],[RelInt]]-1)/4)^(2.5)+1),
 0
)</f>
        <v>0</v>
      </c>
      <c r="T448" s="35">
        <f>IFERROR(
 (1.907*EXP(1)^(-0.5*VALUE(tbl_CONTENT[[#This Row],[Layer]]))) *
 ((VALUE(tbl_CONTENT[[#This Row],[RelId]])-1)^(2.5)*4^(1-2.5)+1) +
 ((VALUE(tbl_CONTENT[[#This Row],[Comp]])-1)^(2.5)*4^(1-2.5)+1)*(0.5*((VALUE(tbl_CONTENT[[#This Row],[RelId]])-1)/4)^(2.5)+1),
 0
)</f>
        <v>0</v>
      </c>
      <c r="V448" s="62"/>
      <c r="W448" s="22" t="str">
        <f>IFERROR(
  IF(_xlfn.XLOOKUP(tbl_CONTENT[[#This Row],[Topic]], tbl_TOPIC[Topic], tbl_TOPIC[ParentTopic])="", "",
       _xlfn.XLOOKUP(tbl_CONTENT[[#This Row],[Topic]], tbl_TOPIC[Topic], tbl_TOPIC[ParentTopic])),
  ""
)</f>
        <v>Klassische Streutheorie</v>
      </c>
      <c r="X448" s="22" t="str">
        <f>IFERROR(
  IF(_xlfn.XLOOKUP(tbl_CONTENT[[#This Row],[Topic]], tbl_TOPIC[Topic], tbl_TOPIC[TopicPath])="", "",
       _xlfn.XLOOKUP(tbl_CONTENT[[#This Row],[Topic]], tbl_TOPIC[Topic], tbl_TOPIC[TopicPath])),
  ""
)</f>
        <v>Klassische Streutheorie/Rücktransformation ins Laborsystem</v>
      </c>
    </row>
    <row r="449" spans="3:24" ht="34" x14ac:dyDescent="0.2">
      <c r="C449" s="62" t="str">
        <f>_xlfn.XLOOKUP(tbl_CONTENT[[#This Row],[TopicID]], tbl_TOPIC[TopicID], tbl_TOPIC[Subject], "")</f>
        <v>CM</v>
      </c>
      <c r="D44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CM-T12-04-10</v>
      </c>
      <c r="E449" s="62">
        <f>ROW()</f>
        <v>449</v>
      </c>
      <c r="F449" s="22" t="s">
        <v>1051</v>
      </c>
      <c r="G449" s="22" t="str">
        <f>_xlfn.XLOOKUP(tbl_CONTENT[[#This Row],[Topic]], tbl_TOPIC[Topic], tbl_TOPIC[TopicID], "")</f>
        <v>CM-1-04</v>
      </c>
      <c r="H449" s="62" cm="1">
        <f t="array" ref="H449">SUM((tbl_CONTENT[[#This Row],[TopicID]]=INDEX(tbl_CONTENT[TopicID],1):tbl_CONTENT[[#This Row],[TopicID]])*1)</f>
        <v>10</v>
      </c>
      <c r="I449" s="62" t="str">
        <f>_xlfn.XLOOKUP(tbl_CONTENT[[#This Row],[Topic]], tbl_TOPIC[Topic], tbl_TOPIC[TopicIndex], "")</f>
        <v>04</v>
      </c>
      <c r="J449" s="22" t="s">
        <v>463</v>
      </c>
      <c r="K449" s="22" t="s">
        <v>808</v>
      </c>
      <c r="L449" s="22" t="s">
        <v>380</v>
      </c>
      <c r="R449" s="62"/>
      <c r="S449" s="35">
        <f>IFERROR(
 (1.907*EXP(1)^(-0.5*tbl_CONTENT[[#This Row],[Layer]])) *
 ((tbl_CONTENT[[#This Row],[RelInt]]-1)^(2.5)*4^(1-2.5)+1) +
 ((tbl_CONTENT[[#This Row],[Comp]]-1)^(2.5)*4^(1-2.5)+1)*(0.5*((tbl_CONTENT[[#This Row],[RelInt]]-1)/4)^(2.5)+1),
 0
)</f>
        <v>0</v>
      </c>
      <c r="T449" s="35">
        <f>IFERROR(
 (1.907*EXP(1)^(-0.5*VALUE(tbl_CONTENT[[#This Row],[Layer]]))) *
 ((VALUE(tbl_CONTENT[[#This Row],[RelId]])-1)^(2.5)*4^(1-2.5)+1) +
 ((VALUE(tbl_CONTENT[[#This Row],[Comp]])-1)^(2.5)*4^(1-2.5)+1)*(0.5*((VALUE(tbl_CONTENT[[#This Row],[RelId]])-1)/4)^(2.5)+1),
 0
)</f>
        <v>0</v>
      </c>
      <c r="V449" s="62"/>
      <c r="W449" s="22" t="str">
        <f>IFERROR(
  IF(_xlfn.XLOOKUP(tbl_CONTENT[[#This Row],[Topic]], tbl_TOPIC[Topic], tbl_TOPIC[ParentTopic])="", "",
       _xlfn.XLOOKUP(tbl_CONTENT[[#This Row],[Topic]], tbl_TOPIC[Topic], tbl_TOPIC[ParentTopic])),
  ""
)</f>
        <v>Klassische Streutheorie</v>
      </c>
      <c r="X449" s="22" t="str">
        <f>IFERROR(
  IF(_xlfn.XLOOKUP(tbl_CONTENT[[#This Row],[Topic]], tbl_TOPIC[Topic], tbl_TOPIC[TopicPath])="", "",
       _xlfn.XLOOKUP(tbl_CONTENT[[#This Row],[Topic]], tbl_TOPIC[Topic], tbl_TOPIC[TopicPath])),
  ""
)</f>
        <v>Klassische Streutheorie/Rücktransformation ins Laborsystem</v>
      </c>
    </row>
    <row r="450" spans="3:24" ht="34" x14ac:dyDescent="0.2">
      <c r="C450" s="62" t="str">
        <f>_xlfn.XLOOKUP(tbl_CONTENT[[#This Row],[TopicID]], tbl_TOPIC[TopicID], tbl_TOPIC[Subject], "")</f>
        <v>GPDE</v>
      </c>
      <c r="D45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GPDE-T12-02-12</v>
      </c>
      <c r="E450" s="62">
        <f>ROW()</f>
        <v>450</v>
      </c>
      <c r="F450" s="22" t="s">
        <v>1051</v>
      </c>
      <c r="G450" s="22" t="str">
        <f>_xlfn.XLOOKUP(tbl_CONTENT[[#This Row],[Topic]], tbl_TOPIC[Topic], tbl_TOPIC[TopicID], "")</f>
        <v>GPDE-1-02</v>
      </c>
      <c r="H450" s="62" cm="1">
        <f t="array" ref="H450">SUM((tbl_CONTENT[[#This Row],[TopicID]]=INDEX(tbl_CONTENT[TopicID],1):tbl_CONTENT[[#This Row],[TopicID]])*1)</f>
        <v>12</v>
      </c>
      <c r="I450" s="62" t="str">
        <f>_xlfn.XLOOKUP(tbl_CONTENT[[#This Row],[Topic]], tbl_TOPIC[Topic], tbl_TOPIC[TopicIndex], "")</f>
        <v>02</v>
      </c>
      <c r="J450" s="22" t="s">
        <v>331</v>
      </c>
      <c r="K450" s="22" t="s">
        <v>810</v>
      </c>
      <c r="L450" s="22" t="s">
        <v>152</v>
      </c>
      <c r="M450" s="22">
        <v>1</v>
      </c>
      <c r="R450" s="62"/>
      <c r="S450" s="35">
        <f>IFERROR(
 (1.907*EXP(1)^(-0.5*tbl_CONTENT[[#This Row],[Layer]])) *
 ((tbl_CONTENT[[#This Row],[RelInt]]-1)^(2.5)*4^(1-2.5)+1) +
 ((tbl_CONTENT[[#This Row],[Comp]]-1)^(2.5)*4^(1-2.5)+1)*(0.5*((tbl_CONTENT[[#This Row],[RelInt]]-1)/4)^(2.5)+1),
 0
)</f>
        <v>0</v>
      </c>
      <c r="T450" s="35">
        <f>IFERROR(
 (1.907*EXP(1)^(-0.5*VALUE(tbl_CONTENT[[#This Row],[Layer]]))) *
 ((VALUE(tbl_CONTENT[[#This Row],[RelId]])-1)^(2.5)*4^(1-2.5)+1) +
 ((VALUE(tbl_CONTENT[[#This Row],[Comp]])-1)^(2.5)*4^(1-2.5)+1)*(0.5*((VALUE(tbl_CONTENT[[#This Row],[RelId]])-1)/4)^(2.5)+1),
 0
)</f>
        <v>0</v>
      </c>
      <c r="V450" s="62"/>
      <c r="W450" s="22" t="str">
        <f>IFERROR(
  IF(_xlfn.XLOOKUP(tbl_CONTENT[[#This Row],[Topic]], tbl_TOPIC[Topic], tbl_TOPIC[ParentTopic])="", "",
       _xlfn.XLOOKUP(tbl_CONTENT[[#This Row],[Topic]], tbl_TOPIC[Topic], tbl_TOPIC[ParentTopic])),
  ""
)</f>
        <v>GPDE Basics</v>
      </c>
      <c r="X450" s="22" t="str">
        <f>IFERROR(
  IF(_xlfn.XLOOKUP(tbl_CONTENT[[#This Row],[Topic]], tbl_TOPIC[Topic], tbl_TOPIC[TopicPath])="", "",
       _xlfn.XLOOKUP(tbl_CONTENT[[#This Row],[Topic]], tbl_TOPIC[Topic], tbl_TOPIC[TopicPath])),
  ""
)</f>
        <v>GPDE Basics/Differentialoperatoren</v>
      </c>
    </row>
    <row r="451" spans="3:24" ht="34" x14ac:dyDescent="0.2">
      <c r="C451" s="62" t="str">
        <f>_xlfn.XLOOKUP(tbl_CONTENT[[#This Row],[TopicID]], tbl_TOPIC[TopicID], tbl_TOPIC[Subject], "")</f>
        <v>GPDE</v>
      </c>
      <c r="D45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GPDE-T12-02-13</v>
      </c>
      <c r="E451" s="62">
        <f>ROW()</f>
        <v>451</v>
      </c>
      <c r="F451" s="22" t="s">
        <v>1051</v>
      </c>
      <c r="G451" s="22" t="str">
        <f>_xlfn.XLOOKUP(tbl_CONTENT[[#This Row],[Topic]], tbl_TOPIC[Topic], tbl_TOPIC[TopicID], "")</f>
        <v>GPDE-1-02</v>
      </c>
      <c r="H451" s="62" cm="1">
        <f t="array" ref="H451">SUM((tbl_CONTENT[[#This Row],[TopicID]]=INDEX(tbl_CONTENT[TopicID],1):tbl_CONTENT[[#This Row],[TopicID]])*1)</f>
        <v>13</v>
      </c>
      <c r="I451" s="62" t="str">
        <f>_xlfn.XLOOKUP(tbl_CONTENT[[#This Row],[Topic]], tbl_TOPIC[Topic], tbl_TOPIC[TopicIndex], "")</f>
        <v>02</v>
      </c>
      <c r="J451" s="22" t="s">
        <v>331</v>
      </c>
      <c r="K451" s="22" t="s">
        <v>811</v>
      </c>
      <c r="L451" s="22" t="s">
        <v>152</v>
      </c>
      <c r="M451" s="22">
        <v>1</v>
      </c>
      <c r="R451" s="62"/>
      <c r="S451" s="35">
        <f>IFERROR(
 (1.907*EXP(1)^(-0.5*tbl_CONTENT[[#This Row],[Layer]])) *
 ((tbl_CONTENT[[#This Row],[RelInt]]-1)^(2.5)*4^(1-2.5)+1) +
 ((tbl_CONTENT[[#This Row],[Comp]]-1)^(2.5)*4^(1-2.5)+1)*(0.5*((tbl_CONTENT[[#This Row],[RelInt]]-1)/4)^(2.5)+1),
 0
)</f>
        <v>0</v>
      </c>
      <c r="T451" s="35">
        <f>IFERROR(
 (1.907*EXP(1)^(-0.5*VALUE(tbl_CONTENT[[#This Row],[Layer]]))) *
 ((VALUE(tbl_CONTENT[[#This Row],[RelId]])-1)^(2.5)*4^(1-2.5)+1) +
 ((VALUE(tbl_CONTENT[[#This Row],[Comp]])-1)^(2.5)*4^(1-2.5)+1)*(0.5*((VALUE(tbl_CONTENT[[#This Row],[RelId]])-1)/4)^(2.5)+1),
 0
)</f>
        <v>0</v>
      </c>
      <c r="V451" s="62"/>
      <c r="W451" s="22" t="str">
        <f>IFERROR(
  IF(_xlfn.XLOOKUP(tbl_CONTENT[[#This Row],[Topic]], tbl_TOPIC[Topic], tbl_TOPIC[ParentTopic])="", "",
       _xlfn.XLOOKUP(tbl_CONTENT[[#This Row],[Topic]], tbl_TOPIC[Topic], tbl_TOPIC[ParentTopic])),
  ""
)</f>
        <v>GPDE Basics</v>
      </c>
      <c r="X451" s="22" t="str">
        <f>IFERROR(
  IF(_xlfn.XLOOKUP(tbl_CONTENT[[#This Row],[Topic]], tbl_TOPIC[Topic], tbl_TOPIC[TopicPath])="", "",
       _xlfn.XLOOKUP(tbl_CONTENT[[#This Row],[Topic]], tbl_TOPIC[Topic], tbl_TOPIC[TopicPath])),
  ""
)</f>
        <v>GPDE Basics/Differentialoperatoren</v>
      </c>
    </row>
    <row r="452" spans="3:24" ht="34" x14ac:dyDescent="0.2">
      <c r="C452" s="62" t="str">
        <f>_xlfn.XLOOKUP(tbl_CONTENT[[#This Row],[TopicID]], tbl_TOPIC[TopicID], tbl_TOPIC[Subject], "")</f>
        <v>GPDE</v>
      </c>
      <c r="D45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GPDE-T12-02-14</v>
      </c>
      <c r="E452" s="62">
        <f>ROW()</f>
        <v>452</v>
      </c>
      <c r="F452" s="22" t="s">
        <v>1051</v>
      </c>
      <c r="G452" s="22" t="str">
        <f>_xlfn.XLOOKUP(tbl_CONTENT[[#This Row],[Topic]], tbl_TOPIC[Topic], tbl_TOPIC[TopicID], "")</f>
        <v>GPDE-1-02</v>
      </c>
      <c r="H452" s="62" cm="1">
        <f t="array" ref="H452">SUM((tbl_CONTENT[[#This Row],[TopicID]]=INDEX(tbl_CONTENT[TopicID],1):tbl_CONTENT[[#This Row],[TopicID]])*1)</f>
        <v>14</v>
      </c>
      <c r="I452" s="62" t="str">
        <f>_xlfn.XLOOKUP(tbl_CONTENT[[#This Row],[Topic]], tbl_TOPIC[Topic], tbl_TOPIC[TopicIndex], "")</f>
        <v>02</v>
      </c>
      <c r="J452" s="22" t="s">
        <v>331</v>
      </c>
      <c r="K452" s="22" t="s">
        <v>812</v>
      </c>
      <c r="L452" s="22" t="s">
        <v>152</v>
      </c>
      <c r="M452" s="22">
        <v>1</v>
      </c>
      <c r="R452" s="62"/>
      <c r="S452" s="35">
        <f>IFERROR(
 (1.907*EXP(1)^(-0.5*tbl_CONTENT[[#This Row],[Layer]])) *
 ((tbl_CONTENT[[#This Row],[RelInt]]-1)^(2.5)*4^(1-2.5)+1) +
 ((tbl_CONTENT[[#This Row],[Comp]]-1)^(2.5)*4^(1-2.5)+1)*(0.5*((tbl_CONTENT[[#This Row],[RelInt]]-1)/4)^(2.5)+1),
 0
)</f>
        <v>0</v>
      </c>
      <c r="T452" s="35">
        <f>IFERROR(
 (1.907*EXP(1)^(-0.5*VALUE(tbl_CONTENT[[#This Row],[Layer]]))) *
 ((VALUE(tbl_CONTENT[[#This Row],[RelId]])-1)^(2.5)*4^(1-2.5)+1) +
 ((VALUE(tbl_CONTENT[[#This Row],[Comp]])-1)^(2.5)*4^(1-2.5)+1)*(0.5*((VALUE(tbl_CONTENT[[#This Row],[RelId]])-1)/4)^(2.5)+1),
 0
)</f>
        <v>0</v>
      </c>
      <c r="V452" s="62"/>
      <c r="W452" s="22" t="str">
        <f>IFERROR(
  IF(_xlfn.XLOOKUP(tbl_CONTENT[[#This Row],[Topic]], tbl_TOPIC[Topic], tbl_TOPIC[ParentTopic])="", "",
       _xlfn.XLOOKUP(tbl_CONTENT[[#This Row],[Topic]], tbl_TOPIC[Topic], tbl_TOPIC[ParentTopic])),
  ""
)</f>
        <v>GPDE Basics</v>
      </c>
      <c r="X452" s="22" t="str">
        <f>IFERROR(
  IF(_xlfn.XLOOKUP(tbl_CONTENT[[#This Row],[Topic]], tbl_TOPIC[Topic], tbl_TOPIC[TopicPath])="", "",
       _xlfn.XLOOKUP(tbl_CONTENT[[#This Row],[Topic]], tbl_TOPIC[Topic], tbl_TOPIC[TopicPath])),
  ""
)</f>
        <v>GPDE Basics/Differentialoperatoren</v>
      </c>
    </row>
    <row r="453" spans="3:24" ht="34" x14ac:dyDescent="0.2">
      <c r="C453" s="62" t="str">
        <f>_xlfn.XLOOKUP(tbl_CONTENT[[#This Row],[TopicID]], tbl_TOPIC[TopicID], tbl_TOPIC[Subject], "")</f>
        <v>GPDE</v>
      </c>
      <c r="D45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GPDE-T12-02-15</v>
      </c>
      <c r="E453" s="62">
        <f>ROW()</f>
        <v>453</v>
      </c>
      <c r="F453" s="22" t="s">
        <v>1051</v>
      </c>
      <c r="G453" s="22" t="str">
        <f>_xlfn.XLOOKUP(tbl_CONTENT[[#This Row],[Topic]], tbl_TOPIC[Topic], tbl_TOPIC[TopicID], "")</f>
        <v>GPDE-1-02</v>
      </c>
      <c r="H453" s="62" cm="1">
        <f t="array" ref="H453">SUM((tbl_CONTENT[[#This Row],[TopicID]]=INDEX(tbl_CONTENT[TopicID],1):tbl_CONTENT[[#This Row],[TopicID]])*1)</f>
        <v>15</v>
      </c>
      <c r="I453" s="62" t="str">
        <f>_xlfn.XLOOKUP(tbl_CONTENT[[#This Row],[Topic]], tbl_TOPIC[Topic], tbl_TOPIC[TopicIndex], "")</f>
        <v>02</v>
      </c>
      <c r="J453" s="22" t="s">
        <v>331</v>
      </c>
      <c r="K453" s="22" t="s">
        <v>813</v>
      </c>
      <c r="L453" s="22" t="s">
        <v>152</v>
      </c>
      <c r="M453" s="22">
        <v>1</v>
      </c>
      <c r="R453" s="62"/>
      <c r="S453" s="35">
        <f>IFERROR(
 (1.907*EXP(1)^(-0.5*tbl_CONTENT[[#This Row],[Layer]])) *
 ((tbl_CONTENT[[#This Row],[RelInt]]-1)^(2.5)*4^(1-2.5)+1) +
 ((tbl_CONTENT[[#This Row],[Comp]]-1)^(2.5)*4^(1-2.5)+1)*(0.5*((tbl_CONTENT[[#This Row],[RelInt]]-1)/4)^(2.5)+1),
 0
)</f>
        <v>0</v>
      </c>
      <c r="T453" s="35">
        <f>IFERROR(
 (1.907*EXP(1)^(-0.5*VALUE(tbl_CONTENT[[#This Row],[Layer]]))) *
 ((VALUE(tbl_CONTENT[[#This Row],[RelId]])-1)^(2.5)*4^(1-2.5)+1) +
 ((VALUE(tbl_CONTENT[[#This Row],[Comp]])-1)^(2.5)*4^(1-2.5)+1)*(0.5*((VALUE(tbl_CONTENT[[#This Row],[RelId]])-1)/4)^(2.5)+1),
 0
)</f>
        <v>0</v>
      </c>
      <c r="V453" s="62"/>
      <c r="W453" s="22" t="str">
        <f>IFERROR(
  IF(_xlfn.XLOOKUP(tbl_CONTENT[[#This Row],[Topic]], tbl_TOPIC[Topic], tbl_TOPIC[ParentTopic])="", "",
       _xlfn.XLOOKUP(tbl_CONTENT[[#This Row],[Topic]], tbl_TOPIC[Topic], tbl_TOPIC[ParentTopic])),
  ""
)</f>
        <v>GPDE Basics</v>
      </c>
      <c r="X453" s="22" t="str">
        <f>IFERROR(
  IF(_xlfn.XLOOKUP(tbl_CONTENT[[#This Row],[Topic]], tbl_TOPIC[Topic], tbl_TOPIC[TopicPath])="", "",
       _xlfn.XLOOKUP(tbl_CONTENT[[#This Row],[Topic]], tbl_TOPIC[Topic], tbl_TOPIC[TopicPath])),
  ""
)</f>
        <v>GPDE Basics/Differentialoperatoren</v>
      </c>
    </row>
    <row r="454" spans="3:24" ht="34" x14ac:dyDescent="0.2">
      <c r="C454" s="62" t="str">
        <f>_xlfn.XLOOKUP(tbl_CONTENT[[#This Row],[TopicID]], tbl_TOPIC[TopicID], tbl_TOPIC[Subject], "")</f>
        <v>GPDE</v>
      </c>
      <c r="D45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GPDE-T12-02-16</v>
      </c>
      <c r="E454" s="62">
        <f>ROW()</f>
        <v>454</v>
      </c>
      <c r="F454" s="22" t="s">
        <v>1051</v>
      </c>
      <c r="G454" s="22" t="str">
        <f>_xlfn.XLOOKUP(tbl_CONTENT[[#This Row],[Topic]], tbl_TOPIC[Topic], tbl_TOPIC[TopicID], "")</f>
        <v>GPDE-1-02</v>
      </c>
      <c r="H454" s="62" cm="1">
        <f t="array" ref="H454">SUM((tbl_CONTENT[[#This Row],[TopicID]]=INDEX(tbl_CONTENT[TopicID],1):tbl_CONTENT[[#This Row],[TopicID]])*1)</f>
        <v>16</v>
      </c>
      <c r="I454" s="62" t="str">
        <f>_xlfn.XLOOKUP(tbl_CONTENT[[#This Row],[Topic]], tbl_TOPIC[Topic], tbl_TOPIC[TopicIndex], "")</f>
        <v>02</v>
      </c>
      <c r="J454" s="22" t="s">
        <v>331</v>
      </c>
      <c r="K454" s="22" t="s">
        <v>814</v>
      </c>
      <c r="L454" s="22" t="s">
        <v>179</v>
      </c>
      <c r="M454" s="22">
        <v>1</v>
      </c>
      <c r="R454" s="62"/>
      <c r="S454" s="35">
        <f>IFERROR(
 (1.907*EXP(1)^(-0.5*tbl_CONTENT[[#This Row],[Layer]])) *
 ((tbl_CONTENT[[#This Row],[RelInt]]-1)^(2.5)*4^(1-2.5)+1) +
 ((tbl_CONTENT[[#This Row],[Comp]]-1)^(2.5)*4^(1-2.5)+1)*(0.5*((tbl_CONTENT[[#This Row],[RelInt]]-1)/4)^(2.5)+1),
 0
)</f>
        <v>0</v>
      </c>
      <c r="T454" s="35">
        <f>IFERROR(
 (1.907*EXP(1)^(-0.5*VALUE(tbl_CONTENT[[#This Row],[Layer]]))) *
 ((VALUE(tbl_CONTENT[[#This Row],[RelId]])-1)^(2.5)*4^(1-2.5)+1) +
 ((VALUE(tbl_CONTENT[[#This Row],[Comp]])-1)^(2.5)*4^(1-2.5)+1)*(0.5*((VALUE(tbl_CONTENT[[#This Row],[RelId]])-1)/4)^(2.5)+1),
 0
)</f>
        <v>0</v>
      </c>
      <c r="V454" s="62"/>
      <c r="W454" s="22" t="str">
        <f>IFERROR(
  IF(_xlfn.XLOOKUP(tbl_CONTENT[[#This Row],[Topic]], tbl_TOPIC[Topic], tbl_TOPIC[ParentTopic])="", "",
       _xlfn.XLOOKUP(tbl_CONTENT[[#This Row],[Topic]], tbl_TOPIC[Topic], tbl_TOPIC[ParentTopic])),
  ""
)</f>
        <v>GPDE Basics</v>
      </c>
      <c r="X454" s="22" t="str">
        <f>IFERROR(
  IF(_xlfn.XLOOKUP(tbl_CONTENT[[#This Row],[Topic]], tbl_TOPIC[Topic], tbl_TOPIC[TopicPath])="", "",
       _xlfn.XLOOKUP(tbl_CONTENT[[#This Row],[Topic]], tbl_TOPIC[Topic], tbl_TOPIC[TopicPath])),
  ""
)</f>
        <v>GPDE Basics/Differentialoperatoren</v>
      </c>
    </row>
    <row r="455" spans="3:24" ht="51" x14ac:dyDescent="0.2">
      <c r="C455" s="62" t="str">
        <f>_xlfn.XLOOKUP(tbl_CONTENT[[#This Row],[TopicID]], tbl_TOPIC[TopicID], tbl_TOPIC[Subject], "")</f>
        <v>GPDE</v>
      </c>
      <c r="D45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GPDE-T12-02-17</v>
      </c>
      <c r="E455" s="62">
        <f>ROW()</f>
        <v>455</v>
      </c>
      <c r="F455" s="22" t="s">
        <v>1051</v>
      </c>
      <c r="G455" s="22" t="str">
        <f>_xlfn.XLOOKUP(tbl_CONTENT[[#This Row],[Topic]], tbl_TOPIC[Topic], tbl_TOPIC[TopicID], "")</f>
        <v>GPDE-1-02</v>
      </c>
      <c r="H455" s="62" cm="1">
        <f t="array" ref="H455">SUM((tbl_CONTENT[[#This Row],[TopicID]]=INDEX(tbl_CONTENT[TopicID],1):tbl_CONTENT[[#This Row],[TopicID]])*1)</f>
        <v>17</v>
      </c>
      <c r="I455" s="62" t="str">
        <f>_xlfn.XLOOKUP(tbl_CONTENT[[#This Row],[Topic]], tbl_TOPIC[Topic], tbl_TOPIC[TopicIndex], "")</f>
        <v>02</v>
      </c>
      <c r="J455" s="22" t="s">
        <v>331</v>
      </c>
      <c r="K455" s="22" t="s">
        <v>816</v>
      </c>
      <c r="L455" s="22" t="s">
        <v>179</v>
      </c>
      <c r="M455" s="22">
        <v>1</v>
      </c>
      <c r="R455" s="62"/>
      <c r="S455" s="35">
        <f>IFERROR(
 (1.907*EXP(1)^(-0.5*tbl_CONTENT[[#This Row],[Layer]])) *
 ((tbl_CONTENT[[#This Row],[RelInt]]-1)^(2.5)*4^(1-2.5)+1) +
 ((tbl_CONTENT[[#This Row],[Comp]]-1)^(2.5)*4^(1-2.5)+1)*(0.5*((tbl_CONTENT[[#This Row],[RelInt]]-1)/4)^(2.5)+1),
 0
)</f>
        <v>0</v>
      </c>
      <c r="T455" s="35">
        <f>IFERROR(
 (1.907*EXP(1)^(-0.5*VALUE(tbl_CONTENT[[#This Row],[Layer]]))) *
 ((VALUE(tbl_CONTENT[[#This Row],[RelId]])-1)^(2.5)*4^(1-2.5)+1) +
 ((VALUE(tbl_CONTENT[[#This Row],[Comp]])-1)^(2.5)*4^(1-2.5)+1)*(0.5*((VALUE(tbl_CONTENT[[#This Row],[RelId]])-1)/4)^(2.5)+1),
 0
)</f>
        <v>0</v>
      </c>
      <c r="V455" s="62"/>
      <c r="W455" s="22" t="str">
        <f>IFERROR(
  IF(_xlfn.XLOOKUP(tbl_CONTENT[[#This Row],[Topic]], tbl_TOPIC[Topic], tbl_TOPIC[ParentTopic])="", "",
       _xlfn.XLOOKUP(tbl_CONTENT[[#This Row],[Topic]], tbl_TOPIC[Topic], tbl_TOPIC[ParentTopic])),
  ""
)</f>
        <v>GPDE Basics</v>
      </c>
      <c r="X455" s="22" t="str">
        <f>IFERROR(
  IF(_xlfn.XLOOKUP(tbl_CONTENT[[#This Row],[Topic]], tbl_TOPIC[Topic], tbl_TOPIC[TopicPath])="", "",
       _xlfn.XLOOKUP(tbl_CONTENT[[#This Row],[Topic]], tbl_TOPIC[Topic], tbl_TOPIC[TopicPath])),
  ""
)</f>
        <v>GPDE Basics/Differentialoperatoren</v>
      </c>
    </row>
    <row r="456" spans="3:24" ht="51" x14ac:dyDescent="0.2">
      <c r="C456" s="62" t="str">
        <f>_xlfn.XLOOKUP(tbl_CONTENT[[#This Row],[TopicID]], tbl_TOPIC[TopicID], tbl_TOPIC[Subject], "")</f>
        <v>GPDE</v>
      </c>
      <c r="D45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GPDE-T12-02-18</v>
      </c>
      <c r="E456" s="62">
        <f>ROW()</f>
        <v>456</v>
      </c>
      <c r="F456" s="22" t="s">
        <v>1051</v>
      </c>
      <c r="G456" s="22" t="str">
        <f>_xlfn.XLOOKUP(tbl_CONTENT[[#This Row],[Topic]], tbl_TOPIC[Topic], tbl_TOPIC[TopicID], "")</f>
        <v>GPDE-1-02</v>
      </c>
      <c r="H456" s="62" cm="1">
        <f t="array" ref="H456">SUM((tbl_CONTENT[[#This Row],[TopicID]]=INDEX(tbl_CONTENT[TopicID],1):tbl_CONTENT[[#This Row],[TopicID]])*1)</f>
        <v>18</v>
      </c>
      <c r="I456" s="62" t="str">
        <f>_xlfn.XLOOKUP(tbl_CONTENT[[#This Row],[Topic]], tbl_TOPIC[Topic], tbl_TOPIC[TopicIndex], "")</f>
        <v>02</v>
      </c>
      <c r="J456" s="22" t="s">
        <v>331</v>
      </c>
      <c r="K456" s="22" t="s">
        <v>815</v>
      </c>
      <c r="L456" s="22" t="s">
        <v>179</v>
      </c>
      <c r="M456" s="22">
        <v>1</v>
      </c>
      <c r="R456" s="62"/>
      <c r="S456" s="35">
        <f>IFERROR(
 (1.907*EXP(1)^(-0.5*tbl_CONTENT[[#This Row],[Layer]])) *
 ((tbl_CONTENT[[#This Row],[RelInt]]-1)^(2.5)*4^(1-2.5)+1) +
 ((tbl_CONTENT[[#This Row],[Comp]]-1)^(2.5)*4^(1-2.5)+1)*(0.5*((tbl_CONTENT[[#This Row],[RelInt]]-1)/4)^(2.5)+1),
 0
)</f>
        <v>0</v>
      </c>
      <c r="T456" s="35">
        <f>IFERROR(
 (1.907*EXP(1)^(-0.5*VALUE(tbl_CONTENT[[#This Row],[Layer]]))) *
 ((VALUE(tbl_CONTENT[[#This Row],[RelId]])-1)^(2.5)*4^(1-2.5)+1) +
 ((VALUE(tbl_CONTENT[[#This Row],[Comp]])-1)^(2.5)*4^(1-2.5)+1)*(0.5*((VALUE(tbl_CONTENT[[#This Row],[RelId]])-1)/4)^(2.5)+1),
 0
)</f>
        <v>0</v>
      </c>
      <c r="V456" s="62"/>
      <c r="W456" s="22" t="str">
        <f>IFERROR(
  IF(_xlfn.XLOOKUP(tbl_CONTENT[[#This Row],[Topic]], tbl_TOPIC[Topic], tbl_TOPIC[ParentTopic])="", "",
       _xlfn.XLOOKUP(tbl_CONTENT[[#This Row],[Topic]], tbl_TOPIC[Topic], tbl_TOPIC[ParentTopic])),
  ""
)</f>
        <v>GPDE Basics</v>
      </c>
      <c r="X456" s="22" t="str">
        <f>IFERROR(
  IF(_xlfn.XLOOKUP(tbl_CONTENT[[#This Row],[Topic]], tbl_TOPIC[Topic], tbl_TOPIC[TopicPath])="", "",
       _xlfn.XLOOKUP(tbl_CONTENT[[#This Row],[Topic]], tbl_TOPIC[Topic], tbl_TOPIC[TopicPath])),
  ""
)</f>
        <v>GPDE Basics/Differentialoperatoren</v>
      </c>
    </row>
    <row r="457" spans="3:24" ht="34" x14ac:dyDescent="0.2">
      <c r="C457" s="62" t="str">
        <f>_xlfn.XLOOKUP(tbl_CONTENT[[#This Row],[TopicID]], tbl_TOPIC[TopicID], tbl_TOPIC[Subject], "")</f>
        <v>GPDE</v>
      </c>
      <c r="D45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GPDE-T12-02-19</v>
      </c>
      <c r="E457" s="62">
        <f>ROW()</f>
        <v>457</v>
      </c>
      <c r="F457" s="22" t="s">
        <v>1051</v>
      </c>
      <c r="G457" s="22" t="str">
        <f>_xlfn.XLOOKUP(tbl_CONTENT[[#This Row],[Topic]], tbl_TOPIC[Topic], tbl_TOPIC[TopicID], "")</f>
        <v>GPDE-1-02</v>
      </c>
      <c r="H457" s="62" cm="1">
        <f t="array" ref="H457">SUM((tbl_CONTENT[[#This Row],[TopicID]]=INDEX(tbl_CONTENT[TopicID],1):tbl_CONTENT[[#This Row],[TopicID]])*1)</f>
        <v>19</v>
      </c>
      <c r="I457" s="62" t="str">
        <f>_xlfn.XLOOKUP(tbl_CONTENT[[#This Row],[Topic]], tbl_TOPIC[Topic], tbl_TOPIC[TopicIndex], "")</f>
        <v>02</v>
      </c>
      <c r="J457" s="22" t="s">
        <v>331</v>
      </c>
      <c r="K457" s="22" t="s">
        <v>817</v>
      </c>
      <c r="L457" s="22" t="s">
        <v>152</v>
      </c>
      <c r="M457" s="22">
        <v>1</v>
      </c>
      <c r="R457" s="62"/>
      <c r="S457" s="35">
        <f>IFERROR(
 (1.907*EXP(1)^(-0.5*tbl_CONTENT[[#This Row],[Layer]])) *
 ((tbl_CONTENT[[#This Row],[RelInt]]-1)^(2.5)*4^(1-2.5)+1) +
 ((tbl_CONTENT[[#This Row],[Comp]]-1)^(2.5)*4^(1-2.5)+1)*(0.5*((tbl_CONTENT[[#This Row],[RelInt]]-1)/4)^(2.5)+1),
 0
)</f>
        <v>0</v>
      </c>
      <c r="T457" s="35">
        <f>IFERROR(
 (1.907*EXP(1)^(-0.5*VALUE(tbl_CONTENT[[#This Row],[Layer]]))) *
 ((VALUE(tbl_CONTENT[[#This Row],[RelId]])-1)^(2.5)*4^(1-2.5)+1) +
 ((VALUE(tbl_CONTENT[[#This Row],[Comp]])-1)^(2.5)*4^(1-2.5)+1)*(0.5*((VALUE(tbl_CONTENT[[#This Row],[RelId]])-1)/4)^(2.5)+1),
 0
)</f>
        <v>0</v>
      </c>
      <c r="V457" s="62"/>
      <c r="W457" s="22" t="str">
        <f>IFERROR(
  IF(_xlfn.XLOOKUP(tbl_CONTENT[[#This Row],[Topic]], tbl_TOPIC[Topic], tbl_TOPIC[ParentTopic])="", "",
       _xlfn.XLOOKUP(tbl_CONTENT[[#This Row],[Topic]], tbl_TOPIC[Topic], tbl_TOPIC[ParentTopic])),
  ""
)</f>
        <v>GPDE Basics</v>
      </c>
      <c r="X457" s="22" t="str">
        <f>IFERROR(
  IF(_xlfn.XLOOKUP(tbl_CONTENT[[#This Row],[Topic]], tbl_TOPIC[Topic], tbl_TOPIC[TopicPath])="", "",
       _xlfn.XLOOKUP(tbl_CONTENT[[#This Row],[Topic]], tbl_TOPIC[Topic], tbl_TOPIC[TopicPath])),
  ""
)</f>
        <v>GPDE Basics/Differentialoperatoren</v>
      </c>
    </row>
    <row r="458" spans="3:24" ht="34" x14ac:dyDescent="0.2">
      <c r="C458" s="62" t="str">
        <f>_xlfn.XLOOKUP(tbl_CONTENT[[#This Row],[TopicID]], tbl_TOPIC[TopicID], tbl_TOPIC[Subject], "")</f>
        <v>GPDE</v>
      </c>
      <c r="D45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GPDE-T12-02-20</v>
      </c>
      <c r="E458" s="62">
        <f>ROW()</f>
        <v>458</v>
      </c>
      <c r="F458" s="22" t="s">
        <v>1051</v>
      </c>
      <c r="G458" s="22" t="str">
        <f>_xlfn.XLOOKUP(tbl_CONTENT[[#This Row],[Topic]], tbl_TOPIC[Topic], tbl_TOPIC[TopicID], "")</f>
        <v>GPDE-1-02</v>
      </c>
      <c r="H458" s="62" cm="1">
        <f t="array" ref="H458">SUM((tbl_CONTENT[[#This Row],[TopicID]]=INDEX(tbl_CONTENT[TopicID],1):tbl_CONTENT[[#This Row],[TopicID]])*1)</f>
        <v>20</v>
      </c>
      <c r="I458" s="62" t="str">
        <f>_xlfn.XLOOKUP(tbl_CONTENT[[#This Row],[Topic]], tbl_TOPIC[Topic], tbl_TOPIC[TopicIndex], "")</f>
        <v>02</v>
      </c>
      <c r="J458" s="22" t="s">
        <v>331</v>
      </c>
      <c r="K458" s="22" t="s">
        <v>819</v>
      </c>
      <c r="L458" s="22" t="s">
        <v>152</v>
      </c>
      <c r="M458" s="22">
        <v>1</v>
      </c>
      <c r="R458" s="62"/>
      <c r="S458" s="35">
        <f>IFERROR(
 (1.907*EXP(1)^(-0.5*tbl_CONTENT[[#This Row],[Layer]])) *
 ((tbl_CONTENT[[#This Row],[RelInt]]-1)^(2.5)*4^(1-2.5)+1) +
 ((tbl_CONTENT[[#This Row],[Comp]]-1)^(2.5)*4^(1-2.5)+1)*(0.5*((tbl_CONTENT[[#This Row],[RelInt]]-1)/4)^(2.5)+1),
 0
)</f>
        <v>0</v>
      </c>
      <c r="T458" s="35">
        <f>IFERROR(
 (1.907*EXP(1)^(-0.5*VALUE(tbl_CONTENT[[#This Row],[Layer]]))) *
 ((VALUE(tbl_CONTENT[[#This Row],[RelId]])-1)^(2.5)*4^(1-2.5)+1) +
 ((VALUE(tbl_CONTENT[[#This Row],[Comp]])-1)^(2.5)*4^(1-2.5)+1)*(0.5*((VALUE(tbl_CONTENT[[#This Row],[RelId]])-1)/4)^(2.5)+1),
 0
)</f>
        <v>0</v>
      </c>
      <c r="V458" s="62"/>
      <c r="W458" s="22" t="str">
        <f>IFERROR(
  IF(_xlfn.XLOOKUP(tbl_CONTENT[[#This Row],[Topic]], tbl_TOPIC[Topic], tbl_TOPIC[ParentTopic])="", "",
       _xlfn.XLOOKUP(tbl_CONTENT[[#This Row],[Topic]], tbl_TOPIC[Topic], tbl_TOPIC[ParentTopic])),
  ""
)</f>
        <v>GPDE Basics</v>
      </c>
      <c r="X458" s="22" t="str">
        <f>IFERROR(
  IF(_xlfn.XLOOKUP(tbl_CONTENT[[#This Row],[Topic]], tbl_TOPIC[Topic], tbl_TOPIC[TopicPath])="", "",
       _xlfn.XLOOKUP(tbl_CONTENT[[#This Row],[Topic]], tbl_TOPIC[Topic], tbl_TOPIC[TopicPath])),
  ""
)</f>
        <v>GPDE Basics/Differentialoperatoren</v>
      </c>
    </row>
    <row r="459" spans="3:24" ht="34" x14ac:dyDescent="0.2">
      <c r="C459" s="62" t="str">
        <f>_xlfn.XLOOKUP(tbl_CONTENT[[#This Row],[TopicID]], tbl_TOPIC[TopicID], tbl_TOPIC[Subject], "")</f>
        <v>GPDE</v>
      </c>
      <c r="D45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GPDE-T12-02-21</v>
      </c>
      <c r="E459" s="62">
        <f>ROW()</f>
        <v>459</v>
      </c>
      <c r="F459" s="22" t="s">
        <v>1051</v>
      </c>
      <c r="G459" s="22" t="str">
        <f>_xlfn.XLOOKUP(tbl_CONTENT[[#This Row],[Topic]], tbl_TOPIC[Topic], tbl_TOPIC[TopicID], "")</f>
        <v>GPDE-1-02</v>
      </c>
      <c r="H459" s="62" cm="1">
        <f t="array" ref="H459">SUM((tbl_CONTENT[[#This Row],[TopicID]]=INDEX(tbl_CONTENT[TopicID],1):tbl_CONTENT[[#This Row],[TopicID]])*1)</f>
        <v>21</v>
      </c>
      <c r="I459" s="62" t="str">
        <f>_xlfn.XLOOKUP(tbl_CONTENT[[#This Row],[Topic]], tbl_TOPIC[Topic], tbl_TOPIC[TopicIndex], "")</f>
        <v>02</v>
      </c>
      <c r="J459" s="22" t="s">
        <v>331</v>
      </c>
      <c r="K459" s="36" t="s">
        <v>818</v>
      </c>
      <c r="L459" s="22" t="s">
        <v>152</v>
      </c>
      <c r="M459" s="22">
        <v>1</v>
      </c>
      <c r="R459" s="62"/>
      <c r="S459" s="35">
        <f>IFERROR(
 (1.907*EXP(1)^(-0.5*tbl_CONTENT[[#This Row],[Layer]])) *
 ((tbl_CONTENT[[#This Row],[RelInt]]-1)^(2.5)*4^(1-2.5)+1) +
 ((tbl_CONTENT[[#This Row],[Comp]]-1)^(2.5)*4^(1-2.5)+1)*(0.5*((tbl_CONTENT[[#This Row],[RelInt]]-1)/4)^(2.5)+1),
 0
)</f>
        <v>0</v>
      </c>
      <c r="T459" s="35">
        <f>IFERROR(
 (1.907*EXP(1)^(-0.5*VALUE(tbl_CONTENT[[#This Row],[Layer]]))) *
 ((VALUE(tbl_CONTENT[[#This Row],[RelId]])-1)^(2.5)*4^(1-2.5)+1) +
 ((VALUE(tbl_CONTENT[[#This Row],[Comp]])-1)^(2.5)*4^(1-2.5)+1)*(0.5*((VALUE(tbl_CONTENT[[#This Row],[RelId]])-1)/4)^(2.5)+1),
 0
)</f>
        <v>0</v>
      </c>
      <c r="V459" s="62"/>
      <c r="W459" s="22" t="str">
        <f>IFERROR(
  IF(_xlfn.XLOOKUP(tbl_CONTENT[[#This Row],[Topic]], tbl_TOPIC[Topic], tbl_TOPIC[ParentTopic])="", "",
       _xlfn.XLOOKUP(tbl_CONTENT[[#This Row],[Topic]], tbl_TOPIC[Topic], tbl_TOPIC[ParentTopic])),
  ""
)</f>
        <v>GPDE Basics</v>
      </c>
      <c r="X459" s="22" t="str">
        <f>IFERROR(
  IF(_xlfn.XLOOKUP(tbl_CONTENT[[#This Row],[Topic]], tbl_TOPIC[Topic], tbl_TOPIC[TopicPath])="", "",
       _xlfn.XLOOKUP(tbl_CONTENT[[#This Row],[Topic]], tbl_TOPIC[Topic], tbl_TOPIC[TopicPath])),
  ""
)</f>
        <v>GPDE Basics/Differentialoperatoren</v>
      </c>
    </row>
    <row r="460" spans="3:24" ht="51" x14ac:dyDescent="0.2">
      <c r="C460" s="62" t="str">
        <f>_xlfn.XLOOKUP(tbl_CONTENT[[#This Row],[TopicID]], tbl_TOPIC[TopicID], tbl_TOPIC[Subject], "")</f>
        <v>GPDE</v>
      </c>
      <c r="D46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GPDE-T12-02-22</v>
      </c>
      <c r="E460" s="62">
        <f>ROW()</f>
        <v>460</v>
      </c>
      <c r="F460" s="22" t="s">
        <v>1051</v>
      </c>
      <c r="G460" s="22" t="str">
        <f>_xlfn.XLOOKUP(tbl_CONTENT[[#This Row],[Topic]], tbl_TOPIC[Topic], tbl_TOPIC[TopicID], "")</f>
        <v>GPDE-1-02</v>
      </c>
      <c r="H460" s="62" cm="1">
        <f t="array" ref="H460">SUM((tbl_CONTENT[[#This Row],[TopicID]]=INDEX(tbl_CONTENT[TopicID],1):tbl_CONTENT[[#This Row],[TopicID]])*1)</f>
        <v>22</v>
      </c>
      <c r="I460" s="62" t="str">
        <f>_xlfn.XLOOKUP(tbl_CONTENT[[#This Row],[Topic]], tbl_TOPIC[Topic], tbl_TOPIC[TopicIndex], "")</f>
        <v>02</v>
      </c>
      <c r="J460" s="22" t="s">
        <v>331</v>
      </c>
      <c r="K460" s="22" t="s">
        <v>820</v>
      </c>
      <c r="L460" s="22" t="s">
        <v>179</v>
      </c>
      <c r="M460" s="22">
        <v>1</v>
      </c>
      <c r="R460" s="62"/>
      <c r="S460" s="35">
        <f>IFERROR(
 (1.907*EXP(1)^(-0.5*tbl_CONTENT[[#This Row],[Layer]])) *
 ((tbl_CONTENT[[#This Row],[RelInt]]-1)^(2.5)*4^(1-2.5)+1) +
 ((tbl_CONTENT[[#This Row],[Comp]]-1)^(2.5)*4^(1-2.5)+1)*(0.5*((tbl_CONTENT[[#This Row],[RelInt]]-1)/4)^(2.5)+1),
 0
)</f>
        <v>0</v>
      </c>
      <c r="T460" s="35">
        <f>IFERROR(
 (1.907*EXP(1)^(-0.5*VALUE(tbl_CONTENT[[#This Row],[Layer]]))) *
 ((VALUE(tbl_CONTENT[[#This Row],[RelId]])-1)^(2.5)*4^(1-2.5)+1) +
 ((VALUE(tbl_CONTENT[[#This Row],[Comp]])-1)^(2.5)*4^(1-2.5)+1)*(0.5*((VALUE(tbl_CONTENT[[#This Row],[RelId]])-1)/4)^(2.5)+1),
 0
)</f>
        <v>0</v>
      </c>
      <c r="V460" s="62"/>
      <c r="W460" s="22" t="str">
        <f>IFERROR(
  IF(_xlfn.XLOOKUP(tbl_CONTENT[[#This Row],[Topic]], tbl_TOPIC[Topic], tbl_TOPIC[ParentTopic])="", "",
       _xlfn.XLOOKUP(tbl_CONTENT[[#This Row],[Topic]], tbl_TOPIC[Topic], tbl_TOPIC[ParentTopic])),
  ""
)</f>
        <v>GPDE Basics</v>
      </c>
      <c r="X460" s="22" t="str">
        <f>IFERROR(
  IF(_xlfn.XLOOKUP(tbl_CONTENT[[#This Row],[Topic]], tbl_TOPIC[Topic], tbl_TOPIC[TopicPath])="", "",
       _xlfn.XLOOKUP(tbl_CONTENT[[#This Row],[Topic]], tbl_TOPIC[Topic], tbl_TOPIC[TopicPath])),
  ""
)</f>
        <v>GPDE Basics/Differentialoperatoren</v>
      </c>
    </row>
    <row r="461" spans="3:24" ht="34" x14ac:dyDescent="0.2">
      <c r="C461" s="62" t="str">
        <f>_xlfn.XLOOKUP(tbl_CONTENT[[#This Row],[TopicID]], tbl_TOPIC[TopicID], tbl_TOPIC[Subject], "")</f>
        <v>GPDE</v>
      </c>
      <c r="D46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GPDE-T12-02-23</v>
      </c>
      <c r="E461" s="62">
        <f>ROW()</f>
        <v>461</v>
      </c>
      <c r="F461" s="22" t="s">
        <v>1051</v>
      </c>
      <c r="G461" s="22" t="str">
        <f>_xlfn.XLOOKUP(tbl_CONTENT[[#This Row],[Topic]], tbl_TOPIC[Topic], tbl_TOPIC[TopicID], "")</f>
        <v>GPDE-1-02</v>
      </c>
      <c r="H461" s="62" cm="1">
        <f t="array" ref="H461">SUM((tbl_CONTENT[[#This Row],[TopicID]]=INDEX(tbl_CONTENT[TopicID],1):tbl_CONTENT[[#This Row],[TopicID]])*1)</f>
        <v>23</v>
      </c>
      <c r="I461" s="62" t="str">
        <f>_xlfn.XLOOKUP(tbl_CONTENT[[#This Row],[Topic]], tbl_TOPIC[Topic], tbl_TOPIC[TopicIndex], "")</f>
        <v>02</v>
      </c>
      <c r="J461" s="22" t="s">
        <v>331</v>
      </c>
      <c r="K461" s="22" t="s">
        <v>823</v>
      </c>
      <c r="L461" s="22" t="s">
        <v>380</v>
      </c>
      <c r="M461" s="22">
        <v>1</v>
      </c>
      <c r="R461" s="62"/>
      <c r="S461" s="35">
        <f>IFERROR(
 (1.907*EXP(1)^(-0.5*tbl_CONTENT[[#This Row],[Layer]])) *
 ((tbl_CONTENT[[#This Row],[RelInt]]-1)^(2.5)*4^(1-2.5)+1) +
 ((tbl_CONTENT[[#This Row],[Comp]]-1)^(2.5)*4^(1-2.5)+1)*(0.5*((tbl_CONTENT[[#This Row],[RelInt]]-1)/4)^(2.5)+1),
 0
)</f>
        <v>0</v>
      </c>
      <c r="T461" s="35">
        <f>IFERROR(
 (1.907*EXP(1)^(-0.5*VALUE(tbl_CONTENT[[#This Row],[Layer]]))) *
 ((VALUE(tbl_CONTENT[[#This Row],[RelId]])-1)^(2.5)*4^(1-2.5)+1) +
 ((VALUE(tbl_CONTENT[[#This Row],[Comp]])-1)^(2.5)*4^(1-2.5)+1)*(0.5*((VALUE(tbl_CONTENT[[#This Row],[RelId]])-1)/4)^(2.5)+1),
 0
)</f>
        <v>0</v>
      </c>
      <c r="V461" s="62"/>
      <c r="W461" s="22" t="str">
        <f>IFERROR(
  IF(_xlfn.XLOOKUP(tbl_CONTENT[[#This Row],[Topic]], tbl_TOPIC[Topic], tbl_TOPIC[ParentTopic])="", "",
       _xlfn.XLOOKUP(tbl_CONTENT[[#This Row],[Topic]], tbl_TOPIC[Topic], tbl_TOPIC[ParentTopic])),
  ""
)</f>
        <v>GPDE Basics</v>
      </c>
      <c r="X461" s="22" t="str">
        <f>IFERROR(
  IF(_xlfn.XLOOKUP(tbl_CONTENT[[#This Row],[Topic]], tbl_TOPIC[Topic], tbl_TOPIC[TopicPath])="", "",
       _xlfn.XLOOKUP(tbl_CONTENT[[#This Row],[Topic]], tbl_TOPIC[Topic], tbl_TOPIC[TopicPath])),
  ""
)</f>
        <v>GPDE Basics/Differentialoperatoren</v>
      </c>
    </row>
    <row r="462" spans="3:24" ht="34" x14ac:dyDescent="0.2">
      <c r="C462" s="62" t="str">
        <f>_xlfn.XLOOKUP(tbl_CONTENT[[#This Row],[TopicID]], tbl_TOPIC[TopicID], tbl_TOPIC[Subject], "")</f>
        <v>GPDE</v>
      </c>
      <c r="D46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GPDE-T12-09-01</v>
      </c>
      <c r="E462" s="62">
        <f>ROW()</f>
        <v>462</v>
      </c>
      <c r="F462" s="22" t="s">
        <v>1051</v>
      </c>
      <c r="G462" s="22" t="str">
        <f>_xlfn.XLOOKUP(tbl_CONTENT[[#This Row],[Topic]], tbl_TOPIC[Topic], tbl_TOPIC[TopicID], "")</f>
        <v>GPDE-1-09</v>
      </c>
      <c r="H462" s="62" cm="1">
        <f t="array" ref="H462">SUM((tbl_CONTENT[[#This Row],[TopicID]]=INDEX(tbl_CONTENT[TopicID],1):tbl_CONTENT[[#This Row],[TopicID]])*1)</f>
        <v>1</v>
      </c>
      <c r="I462" s="62" t="str">
        <f>_xlfn.XLOOKUP(tbl_CONTENT[[#This Row],[Topic]], tbl_TOPIC[Topic], tbl_TOPIC[TopicIndex], "")</f>
        <v>09</v>
      </c>
      <c r="J462" s="22" t="s">
        <v>457</v>
      </c>
      <c r="K462" s="22" t="s">
        <v>821</v>
      </c>
      <c r="L462" s="22" t="s">
        <v>150</v>
      </c>
      <c r="M462" s="22">
        <v>1</v>
      </c>
      <c r="R462" s="62"/>
      <c r="S462" s="35">
        <f>IFERROR(
 (1.907*EXP(1)^(-0.5*tbl_CONTENT[[#This Row],[Layer]])) *
 ((tbl_CONTENT[[#This Row],[RelInt]]-1)^(2.5)*4^(1-2.5)+1) +
 ((tbl_CONTENT[[#This Row],[Comp]]-1)^(2.5)*4^(1-2.5)+1)*(0.5*((tbl_CONTENT[[#This Row],[RelInt]]-1)/4)^(2.5)+1),
 0
)</f>
        <v>0</v>
      </c>
      <c r="T462" s="35">
        <f>IFERROR(
 (1.907*EXP(1)^(-0.5*VALUE(tbl_CONTENT[[#This Row],[Layer]]))) *
 ((VALUE(tbl_CONTENT[[#This Row],[RelId]])-1)^(2.5)*4^(1-2.5)+1) +
 ((VALUE(tbl_CONTENT[[#This Row],[Comp]])-1)^(2.5)*4^(1-2.5)+1)*(0.5*((VALUE(tbl_CONTENT[[#This Row],[RelId]])-1)/4)^(2.5)+1),
 0
)</f>
        <v>0</v>
      </c>
      <c r="V462" s="62"/>
      <c r="W462" s="22" t="str">
        <f>IFERROR(
  IF(_xlfn.XLOOKUP(tbl_CONTENT[[#This Row],[Topic]], tbl_TOPIC[Topic], tbl_TOPIC[ParentTopic])="", "",
       _xlfn.XLOOKUP(tbl_CONTENT[[#This Row],[Topic]], tbl_TOPIC[Topic], tbl_TOPIC[ParentTopic])),
  ""
)</f>
        <v>Maximum Prinzipien</v>
      </c>
      <c r="X462" s="22" t="str">
        <f>IFERROR(
  IF(_xlfn.XLOOKUP(tbl_CONTENT[[#This Row],[Topic]], tbl_TOPIC[Topic], tbl_TOPIC[TopicPath])="", "",
       _xlfn.XLOOKUP(tbl_CONTENT[[#This Row],[Topic]], tbl_TOPIC[Topic], tbl_TOPIC[TopicPath])),
  ""
)</f>
        <v>Maximum Prinzipien/Vergleichsprinzipien für voll nicht-lineare Differentialoperatoren</v>
      </c>
    </row>
    <row r="463" spans="3:24" ht="34" x14ac:dyDescent="0.2">
      <c r="C463" s="62" t="str">
        <f>_xlfn.XLOOKUP(tbl_CONTENT[[#This Row],[TopicID]], tbl_TOPIC[TopicID], tbl_TOPIC[Subject], "")</f>
        <v>GPDE</v>
      </c>
      <c r="D46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GPDE-T12-09-02</v>
      </c>
      <c r="E463" s="62">
        <f>ROW()</f>
        <v>463</v>
      </c>
      <c r="F463" s="22" t="s">
        <v>1051</v>
      </c>
      <c r="G463" s="22" t="str">
        <f>_xlfn.XLOOKUP(tbl_CONTENT[[#This Row],[Topic]], tbl_TOPIC[Topic], tbl_TOPIC[TopicID], "")</f>
        <v>GPDE-1-09</v>
      </c>
      <c r="H463" s="62" cm="1">
        <f t="array" ref="H463">SUM((tbl_CONTENT[[#This Row],[TopicID]]=INDEX(tbl_CONTENT[TopicID],1):tbl_CONTENT[[#This Row],[TopicID]])*1)</f>
        <v>2</v>
      </c>
      <c r="I463" s="62" t="str">
        <f>_xlfn.XLOOKUP(tbl_CONTENT[[#This Row],[Topic]], tbl_TOPIC[Topic], tbl_TOPIC[TopicIndex], "")</f>
        <v>09</v>
      </c>
      <c r="J463" s="22" t="s">
        <v>457</v>
      </c>
      <c r="K463" s="22" t="s">
        <v>822</v>
      </c>
      <c r="L463" s="22" t="s">
        <v>150</v>
      </c>
      <c r="M463" s="22">
        <v>1</v>
      </c>
      <c r="R463" s="62"/>
      <c r="S463" s="35">
        <f>IFERROR(
 (1.907*EXP(1)^(-0.5*tbl_CONTENT[[#This Row],[Layer]])) *
 ((tbl_CONTENT[[#This Row],[RelInt]]-1)^(2.5)*4^(1-2.5)+1) +
 ((tbl_CONTENT[[#This Row],[Comp]]-1)^(2.5)*4^(1-2.5)+1)*(0.5*((tbl_CONTENT[[#This Row],[RelInt]]-1)/4)^(2.5)+1),
 0
)</f>
        <v>0</v>
      </c>
      <c r="T463" s="35">
        <f>IFERROR(
 (1.907*EXP(1)^(-0.5*VALUE(tbl_CONTENT[[#This Row],[Layer]]))) *
 ((VALUE(tbl_CONTENT[[#This Row],[RelId]])-1)^(2.5)*4^(1-2.5)+1) +
 ((VALUE(tbl_CONTENT[[#This Row],[Comp]])-1)^(2.5)*4^(1-2.5)+1)*(0.5*((VALUE(tbl_CONTENT[[#This Row],[RelId]])-1)/4)^(2.5)+1),
 0
)</f>
        <v>0</v>
      </c>
      <c r="V463" s="62"/>
      <c r="W463" s="22" t="str">
        <f>IFERROR(
  IF(_xlfn.XLOOKUP(tbl_CONTENT[[#This Row],[Topic]], tbl_TOPIC[Topic], tbl_TOPIC[ParentTopic])="", "",
       _xlfn.XLOOKUP(tbl_CONTENT[[#This Row],[Topic]], tbl_TOPIC[Topic], tbl_TOPIC[ParentTopic])),
  ""
)</f>
        <v>Maximum Prinzipien</v>
      </c>
      <c r="X463" s="22" t="str">
        <f>IFERROR(
  IF(_xlfn.XLOOKUP(tbl_CONTENT[[#This Row],[Topic]], tbl_TOPIC[Topic], tbl_TOPIC[TopicPath])="", "",
       _xlfn.XLOOKUP(tbl_CONTENT[[#This Row],[Topic]], tbl_TOPIC[Topic], tbl_TOPIC[TopicPath])),
  ""
)</f>
        <v>Maximum Prinzipien/Vergleichsprinzipien für voll nicht-lineare Differentialoperatoren</v>
      </c>
    </row>
    <row r="464" spans="3:24" ht="34" x14ac:dyDescent="0.2">
      <c r="C464" s="62" t="str">
        <f>_xlfn.XLOOKUP(tbl_CONTENT[[#This Row],[TopicID]], tbl_TOPIC[TopicID], tbl_TOPIC[Subject], "")</f>
        <v>RG</v>
      </c>
      <c r="D46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RG-T12-17-01</v>
      </c>
      <c r="E464" s="62">
        <f>ROW()</f>
        <v>464</v>
      </c>
      <c r="F464" s="22" t="s">
        <v>1051</v>
      </c>
      <c r="G464" s="22" t="str">
        <f>_xlfn.XLOOKUP(tbl_CONTENT[[#This Row],[Topic]], tbl_TOPIC[Topic], tbl_TOPIC[TopicID], "")</f>
        <v>RG-1-17</v>
      </c>
      <c r="H464" s="62" cm="1">
        <f t="array" ref="H464">SUM((tbl_CONTENT[[#This Row],[TopicID]]=INDEX(tbl_CONTENT[TopicID],1):tbl_CONTENT[[#This Row],[TopicID]])*1)</f>
        <v>1</v>
      </c>
      <c r="I464" s="62" t="str">
        <f>_xlfn.XLOOKUP(tbl_CONTENT[[#This Row],[Topic]], tbl_TOPIC[Topic], tbl_TOPIC[TopicIndex], "")</f>
        <v>17</v>
      </c>
      <c r="J464" s="22" t="s">
        <v>825</v>
      </c>
      <c r="K464" s="22" t="s">
        <v>826</v>
      </c>
      <c r="L464" s="22" t="s">
        <v>492</v>
      </c>
      <c r="R464" s="62"/>
      <c r="S464" s="35">
        <f>IFERROR(
 (1.907*EXP(1)^(-0.5*tbl_CONTENT[[#This Row],[Layer]])) *
 ((tbl_CONTENT[[#This Row],[RelInt]]-1)^(2.5)*4^(1-2.5)+1) +
 ((tbl_CONTENT[[#This Row],[Comp]]-1)^(2.5)*4^(1-2.5)+1)*(0.5*((tbl_CONTENT[[#This Row],[RelInt]]-1)/4)^(2.5)+1),
 0
)</f>
        <v>0</v>
      </c>
      <c r="T464" s="35">
        <f>IFERROR(
 (1.907*EXP(1)^(-0.5*VALUE(tbl_CONTENT[[#This Row],[Layer]]))) *
 ((VALUE(tbl_CONTENT[[#This Row],[RelId]])-1)^(2.5)*4^(1-2.5)+1) +
 ((VALUE(tbl_CONTENT[[#This Row],[Comp]])-1)^(2.5)*4^(1-2.5)+1)*(0.5*((VALUE(tbl_CONTENT[[#This Row],[RelId]])-1)/4)^(2.5)+1),
 0
)</f>
        <v>0</v>
      </c>
      <c r="V464" s="62"/>
      <c r="W464" s="22" t="str">
        <f>IFERROR(
  IF(_xlfn.XLOOKUP(tbl_CONTENT[[#This Row],[Topic]], tbl_TOPIC[Topic], tbl_TOPIC[ParentTopic])="", "",
       _xlfn.XLOOKUP(tbl_CONTENT[[#This Row],[Topic]], tbl_TOPIC[Topic], tbl_TOPIC[ParentTopic])),
  ""
)</f>
        <v>RG-ÜB</v>
      </c>
      <c r="X464" s="22" t="str">
        <f>IFERROR(
  IF(_xlfn.XLOOKUP(tbl_CONTENT[[#This Row],[Topic]], tbl_TOPIC[Topic], tbl_TOPIC[TopicPath])="", "",
       _xlfn.XLOOKUP(tbl_CONTENT[[#This Row],[Topic]], tbl_TOPIC[Topic], tbl_TOPIC[TopicPath])),
  ""
)</f>
        <v>RG-ÜB/RG-ÜB-02: Tangentialbündel und Hyperbolischer Raum</v>
      </c>
    </row>
    <row r="465" spans="3:24" ht="34" x14ac:dyDescent="0.2">
      <c r="C465" s="62" t="str">
        <f>_xlfn.XLOOKUP(tbl_CONTENT[[#This Row],[TopicID]], tbl_TOPIC[TopicID], tbl_TOPIC[Subject], "")</f>
        <v>RG</v>
      </c>
      <c r="D46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RG-T12-17-02</v>
      </c>
      <c r="E465" s="62">
        <f>ROW()</f>
        <v>465</v>
      </c>
      <c r="F465" s="22" t="s">
        <v>1051</v>
      </c>
      <c r="G465" s="22" t="str">
        <f>_xlfn.XLOOKUP(tbl_CONTENT[[#This Row],[Topic]], tbl_TOPIC[Topic], tbl_TOPIC[TopicID], "")</f>
        <v>RG-1-17</v>
      </c>
      <c r="H465" s="62" cm="1">
        <f t="array" ref="H465">SUM((tbl_CONTENT[[#This Row],[TopicID]]=INDEX(tbl_CONTENT[TopicID],1):tbl_CONTENT[[#This Row],[TopicID]])*1)</f>
        <v>2</v>
      </c>
      <c r="I465" s="62" t="str">
        <f>_xlfn.XLOOKUP(tbl_CONTENT[[#This Row],[Topic]], tbl_TOPIC[Topic], tbl_TOPIC[TopicIndex], "")</f>
        <v>17</v>
      </c>
      <c r="J465" s="22" t="s">
        <v>825</v>
      </c>
      <c r="K465" s="22" t="s">
        <v>827</v>
      </c>
      <c r="L465" s="22" t="s">
        <v>492</v>
      </c>
      <c r="R465" s="62"/>
      <c r="S465" s="35">
        <f>IFERROR(
 (1.907*EXP(1)^(-0.5*tbl_CONTENT[[#This Row],[Layer]])) *
 ((tbl_CONTENT[[#This Row],[RelInt]]-1)^(2.5)*4^(1-2.5)+1) +
 ((tbl_CONTENT[[#This Row],[Comp]]-1)^(2.5)*4^(1-2.5)+1)*(0.5*((tbl_CONTENT[[#This Row],[RelInt]]-1)/4)^(2.5)+1),
 0
)</f>
        <v>0</v>
      </c>
      <c r="T465" s="35">
        <f>IFERROR(
 (1.907*EXP(1)^(-0.5*VALUE(tbl_CONTENT[[#This Row],[Layer]]))) *
 ((VALUE(tbl_CONTENT[[#This Row],[RelId]])-1)^(2.5)*4^(1-2.5)+1) +
 ((VALUE(tbl_CONTENT[[#This Row],[Comp]])-1)^(2.5)*4^(1-2.5)+1)*(0.5*((VALUE(tbl_CONTENT[[#This Row],[RelId]])-1)/4)^(2.5)+1),
 0
)</f>
        <v>0</v>
      </c>
      <c r="V465" s="62"/>
      <c r="W465" s="22" t="str">
        <f>IFERROR(
  IF(_xlfn.XLOOKUP(tbl_CONTENT[[#This Row],[Topic]], tbl_TOPIC[Topic], tbl_TOPIC[ParentTopic])="", "",
       _xlfn.XLOOKUP(tbl_CONTENT[[#This Row],[Topic]], tbl_TOPIC[Topic], tbl_TOPIC[ParentTopic])),
  ""
)</f>
        <v>RG-ÜB</v>
      </c>
      <c r="X465" s="22" t="str">
        <f>IFERROR(
  IF(_xlfn.XLOOKUP(tbl_CONTENT[[#This Row],[Topic]], tbl_TOPIC[Topic], tbl_TOPIC[TopicPath])="", "",
       _xlfn.XLOOKUP(tbl_CONTENT[[#This Row],[Topic]], tbl_TOPIC[Topic], tbl_TOPIC[TopicPath])),
  ""
)</f>
        <v>RG-ÜB/RG-ÜB-02: Tangentialbündel und Hyperbolischer Raum</v>
      </c>
    </row>
    <row r="466" spans="3:24" ht="34" x14ac:dyDescent="0.2">
      <c r="C466" s="62" t="str">
        <f>_xlfn.XLOOKUP(tbl_CONTENT[[#This Row],[TopicID]], tbl_TOPIC[TopicID], tbl_TOPIC[Subject], "")</f>
        <v>RG</v>
      </c>
      <c r="D46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RG-T12-17-03</v>
      </c>
      <c r="E466" s="62">
        <f>ROW()</f>
        <v>466</v>
      </c>
      <c r="F466" s="22" t="s">
        <v>1051</v>
      </c>
      <c r="G466" s="22" t="str">
        <f>_xlfn.XLOOKUP(tbl_CONTENT[[#This Row],[Topic]], tbl_TOPIC[Topic], tbl_TOPIC[TopicID], "")</f>
        <v>RG-1-17</v>
      </c>
      <c r="H466" s="62" cm="1">
        <f t="array" ref="H466">SUM((tbl_CONTENT[[#This Row],[TopicID]]=INDEX(tbl_CONTENT[TopicID],1):tbl_CONTENT[[#This Row],[TopicID]])*1)</f>
        <v>3</v>
      </c>
      <c r="I466" s="62" t="str">
        <f>_xlfn.XLOOKUP(tbl_CONTENT[[#This Row],[Topic]], tbl_TOPIC[Topic], tbl_TOPIC[TopicIndex], "")</f>
        <v>17</v>
      </c>
      <c r="J466" s="22" t="s">
        <v>825</v>
      </c>
      <c r="K466" s="22" t="s">
        <v>828</v>
      </c>
      <c r="L466" s="22" t="s">
        <v>492</v>
      </c>
      <c r="R466" s="62"/>
      <c r="S466" s="35">
        <f>IFERROR(
 (1.907*EXP(1)^(-0.5*tbl_CONTENT[[#This Row],[Layer]])) *
 ((tbl_CONTENT[[#This Row],[RelInt]]-1)^(2.5)*4^(1-2.5)+1) +
 ((tbl_CONTENT[[#This Row],[Comp]]-1)^(2.5)*4^(1-2.5)+1)*(0.5*((tbl_CONTENT[[#This Row],[RelInt]]-1)/4)^(2.5)+1),
 0
)</f>
        <v>0</v>
      </c>
      <c r="T466" s="35">
        <f>IFERROR(
 (1.907*EXP(1)^(-0.5*VALUE(tbl_CONTENT[[#This Row],[Layer]]))) *
 ((VALUE(tbl_CONTENT[[#This Row],[RelId]])-1)^(2.5)*4^(1-2.5)+1) +
 ((VALUE(tbl_CONTENT[[#This Row],[Comp]])-1)^(2.5)*4^(1-2.5)+1)*(0.5*((VALUE(tbl_CONTENT[[#This Row],[RelId]])-1)/4)^(2.5)+1),
 0
)</f>
        <v>0</v>
      </c>
      <c r="V466" s="62"/>
      <c r="W466" s="22" t="str">
        <f>IFERROR(
  IF(_xlfn.XLOOKUP(tbl_CONTENT[[#This Row],[Topic]], tbl_TOPIC[Topic], tbl_TOPIC[ParentTopic])="", "",
       _xlfn.XLOOKUP(tbl_CONTENT[[#This Row],[Topic]], tbl_TOPIC[Topic], tbl_TOPIC[ParentTopic])),
  ""
)</f>
        <v>RG-ÜB</v>
      </c>
      <c r="X466" s="22" t="str">
        <f>IFERROR(
  IF(_xlfn.XLOOKUP(tbl_CONTENT[[#This Row],[Topic]], tbl_TOPIC[Topic], tbl_TOPIC[TopicPath])="", "",
       _xlfn.XLOOKUP(tbl_CONTENT[[#This Row],[Topic]], tbl_TOPIC[Topic], tbl_TOPIC[TopicPath])),
  ""
)</f>
        <v>RG-ÜB/RG-ÜB-02: Tangentialbündel und Hyperbolischer Raum</v>
      </c>
    </row>
    <row r="467" spans="3:24" ht="34" x14ac:dyDescent="0.2">
      <c r="C467" s="62" t="str">
        <f>_xlfn.XLOOKUP(tbl_CONTENT[[#This Row],[TopicID]], tbl_TOPIC[TopicID], tbl_TOPIC[Subject], "")</f>
        <v>RG</v>
      </c>
      <c r="D46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RG-T12-17-04</v>
      </c>
      <c r="E467" s="62">
        <f>ROW()</f>
        <v>467</v>
      </c>
      <c r="F467" s="22" t="s">
        <v>1051</v>
      </c>
      <c r="G467" s="22" t="str">
        <f>_xlfn.XLOOKUP(tbl_CONTENT[[#This Row],[Topic]], tbl_TOPIC[Topic], tbl_TOPIC[TopicID], "")</f>
        <v>RG-1-17</v>
      </c>
      <c r="H467" s="62" cm="1">
        <f t="array" ref="H467">SUM((tbl_CONTENT[[#This Row],[TopicID]]=INDEX(tbl_CONTENT[TopicID],1):tbl_CONTENT[[#This Row],[TopicID]])*1)</f>
        <v>4</v>
      </c>
      <c r="I467" s="62" t="str">
        <f>_xlfn.XLOOKUP(tbl_CONTENT[[#This Row],[Topic]], tbl_TOPIC[Topic], tbl_TOPIC[TopicIndex], "")</f>
        <v>17</v>
      </c>
      <c r="J467" s="22" t="s">
        <v>825</v>
      </c>
      <c r="K467" s="22" t="s">
        <v>829</v>
      </c>
      <c r="L467" s="22" t="s">
        <v>492</v>
      </c>
      <c r="R467" s="62"/>
      <c r="S467" s="35">
        <f>IFERROR(
 (1.907*EXP(1)^(-0.5*tbl_CONTENT[[#This Row],[Layer]])) *
 ((tbl_CONTENT[[#This Row],[RelInt]]-1)^(2.5)*4^(1-2.5)+1) +
 ((tbl_CONTENT[[#This Row],[Comp]]-1)^(2.5)*4^(1-2.5)+1)*(0.5*((tbl_CONTENT[[#This Row],[RelInt]]-1)/4)^(2.5)+1),
 0
)</f>
        <v>0</v>
      </c>
      <c r="T467" s="35">
        <f>IFERROR(
 (1.907*EXP(1)^(-0.5*VALUE(tbl_CONTENT[[#This Row],[Layer]]))) *
 ((VALUE(tbl_CONTENT[[#This Row],[RelId]])-1)^(2.5)*4^(1-2.5)+1) +
 ((VALUE(tbl_CONTENT[[#This Row],[Comp]])-1)^(2.5)*4^(1-2.5)+1)*(0.5*((VALUE(tbl_CONTENT[[#This Row],[RelId]])-1)/4)^(2.5)+1),
 0
)</f>
        <v>0</v>
      </c>
      <c r="V467" s="62"/>
      <c r="W467" s="22" t="str">
        <f>IFERROR(
  IF(_xlfn.XLOOKUP(tbl_CONTENT[[#This Row],[Topic]], tbl_TOPIC[Topic], tbl_TOPIC[ParentTopic])="", "",
       _xlfn.XLOOKUP(tbl_CONTENT[[#This Row],[Topic]], tbl_TOPIC[Topic], tbl_TOPIC[ParentTopic])),
  ""
)</f>
        <v>RG-ÜB</v>
      </c>
      <c r="X467" s="22" t="str">
        <f>IFERROR(
  IF(_xlfn.XLOOKUP(tbl_CONTENT[[#This Row],[Topic]], tbl_TOPIC[Topic], tbl_TOPIC[TopicPath])="", "",
       _xlfn.XLOOKUP(tbl_CONTENT[[#This Row],[Topic]], tbl_TOPIC[Topic], tbl_TOPIC[TopicPath])),
  ""
)</f>
        <v>RG-ÜB/RG-ÜB-02: Tangentialbündel und Hyperbolischer Raum</v>
      </c>
    </row>
    <row r="468" spans="3:24" ht="17" x14ac:dyDescent="0.2">
      <c r="C468" s="62" t="str">
        <f>_xlfn.XLOOKUP(tbl_CONTENT[[#This Row],[TopicID]], tbl_TOPIC[TopicID], tbl_TOPIC[Subject], "")</f>
        <v>A</v>
      </c>
      <c r="D46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A-T12-03-01</v>
      </c>
      <c r="E468" s="62">
        <f>ROW()</f>
        <v>468</v>
      </c>
      <c r="F468" s="22" t="s">
        <v>1051</v>
      </c>
      <c r="G468" s="22" t="str">
        <f>_xlfn.XLOOKUP(tbl_CONTENT[[#This Row],[Topic]], tbl_TOPIC[Topic], tbl_TOPIC[TopicID], "")</f>
        <v>A-1-03</v>
      </c>
      <c r="H468" s="62" cm="1">
        <f t="array" ref="H468">SUM((tbl_CONTENT[[#This Row],[TopicID]]=INDEX(tbl_CONTENT[TopicID],1):tbl_CONTENT[[#This Row],[TopicID]])*1)</f>
        <v>1</v>
      </c>
      <c r="I468" s="62" t="str">
        <f>_xlfn.XLOOKUP(tbl_CONTENT[[#This Row],[Topic]], tbl_TOPIC[Topic], tbl_TOPIC[TopicIndex], "")</f>
        <v>03</v>
      </c>
      <c r="J468" s="22" t="s">
        <v>832</v>
      </c>
      <c r="K468" s="22" t="s">
        <v>833</v>
      </c>
      <c r="L468" s="22" t="s">
        <v>152</v>
      </c>
      <c r="M468" s="22">
        <v>1</v>
      </c>
      <c r="R468" s="62"/>
      <c r="S468" s="35">
        <f>IFERROR(
 (1.907*EXP(1)^(-0.5*tbl_CONTENT[[#This Row],[Layer]])) *
 ((tbl_CONTENT[[#This Row],[RelInt]]-1)^(2.5)*4^(1-2.5)+1) +
 ((tbl_CONTENT[[#This Row],[Comp]]-1)^(2.5)*4^(1-2.5)+1)*(0.5*((tbl_CONTENT[[#This Row],[RelInt]]-1)/4)^(2.5)+1),
 0
)</f>
        <v>0</v>
      </c>
      <c r="T468" s="35">
        <f>IFERROR(
 (1.907*EXP(1)^(-0.5*VALUE(tbl_CONTENT[[#This Row],[Layer]]))) *
 ((VALUE(tbl_CONTENT[[#This Row],[RelId]])-1)^(2.5)*4^(1-2.5)+1) +
 ((VALUE(tbl_CONTENT[[#This Row],[Comp]])-1)^(2.5)*4^(1-2.5)+1)*(0.5*((VALUE(tbl_CONTENT[[#This Row],[RelId]])-1)/4)^(2.5)+1),
 0
)</f>
        <v>0</v>
      </c>
      <c r="V468" s="62"/>
      <c r="W468" s="22" t="str">
        <f>IFERROR(
  IF(_xlfn.XLOOKUP(tbl_CONTENT[[#This Row],[Topic]], tbl_TOPIC[Topic], tbl_TOPIC[ParentTopic])="", "",
       _xlfn.XLOOKUP(tbl_CONTENT[[#This Row],[Topic]], tbl_TOPIC[Topic], tbl_TOPIC[ParentTopic])),
  ""
)</f>
        <v>Ringe</v>
      </c>
      <c r="X468" s="22" t="str">
        <f>IFERROR(
  IF(_xlfn.XLOOKUP(tbl_CONTENT[[#This Row],[Topic]], tbl_TOPIC[Topic], tbl_TOPIC[TopicPath])="", "",
       _xlfn.XLOOKUP(tbl_CONTENT[[#This Row],[Topic]], tbl_TOPIC[Topic], tbl_TOPIC[TopicPath])),
  ""
)</f>
        <v>Ringe/Ringe Basics</v>
      </c>
    </row>
    <row r="469" spans="3:24" ht="17" x14ac:dyDescent="0.2">
      <c r="C469" s="62" t="str">
        <f>_xlfn.XLOOKUP(tbl_CONTENT[[#This Row],[TopicID]], tbl_TOPIC[TopicID], tbl_TOPIC[Subject], "")</f>
        <v>A</v>
      </c>
      <c r="D46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A-T12-03-02</v>
      </c>
      <c r="E469" s="62">
        <f>ROW()</f>
        <v>469</v>
      </c>
      <c r="F469" s="22" t="s">
        <v>1051</v>
      </c>
      <c r="G469" s="22" t="str">
        <f>_xlfn.XLOOKUP(tbl_CONTENT[[#This Row],[Topic]], tbl_TOPIC[Topic], tbl_TOPIC[TopicID], "")</f>
        <v>A-1-03</v>
      </c>
      <c r="H469" s="62" cm="1">
        <f t="array" ref="H469">SUM((tbl_CONTENT[[#This Row],[TopicID]]=INDEX(tbl_CONTENT[TopicID],1):tbl_CONTENT[[#This Row],[TopicID]])*1)</f>
        <v>2</v>
      </c>
      <c r="I469" s="62" t="str">
        <f>_xlfn.XLOOKUP(tbl_CONTENT[[#This Row],[Topic]], tbl_TOPIC[Topic], tbl_TOPIC[TopicIndex], "")</f>
        <v>03</v>
      </c>
      <c r="J469" s="22" t="s">
        <v>832</v>
      </c>
      <c r="K469" s="22" t="s">
        <v>843</v>
      </c>
      <c r="L469" s="22" t="s">
        <v>152</v>
      </c>
      <c r="R469" s="62"/>
      <c r="S469" s="35">
        <f>IFERROR(
 (1.907*EXP(1)^(-0.5*tbl_CONTENT[[#This Row],[Layer]])) *
 ((tbl_CONTENT[[#This Row],[RelInt]]-1)^(2.5)*4^(1-2.5)+1) +
 ((tbl_CONTENT[[#This Row],[Comp]]-1)^(2.5)*4^(1-2.5)+1)*(0.5*((tbl_CONTENT[[#This Row],[RelInt]]-1)/4)^(2.5)+1),
 0
)</f>
        <v>0</v>
      </c>
      <c r="T469" s="35">
        <f>IFERROR(
 (1.907*EXP(1)^(-0.5*VALUE(tbl_CONTENT[[#This Row],[Layer]]))) *
 ((VALUE(tbl_CONTENT[[#This Row],[RelId]])-1)^(2.5)*4^(1-2.5)+1) +
 ((VALUE(tbl_CONTENT[[#This Row],[Comp]])-1)^(2.5)*4^(1-2.5)+1)*(0.5*((VALUE(tbl_CONTENT[[#This Row],[RelId]])-1)/4)^(2.5)+1),
 0
)</f>
        <v>0</v>
      </c>
      <c r="V469" s="62"/>
      <c r="W469" s="22" t="str">
        <f>IFERROR(
  IF(_xlfn.XLOOKUP(tbl_CONTENT[[#This Row],[Topic]], tbl_TOPIC[Topic], tbl_TOPIC[ParentTopic])="", "",
       _xlfn.XLOOKUP(tbl_CONTENT[[#This Row],[Topic]], tbl_TOPIC[Topic], tbl_TOPIC[ParentTopic])),
  ""
)</f>
        <v>Ringe</v>
      </c>
      <c r="X469" s="22" t="str">
        <f>IFERROR(
  IF(_xlfn.XLOOKUP(tbl_CONTENT[[#This Row],[Topic]], tbl_TOPIC[Topic], tbl_TOPIC[TopicPath])="", "",
       _xlfn.XLOOKUP(tbl_CONTENT[[#This Row],[Topic]], tbl_TOPIC[Topic], tbl_TOPIC[TopicPath])),
  ""
)</f>
        <v>Ringe/Ringe Basics</v>
      </c>
    </row>
    <row r="470" spans="3:24" ht="17" x14ac:dyDescent="0.2">
      <c r="C470" s="62" t="str">
        <f>_xlfn.XLOOKUP(tbl_CONTENT[[#This Row],[TopicID]], tbl_TOPIC[TopicID], tbl_TOPIC[Subject], "")</f>
        <v>A</v>
      </c>
      <c r="D47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A-T12-03-03</v>
      </c>
      <c r="E470" s="62">
        <f>ROW()</f>
        <v>470</v>
      </c>
      <c r="F470" s="22" t="s">
        <v>1051</v>
      </c>
      <c r="G470" s="22" t="str">
        <f>_xlfn.XLOOKUP(tbl_CONTENT[[#This Row],[Topic]], tbl_TOPIC[Topic], tbl_TOPIC[TopicID], "")</f>
        <v>A-1-03</v>
      </c>
      <c r="H470" s="62" cm="1">
        <f t="array" ref="H470">SUM((tbl_CONTENT[[#This Row],[TopicID]]=INDEX(tbl_CONTENT[TopicID],1):tbl_CONTENT[[#This Row],[TopicID]])*1)</f>
        <v>3</v>
      </c>
      <c r="I470" s="62" t="str">
        <f>_xlfn.XLOOKUP(tbl_CONTENT[[#This Row],[Topic]], tbl_TOPIC[Topic], tbl_TOPIC[TopicIndex], "")</f>
        <v>03</v>
      </c>
      <c r="J470" s="22" t="s">
        <v>832</v>
      </c>
      <c r="K470" s="22" t="s">
        <v>834</v>
      </c>
      <c r="L470" s="22" t="s">
        <v>152</v>
      </c>
      <c r="M470" s="22">
        <v>1</v>
      </c>
      <c r="R470" s="62"/>
      <c r="S470" s="35">
        <f>IFERROR(
 (1.907*EXP(1)^(-0.5*tbl_CONTENT[[#This Row],[Layer]])) *
 ((tbl_CONTENT[[#This Row],[RelInt]]-1)^(2.5)*4^(1-2.5)+1) +
 ((tbl_CONTENT[[#This Row],[Comp]]-1)^(2.5)*4^(1-2.5)+1)*(0.5*((tbl_CONTENT[[#This Row],[RelInt]]-1)/4)^(2.5)+1),
 0
)</f>
        <v>0</v>
      </c>
      <c r="T470" s="35">
        <f>IFERROR(
 (1.907*EXP(1)^(-0.5*VALUE(tbl_CONTENT[[#This Row],[Layer]]))) *
 ((VALUE(tbl_CONTENT[[#This Row],[RelId]])-1)^(2.5)*4^(1-2.5)+1) +
 ((VALUE(tbl_CONTENT[[#This Row],[Comp]])-1)^(2.5)*4^(1-2.5)+1)*(0.5*((VALUE(tbl_CONTENT[[#This Row],[RelId]])-1)/4)^(2.5)+1),
 0
)</f>
        <v>0</v>
      </c>
      <c r="V470" s="62"/>
      <c r="W470" s="22" t="str">
        <f>IFERROR(
  IF(_xlfn.XLOOKUP(tbl_CONTENT[[#This Row],[Topic]], tbl_TOPIC[Topic], tbl_TOPIC[ParentTopic])="", "",
       _xlfn.XLOOKUP(tbl_CONTENT[[#This Row],[Topic]], tbl_TOPIC[Topic], tbl_TOPIC[ParentTopic])),
  ""
)</f>
        <v>Ringe</v>
      </c>
      <c r="X470" s="22" t="str">
        <f>IFERROR(
  IF(_xlfn.XLOOKUP(tbl_CONTENT[[#This Row],[Topic]], tbl_TOPIC[Topic], tbl_TOPIC[TopicPath])="", "",
       _xlfn.XLOOKUP(tbl_CONTENT[[#This Row],[Topic]], tbl_TOPIC[Topic], tbl_TOPIC[TopicPath])),
  ""
)</f>
        <v>Ringe/Ringe Basics</v>
      </c>
    </row>
    <row r="471" spans="3:24" ht="17" x14ac:dyDescent="0.2">
      <c r="C471" s="62" t="str">
        <f>_xlfn.XLOOKUP(tbl_CONTENT[[#This Row],[TopicID]], tbl_TOPIC[TopicID], tbl_TOPIC[Subject], "")</f>
        <v>A</v>
      </c>
      <c r="D47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A-T12-03-04</v>
      </c>
      <c r="E471" s="62">
        <f>ROW()</f>
        <v>471</v>
      </c>
      <c r="F471" s="22" t="s">
        <v>1051</v>
      </c>
      <c r="G471" s="22" t="str">
        <f>_xlfn.XLOOKUP(tbl_CONTENT[[#This Row],[Topic]], tbl_TOPIC[Topic], tbl_TOPIC[TopicID], "")</f>
        <v>A-1-03</v>
      </c>
      <c r="H471" s="62" cm="1">
        <f t="array" ref="H471">SUM((tbl_CONTENT[[#This Row],[TopicID]]=INDEX(tbl_CONTENT[TopicID],1):tbl_CONTENT[[#This Row],[TopicID]])*1)</f>
        <v>4</v>
      </c>
      <c r="I471" s="62" t="str">
        <f>_xlfn.XLOOKUP(tbl_CONTENT[[#This Row],[Topic]], tbl_TOPIC[Topic], tbl_TOPIC[TopicIndex], "")</f>
        <v>03</v>
      </c>
      <c r="J471" s="22" t="s">
        <v>832</v>
      </c>
      <c r="K471" s="22" t="s">
        <v>835</v>
      </c>
      <c r="L471" s="22" t="s">
        <v>179</v>
      </c>
      <c r="R471" s="62"/>
      <c r="S471" s="35">
        <f>IFERROR(
 (1.907*EXP(1)^(-0.5*tbl_CONTENT[[#This Row],[Layer]])) *
 ((tbl_CONTENT[[#This Row],[RelInt]]-1)^(2.5)*4^(1-2.5)+1) +
 ((tbl_CONTENT[[#This Row],[Comp]]-1)^(2.5)*4^(1-2.5)+1)*(0.5*((tbl_CONTENT[[#This Row],[RelInt]]-1)/4)^(2.5)+1),
 0
)</f>
        <v>0</v>
      </c>
      <c r="T471" s="35">
        <f>IFERROR(
 (1.907*EXP(1)^(-0.5*VALUE(tbl_CONTENT[[#This Row],[Layer]]))) *
 ((VALUE(tbl_CONTENT[[#This Row],[RelId]])-1)^(2.5)*4^(1-2.5)+1) +
 ((VALUE(tbl_CONTENT[[#This Row],[Comp]])-1)^(2.5)*4^(1-2.5)+1)*(0.5*((VALUE(tbl_CONTENT[[#This Row],[RelId]])-1)/4)^(2.5)+1),
 0
)</f>
        <v>0</v>
      </c>
      <c r="V471" s="62"/>
      <c r="W471" s="22" t="str">
        <f>IFERROR(
  IF(_xlfn.XLOOKUP(tbl_CONTENT[[#This Row],[Topic]], tbl_TOPIC[Topic], tbl_TOPIC[ParentTopic])="", "",
       _xlfn.XLOOKUP(tbl_CONTENT[[#This Row],[Topic]], tbl_TOPIC[Topic], tbl_TOPIC[ParentTopic])),
  ""
)</f>
        <v>Ringe</v>
      </c>
      <c r="X471" s="22" t="str">
        <f>IFERROR(
  IF(_xlfn.XLOOKUP(tbl_CONTENT[[#This Row],[Topic]], tbl_TOPIC[Topic], tbl_TOPIC[TopicPath])="", "",
       _xlfn.XLOOKUP(tbl_CONTENT[[#This Row],[Topic]], tbl_TOPIC[Topic], tbl_TOPIC[TopicPath])),
  ""
)</f>
        <v>Ringe/Ringe Basics</v>
      </c>
    </row>
    <row r="472" spans="3:24" ht="17" x14ac:dyDescent="0.2">
      <c r="C472" s="62" t="str">
        <f>_xlfn.XLOOKUP(tbl_CONTENT[[#This Row],[TopicID]], tbl_TOPIC[TopicID], tbl_TOPIC[Subject], "")</f>
        <v>A</v>
      </c>
      <c r="D47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A-T12-03-05</v>
      </c>
      <c r="E472" s="62">
        <f>ROW()</f>
        <v>472</v>
      </c>
      <c r="F472" s="22" t="s">
        <v>1051</v>
      </c>
      <c r="G472" s="22" t="str">
        <f>_xlfn.XLOOKUP(tbl_CONTENT[[#This Row],[Topic]], tbl_TOPIC[Topic], tbl_TOPIC[TopicID], "")</f>
        <v>A-1-03</v>
      </c>
      <c r="H472" s="62" cm="1">
        <f t="array" ref="H472">SUM((tbl_CONTENT[[#This Row],[TopicID]]=INDEX(tbl_CONTENT[TopicID],1):tbl_CONTENT[[#This Row],[TopicID]])*1)</f>
        <v>5</v>
      </c>
      <c r="I472" s="62" t="str">
        <f>_xlfn.XLOOKUP(tbl_CONTENT[[#This Row],[Topic]], tbl_TOPIC[Topic], tbl_TOPIC[TopicIndex], "")</f>
        <v>03</v>
      </c>
      <c r="J472" s="22" t="s">
        <v>832</v>
      </c>
      <c r="K472" s="22" t="s">
        <v>1006</v>
      </c>
      <c r="L472" s="22" t="s">
        <v>179</v>
      </c>
      <c r="R472" s="62"/>
      <c r="S472" s="35">
        <f>IFERROR(
 (1.907*EXP(1)^(-0.5*tbl_CONTENT[[#This Row],[Layer]])) *
 ((tbl_CONTENT[[#This Row],[RelInt]]-1)^(2.5)*4^(1-2.5)+1) +
 ((tbl_CONTENT[[#This Row],[Comp]]-1)^(2.5)*4^(1-2.5)+1)*(0.5*((tbl_CONTENT[[#This Row],[RelInt]]-1)/4)^(2.5)+1),
 0
)</f>
        <v>0</v>
      </c>
      <c r="T472" s="35">
        <f>IFERROR(
 (1.907*EXP(1)^(-0.5*VALUE(tbl_CONTENT[[#This Row],[Layer]]))) *
 ((VALUE(tbl_CONTENT[[#This Row],[RelId]])-1)^(2.5)*4^(1-2.5)+1) +
 ((VALUE(tbl_CONTENT[[#This Row],[Comp]])-1)^(2.5)*4^(1-2.5)+1)*(0.5*((VALUE(tbl_CONTENT[[#This Row],[RelId]])-1)/4)^(2.5)+1),
 0
)</f>
        <v>0</v>
      </c>
      <c r="V472" s="62"/>
      <c r="W472" s="22" t="str">
        <f>IFERROR(
  IF(_xlfn.XLOOKUP(tbl_CONTENT[[#This Row],[Topic]], tbl_TOPIC[Topic], tbl_TOPIC[ParentTopic])="", "",
       _xlfn.XLOOKUP(tbl_CONTENT[[#This Row],[Topic]], tbl_TOPIC[Topic], tbl_TOPIC[ParentTopic])),
  ""
)</f>
        <v>Ringe</v>
      </c>
      <c r="X472" s="22" t="str">
        <f>IFERROR(
  IF(_xlfn.XLOOKUP(tbl_CONTENT[[#This Row],[Topic]], tbl_TOPIC[Topic], tbl_TOPIC[TopicPath])="", "",
       _xlfn.XLOOKUP(tbl_CONTENT[[#This Row],[Topic]], tbl_TOPIC[Topic], tbl_TOPIC[TopicPath])),
  ""
)</f>
        <v>Ringe/Ringe Basics</v>
      </c>
    </row>
    <row r="473" spans="3:24" ht="17" x14ac:dyDescent="0.2">
      <c r="C473" s="62" t="str">
        <f>_xlfn.XLOOKUP(tbl_CONTENT[[#This Row],[TopicID]], tbl_TOPIC[TopicID], tbl_TOPIC[Subject], "")</f>
        <v>A</v>
      </c>
      <c r="D47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A-T12-03-06</v>
      </c>
      <c r="E473" s="62">
        <f>ROW()</f>
        <v>473</v>
      </c>
      <c r="F473" s="22" t="s">
        <v>1051</v>
      </c>
      <c r="G473" s="22" t="str">
        <f>_xlfn.XLOOKUP(tbl_CONTENT[[#This Row],[Topic]], tbl_TOPIC[Topic], tbl_TOPIC[TopicID], "")</f>
        <v>A-1-03</v>
      </c>
      <c r="H473" s="62" cm="1">
        <f t="array" ref="H473">SUM((tbl_CONTENT[[#This Row],[TopicID]]=INDEX(tbl_CONTENT[TopicID],1):tbl_CONTENT[[#This Row],[TopicID]])*1)</f>
        <v>6</v>
      </c>
      <c r="I473" s="62" t="str">
        <f>_xlfn.XLOOKUP(tbl_CONTENT[[#This Row],[Topic]], tbl_TOPIC[Topic], tbl_TOPIC[TopicIndex], "")</f>
        <v>03</v>
      </c>
      <c r="J473" s="22" t="s">
        <v>832</v>
      </c>
      <c r="K473" s="22" t="s">
        <v>836</v>
      </c>
      <c r="L473" s="22" t="s">
        <v>179</v>
      </c>
      <c r="R473" s="62"/>
      <c r="S473" s="35">
        <f>IFERROR(
 (1.907*EXP(1)^(-0.5*tbl_CONTENT[[#This Row],[Layer]])) *
 ((tbl_CONTENT[[#This Row],[RelInt]]-1)^(2.5)*4^(1-2.5)+1) +
 ((tbl_CONTENT[[#This Row],[Comp]]-1)^(2.5)*4^(1-2.5)+1)*(0.5*((tbl_CONTENT[[#This Row],[RelInt]]-1)/4)^(2.5)+1),
 0
)</f>
        <v>0</v>
      </c>
      <c r="T473" s="35">
        <f>IFERROR(
 (1.907*EXP(1)^(-0.5*VALUE(tbl_CONTENT[[#This Row],[Layer]]))) *
 ((VALUE(tbl_CONTENT[[#This Row],[RelId]])-1)^(2.5)*4^(1-2.5)+1) +
 ((VALUE(tbl_CONTENT[[#This Row],[Comp]])-1)^(2.5)*4^(1-2.5)+1)*(0.5*((VALUE(tbl_CONTENT[[#This Row],[RelId]])-1)/4)^(2.5)+1),
 0
)</f>
        <v>0</v>
      </c>
      <c r="V473" s="62"/>
      <c r="W473" s="22" t="str">
        <f>IFERROR(
  IF(_xlfn.XLOOKUP(tbl_CONTENT[[#This Row],[Topic]], tbl_TOPIC[Topic], tbl_TOPIC[ParentTopic])="", "",
       _xlfn.XLOOKUP(tbl_CONTENT[[#This Row],[Topic]], tbl_TOPIC[Topic], tbl_TOPIC[ParentTopic])),
  ""
)</f>
        <v>Ringe</v>
      </c>
      <c r="X473" s="22" t="str">
        <f>IFERROR(
  IF(_xlfn.XLOOKUP(tbl_CONTENT[[#This Row],[Topic]], tbl_TOPIC[Topic], tbl_TOPIC[TopicPath])="", "",
       _xlfn.XLOOKUP(tbl_CONTENT[[#This Row],[Topic]], tbl_TOPIC[Topic], tbl_TOPIC[TopicPath])),
  ""
)</f>
        <v>Ringe/Ringe Basics</v>
      </c>
    </row>
    <row r="474" spans="3:24" ht="17" x14ac:dyDescent="0.2">
      <c r="C474" s="62" t="str">
        <f>_xlfn.XLOOKUP(tbl_CONTENT[[#This Row],[TopicID]], tbl_TOPIC[TopicID], tbl_TOPIC[Subject], "")</f>
        <v>A</v>
      </c>
      <c r="D47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A-T12-03-07</v>
      </c>
      <c r="E474" s="62">
        <f>ROW()</f>
        <v>474</v>
      </c>
      <c r="F474" s="22" t="s">
        <v>1051</v>
      </c>
      <c r="G474" s="22" t="str">
        <f>_xlfn.XLOOKUP(tbl_CONTENT[[#This Row],[Topic]], tbl_TOPIC[Topic], tbl_TOPIC[TopicID], "")</f>
        <v>A-1-03</v>
      </c>
      <c r="H474" s="62" cm="1">
        <f t="array" ref="H474">SUM((tbl_CONTENT[[#This Row],[TopicID]]=INDEX(tbl_CONTENT[TopicID],1):tbl_CONTENT[[#This Row],[TopicID]])*1)</f>
        <v>7</v>
      </c>
      <c r="I474" s="62" t="str">
        <f>_xlfn.XLOOKUP(tbl_CONTENT[[#This Row],[Topic]], tbl_TOPIC[Topic], tbl_TOPIC[TopicIndex], "")</f>
        <v>03</v>
      </c>
      <c r="J474" s="22" t="s">
        <v>832</v>
      </c>
      <c r="K474" s="22" t="s">
        <v>849</v>
      </c>
      <c r="L474" s="22" t="s">
        <v>179</v>
      </c>
      <c r="R474" s="62"/>
      <c r="S474" s="35">
        <f>IFERROR(
 (1.907*EXP(1)^(-0.5*tbl_CONTENT[[#This Row],[Layer]])) *
 ((tbl_CONTENT[[#This Row],[RelInt]]-1)^(2.5)*4^(1-2.5)+1) +
 ((tbl_CONTENT[[#This Row],[Comp]]-1)^(2.5)*4^(1-2.5)+1)*(0.5*((tbl_CONTENT[[#This Row],[RelInt]]-1)/4)^(2.5)+1),
 0
)</f>
        <v>0</v>
      </c>
      <c r="T474" s="35">
        <f>IFERROR(
 (1.907*EXP(1)^(-0.5*VALUE(tbl_CONTENT[[#This Row],[Layer]]))) *
 ((VALUE(tbl_CONTENT[[#This Row],[RelId]])-1)^(2.5)*4^(1-2.5)+1) +
 ((VALUE(tbl_CONTENT[[#This Row],[Comp]])-1)^(2.5)*4^(1-2.5)+1)*(0.5*((VALUE(tbl_CONTENT[[#This Row],[RelId]])-1)/4)^(2.5)+1),
 0
)</f>
        <v>0</v>
      </c>
      <c r="V474" s="62"/>
      <c r="W474" s="22" t="str">
        <f>IFERROR(
  IF(_xlfn.XLOOKUP(tbl_CONTENT[[#This Row],[Topic]], tbl_TOPIC[Topic], tbl_TOPIC[ParentTopic])="", "",
       _xlfn.XLOOKUP(tbl_CONTENT[[#This Row],[Topic]], tbl_TOPIC[Topic], tbl_TOPIC[ParentTopic])),
  ""
)</f>
        <v>Ringe</v>
      </c>
      <c r="X474" s="22" t="str">
        <f>IFERROR(
  IF(_xlfn.XLOOKUP(tbl_CONTENT[[#This Row],[Topic]], tbl_TOPIC[Topic], tbl_TOPIC[TopicPath])="", "",
       _xlfn.XLOOKUP(tbl_CONTENT[[#This Row],[Topic]], tbl_TOPIC[Topic], tbl_TOPIC[TopicPath])),
  ""
)</f>
        <v>Ringe/Ringe Basics</v>
      </c>
    </row>
    <row r="475" spans="3:24" ht="17" x14ac:dyDescent="0.2">
      <c r="C475" s="62" t="str">
        <f>_xlfn.XLOOKUP(tbl_CONTENT[[#This Row],[TopicID]], tbl_TOPIC[TopicID], tbl_TOPIC[Subject], "")</f>
        <v>A</v>
      </c>
      <c r="D47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A-T12-03-08</v>
      </c>
      <c r="E475" s="62">
        <f>ROW()</f>
        <v>475</v>
      </c>
      <c r="F475" s="22" t="s">
        <v>1051</v>
      </c>
      <c r="G475" s="22" t="str">
        <f>_xlfn.XLOOKUP(tbl_CONTENT[[#This Row],[Topic]], tbl_TOPIC[Topic], tbl_TOPIC[TopicID], "")</f>
        <v>A-1-03</v>
      </c>
      <c r="H475" s="62" cm="1">
        <f t="array" ref="H475">SUM((tbl_CONTENT[[#This Row],[TopicID]]=INDEX(tbl_CONTENT[TopicID],1):tbl_CONTENT[[#This Row],[TopicID]])*1)</f>
        <v>8</v>
      </c>
      <c r="I475" s="62" t="str">
        <f>_xlfn.XLOOKUP(tbl_CONTENT[[#This Row],[Topic]], tbl_TOPIC[Topic], tbl_TOPIC[TopicIndex], "")</f>
        <v>03</v>
      </c>
      <c r="J475" s="22" t="s">
        <v>832</v>
      </c>
      <c r="K475" s="22" t="s">
        <v>1007</v>
      </c>
      <c r="L475" s="22" t="s">
        <v>179</v>
      </c>
      <c r="R475" s="62"/>
      <c r="S475" s="35">
        <f>IFERROR(
 (1.907*EXP(1)^(-0.5*tbl_CONTENT[[#This Row],[Layer]])) *
 ((tbl_CONTENT[[#This Row],[RelInt]]-1)^(2.5)*4^(1-2.5)+1) +
 ((tbl_CONTENT[[#This Row],[Comp]]-1)^(2.5)*4^(1-2.5)+1)*(0.5*((tbl_CONTENT[[#This Row],[RelInt]]-1)/4)^(2.5)+1),
 0
)</f>
        <v>0</v>
      </c>
      <c r="T475" s="35">
        <f>IFERROR(
 (1.907*EXP(1)^(-0.5*VALUE(tbl_CONTENT[[#This Row],[Layer]]))) *
 ((VALUE(tbl_CONTENT[[#This Row],[RelId]])-1)^(2.5)*4^(1-2.5)+1) +
 ((VALUE(tbl_CONTENT[[#This Row],[Comp]])-1)^(2.5)*4^(1-2.5)+1)*(0.5*((VALUE(tbl_CONTENT[[#This Row],[RelId]])-1)/4)^(2.5)+1),
 0
)</f>
        <v>0</v>
      </c>
      <c r="V475" s="62"/>
      <c r="W475" s="22" t="str">
        <f>IFERROR(
  IF(_xlfn.XLOOKUP(tbl_CONTENT[[#This Row],[Topic]], tbl_TOPIC[Topic], tbl_TOPIC[ParentTopic])="", "",
       _xlfn.XLOOKUP(tbl_CONTENT[[#This Row],[Topic]], tbl_TOPIC[Topic], tbl_TOPIC[ParentTopic])),
  ""
)</f>
        <v>Ringe</v>
      </c>
      <c r="X475" s="22" t="str">
        <f>IFERROR(
  IF(_xlfn.XLOOKUP(tbl_CONTENT[[#This Row],[Topic]], tbl_TOPIC[Topic], tbl_TOPIC[TopicPath])="", "",
       _xlfn.XLOOKUP(tbl_CONTENT[[#This Row],[Topic]], tbl_TOPIC[Topic], tbl_TOPIC[TopicPath])),
  ""
)</f>
        <v>Ringe/Ringe Basics</v>
      </c>
    </row>
    <row r="476" spans="3:24" ht="17" x14ac:dyDescent="0.2">
      <c r="C476" s="62" t="str">
        <f>_xlfn.XLOOKUP(tbl_CONTENT[[#This Row],[TopicID]], tbl_TOPIC[TopicID], tbl_TOPIC[Subject], "")</f>
        <v>A</v>
      </c>
      <c r="D47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A-T12-03-09</v>
      </c>
      <c r="E476" s="62">
        <f>ROW()</f>
        <v>476</v>
      </c>
      <c r="F476" s="22" t="s">
        <v>1051</v>
      </c>
      <c r="G476" s="22" t="str">
        <f>_xlfn.XLOOKUP(tbl_CONTENT[[#This Row],[Topic]], tbl_TOPIC[Topic], tbl_TOPIC[TopicID], "")</f>
        <v>A-1-03</v>
      </c>
      <c r="H476" s="62" cm="1">
        <f t="array" ref="H476">SUM((tbl_CONTENT[[#This Row],[TopicID]]=INDEX(tbl_CONTENT[TopicID],1):tbl_CONTENT[[#This Row],[TopicID]])*1)</f>
        <v>9</v>
      </c>
      <c r="I476" s="62" t="str">
        <f>_xlfn.XLOOKUP(tbl_CONTENT[[#This Row],[Topic]], tbl_TOPIC[Topic], tbl_TOPIC[TopicIndex], "")</f>
        <v>03</v>
      </c>
      <c r="J476" s="22" t="s">
        <v>832</v>
      </c>
      <c r="K476" s="22" t="s">
        <v>837</v>
      </c>
      <c r="L476" s="22" t="s">
        <v>179</v>
      </c>
      <c r="R476" s="62"/>
      <c r="S476" s="35">
        <f>IFERROR(
 (1.907*EXP(1)^(-0.5*tbl_CONTENT[[#This Row],[Layer]])) *
 ((tbl_CONTENT[[#This Row],[RelInt]]-1)^(2.5)*4^(1-2.5)+1) +
 ((tbl_CONTENT[[#This Row],[Comp]]-1)^(2.5)*4^(1-2.5)+1)*(0.5*((tbl_CONTENT[[#This Row],[RelInt]]-1)/4)^(2.5)+1),
 0
)</f>
        <v>0</v>
      </c>
      <c r="T476" s="35">
        <f>IFERROR(
 (1.907*EXP(1)^(-0.5*VALUE(tbl_CONTENT[[#This Row],[Layer]]))) *
 ((VALUE(tbl_CONTENT[[#This Row],[RelId]])-1)^(2.5)*4^(1-2.5)+1) +
 ((VALUE(tbl_CONTENT[[#This Row],[Comp]])-1)^(2.5)*4^(1-2.5)+1)*(0.5*((VALUE(tbl_CONTENT[[#This Row],[RelId]])-1)/4)^(2.5)+1),
 0
)</f>
        <v>0</v>
      </c>
      <c r="V476" s="62"/>
      <c r="W476" s="22" t="str">
        <f>IFERROR(
  IF(_xlfn.XLOOKUP(tbl_CONTENT[[#This Row],[Topic]], tbl_TOPIC[Topic], tbl_TOPIC[ParentTopic])="", "",
       _xlfn.XLOOKUP(tbl_CONTENT[[#This Row],[Topic]], tbl_TOPIC[Topic], tbl_TOPIC[ParentTopic])),
  ""
)</f>
        <v>Ringe</v>
      </c>
      <c r="X476" s="22" t="str">
        <f>IFERROR(
  IF(_xlfn.XLOOKUP(tbl_CONTENT[[#This Row],[Topic]], tbl_TOPIC[Topic], tbl_TOPIC[TopicPath])="", "",
       _xlfn.XLOOKUP(tbl_CONTENT[[#This Row],[Topic]], tbl_TOPIC[Topic], tbl_TOPIC[TopicPath])),
  ""
)</f>
        <v>Ringe/Ringe Basics</v>
      </c>
    </row>
    <row r="477" spans="3:24" ht="17" x14ac:dyDescent="0.2">
      <c r="C477" s="62" t="str">
        <f>_xlfn.XLOOKUP(tbl_CONTENT[[#This Row],[TopicID]], tbl_TOPIC[TopicID], tbl_TOPIC[Subject], "")</f>
        <v>A</v>
      </c>
      <c r="D47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A-T12-03-10</v>
      </c>
      <c r="E477" s="62">
        <f>ROW()</f>
        <v>477</v>
      </c>
      <c r="F477" s="22" t="s">
        <v>1051</v>
      </c>
      <c r="G477" s="22" t="str">
        <f>_xlfn.XLOOKUP(tbl_CONTENT[[#This Row],[Topic]], tbl_TOPIC[Topic], tbl_TOPIC[TopicID], "")</f>
        <v>A-1-03</v>
      </c>
      <c r="H477" s="62" cm="1">
        <f t="array" ref="H477">SUM((tbl_CONTENT[[#This Row],[TopicID]]=INDEX(tbl_CONTENT[TopicID],1):tbl_CONTENT[[#This Row],[TopicID]])*1)</f>
        <v>10</v>
      </c>
      <c r="I477" s="62" t="str">
        <f>_xlfn.XLOOKUP(tbl_CONTENT[[#This Row],[Topic]], tbl_TOPIC[Topic], tbl_TOPIC[TopicIndex], "")</f>
        <v>03</v>
      </c>
      <c r="J477" s="22" t="s">
        <v>832</v>
      </c>
      <c r="K477" s="22" t="s">
        <v>838</v>
      </c>
      <c r="L477" s="22" t="s">
        <v>179</v>
      </c>
      <c r="R477" s="62"/>
      <c r="S477" s="35">
        <f>IFERROR(
 (1.907*EXP(1)^(-0.5*tbl_CONTENT[[#This Row],[Layer]])) *
 ((tbl_CONTENT[[#This Row],[RelInt]]-1)^(2.5)*4^(1-2.5)+1) +
 ((tbl_CONTENT[[#This Row],[Comp]]-1)^(2.5)*4^(1-2.5)+1)*(0.5*((tbl_CONTENT[[#This Row],[RelInt]]-1)/4)^(2.5)+1),
 0
)</f>
        <v>0</v>
      </c>
      <c r="T477" s="35">
        <f>IFERROR(
 (1.907*EXP(1)^(-0.5*VALUE(tbl_CONTENT[[#This Row],[Layer]]))) *
 ((VALUE(tbl_CONTENT[[#This Row],[RelId]])-1)^(2.5)*4^(1-2.5)+1) +
 ((VALUE(tbl_CONTENT[[#This Row],[Comp]])-1)^(2.5)*4^(1-2.5)+1)*(0.5*((VALUE(tbl_CONTENT[[#This Row],[RelId]])-1)/4)^(2.5)+1),
 0
)</f>
        <v>0</v>
      </c>
      <c r="V477" s="62"/>
      <c r="W477" s="22" t="str">
        <f>IFERROR(
  IF(_xlfn.XLOOKUP(tbl_CONTENT[[#This Row],[Topic]], tbl_TOPIC[Topic], tbl_TOPIC[ParentTopic])="", "",
       _xlfn.XLOOKUP(tbl_CONTENT[[#This Row],[Topic]], tbl_TOPIC[Topic], tbl_TOPIC[ParentTopic])),
  ""
)</f>
        <v>Ringe</v>
      </c>
      <c r="X477" s="22" t="str">
        <f>IFERROR(
  IF(_xlfn.XLOOKUP(tbl_CONTENT[[#This Row],[Topic]], tbl_TOPIC[Topic], tbl_TOPIC[TopicPath])="", "",
       _xlfn.XLOOKUP(tbl_CONTENT[[#This Row],[Topic]], tbl_TOPIC[Topic], tbl_TOPIC[TopicPath])),
  ""
)</f>
        <v>Ringe/Ringe Basics</v>
      </c>
    </row>
    <row r="478" spans="3:24" ht="17" x14ac:dyDescent="0.2">
      <c r="C478" s="62" t="str">
        <f>_xlfn.XLOOKUP(tbl_CONTENT[[#This Row],[TopicID]], tbl_TOPIC[TopicID], tbl_TOPIC[Subject], "")</f>
        <v>A</v>
      </c>
      <c r="D47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A-T12-03-11</v>
      </c>
      <c r="E478" s="62">
        <f>ROW()</f>
        <v>478</v>
      </c>
      <c r="F478" s="22" t="s">
        <v>1051</v>
      </c>
      <c r="G478" s="22" t="str">
        <f>_xlfn.XLOOKUP(tbl_CONTENT[[#This Row],[Topic]], tbl_TOPIC[Topic], tbl_TOPIC[TopicID], "")</f>
        <v>A-1-03</v>
      </c>
      <c r="H478" s="62" cm="1">
        <f t="array" ref="H478">SUM((tbl_CONTENT[[#This Row],[TopicID]]=INDEX(tbl_CONTENT[TopicID],1):tbl_CONTENT[[#This Row],[TopicID]])*1)</f>
        <v>11</v>
      </c>
      <c r="I478" s="62" t="str">
        <f>_xlfn.XLOOKUP(tbl_CONTENT[[#This Row],[Topic]], tbl_TOPIC[Topic], tbl_TOPIC[TopicIndex], "")</f>
        <v>03</v>
      </c>
      <c r="J478" s="22" t="s">
        <v>832</v>
      </c>
      <c r="K478" s="22" t="s">
        <v>839</v>
      </c>
      <c r="L478" s="22" t="s">
        <v>179</v>
      </c>
      <c r="R478" s="62"/>
      <c r="S478" s="35">
        <f>IFERROR(
 (1.907*EXP(1)^(-0.5*tbl_CONTENT[[#This Row],[Layer]])) *
 ((tbl_CONTENT[[#This Row],[RelInt]]-1)^(2.5)*4^(1-2.5)+1) +
 ((tbl_CONTENT[[#This Row],[Comp]]-1)^(2.5)*4^(1-2.5)+1)*(0.5*((tbl_CONTENT[[#This Row],[RelInt]]-1)/4)^(2.5)+1),
 0
)</f>
        <v>0</v>
      </c>
      <c r="T478" s="35">
        <f>IFERROR(
 (1.907*EXP(1)^(-0.5*VALUE(tbl_CONTENT[[#This Row],[Layer]]))) *
 ((VALUE(tbl_CONTENT[[#This Row],[RelId]])-1)^(2.5)*4^(1-2.5)+1) +
 ((VALUE(tbl_CONTENT[[#This Row],[Comp]])-1)^(2.5)*4^(1-2.5)+1)*(0.5*((VALUE(tbl_CONTENT[[#This Row],[RelId]])-1)/4)^(2.5)+1),
 0
)</f>
        <v>0</v>
      </c>
      <c r="V478" s="62"/>
      <c r="W478" s="22" t="str">
        <f>IFERROR(
  IF(_xlfn.XLOOKUP(tbl_CONTENT[[#This Row],[Topic]], tbl_TOPIC[Topic], tbl_TOPIC[ParentTopic])="", "",
       _xlfn.XLOOKUP(tbl_CONTENT[[#This Row],[Topic]], tbl_TOPIC[Topic], tbl_TOPIC[ParentTopic])),
  ""
)</f>
        <v>Ringe</v>
      </c>
      <c r="X478" s="22" t="str">
        <f>IFERROR(
  IF(_xlfn.XLOOKUP(tbl_CONTENT[[#This Row],[Topic]], tbl_TOPIC[Topic], tbl_TOPIC[TopicPath])="", "",
       _xlfn.XLOOKUP(tbl_CONTENT[[#This Row],[Topic]], tbl_TOPIC[Topic], tbl_TOPIC[TopicPath])),
  ""
)</f>
        <v>Ringe/Ringe Basics</v>
      </c>
    </row>
    <row r="479" spans="3:24" ht="34" x14ac:dyDescent="0.2">
      <c r="C479" s="62" t="str">
        <f>_xlfn.XLOOKUP(tbl_CONTENT[[#This Row],[TopicID]], tbl_TOPIC[TopicID], tbl_TOPIC[Subject], "")</f>
        <v>A</v>
      </c>
      <c r="D47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A-T12-03-12</v>
      </c>
      <c r="E479" s="62">
        <f>ROW()</f>
        <v>479</v>
      </c>
      <c r="F479" s="22" t="s">
        <v>1051</v>
      </c>
      <c r="G479" s="22" t="str">
        <f>_xlfn.XLOOKUP(tbl_CONTENT[[#This Row],[Topic]], tbl_TOPIC[Topic], tbl_TOPIC[TopicID], "")</f>
        <v>A-1-03</v>
      </c>
      <c r="H479" s="62" cm="1">
        <f t="array" ref="H479">SUM((tbl_CONTENT[[#This Row],[TopicID]]=INDEX(tbl_CONTENT[TopicID],1):tbl_CONTENT[[#This Row],[TopicID]])*1)</f>
        <v>12</v>
      </c>
      <c r="I479" s="62" t="str">
        <f>_xlfn.XLOOKUP(tbl_CONTENT[[#This Row],[Topic]], tbl_TOPIC[Topic], tbl_TOPIC[TopicIndex], "")</f>
        <v>03</v>
      </c>
      <c r="J479" s="22" t="s">
        <v>832</v>
      </c>
      <c r="K479" s="22" t="s">
        <v>840</v>
      </c>
      <c r="L479" s="22" t="s">
        <v>179</v>
      </c>
      <c r="R479" s="62"/>
      <c r="S479" s="35">
        <f>IFERROR(
 (1.907*EXP(1)^(-0.5*tbl_CONTENT[[#This Row],[Layer]])) *
 ((tbl_CONTENT[[#This Row],[RelInt]]-1)^(2.5)*4^(1-2.5)+1) +
 ((tbl_CONTENT[[#This Row],[Comp]]-1)^(2.5)*4^(1-2.5)+1)*(0.5*((tbl_CONTENT[[#This Row],[RelInt]]-1)/4)^(2.5)+1),
 0
)</f>
        <v>0</v>
      </c>
      <c r="T479" s="35">
        <f>IFERROR(
 (1.907*EXP(1)^(-0.5*VALUE(tbl_CONTENT[[#This Row],[Layer]]))) *
 ((VALUE(tbl_CONTENT[[#This Row],[RelId]])-1)^(2.5)*4^(1-2.5)+1) +
 ((VALUE(tbl_CONTENT[[#This Row],[Comp]])-1)^(2.5)*4^(1-2.5)+1)*(0.5*((VALUE(tbl_CONTENT[[#This Row],[RelId]])-1)/4)^(2.5)+1),
 0
)</f>
        <v>0</v>
      </c>
      <c r="V479" s="62"/>
      <c r="W479" s="22" t="str">
        <f>IFERROR(
  IF(_xlfn.XLOOKUP(tbl_CONTENT[[#This Row],[Topic]], tbl_TOPIC[Topic], tbl_TOPIC[ParentTopic])="", "",
       _xlfn.XLOOKUP(tbl_CONTENT[[#This Row],[Topic]], tbl_TOPIC[Topic], tbl_TOPIC[ParentTopic])),
  ""
)</f>
        <v>Ringe</v>
      </c>
      <c r="X479" s="22" t="str">
        <f>IFERROR(
  IF(_xlfn.XLOOKUP(tbl_CONTENT[[#This Row],[Topic]], tbl_TOPIC[Topic], tbl_TOPIC[TopicPath])="", "",
       _xlfn.XLOOKUP(tbl_CONTENT[[#This Row],[Topic]], tbl_TOPIC[Topic], tbl_TOPIC[TopicPath])),
  ""
)</f>
        <v>Ringe/Ringe Basics</v>
      </c>
    </row>
    <row r="480" spans="3:24" ht="17" x14ac:dyDescent="0.2">
      <c r="C480" s="62" t="str">
        <f>_xlfn.XLOOKUP(tbl_CONTENT[[#This Row],[TopicID]], tbl_TOPIC[TopicID], tbl_TOPIC[Subject], "")</f>
        <v>A</v>
      </c>
      <c r="D48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A-T12-03-13</v>
      </c>
      <c r="E480" s="62">
        <f>ROW()</f>
        <v>480</v>
      </c>
      <c r="F480" s="22" t="s">
        <v>1051</v>
      </c>
      <c r="G480" s="22" t="str">
        <f>_xlfn.XLOOKUP(tbl_CONTENT[[#This Row],[Topic]], tbl_TOPIC[Topic], tbl_TOPIC[TopicID], "")</f>
        <v>A-1-03</v>
      </c>
      <c r="H480" s="62" cm="1">
        <f t="array" ref="H480">SUM((tbl_CONTENT[[#This Row],[TopicID]]=INDEX(tbl_CONTENT[TopicID],1):tbl_CONTENT[[#This Row],[TopicID]])*1)</f>
        <v>13</v>
      </c>
      <c r="I480" s="62" t="str">
        <f>_xlfn.XLOOKUP(tbl_CONTENT[[#This Row],[Topic]], tbl_TOPIC[Topic], tbl_TOPIC[TopicIndex], "")</f>
        <v>03</v>
      </c>
      <c r="J480" s="22" t="s">
        <v>832</v>
      </c>
      <c r="K480" s="22" t="s">
        <v>841</v>
      </c>
      <c r="L480" s="22" t="s">
        <v>147</v>
      </c>
      <c r="R480" s="62"/>
      <c r="S480" s="35">
        <f>IFERROR(
 (1.907*EXP(1)^(-0.5*tbl_CONTENT[[#This Row],[Layer]])) *
 ((tbl_CONTENT[[#This Row],[RelInt]]-1)^(2.5)*4^(1-2.5)+1) +
 ((tbl_CONTENT[[#This Row],[Comp]]-1)^(2.5)*4^(1-2.5)+1)*(0.5*((tbl_CONTENT[[#This Row],[RelInt]]-1)/4)^(2.5)+1),
 0
)</f>
        <v>0</v>
      </c>
      <c r="T480" s="35">
        <f>IFERROR(
 (1.907*EXP(1)^(-0.5*VALUE(tbl_CONTENT[[#This Row],[Layer]]))) *
 ((VALUE(tbl_CONTENT[[#This Row],[RelId]])-1)^(2.5)*4^(1-2.5)+1) +
 ((VALUE(tbl_CONTENT[[#This Row],[Comp]])-1)^(2.5)*4^(1-2.5)+1)*(0.5*((VALUE(tbl_CONTENT[[#This Row],[RelId]])-1)/4)^(2.5)+1),
 0
)</f>
        <v>0</v>
      </c>
      <c r="V480" s="62"/>
      <c r="W480" s="22" t="str">
        <f>IFERROR(
  IF(_xlfn.XLOOKUP(tbl_CONTENT[[#This Row],[Topic]], tbl_TOPIC[Topic], tbl_TOPIC[ParentTopic])="", "",
       _xlfn.XLOOKUP(tbl_CONTENT[[#This Row],[Topic]], tbl_TOPIC[Topic], tbl_TOPIC[ParentTopic])),
  ""
)</f>
        <v>Ringe</v>
      </c>
      <c r="X480" s="22" t="str">
        <f>IFERROR(
  IF(_xlfn.XLOOKUP(tbl_CONTENT[[#This Row],[Topic]], tbl_TOPIC[Topic], tbl_TOPIC[TopicPath])="", "",
       _xlfn.XLOOKUP(tbl_CONTENT[[#This Row],[Topic]], tbl_TOPIC[Topic], tbl_TOPIC[TopicPath])),
  ""
)</f>
        <v>Ringe/Ringe Basics</v>
      </c>
    </row>
    <row r="481" spans="3:24" ht="17" x14ac:dyDescent="0.2">
      <c r="C481" s="62" t="str">
        <f>_xlfn.XLOOKUP(tbl_CONTENT[[#This Row],[TopicID]], tbl_TOPIC[TopicID], tbl_TOPIC[Subject], "")</f>
        <v>A</v>
      </c>
      <c r="D48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A-T12-03-14</v>
      </c>
      <c r="E481" s="62">
        <f>ROW()</f>
        <v>481</v>
      </c>
      <c r="F481" s="22" t="s">
        <v>1051</v>
      </c>
      <c r="G481" s="22" t="str">
        <f>_xlfn.XLOOKUP(tbl_CONTENT[[#This Row],[Topic]], tbl_TOPIC[Topic], tbl_TOPIC[TopicID], "")</f>
        <v>A-1-03</v>
      </c>
      <c r="H481" s="62" cm="1">
        <f t="array" ref="H481">SUM((tbl_CONTENT[[#This Row],[TopicID]]=INDEX(tbl_CONTENT[TopicID],1):tbl_CONTENT[[#This Row],[TopicID]])*1)</f>
        <v>14</v>
      </c>
      <c r="I481" s="62" t="str">
        <f>_xlfn.XLOOKUP(tbl_CONTENT[[#This Row],[Topic]], tbl_TOPIC[Topic], tbl_TOPIC[TopicIndex], "")</f>
        <v>03</v>
      </c>
      <c r="J481" s="22" t="s">
        <v>832</v>
      </c>
      <c r="K481" s="22" t="s">
        <v>842</v>
      </c>
      <c r="L481" s="22" t="s">
        <v>149</v>
      </c>
      <c r="R481" s="62"/>
      <c r="S481" s="35">
        <f>IFERROR(
 (1.907*EXP(1)^(-0.5*tbl_CONTENT[[#This Row],[Layer]])) *
 ((tbl_CONTENT[[#This Row],[RelInt]]-1)^(2.5)*4^(1-2.5)+1) +
 ((tbl_CONTENT[[#This Row],[Comp]]-1)^(2.5)*4^(1-2.5)+1)*(0.5*((tbl_CONTENT[[#This Row],[RelInt]]-1)/4)^(2.5)+1),
 0
)</f>
        <v>0</v>
      </c>
      <c r="T481" s="35">
        <f>IFERROR(
 (1.907*EXP(1)^(-0.5*VALUE(tbl_CONTENT[[#This Row],[Layer]]))) *
 ((VALUE(tbl_CONTENT[[#This Row],[RelId]])-1)^(2.5)*4^(1-2.5)+1) +
 ((VALUE(tbl_CONTENT[[#This Row],[Comp]])-1)^(2.5)*4^(1-2.5)+1)*(0.5*((VALUE(tbl_CONTENT[[#This Row],[RelId]])-1)/4)^(2.5)+1),
 0
)</f>
        <v>0</v>
      </c>
      <c r="V481" s="62"/>
      <c r="W481" s="22" t="str">
        <f>IFERROR(
  IF(_xlfn.XLOOKUP(tbl_CONTENT[[#This Row],[Topic]], tbl_TOPIC[Topic], tbl_TOPIC[ParentTopic])="", "",
       _xlfn.XLOOKUP(tbl_CONTENT[[#This Row],[Topic]], tbl_TOPIC[Topic], tbl_TOPIC[ParentTopic])),
  ""
)</f>
        <v>Ringe</v>
      </c>
      <c r="X481" s="22" t="str">
        <f>IFERROR(
  IF(_xlfn.XLOOKUP(tbl_CONTENT[[#This Row],[Topic]], tbl_TOPIC[Topic], tbl_TOPIC[TopicPath])="", "",
       _xlfn.XLOOKUP(tbl_CONTENT[[#This Row],[Topic]], tbl_TOPIC[Topic], tbl_TOPIC[TopicPath])),
  ""
)</f>
        <v>Ringe/Ringe Basics</v>
      </c>
    </row>
    <row r="482" spans="3:24" ht="17" x14ac:dyDescent="0.2">
      <c r="C482" s="62" t="str">
        <f>_xlfn.XLOOKUP(tbl_CONTENT[[#This Row],[TopicID]], tbl_TOPIC[TopicID], tbl_TOPIC[Subject], "")</f>
        <v>A</v>
      </c>
      <c r="D48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A-T12-03-15</v>
      </c>
      <c r="E482" s="62">
        <f>ROW()</f>
        <v>482</v>
      </c>
      <c r="F482" s="22" t="s">
        <v>1051</v>
      </c>
      <c r="G482" s="22" t="str">
        <f>_xlfn.XLOOKUP(tbl_CONTENT[[#This Row],[Topic]], tbl_TOPIC[Topic], tbl_TOPIC[TopicID], "")</f>
        <v>A-1-03</v>
      </c>
      <c r="H482" s="62" cm="1">
        <f t="array" ref="H482">SUM((tbl_CONTENT[[#This Row],[TopicID]]=INDEX(tbl_CONTENT[TopicID],1):tbl_CONTENT[[#This Row],[TopicID]])*1)</f>
        <v>15</v>
      </c>
      <c r="I482" s="62" t="str">
        <f>_xlfn.XLOOKUP(tbl_CONTENT[[#This Row],[Topic]], tbl_TOPIC[Topic], tbl_TOPIC[TopicIndex], "")</f>
        <v>03</v>
      </c>
      <c r="J482" s="22" t="s">
        <v>832</v>
      </c>
      <c r="K482" s="22" t="s">
        <v>1008</v>
      </c>
      <c r="L482" s="22" t="s">
        <v>149</v>
      </c>
      <c r="R482" s="62"/>
      <c r="S482" s="35">
        <f>IFERROR(
 (1.907*EXP(1)^(-0.5*tbl_CONTENT[[#This Row],[Layer]])) *
 ((tbl_CONTENT[[#This Row],[RelInt]]-1)^(2.5)*4^(1-2.5)+1) +
 ((tbl_CONTENT[[#This Row],[Comp]]-1)^(2.5)*4^(1-2.5)+1)*(0.5*((tbl_CONTENT[[#This Row],[RelInt]]-1)/4)^(2.5)+1),
 0
)</f>
        <v>0</v>
      </c>
      <c r="T482" s="35">
        <f>IFERROR(
 (1.907*EXP(1)^(-0.5*VALUE(tbl_CONTENT[[#This Row],[Layer]]))) *
 ((VALUE(tbl_CONTENT[[#This Row],[RelId]])-1)^(2.5)*4^(1-2.5)+1) +
 ((VALUE(tbl_CONTENT[[#This Row],[Comp]])-1)^(2.5)*4^(1-2.5)+1)*(0.5*((VALUE(tbl_CONTENT[[#This Row],[RelId]])-1)/4)^(2.5)+1),
 0
)</f>
        <v>0</v>
      </c>
      <c r="V482" s="62"/>
      <c r="W482" s="22" t="str">
        <f>IFERROR(
  IF(_xlfn.XLOOKUP(tbl_CONTENT[[#This Row],[Topic]], tbl_TOPIC[Topic], tbl_TOPIC[ParentTopic])="", "",
       _xlfn.XLOOKUP(tbl_CONTENT[[#This Row],[Topic]], tbl_TOPIC[Topic], tbl_TOPIC[ParentTopic])),
  ""
)</f>
        <v>Ringe</v>
      </c>
      <c r="X482" s="22" t="str">
        <f>IFERROR(
  IF(_xlfn.XLOOKUP(tbl_CONTENT[[#This Row],[Topic]], tbl_TOPIC[Topic], tbl_TOPIC[TopicPath])="", "",
       _xlfn.XLOOKUP(tbl_CONTENT[[#This Row],[Topic]], tbl_TOPIC[Topic], tbl_TOPIC[TopicPath])),
  ""
)</f>
        <v>Ringe/Ringe Basics</v>
      </c>
    </row>
    <row r="483" spans="3:24" ht="17" x14ac:dyDescent="0.2">
      <c r="C483" s="62" t="str">
        <f>_xlfn.XLOOKUP(tbl_CONTENT[[#This Row],[TopicID]], tbl_TOPIC[TopicID], tbl_TOPIC[Subject], "")</f>
        <v>A</v>
      </c>
      <c r="D48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A-T12-03-16</v>
      </c>
      <c r="E483" s="62">
        <f>ROW()</f>
        <v>483</v>
      </c>
      <c r="F483" s="22" t="s">
        <v>1051</v>
      </c>
      <c r="G483" s="22" t="str">
        <f>_xlfn.XLOOKUP(tbl_CONTENT[[#This Row],[Topic]], tbl_TOPIC[Topic], tbl_TOPIC[TopicID], "")</f>
        <v>A-1-03</v>
      </c>
      <c r="H483" s="62" cm="1">
        <f t="array" ref="H483">SUM((tbl_CONTENT[[#This Row],[TopicID]]=INDEX(tbl_CONTENT[TopicID],1):tbl_CONTENT[[#This Row],[TopicID]])*1)</f>
        <v>16</v>
      </c>
      <c r="I483" s="62" t="str">
        <f>_xlfn.XLOOKUP(tbl_CONTENT[[#This Row],[Topic]], tbl_TOPIC[Topic], tbl_TOPIC[TopicIndex], "")</f>
        <v>03</v>
      </c>
      <c r="J483" s="22" t="s">
        <v>832</v>
      </c>
      <c r="K483" s="22" t="s">
        <v>844</v>
      </c>
      <c r="L483" s="22" t="s">
        <v>152</v>
      </c>
      <c r="M483" s="22">
        <v>1</v>
      </c>
      <c r="R483" s="62"/>
      <c r="S483" s="35">
        <f>IFERROR(
 (1.907*EXP(1)^(-0.5*tbl_CONTENT[[#This Row],[Layer]])) *
 ((tbl_CONTENT[[#This Row],[RelInt]]-1)^(2.5)*4^(1-2.5)+1) +
 ((tbl_CONTENT[[#This Row],[Comp]]-1)^(2.5)*4^(1-2.5)+1)*(0.5*((tbl_CONTENT[[#This Row],[RelInt]]-1)/4)^(2.5)+1),
 0
)</f>
        <v>0</v>
      </c>
      <c r="T483" s="35">
        <f>IFERROR(
 (1.907*EXP(1)^(-0.5*VALUE(tbl_CONTENT[[#This Row],[Layer]]))) *
 ((VALUE(tbl_CONTENT[[#This Row],[RelId]])-1)^(2.5)*4^(1-2.5)+1) +
 ((VALUE(tbl_CONTENT[[#This Row],[Comp]])-1)^(2.5)*4^(1-2.5)+1)*(0.5*((VALUE(tbl_CONTENT[[#This Row],[RelId]])-1)/4)^(2.5)+1),
 0
)</f>
        <v>0</v>
      </c>
      <c r="V483" s="62"/>
      <c r="W483" s="22" t="str">
        <f>IFERROR(
  IF(_xlfn.XLOOKUP(tbl_CONTENT[[#This Row],[Topic]], tbl_TOPIC[Topic], tbl_TOPIC[ParentTopic])="", "",
       _xlfn.XLOOKUP(tbl_CONTENT[[#This Row],[Topic]], tbl_TOPIC[Topic], tbl_TOPIC[ParentTopic])),
  ""
)</f>
        <v>Ringe</v>
      </c>
      <c r="X483" s="22" t="str">
        <f>IFERROR(
  IF(_xlfn.XLOOKUP(tbl_CONTENT[[#This Row],[Topic]], tbl_TOPIC[Topic], tbl_TOPIC[TopicPath])="", "",
       _xlfn.XLOOKUP(tbl_CONTENT[[#This Row],[Topic]], tbl_TOPIC[Topic], tbl_TOPIC[TopicPath])),
  ""
)</f>
        <v>Ringe/Ringe Basics</v>
      </c>
    </row>
    <row r="484" spans="3:24" ht="51" x14ac:dyDescent="0.2">
      <c r="C484" s="62" t="str">
        <f>_xlfn.XLOOKUP(tbl_CONTENT[[#This Row],[TopicID]], tbl_TOPIC[TopicID], tbl_TOPIC[Subject], "")</f>
        <v>A</v>
      </c>
      <c r="D48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A-T12-03-17</v>
      </c>
      <c r="E484" s="62">
        <f>ROW()</f>
        <v>484</v>
      </c>
      <c r="F484" s="22" t="s">
        <v>1051</v>
      </c>
      <c r="G484" s="22" t="str">
        <f>_xlfn.XLOOKUP(tbl_CONTENT[[#This Row],[Topic]], tbl_TOPIC[Topic], tbl_TOPIC[TopicID], "")</f>
        <v>A-1-03</v>
      </c>
      <c r="H484" s="62" cm="1">
        <f t="array" ref="H484">SUM((tbl_CONTENT[[#This Row],[TopicID]]=INDEX(tbl_CONTENT[TopicID],1):tbl_CONTENT[[#This Row],[TopicID]])*1)</f>
        <v>17</v>
      </c>
      <c r="I484" s="62" t="str">
        <f>_xlfn.XLOOKUP(tbl_CONTENT[[#This Row],[Topic]], tbl_TOPIC[Topic], tbl_TOPIC[TopicIndex], "")</f>
        <v>03</v>
      </c>
      <c r="J484" s="22" t="s">
        <v>832</v>
      </c>
      <c r="K484" s="22" t="s">
        <v>845</v>
      </c>
      <c r="L484" s="22" t="s">
        <v>147</v>
      </c>
      <c r="R484" s="62"/>
      <c r="S484" s="35">
        <f>IFERROR(
 (1.907*EXP(1)^(-0.5*tbl_CONTENT[[#This Row],[Layer]])) *
 ((tbl_CONTENT[[#This Row],[RelInt]]-1)^(2.5)*4^(1-2.5)+1) +
 ((tbl_CONTENT[[#This Row],[Comp]]-1)^(2.5)*4^(1-2.5)+1)*(0.5*((tbl_CONTENT[[#This Row],[RelInt]]-1)/4)^(2.5)+1),
 0
)</f>
        <v>0</v>
      </c>
      <c r="T484" s="35">
        <f>IFERROR(
 (1.907*EXP(1)^(-0.5*VALUE(tbl_CONTENT[[#This Row],[Layer]]))) *
 ((VALUE(tbl_CONTENT[[#This Row],[RelId]])-1)^(2.5)*4^(1-2.5)+1) +
 ((VALUE(tbl_CONTENT[[#This Row],[Comp]])-1)^(2.5)*4^(1-2.5)+1)*(0.5*((VALUE(tbl_CONTENT[[#This Row],[RelId]])-1)/4)^(2.5)+1),
 0
)</f>
        <v>0</v>
      </c>
      <c r="V484" s="62"/>
      <c r="W484" s="22" t="str">
        <f>IFERROR(
  IF(_xlfn.XLOOKUP(tbl_CONTENT[[#This Row],[Topic]], tbl_TOPIC[Topic], tbl_TOPIC[ParentTopic])="", "",
       _xlfn.XLOOKUP(tbl_CONTENT[[#This Row],[Topic]], tbl_TOPIC[Topic], tbl_TOPIC[ParentTopic])),
  ""
)</f>
        <v>Ringe</v>
      </c>
      <c r="X484" s="22" t="str">
        <f>IFERROR(
  IF(_xlfn.XLOOKUP(tbl_CONTENT[[#This Row],[Topic]], tbl_TOPIC[Topic], tbl_TOPIC[TopicPath])="", "",
       _xlfn.XLOOKUP(tbl_CONTENT[[#This Row],[Topic]], tbl_TOPIC[Topic], tbl_TOPIC[TopicPath])),
  ""
)</f>
        <v>Ringe/Ringe Basics</v>
      </c>
    </row>
    <row r="485" spans="3:24" ht="17" x14ac:dyDescent="0.2">
      <c r="C485" s="62" t="str">
        <f>_xlfn.XLOOKUP(tbl_CONTENT[[#This Row],[TopicID]], tbl_TOPIC[TopicID], tbl_TOPIC[Subject], "")</f>
        <v>A</v>
      </c>
      <c r="D48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A-T12-03-18</v>
      </c>
      <c r="E485" s="62">
        <f>ROW()</f>
        <v>485</v>
      </c>
      <c r="F485" s="22" t="s">
        <v>1051</v>
      </c>
      <c r="G485" s="22" t="str">
        <f>_xlfn.XLOOKUP(tbl_CONTENT[[#This Row],[Topic]], tbl_TOPIC[Topic], tbl_TOPIC[TopicID], "")</f>
        <v>A-1-03</v>
      </c>
      <c r="H485" s="62" cm="1">
        <f t="array" ref="H485">SUM((tbl_CONTENT[[#This Row],[TopicID]]=INDEX(tbl_CONTENT[TopicID],1):tbl_CONTENT[[#This Row],[TopicID]])*1)</f>
        <v>18</v>
      </c>
      <c r="I485" s="62" t="str">
        <f>_xlfn.XLOOKUP(tbl_CONTENT[[#This Row],[Topic]], tbl_TOPIC[Topic], tbl_TOPIC[TopicIndex], "")</f>
        <v>03</v>
      </c>
      <c r="J485" s="22" t="s">
        <v>832</v>
      </c>
      <c r="K485" s="22" t="s">
        <v>846</v>
      </c>
      <c r="L485" s="22" t="s">
        <v>179</v>
      </c>
      <c r="R485" s="62"/>
      <c r="S485" s="35">
        <f>IFERROR(
 (1.907*EXP(1)^(-0.5*tbl_CONTENT[[#This Row],[Layer]])) *
 ((tbl_CONTENT[[#This Row],[RelInt]]-1)^(2.5)*4^(1-2.5)+1) +
 ((tbl_CONTENT[[#This Row],[Comp]]-1)^(2.5)*4^(1-2.5)+1)*(0.5*((tbl_CONTENT[[#This Row],[RelInt]]-1)/4)^(2.5)+1),
 0
)</f>
        <v>0</v>
      </c>
      <c r="T485" s="35">
        <f>IFERROR(
 (1.907*EXP(1)^(-0.5*VALUE(tbl_CONTENT[[#This Row],[Layer]]))) *
 ((VALUE(tbl_CONTENT[[#This Row],[RelId]])-1)^(2.5)*4^(1-2.5)+1) +
 ((VALUE(tbl_CONTENT[[#This Row],[Comp]])-1)^(2.5)*4^(1-2.5)+1)*(0.5*((VALUE(tbl_CONTENT[[#This Row],[RelId]])-1)/4)^(2.5)+1),
 0
)</f>
        <v>0</v>
      </c>
      <c r="V485" s="62"/>
      <c r="W485" s="22" t="str">
        <f>IFERROR(
  IF(_xlfn.XLOOKUP(tbl_CONTENT[[#This Row],[Topic]], tbl_TOPIC[Topic], tbl_TOPIC[ParentTopic])="", "",
       _xlfn.XLOOKUP(tbl_CONTENT[[#This Row],[Topic]], tbl_TOPIC[Topic], tbl_TOPIC[ParentTopic])),
  ""
)</f>
        <v>Ringe</v>
      </c>
      <c r="X485" s="22" t="str">
        <f>IFERROR(
  IF(_xlfn.XLOOKUP(tbl_CONTENT[[#This Row],[Topic]], tbl_TOPIC[Topic], tbl_TOPIC[TopicPath])="", "",
       _xlfn.XLOOKUP(tbl_CONTENT[[#This Row],[Topic]], tbl_TOPIC[Topic], tbl_TOPIC[TopicPath])),
  ""
)</f>
        <v>Ringe/Ringe Basics</v>
      </c>
    </row>
    <row r="486" spans="3:24" ht="34" x14ac:dyDescent="0.2">
      <c r="C486" s="62" t="str">
        <f>_xlfn.XLOOKUP(tbl_CONTENT[[#This Row],[TopicID]], tbl_TOPIC[TopicID], tbl_TOPIC[Subject], "")</f>
        <v>A</v>
      </c>
      <c r="D48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A-T12-03-19</v>
      </c>
      <c r="E486" s="62">
        <f>ROW()</f>
        <v>486</v>
      </c>
      <c r="F486" s="22" t="s">
        <v>1051</v>
      </c>
      <c r="G486" s="22" t="str">
        <f>_xlfn.XLOOKUP(tbl_CONTENT[[#This Row],[Topic]], tbl_TOPIC[Topic], tbl_TOPIC[TopicID], "")</f>
        <v>A-1-03</v>
      </c>
      <c r="H486" s="62" cm="1">
        <f t="array" ref="H486">SUM((tbl_CONTENT[[#This Row],[TopicID]]=INDEX(tbl_CONTENT[TopicID],1):tbl_CONTENT[[#This Row],[TopicID]])*1)</f>
        <v>19</v>
      </c>
      <c r="I486" s="62" t="str">
        <f>_xlfn.XLOOKUP(tbl_CONTENT[[#This Row],[Topic]], tbl_TOPIC[Topic], tbl_TOPIC[TopicIndex], "")</f>
        <v>03</v>
      </c>
      <c r="J486" s="22" t="s">
        <v>832</v>
      </c>
      <c r="K486" s="22" t="s">
        <v>847</v>
      </c>
      <c r="L486" s="22" t="s">
        <v>179</v>
      </c>
      <c r="R486" s="62"/>
      <c r="S486" s="35">
        <f>IFERROR(
 (1.907*EXP(1)^(-0.5*tbl_CONTENT[[#This Row],[Layer]])) *
 ((tbl_CONTENT[[#This Row],[RelInt]]-1)^(2.5)*4^(1-2.5)+1) +
 ((tbl_CONTENT[[#This Row],[Comp]]-1)^(2.5)*4^(1-2.5)+1)*(0.5*((tbl_CONTENT[[#This Row],[RelInt]]-1)/4)^(2.5)+1),
 0
)</f>
        <v>0</v>
      </c>
      <c r="T486" s="35">
        <f>IFERROR(
 (1.907*EXP(1)^(-0.5*VALUE(tbl_CONTENT[[#This Row],[Layer]]))) *
 ((VALUE(tbl_CONTENT[[#This Row],[RelId]])-1)^(2.5)*4^(1-2.5)+1) +
 ((VALUE(tbl_CONTENT[[#This Row],[Comp]])-1)^(2.5)*4^(1-2.5)+1)*(0.5*((VALUE(tbl_CONTENT[[#This Row],[RelId]])-1)/4)^(2.5)+1),
 0
)</f>
        <v>0</v>
      </c>
      <c r="V486" s="62"/>
      <c r="W486" s="22" t="str">
        <f>IFERROR(
  IF(_xlfn.XLOOKUP(tbl_CONTENT[[#This Row],[Topic]], tbl_TOPIC[Topic], tbl_TOPIC[ParentTopic])="", "",
       _xlfn.XLOOKUP(tbl_CONTENT[[#This Row],[Topic]], tbl_TOPIC[Topic], tbl_TOPIC[ParentTopic])),
  ""
)</f>
        <v>Ringe</v>
      </c>
      <c r="X486" s="22" t="str">
        <f>IFERROR(
  IF(_xlfn.XLOOKUP(tbl_CONTENT[[#This Row],[Topic]], tbl_TOPIC[Topic], tbl_TOPIC[TopicPath])="", "",
       _xlfn.XLOOKUP(tbl_CONTENT[[#This Row],[Topic]], tbl_TOPIC[Topic], tbl_TOPIC[TopicPath])),
  ""
)</f>
        <v>Ringe/Ringe Basics</v>
      </c>
    </row>
    <row r="487" spans="3:24" ht="34" x14ac:dyDescent="0.2">
      <c r="C487" s="62" t="str">
        <f>_xlfn.XLOOKUP(tbl_CONTENT[[#This Row],[TopicID]], tbl_TOPIC[TopicID], tbl_TOPIC[Subject], "")</f>
        <v>A</v>
      </c>
      <c r="D48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A-T12-03-20</v>
      </c>
      <c r="E487" s="62">
        <f>ROW()</f>
        <v>487</v>
      </c>
      <c r="F487" s="22" t="s">
        <v>1051</v>
      </c>
      <c r="G487" s="22" t="str">
        <f>_xlfn.XLOOKUP(tbl_CONTENT[[#This Row],[Topic]], tbl_TOPIC[Topic], tbl_TOPIC[TopicID], "")</f>
        <v>A-1-03</v>
      </c>
      <c r="H487" s="62" cm="1">
        <f t="array" ref="H487">SUM((tbl_CONTENT[[#This Row],[TopicID]]=INDEX(tbl_CONTENT[TopicID],1):tbl_CONTENT[[#This Row],[TopicID]])*1)</f>
        <v>20</v>
      </c>
      <c r="I487" s="62" t="str">
        <f>_xlfn.XLOOKUP(tbl_CONTENT[[#This Row],[Topic]], tbl_TOPIC[Topic], tbl_TOPIC[TopicIndex], "")</f>
        <v>03</v>
      </c>
      <c r="J487" s="22" t="s">
        <v>832</v>
      </c>
      <c r="K487" s="22" t="s">
        <v>848</v>
      </c>
      <c r="L487" s="22" t="s">
        <v>179</v>
      </c>
      <c r="R487" s="62"/>
      <c r="S487" s="35">
        <f>IFERROR(
 (1.907*EXP(1)^(-0.5*tbl_CONTENT[[#This Row],[Layer]])) *
 ((tbl_CONTENT[[#This Row],[RelInt]]-1)^(2.5)*4^(1-2.5)+1) +
 ((tbl_CONTENT[[#This Row],[Comp]]-1)^(2.5)*4^(1-2.5)+1)*(0.5*((tbl_CONTENT[[#This Row],[RelInt]]-1)/4)^(2.5)+1),
 0
)</f>
        <v>0</v>
      </c>
      <c r="T487" s="35">
        <f>IFERROR(
 (1.907*EXP(1)^(-0.5*VALUE(tbl_CONTENT[[#This Row],[Layer]]))) *
 ((VALUE(tbl_CONTENT[[#This Row],[RelId]])-1)^(2.5)*4^(1-2.5)+1) +
 ((VALUE(tbl_CONTENT[[#This Row],[Comp]])-1)^(2.5)*4^(1-2.5)+1)*(0.5*((VALUE(tbl_CONTENT[[#This Row],[RelId]])-1)/4)^(2.5)+1),
 0
)</f>
        <v>0</v>
      </c>
      <c r="V487" s="62"/>
      <c r="W487" s="22" t="str">
        <f>IFERROR(
  IF(_xlfn.XLOOKUP(tbl_CONTENT[[#This Row],[Topic]], tbl_TOPIC[Topic], tbl_TOPIC[ParentTopic])="", "",
       _xlfn.XLOOKUP(tbl_CONTENT[[#This Row],[Topic]], tbl_TOPIC[Topic], tbl_TOPIC[ParentTopic])),
  ""
)</f>
        <v>Ringe</v>
      </c>
      <c r="X487" s="22" t="str">
        <f>IFERROR(
  IF(_xlfn.XLOOKUP(tbl_CONTENT[[#This Row],[Topic]], tbl_TOPIC[Topic], tbl_TOPIC[TopicPath])="", "",
       _xlfn.XLOOKUP(tbl_CONTENT[[#This Row],[Topic]], tbl_TOPIC[Topic], tbl_TOPIC[TopicPath])),
  ""
)</f>
        <v>Ringe/Ringe Basics</v>
      </c>
    </row>
    <row r="488" spans="3:24" ht="17" x14ac:dyDescent="0.2">
      <c r="C488" s="62" t="str">
        <f>_xlfn.XLOOKUP(tbl_CONTENT[[#This Row],[TopicID]], tbl_TOPIC[TopicID], tbl_TOPIC[Subject], "")</f>
        <v>A</v>
      </c>
      <c r="D48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A-T12-03-21</v>
      </c>
      <c r="E488" s="62">
        <f>ROW()</f>
        <v>488</v>
      </c>
      <c r="F488" s="22" t="s">
        <v>1051</v>
      </c>
      <c r="G488" s="22" t="str">
        <f>_xlfn.XLOOKUP(tbl_CONTENT[[#This Row],[Topic]], tbl_TOPIC[Topic], tbl_TOPIC[TopicID], "")</f>
        <v>A-1-03</v>
      </c>
      <c r="H488" s="62" cm="1">
        <f t="array" ref="H488">SUM((tbl_CONTENT[[#This Row],[TopicID]]=INDEX(tbl_CONTENT[TopicID],1):tbl_CONTENT[[#This Row],[TopicID]])*1)</f>
        <v>21</v>
      </c>
      <c r="I488" s="62" t="str">
        <f>_xlfn.XLOOKUP(tbl_CONTENT[[#This Row],[Topic]], tbl_TOPIC[Topic], tbl_TOPIC[TopicIndex], "")</f>
        <v>03</v>
      </c>
      <c r="J488" s="22" t="s">
        <v>832</v>
      </c>
      <c r="K488" s="22" t="s">
        <v>853</v>
      </c>
      <c r="L488" s="22" t="s">
        <v>152</v>
      </c>
      <c r="M488" s="22">
        <v>1</v>
      </c>
      <c r="R488" s="62"/>
      <c r="S488" s="35">
        <f>IFERROR(
 (1.907*EXP(1)^(-0.5*tbl_CONTENT[[#This Row],[Layer]])) *
 ((tbl_CONTENT[[#This Row],[RelInt]]-1)^(2.5)*4^(1-2.5)+1) +
 ((tbl_CONTENT[[#This Row],[Comp]]-1)^(2.5)*4^(1-2.5)+1)*(0.5*((tbl_CONTENT[[#This Row],[RelInt]]-1)/4)^(2.5)+1),
 0
)</f>
        <v>0</v>
      </c>
      <c r="T488" s="35">
        <f>IFERROR(
 (1.907*EXP(1)^(-0.5*VALUE(tbl_CONTENT[[#This Row],[Layer]]))) *
 ((VALUE(tbl_CONTENT[[#This Row],[RelId]])-1)^(2.5)*4^(1-2.5)+1) +
 ((VALUE(tbl_CONTENT[[#This Row],[Comp]])-1)^(2.5)*4^(1-2.5)+1)*(0.5*((VALUE(tbl_CONTENT[[#This Row],[RelId]])-1)/4)^(2.5)+1),
 0
)</f>
        <v>0</v>
      </c>
      <c r="V488" s="62"/>
      <c r="W488" s="22" t="str">
        <f>IFERROR(
  IF(_xlfn.XLOOKUP(tbl_CONTENT[[#This Row],[Topic]], tbl_TOPIC[Topic], tbl_TOPIC[ParentTopic])="", "",
       _xlfn.XLOOKUP(tbl_CONTENT[[#This Row],[Topic]], tbl_TOPIC[Topic], tbl_TOPIC[ParentTopic])),
  ""
)</f>
        <v>Ringe</v>
      </c>
      <c r="X488" s="22" t="str">
        <f>IFERROR(
  IF(_xlfn.XLOOKUP(tbl_CONTENT[[#This Row],[Topic]], tbl_TOPIC[Topic], tbl_TOPIC[TopicPath])="", "",
       _xlfn.XLOOKUP(tbl_CONTENT[[#This Row],[Topic]], tbl_TOPIC[Topic], tbl_TOPIC[TopicPath])),
  ""
)</f>
        <v>Ringe/Ringe Basics</v>
      </c>
    </row>
    <row r="489" spans="3:24" ht="17" x14ac:dyDescent="0.2">
      <c r="C489" s="62" t="str">
        <f>_xlfn.XLOOKUP(tbl_CONTENT[[#This Row],[TopicID]], tbl_TOPIC[TopicID], tbl_TOPIC[Subject], "")</f>
        <v>A</v>
      </c>
      <c r="D48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A-T12-03-22</v>
      </c>
      <c r="E489" s="62">
        <f>ROW()</f>
        <v>489</v>
      </c>
      <c r="F489" s="22" t="s">
        <v>1051</v>
      </c>
      <c r="G489" s="22" t="str">
        <f>_xlfn.XLOOKUP(tbl_CONTENT[[#This Row],[Topic]], tbl_TOPIC[Topic], tbl_TOPIC[TopicID], "")</f>
        <v>A-1-03</v>
      </c>
      <c r="H489" s="62" cm="1">
        <f t="array" ref="H489">SUM((tbl_CONTENT[[#This Row],[TopicID]]=INDEX(tbl_CONTENT[TopicID],1):tbl_CONTENT[[#This Row],[TopicID]])*1)</f>
        <v>22</v>
      </c>
      <c r="I489" s="62" t="str">
        <f>_xlfn.XLOOKUP(tbl_CONTENT[[#This Row],[Topic]], tbl_TOPIC[Topic], tbl_TOPIC[TopicIndex], "")</f>
        <v>03</v>
      </c>
      <c r="J489" s="22" t="s">
        <v>832</v>
      </c>
      <c r="K489" s="22" t="s">
        <v>852</v>
      </c>
      <c r="L489" s="22" t="s">
        <v>152</v>
      </c>
      <c r="M489" s="22">
        <v>1</v>
      </c>
      <c r="R489" s="62"/>
      <c r="S489" s="35">
        <f>IFERROR(
 (1.907*EXP(1)^(-0.5*tbl_CONTENT[[#This Row],[Layer]])) *
 ((tbl_CONTENT[[#This Row],[RelInt]]-1)^(2.5)*4^(1-2.5)+1) +
 ((tbl_CONTENT[[#This Row],[Comp]]-1)^(2.5)*4^(1-2.5)+1)*(0.5*((tbl_CONTENT[[#This Row],[RelInt]]-1)/4)^(2.5)+1),
 0
)</f>
        <v>0</v>
      </c>
      <c r="T489" s="35">
        <f>IFERROR(
 (1.907*EXP(1)^(-0.5*VALUE(tbl_CONTENT[[#This Row],[Layer]]))) *
 ((VALUE(tbl_CONTENT[[#This Row],[RelId]])-1)^(2.5)*4^(1-2.5)+1) +
 ((VALUE(tbl_CONTENT[[#This Row],[Comp]])-1)^(2.5)*4^(1-2.5)+1)*(0.5*((VALUE(tbl_CONTENT[[#This Row],[RelId]])-1)/4)^(2.5)+1),
 0
)</f>
        <v>0</v>
      </c>
      <c r="V489" s="62"/>
      <c r="W489" s="22" t="str">
        <f>IFERROR(
  IF(_xlfn.XLOOKUP(tbl_CONTENT[[#This Row],[Topic]], tbl_TOPIC[Topic], tbl_TOPIC[ParentTopic])="", "",
       _xlfn.XLOOKUP(tbl_CONTENT[[#This Row],[Topic]], tbl_TOPIC[Topic], tbl_TOPIC[ParentTopic])),
  ""
)</f>
        <v>Ringe</v>
      </c>
      <c r="X489" s="22" t="str">
        <f>IFERROR(
  IF(_xlfn.XLOOKUP(tbl_CONTENT[[#This Row],[Topic]], tbl_TOPIC[Topic], tbl_TOPIC[TopicPath])="", "",
       _xlfn.XLOOKUP(tbl_CONTENT[[#This Row],[Topic]], tbl_TOPIC[Topic], tbl_TOPIC[TopicPath])),
  ""
)</f>
        <v>Ringe/Ringe Basics</v>
      </c>
    </row>
    <row r="490" spans="3:24" ht="34" x14ac:dyDescent="0.2">
      <c r="C490" s="62" t="str">
        <f>_xlfn.XLOOKUP(tbl_CONTENT[[#This Row],[TopicID]], tbl_TOPIC[TopicID], tbl_TOPIC[Subject], "")</f>
        <v>A</v>
      </c>
      <c r="D49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A-T12-03-23</v>
      </c>
      <c r="E490" s="62">
        <f>ROW()</f>
        <v>490</v>
      </c>
      <c r="F490" s="22" t="s">
        <v>1051</v>
      </c>
      <c r="G490" s="22" t="str">
        <f>_xlfn.XLOOKUP(tbl_CONTENT[[#This Row],[Topic]], tbl_TOPIC[Topic], tbl_TOPIC[TopicID], "")</f>
        <v>A-1-03</v>
      </c>
      <c r="H490" s="62" cm="1">
        <f t="array" ref="H490">SUM((tbl_CONTENT[[#This Row],[TopicID]]=INDEX(tbl_CONTENT[TopicID],1):tbl_CONTENT[[#This Row],[TopicID]])*1)</f>
        <v>23</v>
      </c>
      <c r="I490" s="62" t="str">
        <f>_xlfn.XLOOKUP(tbl_CONTENT[[#This Row],[Topic]], tbl_TOPIC[Topic], tbl_TOPIC[TopicIndex], "")</f>
        <v>03</v>
      </c>
      <c r="J490" s="22" t="s">
        <v>832</v>
      </c>
      <c r="K490" s="22" t="s">
        <v>854</v>
      </c>
      <c r="L490" s="22" t="s">
        <v>179</v>
      </c>
      <c r="R490" s="62"/>
      <c r="S490" s="35">
        <f>IFERROR(
 (1.907*EXP(1)^(-0.5*tbl_CONTENT[[#This Row],[Layer]])) *
 ((tbl_CONTENT[[#This Row],[RelInt]]-1)^(2.5)*4^(1-2.5)+1) +
 ((tbl_CONTENT[[#This Row],[Comp]]-1)^(2.5)*4^(1-2.5)+1)*(0.5*((tbl_CONTENT[[#This Row],[RelInt]]-1)/4)^(2.5)+1),
 0
)</f>
        <v>0</v>
      </c>
      <c r="T490" s="35">
        <f>IFERROR(
 (1.907*EXP(1)^(-0.5*VALUE(tbl_CONTENT[[#This Row],[Layer]]))) *
 ((VALUE(tbl_CONTENT[[#This Row],[RelId]])-1)^(2.5)*4^(1-2.5)+1) +
 ((VALUE(tbl_CONTENT[[#This Row],[Comp]])-1)^(2.5)*4^(1-2.5)+1)*(0.5*((VALUE(tbl_CONTENT[[#This Row],[RelId]])-1)/4)^(2.5)+1),
 0
)</f>
        <v>0</v>
      </c>
      <c r="V490" s="62"/>
      <c r="W490" s="22" t="str">
        <f>IFERROR(
  IF(_xlfn.XLOOKUP(tbl_CONTENT[[#This Row],[Topic]], tbl_TOPIC[Topic], tbl_TOPIC[ParentTopic])="", "",
       _xlfn.XLOOKUP(tbl_CONTENT[[#This Row],[Topic]], tbl_TOPIC[Topic], tbl_TOPIC[ParentTopic])),
  ""
)</f>
        <v>Ringe</v>
      </c>
      <c r="X490" s="22" t="str">
        <f>IFERROR(
  IF(_xlfn.XLOOKUP(tbl_CONTENT[[#This Row],[Topic]], tbl_TOPIC[Topic], tbl_TOPIC[TopicPath])="", "",
       _xlfn.XLOOKUP(tbl_CONTENT[[#This Row],[Topic]], tbl_TOPIC[Topic], tbl_TOPIC[TopicPath])),
  ""
)</f>
        <v>Ringe/Ringe Basics</v>
      </c>
    </row>
    <row r="491" spans="3:24" ht="17" x14ac:dyDescent="0.2">
      <c r="C491" s="62" t="str">
        <f>_xlfn.XLOOKUP(tbl_CONTENT[[#This Row],[TopicID]], tbl_TOPIC[TopicID], tbl_TOPIC[Subject], "")</f>
        <v>A</v>
      </c>
      <c r="D49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A-T12-03-24</v>
      </c>
      <c r="E491" s="62">
        <f>ROW()</f>
        <v>491</v>
      </c>
      <c r="F491" s="22" t="s">
        <v>1051</v>
      </c>
      <c r="G491" s="22" t="str">
        <f>_xlfn.XLOOKUP(tbl_CONTENT[[#This Row],[Topic]], tbl_TOPIC[Topic], tbl_TOPIC[TopicID], "")</f>
        <v>A-1-03</v>
      </c>
      <c r="H491" s="62" cm="1">
        <f t="array" ref="H491">SUM((tbl_CONTENT[[#This Row],[TopicID]]=INDEX(tbl_CONTENT[TopicID],1):tbl_CONTENT[[#This Row],[TopicID]])*1)</f>
        <v>24</v>
      </c>
      <c r="I491" s="62" t="str">
        <f>_xlfn.XLOOKUP(tbl_CONTENT[[#This Row],[Topic]], tbl_TOPIC[Topic], tbl_TOPIC[TopicIndex], "")</f>
        <v>03</v>
      </c>
      <c r="J491" s="22" t="s">
        <v>832</v>
      </c>
      <c r="K491" s="22" t="s">
        <v>871</v>
      </c>
      <c r="L491" s="22" t="s">
        <v>152</v>
      </c>
      <c r="R491" s="62"/>
      <c r="S491" s="35">
        <f>IFERROR(
 (1.907*EXP(1)^(-0.5*tbl_CONTENT[[#This Row],[Layer]])) *
 ((tbl_CONTENT[[#This Row],[RelInt]]-1)^(2.5)*4^(1-2.5)+1) +
 ((tbl_CONTENT[[#This Row],[Comp]]-1)^(2.5)*4^(1-2.5)+1)*(0.5*((tbl_CONTENT[[#This Row],[RelInt]]-1)/4)^(2.5)+1),
 0
)</f>
        <v>0</v>
      </c>
      <c r="T491" s="35">
        <f>IFERROR(
 (1.907*EXP(1)^(-0.5*VALUE(tbl_CONTENT[[#This Row],[Layer]]))) *
 ((VALUE(tbl_CONTENT[[#This Row],[RelId]])-1)^(2.5)*4^(1-2.5)+1) +
 ((VALUE(tbl_CONTENT[[#This Row],[Comp]])-1)^(2.5)*4^(1-2.5)+1)*(0.5*((VALUE(tbl_CONTENT[[#This Row],[RelId]])-1)/4)^(2.5)+1),
 0
)</f>
        <v>0</v>
      </c>
      <c r="V491" s="62"/>
      <c r="W491" s="22" t="str">
        <f>IFERROR(
  IF(_xlfn.XLOOKUP(tbl_CONTENT[[#This Row],[Topic]], tbl_TOPIC[Topic], tbl_TOPIC[ParentTopic])="", "",
       _xlfn.XLOOKUP(tbl_CONTENT[[#This Row],[Topic]], tbl_TOPIC[Topic], tbl_TOPIC[ParentTopic])),
  ""
)</f>
        <v>Ringe</v>
      </c>
      <c r="X491" s="22" t="str">
        <f>IFERROR(
  IF(_xlfn.XLOOKUP(tbl_CONTENT[[#This Row],[Topic]], tbl_TOPIC[Topic], tbl_TOPIC[TopicPath])="", "",
       _xlfn.XLOOKUP(tbl_CONTENT[[#This Row],[Topic]], tbl_TOPIC[Topic], tbl_TOPIC[TopicPath])),
  ""
)</f>
        <v>Ringe/Ringe Basics</v>
      </c>
    </row>
    <row r="492" spans="3:24" ht="51" x14ac:dyDescent="0.2">
      <c r="C492" s="62" t="str">
        <f>_xlfn.XLOOKUP(tbl_CONTENT[[#This Row],[TopicID]], tbl_TOPIC[TopicID], tbl_TOPIC[Subject], "")</f>
        <v>A</v>
      </c>
      <c r="D49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A-T12-03-25</v>
      </c>
      <c r="E492" s="62">
        <f>ROW()</f>
        <v>492</v>
      </c>
      <c r="F492" s="22" t="s">
        <v>1051</v>
      </c>
      <c r="G492" s="22" t="str">
        <f>_xlfn.XLOOKUP(tbl_CONTENT[[#This Row],[Topic]], tbl_TOPIC[Topic], tbl_TOPIC[TopicID], "")</f>
        <v>A-1-03</v>
      </c>
      <c r="H492" s="62" cm="1">
        <f t="array" ref="H492">SUM((tbl_CONTENT[[#This Row],[TopicID]]=INDEX(tbl_CONTENT[TopicID],1):tbl_CONTENT[[#This Row],[TopicID]])*1)</f>
        <v>25</v>
      </c>
      <c r="I492" s="62" t="str">
        <f>_xlfn.XLOOKUP(tbl_CONTENT[[#This Row],[Topic]], tbl_TOPIC[Topic], tbl_TOPIC[TopicIndex], "")</f>
        <v>03</v>
      </c>
      <c r="J492" s="22" t="s">
        <v>832</v>
      </c>
      <c r="K492" s="22" t="s">
        <v>872</v>
      </c>
      <c r="L492" s="22" t="s">
        <v>151</v>
      </c>
      <c r="R492" s="62"/>
      <c r="S492" s="35">
        <f>IFERROR(
 (1.907*EXP(1)^(-0.5*tbl_CONTENT[[#This Row],[Layer]])) *
 ((tbl_CONTENT[[#This Row],[RelInt]]-1)^(2.5)*4^(1-2.5)+1) +
 ((tbl_CONTENT[[#This Row],[Comp]]-1)^(2.5)*4^(1-2.5)+1)*(0.5*((tbl_CONTENT[[#This Row],[RelInt]]-1)/4)^(2.5)+1),
 0
)</f>
        <v>0</v>
      </c>
      <c r="T492" s="35">
        <f>IFERROR(
 (1.907*EXP(1)^(-0.5*VALUE(tbl_CONTENT[[#This Row],[Layer]]))) *
 ((VALUE(tbl_CONTENT[[#This Row],[RelId]])-1)^(2.5)*4^(1-2.5)+1) +
 ((VALUE(tbl_CONTENT[[#This Row],[Comp]])-1)^(2.5)*4^(1-2.5)+1)*(0.5*((VALUE(tbl_CONTENT[[#This Row],[RelId]])-1)/4)^(2.5)+1),
 0
)</f>
        <v>0</v>
      </c>
      <c r="V492" s="62"/>
      <c r="W492" s="22" t="str">
        <f>IFERROR(
  IF(_xlfn.XLOOKUP(tbl_CONTENT[[#This Row],[Topic]], tbl_TOPIC[Topic], tbl_TOPIC[ParentTopic])="", "",
       _xlfn.XLOOKUP(tbl_CONTENT[[#This Row],[Topic]], tbl_TOPIC[Topic], tbl_TOPIC[ParentTopic])),
  ""
)</f>
        <v>Ringe</v>
      </c>
      <c r="X492" s="22" t="str">
        <f>IFERROR(
  IF(_xlfn.XLOOKUP(tbl_CONTENT[[#This Row],[Topic]], tbl_TOPIC[Topic], tbl_TOPIC[TopicPath])="", "",
       _xlfn.XLOOKUP(tbl_CONTENT[[#This Row],[Topic]], tbl_TOPIC[Topic], tbl_TOPIC[TopicPath])),
  ""
)</f>
        <v>Ringe/Ringe Basics</v>
      </c>
    </row>
    <row r="493" spans="3:24" ht="17" x14ac:dyDescent="0.2">
      <c r="C493" s="62" t="str">
        <f>_xlfn.XLOOKUP(tbl_CONTENT[[#This Row],[TopicID]], tbl_TOPIC[TopicID], tbl_TOPIC[Subject], "")</f>
        <v>A</v>
      </c>
      <c r="D49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A-T12-03-26</v>
      </c>
      <c r="E493" s="62">
        <f>ROW()</f>
        <v>493</v>
      </c>
      <c r="F493" s="22" t="s">
        <v>1051</v>
      </c>
      <c r="G493" s="22" t="str">
        <f>_xlfn.XLOOKUP(tbl_CONTENT[[#This Row],[Topic]], tbl_TOPIC[Topic], tbl_TOPIC[TopicID], "")</f>
        <v>A-1-03</v>
      </c>
      <c r="H493" s="62" cm="1">
        <f t="array" ref="H493">SUM((tbl_CONTENT[[#This Row],[TopicID]]=INDEX(tbl_CONTENT[TopicID],1):tbl_CONTENT[[#This Row],[TopicID]])*1)</f>
        <v>26</v>
      </c>
      <c r="I493" s="62" t="str">
        <f>_xlfn.XLOOKUP(tbl_CONTENT[[#This Row],[Topic]], tbl_TOPIC[Topic], tbl_TOPIC[TopicIndex], "")</f>
        <v>03</v>
      </c>
      <c r="J493" s="22" t="s">
        <v>832</v>
      </c>
      <c r="K493" s="22" t="s">
        <v>873</v>
      </c>
      <c r="L493" s="22" t="s">
        <v>179</v>
      </c>
      <c r="R493" s="62"/>
      <c r="S493" s="35">
        <f>IFERROR(
 (1.907*EXP(1)^(-0.5*tbl_CONTENT[[#This Row],[Layer]])) *
 ((tbl_CONTENT[[#This Row],[RelInt]]-1)^(2.5)*4^(1-2.5)+1) +
 ((tbl_CONTENT[[#This Row],[Comp]]-1)^(2.5)*4^(1-2.5)+1)*(0.5*((tbl_CONTENT[[#This Row],[RelInt]]-1)/4)^(2.5)+1),
 0
)</f>
        <v>0</v>
      </c>
      <c r="T493" s="35">
        <f>IFERROR(
 (1.907*EXP(1)^(-0.5*VALUE(tbl_CONTENT[[#This Row],[Layer]]))) *
 ((VALUE(tbl_CONTENT[[#This Row],[RelId]])-1)^(2.5)*4^(1-2.5)+1) +
 ((VALUE(tbl_CONTENT[[#This Row],[Comp]])-1)^(2.5)*4^(1-2.5)+1)*(0.5*((VALUE(tbl_CONTENT[[#This Row],[RelId]])-1)/4)^(2.5)+1),
 0
)</f>
        <v>0</v>
      </c>
      <c r="V493" s="62"/>
      <c r="W493" s="22" t="str">
        <f>IFERROR(
  IF(_xlfn.XLOOKUP(tbl_CONTENT[[#This Row],[Topic]], tbl_TOPIC[Topic], tbl_TOPIC[ParentTopic])="", "",
       _xlfn.XLOOKUP(tbl_CONTENT[[#This Row],[Topic]], tbl_TOPIC[Topic], tbl_TOPIC[ParentTopic])),
  ""
)</f>
        <v>Ringe</v>
      </c>
      <c r="X493" s="22" t="str">
        <f>IFERROR(
  IF(_xlfn.XLOOKUP(tbl_CONTENT[[#This Row],[Topic]], tbl_TOPIC[Topic], tbl_TOPIC[TopicPath])="", "",
       _xlfn.XLOOKUP(tbl_CONTENT[[#This Row],[Topic]], tbl_TOPIC[Topic], tbl_TOPIC[TopicPath])),
  ""
)</f>
        <v>Ringe/Ringe Basics</v>
      </c>
    </row>
    <row r="494" spans="3:24" ht="17" x14ac:dyDescent="0.2">
      <c r="C494" s="62" t="str">
        <f>_xlfn.XLOOKUP(tbl_CONTENT[[#This Row],[TopicID]], tbl_TOPIC[TopicID], tbl_TOPIC[Subject], "")</f>
        <v>A</v>
      </c>
      <c r="D49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A-T12-03-27</v>
      </c>
      <c r="E494" s="62">
        <f>ROW()</f>
        <v>494</v>
      </c>
      <c r="F494" s="22" t="s">
        <v>1051</v>
      </c>
      <c r="G494" s="22" t="str">
        <f>_xlfn.XLOOKUP(tbl_CONTENT[[#This Row],[Topic]], tbl_TOPIC[Topic], tbl_TOPIC[TopicID], "")</f>
        <v>A-1-03</v>
      </c>
      <c r="H494" s="62" cm="1">
        <f t="array" ref="H494">SUM((tbl_CONTENT[[#This Row],[TopicID]]=INDEX(tbl_CONTENT[TopicID],1):tbl_CONTENT[[#This Row],[TopicID]])*1)</f>
        <v>27</v>
      </c>
      <c r="I494" s="62" t="str">
        <f>_xlfn.XLOOKUP(tbl_CONTENT[[#This Row],[Topic]], tbl_TOPIC[Topic], tbl_TOPIC[TopicIndex], "")</f>
        <v>03</v>
      </c>
      <c r="J494" s="22" t="s">
        <v>832</v>
      </c>
      <c r="K494" s="22" t="s">
        <v>874</v>
      </c>
      <c r="L494" s="22" t="s">
        <v>179</v>
      </c>
      <c r="R494" s="62"/>
      <c r="S494" s="35">
        <f>IFERROR(
 (1.907*EXP(1)^(-0.5*tbl_CONTENT[[#This Row],[Layer]])) *
 ((tbl_CONTENT[[#This Row],[RelInt]]-1)^(2.5)*4^(1-2.5)+1) +
 ((tbl_CONTENT[[#This Row],[Comp]]-1)^(2.5)*4^(1-2.5)+1)*(0.5*((tbl_CONTENT[[#This Row],[RelInt]]-1)/4)^(2.5)+1),
 0
)</f>
        <v>0</v>
      </c>
      <c r="T494" s="35">
        <f>IFERROR(
 (1.907*EXP(1)^(-0.5*VALUE(tbl_CONTENT[[#This Row],[Layer]]))) *
 ((VALUE(tbl_CONTENT[[#This Row],[RelId]])-1)^(2.5)*4^(1-2.5)+1) +
 ((VALUE(tbl_CONTENT[[#This Row],[Comp]])-1)^(2.5)*4^(1-2.5)+1)*(0.5*((VALUE(tbl_CONTENT[[#This Row],[RelId]])-1)/4)^(2.5)+1),
 0
)</f>
        <v>0</v>
      </c>
      <c r="V494" s="62"/>
      <c r="W494" s="22" t="str">
        <f>IFERROR(
  IF(_xlfn.XLOOKUP(tbl_CONTENT[[#This Row],[Topic]], tbl_TOPIC[Topic], tbl_TOPIC[ParentTopic])="", "",
       _xlfn.XLOOKUP(tbl_CONTENT[[#This Row],[Topic]], tbl_TOPIC[Topic], tbl_TOPIC[ParentTopic])),
  ""
)</f>
        <v>Ringe</v>
      </c>
      <c r="X494" s="22" t="str">
        <f>IFERROR(
  IF(_xlfn.XLOOKUP(tbl_CONTENT[[#This Row],[Topic]], tbl_TOPIC[Topic], tbl_TOPIC[TopicPath])="", "",
       _xlfn.XLOOKUP(tbl_CONTENT[[#This Row],[Topic]], tbl_TOPIC[Topic], tbl_TOPIC[TopicPath])),
  ""
)</f>
        <v>Ringe/Ringe Basics</v>
      </c>
    </row>
    <row r="495" spans="3:24" ht="34" x14ac:dyDescent="0.2">
      <c r="C495" s="62" t="str">
        <f>_xlfn.XLOOKUP(tbl_CONTENT[[#This Row],[TopicID]], tbl_TOPIC[TopicID], tbl_TOPIC[Subject], "")</f>
        <v>A</v>
      </c>
      <c r="D49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A-T12-03-28</v>
      </c>
      <c r="E495" s="62">
        <f>ROW()</f>
        <v>495</v>
      </c>
      <c r="F495" s="22" t="s">
        <v>1051</v>
      </c>
      <c r="G495" s="22" t="str">
        <f>_xlfn.XLOOKUP(tbl_CONTENT[[#This Row],[Topic]], tbl_TOPIC[Topic], tbl_TOPIC[TopicID], "")</f>
        <v>A-1-03</v>
      </c>
      <c r="H495" s="62" cm="1">
        <f t="array" ref="H495">SUM((tbl_CONTENT[[#This Row],[TopicID]]=INDEX(tbl_CONTENT[TopicID],1):tbl_CONTENT[[#This Row],[TopicID]])*1)</f>
        <v>28</v>
      </c>
      <c r="I495" s="62" t="str">
        <f>_xlfn.XLOOKUP(tbl_CONTENT[[#This Row],[Topic]], tbl_TOPIC[Topic], tbl_TOPIC[TopicIndex], "")</f>
        <v>03</v>
      </c>
      <c r="J495" s="22" t="s">
        <v>832</v>
      </c>
      <c r="K495" s="22" t="s">
        <v>875</v>
      </c>
      <c r="L495" s="22" t="s">
        <v>179</v>
      </c>
      <c r="R495" s="62"/>
      <c r="S495" s="35">
        <f>IFERROR(
 (1.907*EXP(1)^(-0.5*tbl_CONTENT[[#This Row],[Layer]])) *
 ((tbl_CONTENT[[#This Row],[RelInt]]-1)^(2.5)*4^(1-2.5)+1) +
 ((tbl_CONTENT[[#This Row],[Comp]]-1)^(2.5)*4^(1-2.5)+1)*(0.5*((tbl_CONTENT[[#This Row],[RelInt]]-1)/4)^(2.5)+1),
 0
)</f>
        <v>0</v>
      </c>
      <c r="T495" s="35">
        <f>IFERROR(
 (1.907*EXP(1)^(-0.5*VALUE(tbl_CONTENT[[#This Row],[Layer]]))) *
 ((VALUE(tbl_CONTENT[[#This Row],[RelId]])-1)^(2.5)*4^(1-2.5)+1) +
 ((VALUE(tbl_CONTENT[[#This Row],[Comp]])-1)^(2.5)*4^(1-2.5)+1)*(0.5*((VALUE(tbl_CONTENT[[#This Row],[RelId]])-1)/4)^(2.5)+1),
 0
)</f>
        <v>0</v>
      </c>
      <c r="V495" s="62"/>
      <c r="W495" s="22" t="str">
        <f>IFERROR(
  IF(_xlfn.XLOOKUP(tbl_CONTENT[[#This Row],[Topic]], tbl_TOPIC[Topic], tbl_TOPIC[ParentTopic])="", "",
       _xlfn.XLOOKUP(tbl_CONTENT[[#This Row],[Topic]], tbl_TOPIC[Topic], tbl_TOPIC[ParentTopic])),
  ""
)</f>
        <v>Ringe</v>
      </c>
      <c r="X495" s="22" t="str">
        <f>IFERROR(
  IF(_xlfn.XLOOKUP(tbl_CONTENT[[#This Row],[Topic]], tbl_TOPIC[Topic], tbl_TOPIC[TopicPath])="", "",
       _xlfn.XLOOKUP(tbl_CONTENT[[#This Row],[Topic]], tbl_TOPIC[Topic], tbl_TOPIC[TopicPath])),
  ""
)</f>
        <v>Ringe/Ringe Basics</v>
      </c>
    </row>
    <row r="496" spans="3:24" ht="51" x14ac:dyDescent="0.2">
      <c r="C496" s="62" t="str">
        <f>_xlfn.XLOOKUP(tbl_CONTENT[[#This Row],[TopicID]], tbl_TOPIC[TopicID], tbl_TOPIC[Subject], "")</f>
        <v>A</v>
      </c>
      <c r="D49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A-T15-03-01</v>
      </c>
      <c r="E496" s="62">
        <f>ROW()</f>
        <v>496</v>
      </c>
      <c r="F496" s="22" t="s">
        <v>1665</v>
      </c>
      <c r="G496" s="22" t="str">
        <f>_xlfn.XLOOKUP(tbl_CONTENT[[#This Row],[Topic]], tbl_TOPIC[Topic], tbl_TOPIC[TopicID], "")</f>
        <v>A-1-03</v>
      </c>
      <c r="H496" s="62" cm="1">
        <f t="array" ref="H496">SUM((tbl_CONTENT[[#This Row],[TopicID]]=INDEX(tbl_CONTENT[TopicID],1):tbl_CONTENT[[#This Row],[TopicID]])*1)</f>
        <v>29</v>
      </c>
      <c r="I496" s="62" t="str">
        <f>_xlfn.XLOOKUP(tbl_CONTENT[[#This Row],[Topic]], tbl_TOPIC[Topic], tbl_TOPIC[TopicIndex], "")</f>
        <v>03</v>
      </c>
      <c r="J496" s="22" t="s">
        <v>832</v>
      </c>
      <c r="K496" s="22" t="s">
        <v>876</v>
      </c>
      <c r="L496" s="22" t="s">
        <v>151</v>
      </c>
      <c r="R496" s="62"/>
      <c r="S496" s="35">
        <f>IFERROR(
 (1.907*EXP(1)^(-0.5*tbl_CONTENT[[#This Row],[Layer]])) *
 ((tbl_CONTENT[[#This Row],[RelInt]]-1)^(2.5)*4^(1-2.5)+1) +
 ((tbl_CONTENT[[#This Row],[Comp]]-1)^(2.5)*4^(1-2.5)+1)*(0.5*((tbl_CONTENT[[#This Row],[RelInt]]-1)/4)^(2.5)+1),
 0
)</f>
        <v>0</v>
      </c>
      <c r="T496" s="35">
        <f>IFERROR(
 (1.907*EXP(1)^(-0.5*VALUE(tbl_CONTENT[[#This Row],[Layer]]))) *
 ((VALUE(tbl_CONTENT[[#This Row],[RelId]])-1)^(2.5)*4^(1-2.5)+1) +
 ((VALUE(tbl_CONTENT[[#This Row],[Comp]])-1)^(2.5)*4^(1-2.5)+1)*(0.5*((VALUE(tbl_CONTENT[[#This Row],[RelId]])-1)/4)^(2.5)+1),
 0
)</f>
        <v>0</v>
      </c>
      <c r="V496" s="62"/>
      <c r="W496" s="22" t="str">
        <f>IFERROR(
  IF(_xlfn.XLOOKUP(tbl_CONTENT[[#This Row],[Topic]], tbl_TOPIC[Topic], tbl_TOPIC[ParentTopic])="", "",
       _xlfn.XLOOKUP(tbl_CONTENT[[#This Row],[Topic]], tbl_TOPIC[Topic], tbl_TOPIC[ParentTopic])),
  ""
)</f>
        <v>Ringe</v>
      </c>
      <c r="X496" s="22" t="str">
        <f>IFERROR(
  IF(_xlfn.XLOOKUP(tbl_CONTENT[[#This Row],[Topic]], tbl_TOPIC[Topic], tbl_TOPIC[TopicPath])="", "",
       _xlfn.XLOOKUP(tbl_CONTENT[[#This Row],[Topic]], tbl_TOPIC[Topic], tbl_TOPIC[TopicPath])),
  ""
)</f>
        <v>Ringe/Ringe Basics</v>
      </c>
    </row>
    <row r="497" spans="3:24" ht="34" x14ac:dyDescent="0.2">
      <c r="C497" s="62" t="str">
        <f>_xlfn.XLOOKUP(tbl_CONTENT[[#This Row],[TopicID]], tbl_TOPIC[TopicID], tbl_TOPIC[Subject], "")</f>
        <v>A</v>
      </c>
      <c r="D49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A-T15-03-02</v>
      </c>
      <c r="E497" s="62">
        <f>ROW()</f>
        <v>497</v>
      </c>
      <c r="F497" s="22" t="s">
        <v>1665</v>
      </c>
      <c r="G497" s="22" t="str">
        <f>_xlfn.XLOOKUP(tbl_CONTENT[[#This Row],[Topic]], tbl_TOPIC[Topic], tbl_TOPIC[TopicID], "")</f>
        <v>A-1-03</v>
      </c>
      <c r="H497" s="62" cm="1">
        <f t="array" ref="H497">SUM((tbl_CONTENT[[#This Row],[TopicID]]=INDEX(tbl_CONTENT[TopicID],1):tbl_CONTENT[[#This Row],[TopicID]])*1)</f>
        <v>30</v>
      </c>
      <c r="I497" s="62" t="str">
        <f>_xlfn.XLOOKUP(tbl_CONTENT[[#This Row],[Topic]], tbl_TOPIC[Topic], tbl_TOPIC[TopicIndex], "")</f>
        <v>03</v>
      </c>
      <c r="J497" s="22" t="s">
        <v>832</v>
      </c>
      <c r="K497" s="22" t="s">
        <v>1050</v>
      </c>
      <c r="L497" s="22" t="s">
        <v>152</v>
      </c>
      <c r="R497" s="62"/>
      <c r="S497" s="35">
        <f>IFERROR(
 (1.907*EXP(1)^(-0.5*tbl_CONTENT[[#This Row],[Layer]])) *
 ((tbl_CONTENT[[#This Row],[RelInt]]-1)^(2.5)*4^(1-2.5)+1) +
 ((tbl_CONTENT[[#This Row],[Comp]]-1)^(2.5)*4^(1-2.5)+1)*(0.5*((tbl_CONTENT[[#This Row],[RelInt]]-1)/4)^(2.5)+1),
 0
)</f>
        <v>0</v>
      </c>
      <c r="T497" s="35">
        <f>IFERROR(
 (1.907*EXP(1)^(-0.5*VALUE(tbl_CONTENT[[#This Row],[Layer]]))) *
 ((VALUE(tbl_CONTENT[[#This Row],[RelId]])-1)^(2.5)*4^(1-2.5)+1) +
 ((VALUE(tbl_CONTENT[[#This Row],[Comp]])-1)^(2.5)*4^(1-2.5)+1)*(0.5*((VALUE(tbl_CONTENT[[#This Row],[RelId]])-1)/4)^(2.5)+1),
 0
)</f>
        <v>0</v>
      </c>
      <c r="V497" s="62"/>
      <c r="W497" s="22" t="str">
        <f>IFERROR(
  IF(_xlfn.XLOOKUP(tbl_CONTENT[[#This Row],[Topic]], tbl_TOPIC[Topic], tbl_TOPIC[ParentTopic])="", "",
       _xlfn.XLOOKUP(tbl_CONTENT[[#This Row],[Topic]], tbl_TOPIC[Topic], tbl_TOPIC[ParentTopic])),
  ""
)</f>
        <v>Ringe</v>
      </c>
      <c r="X497" s="22" t="str">
        <f>IFERROR(
  IF(_xlfn.XLOOKUP(tbl_CONTENT[[#This Row],[Topic]], tbl_TOPIC[Topic], tbl_TOPIC[TopicPath])="", "",
       _xlfn.XLOOKUP(tbl_CONTENT[[#This Row],[Topic]], tbl_TOPIC[Topic], tbl_TOPIC[TopicPath])),
  ""
)</f>
        <v>Ringe/Ringe Basics</v>
      </c>
    </row>
    <row r="498" spans="3:24" ht="17" x14ac:dyDescent="0.2">
      <c r="C498" s="62" t="str">
        <f>_xlfn.XLOOKUP(tbl_CONTENT[[#This Row],[TopicID]], tbl_TOPIC[TopicID], tbl_TOPIC[Subject], "")</f>
        <v>A</v>
      </c>
      <c r="D49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A-T15-03-03</v>
      </c>
      <c r="E498" s="62">
        <f>ROW()</f>
        <v>498</v>
      </c>
      <c r="F498" s="22" t="s">
        <v>1665</v>
      </c>
      <c r="G498" s="22" t="str">
        <f>_xlfn.XLOOKUP(tbl_CONTENT[[#This Row],[Topic]], tbl_TOPIC[Topic], tbl_TOPIC[TopicID], "")</f>
        <v>A-1-03</v>
      </c>
      <c r="H498" s="62" cm="1">
        <f t="array" ref="H498">SUM((tbl_CONTENT[[#This Row],[TopicID]]=INDEX(tbl_CONTENT[TopicID],1):tbl_CONTENT[[#This Row],[TopicID]])*1)</f>
        <v>31</v>
      </c>
      <c r="I498" s="62" t="str">
        <f>_xlfn.XLOOKUP(tbl_CONTENT[[#This Row],[Topic]], tbl_TOPIC[Topic], tbl_TOPIC[TopicIndex], "")</f>
        <v>03</v>
      </c>
      <c r="J498" s="22" t="s">
        <v>832</v>
      </c>
      <c r="K498" s="22" t="s">
        <v>877</v>
      </c>
      <c r="L498" s="22" t="s">
        <v>152</v>
      </c>
      <c r="R498" s="62"/>
      <c r="S498" s="35">
        <f>IFERROR(
 (1.907*EXP(1)^(-0.5*tbl_CONTENT[[#This Row],[Layer]])) *
 ((tbl_CONTENT[[#This Row],[RelInt]]-1)^(2.5)*4^(1-2.5)+1) +
 ((tbl_CONTENT[[#This Row],[Comp]]-1)^(2.5)*4^(1-2.5)+1)*(0.5*((tbl_CONTENT[[#This Row],[RelInt]]-1)/4)^(2.5)+1),
 0
)</f>
        <v>0</v>
      </c>
      <c r="T498" s="35">
        <f>IFERROR(
 (1.907*EXP(1)^(-0.5*VALUE(tbl_CONTENT[[#This Row],[Layer]]))) *
 ((VALUE(tbl_CONTENT[[#This Row],[RelId]])-1)^(2.5)*4^(1-2.5)+1) +
 ((VALUE(tbl_CONTENT[[#This Row],[Comp]])-1)^(2.5)*4^(1-2.5)+1)*(0.5*((VALUE(tbl_CONTENT[[#This Row],[RelId]])-1)/4)^(2.5)+1),
 0
)</f>
        <v>0</v>
      </c>
      <c r="V498" s="62"/>
      <c r="W498" s="22" t="str">
        <f>IFERROR(
  IF(_xlfn.XLOOKUP(tbl_CONTENT[[#This Row],[Topic]], tbl_TOPIC[Topic], tbl_TOPIC[ParentTopic])="", "",
       _xlfn.XLOOKUP(tbl_CONTENT[[#This Row],[Topic]], tbl_TOPIC[Topic], tbl_TOPIC[ParentTopic])),
  ""
)</f>
        <v>Ringe</v>
      </c>
      <c r="X498" s="22" t="str">
        <f>IFERROR(
  IF(_xlfn.XLOOKUP(tbl_CONTENT[[#This Row],[Topic]], tbl_TOPIC[Topic], tbl_TOPIC[TopicPath])="", "",
       _xlfn.XLOOKUP(tbl_CONTENT[[#This Row],[Topic]], tbl_TOPIC[Topic], tbl_TOPIC[TopicPath])),
  ""
)</f>
        <v>Ringe/Ringe Basics</v>
      </c>
    </row>
    <row r="499" spans="3:24" ht="34" x14ac:dyDescent="0.2">
      <c r="C499" s="62" t="str">
        <f>_xlfn.XLOOKUP(tbl_CONTENT[[#This Row],[TopicID]], tbl_TOPIC[TopicID], tbl_TOPIC[Subject], "")</f>
        <v>A</v>
      </c>
      <c r="D49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A-T15-03-04</v>
      </c>
      <c r="E499" s="62">
        <f>ROW()</f>
        <v>499</v>
      </c>
      <c r="F499" s="22" t="s">
        <v>1665</v>
      </c>
      <c r="G499" s="22" t="str">
        <f>_xlfn.XLOOKUP(tbl_CONTENT[[#This Row],[Topic]], tbl_TOPIC[Topic], tbl_TOPIC[TopicID], "")</f>
        <v>A-1-03</v>
      </c>
      <c r="H499" s="62" cm="1">
        <f t="array" ref="H499">SUM((tbl_CONTENT[[#This Row],[TopicID]]=INDEX(tbl_CONTENT[TopicID],1):tbl_CONTENT[[#This Row],[TopicID]])*1)</f>
        <v>32</v>
      </c>
      <c r="I499" s="62" t="str">
        <f>_xlfn.XLOOKUP(tbl_CONTENT[[#This Row],[Topic]], tbl_TOPIC[Topic], tbl_TOPIC[TopicIndex], "")</f>
        <v>03</v>
      </c>
      <c r="J499" s="22" t="s">
        <v>832</v>
      </c>
      <c r="K499" s="22" t="s">
        <v>878</v>
      </c>
      <c r="L499" s="22" t="s">
        <v>179</v>
      </c>
      <c r="R499" s="62"/>
      <c r="S499" s="35">
        <f>IFERROR(
 (1.907*EXP(1)^(-0.5*tbl_CONTENT[[#This Row],[Layer]])) *
 ((tbl_CONTENT[[#This Row],[RelInt]]-1)^(2.5)*4^(1-2.5)+1) +
 ((tbl_CONTENT[[#This Row],[Comp]]-1)^(2.5)*4^(1-2.5)+1)*(0.5*((tbl_CONTENT[[#This Row],[RelInt]]-1)/4)^(2.5)+1),
 0
)</f>
        <v>0</v>
      </c>
      <c r="T499" s="35">
        <f>IFERROR(
 (1.907*EXP(1)^(-0.5*VALUE(tbl_CONTENT[[#This Row],[Layer]]))) *
 ((VALUE(tbl_CONTENT[[#This Row],[RelId]])-1)^(2.5)*4^(1-2.5)+1) +
 ((VALUE(tbl_CONTENT[[#This Row],[Comp]])-1)^(2.5)*4^(1-2.5)+1)*(0.5*((VALUE(tbl_CONTENT[[#This Row],[RelId]])-1)/4)^(2.5)+1),
 0
)</f>
        <v>0</v>
      </c>
      <c r="V499" s="62"/>
      <c r="W499" s="22" t="str">
        <f>IFERROR(
  IF(_xlfn.XLOOKUP(tbl_CONTENT[[#This Row],[Topic]], tbl_TOPIC[Topic], tbl_TOPIC[ParentTopic])="", "",
       _xlfn.XLOOKUP(tbl_CONTENT[[#This Row],[Topic]], tbl_TOPIC[Topic], tbl_TOPIC[ParentTopic])),
  ""
)</f>
        <v>Ringe</v>
      </c>
      <c r="X499" s="22" t="str">
        <f>IFERROR(
  IF(_xlfn.XLOOKUP(tbl_CONTENT[[#This Row],[Topic]], tbl_TOPIC[Topic], tbl_TOPIC[TopicPath])="", "",
       _xlfn.XLOOKUP(tbl_CONTENT[[#This Row],[Topic]], tbl_TOPIC[Topic], tbl_TOPIC[TopicPath])),
  ""
)</f>
        <v>Ringe/Ringe Basics</v>
      </c>
    </row>
    <row r="500" spans="3:24" ht="34" x14ac:dyDescent="0.2">
      <c r="C500" s="62" t="str">
        <f>_xlfn.XLOOKUP(tbl_CONTENT[[#This Row],[TopicID]], tbl_TOPIC[TopicID], tbl_TOPIC[Subject], "")</f>
        <v>A</v>
      </c>
      <c r="D50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A-T15-04-01</v>
      </c>
      <c r="E500" s="62">
        <f>ROW()</f>
        <v>500</v>
      </c>
      <c r="F500" s="22" t="s">
        <v>1665</v>
      </c>
      <c r="G500" s="22" t="str">
        <f>_xlfn.XLOOKUP(tbl_CONTENT[[#This Row],[Topic]], tbl_TOPIC[Topic], tbl_TOPIC[TopicID], "")</f>
        <v>A-1-04</v>
      </c>
      <c r="H500" s="62" cm="1">
        <f t="array" ref="H500">SUM((tbl_CONTENT[[#This Row],[TopicID]]=INDEX(tbl_CONTENT[TopicID],1):tbl_CONTENT[[#This Row],[TopicID]])*1)</f>
        <v>1</v>
      </c>
      <c r="I500" s="62" t="str">
        <f>_xlfn.XLOOKUP(tbl_CONTENT[[#This Row],[Topic]], tbl_TOPIC[Topic], tbl_TOPIC[TopicIndex], "")</f>
        <v>04</v>
      </c>
      <c r="J500" s="22" t="s">
        <v>851</v>
      </c>
      <c r="K500" s="22" t="s">
        <v>850</v>
      </c>
      <c r="L500" s="22" t="s">
        <v>152</v>
      </c>
      <c r="M500" s="22">
        <v>1</v>
      </c>
      <c r="R500" s="62"/>
      <c r="S500" s="35">
        <f>IFERROR(
 (1.907*EXP(1)^(-0.5*tbl_CONTENT[[#This Row],[Layer]])) *
 ((tbl_CONTENT[[#This Row],[RelInt]]-1)^(2.5)*4^(1-2.5)+1) +
 ((tbl_CONTENT[[#This Row],[Comp]]-1)^(2.5)*4^(1-2.5)+1)*(0.5*((tbl_CONTENT[[#This Row],[RelInt]]-1)/4)^(2.5)+1),
 0
)</f>
        <v>0</v>
      </c>
      <c r="T500" s="35">
        <f>IFERROR(
 (1.907*EXP(1)^(-0.5*VALUE(tbl_CONTENT[[#This Row],[Layer]]))) *
 ((VALUE(tbl_CONTENT[[#This Row],[RelId]])-1)^(2.5)*4^(1-2.5)+1) +
 ((VALUE(tbl_CONTENT[[#This Row],[Comp]])-1)^(2.5)*4^(1-2.5)+1)*(0.5*((VALUE(tbl_CONTENT[[#This Row],[RelId]])-1)/4)^(2.5)+1),
 0
)</f>
        <v>0</v>
      </c>
      <c r="V500" s="62"/>
      <c r="W500" s="22" t="str">
        <f>IFERROR(
  IF(_xlfn.XLOOKUP(tbl_CONTENT[[#This Row],[Topic]], tbl_TOPIC[Topic], tbl_TOPIC[ParentTopic])="", "",
       _xlfn.XLOOKUP(tbl_CONTENT[[#This Row],[Topic]], tbl_TOPIC[Topic], tbl_TOPIC[ParentTopic])),
  ""
)</f>
        <v>Ringe</v>
      </c>
      <c r="X500" s="22" t="str">
        <f>IFERROR(
  IF(_xlfn.XLOOKUP(tbl_CONTENT[[#This Row],[Topic]], tbl_TOPIC[Topic], tbl_TOPIC[TopicPath])="", "",
       _xlfn.XLOOKUP(tbl_CONTENT[[#This Row],[Topic]], tbl_TOPIC[Topic], tbl_TOPIC[TopicPath])),
  ""
)</f>
        <v>Ringe/Potenzreihenringe und Polynomringe</v>
      </c>
    </row>
    <row r="501" spans="3:24" ht="34" x14ac:dyDescent="0.2">
      <c r="C501" s="62" t="str">
        <f>_xlfn.XLOOKUP(tbl_CONTENT[[#This Row],[TopicID]], tbl_TOPIC[TopicID], tbl_TOPIC[Subject], "")</f>
        <v>A</v>
      </c>
      <c r="D50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A-T15-04-02</v>
      </c>
      <c r="E501" s="62">
        <f>ROW()</f>
        <v>501</v>
      </c>
      <c r="F501" s="22" t="s">
        <v>1665</v>
      </c>
      <c r="G501" s="22" t="str">
        <f>_xlfn.XLOOKUP(tbl_CONTENT[[#This Row],[Topic]], tbl_TOPIC[Topic], tbl_TOPIC[TopicID], "")</f>
        <v>A-1-04</v>
      </c>
      <c r="H501" s="62" cm="1">
        <f t="array" ref="H501">SUM((tbl_CONTENT[[#This Row],[TopicID]]=INDEX(tbl_CONTENT[TopicID],1):tbl_CONTENT[[#This Row],[TopicID]])*1)</f>
        <v>2</v>
      </c>
      <c r="I501" s="62" t="str">
        <f>_xlfn.XLOOKUP(tbl_CONTENT[[#This Row],[Topic]], tbl_TOPIC[Topic], tbl_TOPIC[TopicIndex], "")</f>
        <v>04</v>
      </c>
      <c r="J501" s="22" t="s">
        <v>851</v>
      </c>
      <c r="K501" s="22" t="s">
        <v>855</v>
      </c>
      <c r="L501" s="22" t="s">
        <v>152</v>
      </c>
      <c r="M501" s="22">
        <v>1</v>
      </c>
      <c r="R501" s="62"/>
      <c r="S501" s="35">
        <f>IFERROR(
 (1.907*EXP(1)^(-0.5*tbl_CONTENT[[#This Row],[Layer]])) *
 ((tbl_CONTENT[[#This Row],[RelInt]]-1)^(2.5)*4^(1-2.5)+1) +
 ((tbl_CONTENT[[#This Row],[Comp]]-1)^(2.5)*4^(1-2.5)+1)*(0.5*((tbl_CONTENT[[#This Row],[RelInt]]-1)/4)^(2.5)+1),
 0
)</f>
        <v>0</v>
      </c>
      <c r="T501" s="35">
        <f>IFERROR(
 (1.907*EXP(1)^(-0.5*VALUE(tbl_CONTENT[[#This Row],[Layer]]))) *
 ((VALUE(tbl_CONTENT[[#This Row],[RelId]])-1)^(2.5)*4^(1-2.5)+1) +
 ((VALUE(tbl_CONTENT[[#This Row],[Comp]])-1)^(2.5)*4^(1-2.5)+1)*(0.5*((VALUE(tbl_CONTENT[[#This Row],[RelId]])-1)/4)^(2.5)+1),
 0
)</f>
        <v>0</v>
      </c>
      <c r="V501" s="62"/>
      <c r="W501" s="22" t="str">
        <f>IFERROR(
  IF(_xlfn.XLOOKUP(tbl_CONTENT[[#This Row],[Topic]], tbl_TOPIC[Topic], tbl_TOPIC[ParentTopic])="", "",
       _xlfn.XLOOKUP(tbl_CONTENT[[#This Row],[Topic]], tbl_TOPIC[Topic], tbl_TOPIC[ParentTopic])),
  ""
)</f>
        <v>Ringe</v>
      </c>
      <c r="X501" s="22" t="str">
        <f>IFERROR(
  IF(_xlfn.XLOOKUP(tbl_CONTENT[[#This Row],[Topic]], tbl_TOPIC[Topic], tbl_TOPIC[TopicPath])="", "",
       _xlfn.XLOOKUP(tbl_CONTENT[[#This Row],[Topic]], tbl_TOPIC[Topic], tbl_TOPIC[TopicPath])),
  ""
)</f>
        <v>Ringe/Potenzreihenringe und Polynomringe</v>
      </c>
    </row>
    <row r="502" spans="3:24" ht="34" x14ac:dyDescent="0.2">
      <c r="C502" s="62" t="str">
        <f>_xlfn.XLOOKUP(tbl_CONTENT[[#This Row],[TopicID]], tbl_TOPIC[TopicID], tbl_TOPIC[Subject], "")</f>
        <v>A</v>
      </c>
      <c r="D50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A-T12-04-01</v>
      </c>
      <c r="E502" s="62">
        <f>ROW()</f>
        <v>502</v>
      </c>
      <c r="F502" s="22" t="s">
        <v>1051</v>
      </c>
      <c r="G502" s="22" t="str">
        <f>_xlfn.XLOOKUP(tbl_CONTENT[[#This Row],[Topic]], tbl_TOPIC[Topic], tbl_TOPIC[TopicID], "")</f>
        <v>A-1-04</v>
      </c>
      <c r="H502" s="62" cm="1">
        <f t="array" ref="H502">SUM((tbl_CONTENT[[#This Row],[TopicID]]=INDEX(tbl_CONTENT[TopicID],1):tbl_CONTENT[[#This Row],[TopicID]])*1)</f>
        <v>3</v>
      </c>
      <c r="I502" s="62" t="str">
        <f>_xlfn.XLOOKUP(tbl_CONTENT[[#This Row],[Topic]], tbl_TOPIC[Topic], tbl_TOPIC[TopicIndex], "")</f>
        <v>04</v>
      </c>
      <c r="J502" s="22" t="s">
        <v>851</v>
      </c>
      <c r="K502" s="22" t="s">
        <v>856</v>
      </c>
      <c r="L502" s="22" t="s">
        <v>147</v>
      </c>
      <c r="M502" s="22">
        <v>1</v>
      </c>
      <c r="R502" s="62"/>
      <c r="S502" s="35">
        <f>IFERROR(
 (1.907*EXP(1)^(-0.5*tbl_CONTENT[[#This Row],[Layer]])) *
 ((tbl_CONTENT[[#This Row],[RelInt]]-1)^(2.5)*4^(1-2.5)+1) +
 ((tbl_CONTENT[[#This Row],[Comp]]-1)^(2.5)*4^(1-2.5)+1)*(0.5*((tbl_CONTENT[[#This Row],[RelInt]]-1)/4)^(2.5)+1),
 0
)</f>
        <v>0</v>
      </c>
      <c r="T502" s="35">
        <f>IFERROR(
 (1.907*EXP(1)^(-0.5*VALUE(tbl_CONTENT[[#This Row],[Layer]]))) *
 ((VALUE(tbl_CONTENT[[#This Row],[RelId]])-1)^(2.5)*4^(1-2.5)+1) +
 ((VALUE(tbl_CONTENT[[#This Row],[Comp]])-1)^(2.5)*4^(1-2.5)+1)*(0.5*((VALUE(tbl_CONTENT[[#This Row],[RelId]])-1)/4)^(2.5)+1),
 0
)</f>
        <v>0</v>
      </c>
      <c r="V502" s="62"/>
      <c r="W502" s="22" t="str">
        <f>IFERROR(
  IF(_xlfn.XLOOKUP(tbl_CONTENT[[#This Row],[Topic]], tbl_TOPIC[Topic], tbl_TOPIC[ParentTopic])="", "",
       _xlfn.XLOOKUP(tbl_CONTENT[[#This Row],[Topic]], tbl_TOPIC[Topic], tbl_TOPIC[ParentTopic])),
  ""
)</f>
        <v>Ringe</v>
      </c>
      <c r="X502" s="22" t="str">
        <f>IFERROR(
  IF(_xlfn.XLOOKUP(tbl_CONTENT[[#This Row],[Topic]], tbl_TOPIC[Topic], tbl_TOPIC[TopicPath])="", "",
       _xlfn.XLOOKUP(tbl_CONTENT[[#This Row],[Topic]], tbl_TOPIC[Topic], tbl_TOPIC[TopicPath])),
  ""
)</f>
        <v>Ringe/Potenzreihenringe und Polynomringe</v>
      </c>
    </row>
    <row r="503" spans="3:24" ht="34" x14ac:dyDescent="0.2">
      <c r="C503" s="62" t="str">
        <f>_xlfn.XLOOKUP(tbl_CONTENT[[#This Row],[TopicID]], tbl_TOPIC[TopicID], tbl_TOPIC[Subject], "")</f>
        <v>A</v>
      </c>
      <c r="D50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A-T12-04-02</v>
      </c>
      <c r="E503" s="62">
        <f>ROW()</f>
        <v>503</v>
      </c>
      <c r="F503" s="22" t="s">
        <v>1051</v>
      </c>
      <c r="G503" s="22" t="str">
        <f>_xlfn.XLOOKUP(tbl_CONTENT[[#This Row],[Topic]], tbl_TOPIC[Topic], tbl_TOPIC[TopicID], "")</f>
        <v>A-1-04</v>
      </c>
      <c r="H503" s="62" cm="1">
        <f t="array" ref="H503">SUM((tbl_CONTENT[[#This Row],[TopicID]]=INDEX(tbl_CONTENT[TopicID],1):tbl_CONTENT[[#This Row],[TopicID]])*1)</f>
        <v>4</v>
      </c>
      <c r="I503" s="62" t="str">
        <f>_xlfn.XLOOKUP(tbl_CONTENT[[#This Row],[Topic]], tbl_TOPIC[Topic], tbl_TOPIC[TopicIndex], "")</f>
        <v>04</v>
      </c>
      <c r="J503" s="22" t="s">
        <v>851</v>
      </c>
      <c r="K503" s="22" t="s">
        <v>857</v>
      </c>
      <c r="L503" s="22" t="s">
        <v>147</v>
      </c>
      <c r="M503" s="22">
        <v>1</v>
      </c>
      <c r="R503" s="62"/>
      <c r="S503" s="35">
        <f>IFERROR(
 (1.907*EXP(1)^(-0.5*tbl_CONTENT[[#This Row],[Layer]])) *
 ((tbl_CONTENT[[#This Row],[RelInt]]-1)^(2.5)*4^(1-2.5)+1) +
 ((tbl_CONTENT[[#This Row],[Comp]]-1)^(2.5)*4^(1-2.5)+1)*(0.5*((tbl_CONTENT[[#This Row],[RelInt]]-1)/4)^(2.5)+1),
 0
)</f>
        <v>0</v>
      </c>
      <c r="T503" s="35">
        <f>IFERROR(
 (1.907*EXP(1)^(-0.5*VALUE(tbl_CONTENT[[#This Row],[Layer]]))) *
 ((VALUE(tbl_CONTENT[[#This Row],[RelId]])-1)^(2.5)*4^(1-2.5)+1) +
 ((VALUE(tbl_CONTENT[[#This Row],[Comp]])-1)^(2.5)*4^(1-2.5)+1)*(0.5*((VALUE(tbl_CONTENT[[#This Row],[RelId]])-1)/4)^(2.5)+1),
 0
)</f>
        <v>0</v>
      </c>
      <c r="V503" s="62"/>
      <c r="W503" s="22" t="str">
        <f>IFERROR(
  IF(_xlfn.XLOOKUP(tbl_CONTENT[[#This Row],[Topic]], tbl_TOPIC[Topic], tbl_TOPIC[ParentTopic])="", "",
       _xlfn.XLOOKUP(tbl_CONTENT[[#This Row],[Topic]], tbl_TOPIC[Topic], tbl_TOPIC[ParentTopic])),
  ""
)</f>
        <v>Ringe</v>
      </c>
      <c r="X503" s="22" t="str">
        <f>IFERROR(
  IF(_xlfn.XLOOKUP(tbl_CONTENT[[#This Row],[Topic]], tbl_TOPIC[Topic], tbl_TOPIC[TopicPath])="", "",
       _xlfn.XLOOKUP(tbl_CONTENT[[#This Row],[Topic]], tbl_TOPIC[Topic], tbl_TOPIC[TopicPath])),
  ""
)</f>
        <v>Ringe/Potenzreihenringe und Polynomringe</v>
      </c>
    </row>
    <row r="504" spans="3:24" ht="34" x14ac:dyDescent="0.2">
      <c r="C504" s="62" t="str">
        <f>_xlfn.XLOOKUP(tbl_CONTENT[[#This Row],[TopicID]], tbl_TOPIC[TopicID], tbl_TOPIC[Subject], "")</f>
        <v>A</v>
      </c>
      <c r="D50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A-T12-04-03</v>
      </c>
      <c r="E504" s="62">
        <f>ROW()</f>
        <v>504</v>
      </c>
      <c r="F504" s="22" t="s">
        <v>1051</v>
      </c>
      <c r="G504" s="22" t="str">
        <f>_xlfn.XLOOKUP(tbl_CONTENT[[#This Row],[Topic]], tbl_TOPIC[Topic], tbl_TOPIC[TopicID], "")</f>
        <v>A-1-04</v>
      </c>
      <c r="H504" s="62" cm="1">
        <f t="array" ref="H504">SUM((tbl_CONTENT[[#This Row],[TopicID]]=INDEX(tbl_CONTENT[TopicID],1):tbl_CONTENT[[#This Row],[TopicID]])*1)</f>
        <v>5</v>
      </c>
      <c r="I504" s="62" t="str">
        <f>_xlfn.XLOOKUP(tbl_CONTENT[[#This Row],[Topic]], tbl_TOPIC[Topic], tbl_TOPIC[TopicIndex], "")</f>
        <v>04</v>
      </c>
      <c r="J504" s="22" t="s">
        <v>851</v>
      </c>
      <c r="K504" s="22" t="s">
        <v>858</v>
      </c>
      <c r="L504" s="22" t="s">
        <v>147</v>
      </c>
      <c r="M504" s="22">
        <v>1</v>
      </c>
      <c r="R504" s="62"/>
      <c r="S504" s="35">
        <f>IFERROR(
 (1.907*EXP(1)^(-0.5*tbl_CONTENT[[#This Row],[Layer]])) *
 ((tbl_CONTENT[[#This Row],[RelInt]]-1)^(2.5)*4^(1-2.5)+1) +
 ((tbl_CONTENT[[#This Row],[Comp]]-1)^(2.5)*4^(1-2.5)+1)*(0.5*((tbl_CONTENT[[#This Row],[RelInt]]-1)/4)^(2.5)+1),
 0
)</f>
        <v>0</v>
      </c>
      <c r="T504" s="35">
        <f>IFERROR(
 (1.907*EXP(1)^(-0.5*VALUE(tbl_CONTENT[[#This Row],[Layer]]))) *
 ((VALUE(tbl_CONTENT[[#This Row],[RelId]])-1)^(2.5)*4^(1-2.5)+1) +
 ((VALUE(tbl_CONTENT[[#This Row],[Comp]])-1)^(2.5)*4^(1-2.5)+1)*(0.5*((VALUE(tbl_CONTENT[[#This Row],[RelId]])-1)/4)^(2.5)+1),
 0
)</f>
        <v>0</v>
      </c>
      <c r="V504" s="62"/>
      <c r="W504" s="22" t="str">
        <f>IFERROR(
  IF(_xlfn.XLOOKUP(tbl_CONTENT[[#This Row],[Topic]], tbl_TOPIC[Topic], tbl_TOPIC[ParentTopic])="", "",
       _xlfn.XLOOKUP(tbl_CONTENT[[#This Row],[Topic]], tbl_TOPIC[Topic], tbl_TOPIC[ParentTopic])),
  ""
)</f>
        <v>Ringe</v>
      </c>
      <c r="X504" s="22" t="str">
        <f>IFERROR(
  IF(_xlfn.XLOOKUP(tbl_CONTENT[[#This Row],[Topic]], tbl_TOPIC[Topic], tbl_TOPIC[TopicPath])="", "",
       _xlfn.XLOOKUP(tbl_CONTENT[[#This Row],[Topic]], tbl_TOPIC[Topic], tbl_TOPIC[TopicPath])),
  ""
)</f>
        <v>Ringe/Potenzreihenringe und Polynomringe</v>
      </c>
    </row>
    <row r="505" spans="3:24" ht="34" x14ac:dyDescent="0.2">
      <c r="C505" s="62" t="str">
        <f>_xlfn.XLOOKUP(tbl_CONTENT[[#This Row],[TopicID]], tbl_TOPIC[TopicID], tbl_TOPIC[Subject], "")</f>
        <v>A</v>
      </c>
      <c r="D50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A-T12-04-04</v>
      </c>
      <c r="E505" s="62">
        <f>ROW()</f>
        <v>505</v>
      </c>
      <c r="F505" s="22" t="s">
        <v>1051</v>
      </c>
      <c r="G505" s="22" t="str">
        <f>_xlfn.XLOOKUP(tbl_CONTENT[[#This Row],[Topic]], tbl_TOPIC[Topic], tbl_TOPIC[TopicID], "")</f>
        <v>A-1-04</v>
      </c>
      <c r="H505" s="62" cm="1">
        <f t="array" ref="H505">SUM((tbl_CONTENT[[#This Row],[TopicID]]=INDEX(tbl_CONTENT[TopicID],1):tbl_CONTENT[[#This Row],[TopicID]])*1)</f>
        <v>6</v>
      </c>
      <c r="I505" s="62" t="str">
        <f>_xlfn.XLOOKUP(tbl_CONTENT[[#This Row],[Topic]], tbl_TOPIC[Topic], tbl_TOPIC[TopicIndex], "")</f>
        <v>04</v>
      </c>
      <c r="J505" s="22" t="s">
        <v>851</v>
      </c>
      <c r="K505" s="22" t="s">
        <v>859</v>
      </c>
      <c r="L505" s="22" t="s">
        <v>147</v>
      </c>
      <c r="M505" s="22">
        <v>1</v>
      </c>
      <c r="R505" s="62"/>
      <c r="S505" s="35">
        <f>IFERROR(
 (1.907*EXP(1)^(-0.5*tbl_CONTENT[[#This Row],[Layer]])) *
 ((tbl_CONTENT[[#This Row],[RelInt]]-1)^(2.5)*4^(1-2.5)+1) +
 ((tbl_CONTENT[[#This Row],[Comp]]-1)^(2.5)*4^(1-2.5)+1)*(0.5*((tbl_CONTENT[[#This Row],[RelInt]]-1)/4)^(2.5)+1),
 0
)</f>
        <v>0</v>
      </c>
      <c r="T505" s="35">
        <f>IFERROR(
 (1.907*EXP(1)^(-0.5*VALUE(tbl_CONTENT[[#This Row],[Layer]]))) *
 ((VALUE(tbl_CONTENT[[#This Row],[RelId]])-1)^(2.5)*4^(1-2.5)+1) +
 ((VALUE(tbl_CONTENT[[#This Row],[Comp]])-1)^(2.5)*4^(1-2.5)+1)*(0.5*((VALUE(tbl_CONTENT[[#This Row],[RelId]])-1)/4)^(2.5)+1),
 0
)</f>
        <v>0</v>
      </c>
      <c r="V505" s="62"/>
      <c r="W505" s="22" t="str">
        <f>IFERROR(
  IF(_xlfn.XLOOKUP(tbl_CONTENT[[#This Row],[Topic]], tbl_TOPIC[Topic], tbl_TOPIC[ParentTopic])="", "",
       _xlfn.XLOOKUP(tbl_CONTENT[[#This Row],[Topic]], tbl_TOPIC[Topic], tbl_TOPIC[ParentTopic])),
  ""
)</f>
        <v>Ringe</v>
      </c>
      <c r="X505" s="22" t="str">
        <f>IFERROR(
  IF(_xlfn.XLOOKUP(tbl_CONTENT[[#This Row],[Topic]], tbl_TOPIC[Topic], tbl_TOPIC[TopicPath])="", "",
       _xlfn.XLOOKUP(tbl_CONTENT[[#This Row],[Topic]], tbl_TOPIC[Topic], tbl_TOPIC[TopicPath])),
  ""
)</f>
        <v>Ringe/Potenzreihenringe und Polynomringe</v>
      </c>
    </row>
    <row r="506" spans="3:24" ht="51" x14ac:dyDescent="0.2">
      <c r="C506" s="62" t="str">
        <f>_xlfn.XLOOKUP(tbl_CONTENT[[#This Row],[TopicID]], tbl_TOPIC[TopicID], tbl_TOPIC[Subject], "")</f>
        <v>A</v>
      </c>
      <c r="D50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A-T12-04-05</v>
      </c>
      <c r="E506" s="62">
        <f>ROW()</f>
        <v>506</v>
      </c>
      <c r="F506" s="22" t="s">
        <v>1051</v>
      </c>
      <c r="G506" s="22" t="str">
        <f>_xlfn.XLOOKUP(tbl_CONTENT[[#This Row],[Topic]], tbl_TOPIC[Topic], tbl_TOPIC[TopicID], "")</f>
        <v>A-1-04</v>
      </c>
      <c r="H506" s="62" cm="1">
        <f t="array" ref="H506">SUM((tbl_CONTENT[[#This Row],[TopicID]]=INDEX(tbl_CONTENT[TopicID],1):tbl_CONTENT[[#This Row],[TopicID]])*1)</f>
        <v>7</v>
      </c>
      <c r="I506" s="62" t="str">
        <f>_xlfn.XLOOKUP(tbl_CONTENT[[#This Row],[Topic]], tbl_TOPIC[Topic], tbl_TOPIC[TopicIndex], "")</f>
        <v>04</v>
      </c>
      <c r="J506" s="22" t="s">
        <v>851</v>
      </c>
      <c r="K506" s="22" t="s">
        <v>860</v>
      </c>
      <c r="L506" s="22" t="s">
        <v>151</v>
      </c>
      <c r="M506" s="22">
        <v>1</v>
      </c>
      <c r="R506" s="62"/>
      <c r="S506" s="35">
        <f>IFERROR(
 (1.907*EXP(1)^(-0.5*tbl_CONTENT[[#This Row],[Layer]])) *
 ((tbl_CONTENT[[#This Row],[RelInt]]-1)^(2.5)*4^(1-2.5)+1) +
 ((tbl_CONTENT[[#This Row],[Comp]]-1)^(2.5)*4^(1-2.5)+1)*(0.5*((tbl_CONTENT[[#This Row],[RelInt]]-1)/4)^(2.5)+1),
 0
)</f>
        <v>0</v>
      </c>
      <c r="T506" s="35">
        <f>IFERROR(
 (1.907*EXP(1)^(-0.5*VALUE(tbl_CONTENT[[#This Row],[Layer]]))) *
 ((VALUE(tbl_CONTENT[[#This Row],[RelId]])-1)^(2.5)*4^(1-2.5)+1) +
 ((VALUE(tbl_CONTENT[[#This Row],[Comp]])-1)^(2.5)*4^(1-2.5)+1)*(0.5*((VALUE(tbl_CONTENT[[#This Row],[RelId]])-1)/4)^(2.5)+1),
 0
)</f>
        <v>0</v>
      </c>
      <c r="V506" s="62"/>
      <c r="W506" s="22" t="str">
        <f>IFERROR(
  IF(_xlfn.XLOOKUP(tbl_CONTENT[[#This Row],[Topic]], tbl_TOPIC[Topic], tbl_TOPIC[ParentTopic])="", "",
       _xlfn.XLOOKUP(tbl_CONTENT[[#This Row],[Topic]], tbl_TOPIC[Topic], tbl_TOPIC[ParentTopic])),
  ""
)</f>
        <v>Ringe</v>
      </c>
      <c r="X506" s="22" t="str">
        <f>IFERROR(
  IF(_xlfn.XLOOKUP(tbl_CONTENT[[#This Row],[Topic]], tbl_TOPIC[Topic], tbl_TOPIC[TopicPath])="", "",
       _xlfn.XLOOKUP(tbl_CONTENT[[#This Row],[Topic]], tbl_TOPIC[Topic], tbl_TOPIC[TopicPath])),
  ""
)</f>
        <v>Ringe/Potenzreihenringe und Polynomringe</v>
      </c>
    </row>
    <row r="507" spans="3:24" ht="34" x14ac:dyDescent="0.2">
      <c r="C507" s="62" t="str">
        <f>_xlfn.XLOOKUP(tbl_CONTENT[[#This Row],[TopicID]], tbl_TOPIC[TopicID], tbl_TOPIC[Subject], "")</f>
        <v>A</v>
      </c>
      <c r="D50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A-T12-04-06</v>
      </c>
      <c r="E507" s="62">
        <f>ROW()</f>
        <v>507</v>
      </c>
      <c r="F507" s="22" t="s">
        <v>1051</v>
      </c>
      <c r="G507" s="22" t="str">
        <f>_xlfn.XLOOKUP(tbl_CONTENT[[#This Row],[Topic]], tbl_TOPIC[Topic], tbl_TOPIC[TopicID], "")</f>
        <v>A-1-04</v>
      </c>
      <c r="H507" s="62" cm="1">
        <f t="array" ref="H507">SUM((tbl_CONTENT[[#This Row],[TopicID]]=INDEX(tbl_CONTENT[TopicID],1):tbl_CONTENT[[#This Row],[TopicID]])*1)</f>
        <v>8</v>
      </c>
      <c r="I507" s="62" t="str">
        <f>_xlfn.XLOOKUP(tbl_CONTENT[[#This Row],[Topic]], tbl_TOPIC[Topic], tbl_TOPIC[TopicIndex], "")</f>
        <v>04</v>
      </c>
      <c r="J507" s="22" t="s">
        <v>851</v>
      </c>
      <c r="K507" s="22" t="s">
        <v>861</v>
      </c>
      <c r="L507" s="22" t="s">
        <v>179</v>
      </c>
      <c r="R507" s="62"/>
      <c r="S507" s="35">
        <f>IFERROR(
 (1.907*EXP(1)^(-0.5*tbl_CONTENT[[#This Row],[Layer]])) *
 ((tbl_CONTENT[[#This Row],[RelInt]]-1)^(2.5)*4^(1-2.5)+1) +
 ((tbl_CONTENT[[#This Row],[Comp]]-1)^(2.5)*4^(1-2.5)+1)*(0.5*((tbl_CONTENT[[#This Row],[RelInt]]-1)/4)^(2.5)+1),
 0
)</f>
        <v>0</v>
      </c>
      <c r="T507" s="35">
        <f>IFERROR(
 (1.907*EXP(1)^(-0.5*VALUE(tbl_CONTENT[[#This Row],[Layer]]))) *
 ((VALUE(tbl_CONTENT[[#This Row],[RelId]])-1)^(2.5)*4^(1-2.5)+1) +
 ((VALUE(tbl_CONTENT[[#This Row],[Comp]])-1)^(2.5)*4^(1-2.5)+1)*(0.5*((VALUE(tbl_CONTENT[[#This Row],[RelId]])-1)/4)^(2.5)+1),
 0
)</f>
        <v>0</v>
      </c>
      <c r="V507" s="62"/>
      <c r="W507" s="22" t="str">
        <f>IFERROR(
  IF(_xlfn.XLOOKUP(tbl_CONTENT[[#This Row],[Topic]], tbl_TOPIC[Topic], tbl_TOPIC[ParentTopic])="", "",
       _xlfn.XLOOKUP(tbl_CONTENT[[#This Row],[Topic]], tbl_TOPIC[Topic], tbl_TOPIC[ParentTopic])),
  ""
)</f>
        <v>Ringe</v>
      </c>
      <c r="X507" s="22" t="str">
        <f>IFERROR(
  IF(_xlfn.XLOOKUP(tbl_CONTENT[[#This Row],[Topic]], tbl_TOPIC[Topic], tbl_TOPIC[TopicPath])="", "",
       _xlfn.XLOOKUP(tbl_CONTENT[[#This Row],[Topic]], tbl_TOPIC[Topic], tbl_TOPIC[TopicPath])),
  ""
)</f>
        <v>Ringe/Potenzreihenringe und Polynomringe</v>
      </c>
    </row>
    <row r="508" spans="3:24" ht="51" x14ac:dyDescent="0.2">
      <c r="C508" s="62" t="str">
        <f>_xlfn.XLOOKUP(tbl_CONTENT[[#This Row],[TopicID]], tbl_TOPIC[TopicID], tbl_TOPIC[Subject], "")</f>
        <v>A</v>
      </c>
      <c r="D50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A-T12-04-07</v>
      </c>
      <c r="E508" s="62">
        <f>ROW()</f>
        <v>508</v>
      </c>
      <c r="F508" s="22" t="s">
        <v>1051</v>
      </c>
      <c r="G508" s="22" t="str">
        <f>_xlfn.XLOOKUP(tbl_CONTENT[[#This Row],[Topic]], tbl_TOPIC[Topic], tbl_TOPIC[TopicID], "")</f>
        <v>A-1-04</v>
      </c>
      <c r="H508" s="62" cm="1">
        <f t="array" ref="H508">SUM((tbl_CONTENT[[#This Row],[TopicID]]=INDEX(tbl_CONTENT[TopicID],1):tbl_CONTENT[[#This Row],[TopicID]])*1)</f>
        <v>9</v>
      </c>
      <c r="I508" s="62" t="str">
        <f>_xlfn.XLOOKUP(tbl_CONTENT[[#This Row],[Topic]], tbl_TOPIC[Topic], tbl_TOPIC[TopicIndex], "")</f>
        <v>04</v>
      </c>
      <c r="J508" s="22" t="s">
        <v>851</v>
      </c>
      <c r="K508" s="22" t="s">
        <v>1009</v>
      </c>
      <c r="L508" s="22" t="s">
        <v>179</v>
      </c>
      <c r="R508" s="62"/>
      <c r="S508" s="35">
        <f>IFERROR(
 (1.907*EXP(1)^(-0.5*tbl_CONTENT[[#This Row],[Layer]])) *
 ((tbl_CONTENT[[#This Row],[RelInt]]-1)^(2.5)*4^(1-2.5)+1) +
 ((tbl_CONTENT[[#This Row],[Comp]]-1)^(2.5)*4^(1-2.5)+1)*(0.5*((tbl_CONTENT[[#This Row],[RelInt]]-1)/4)^(2.5)+1),
 0
)</f>
        <v>0</v>
      </c>
      <c r="T508" s="35">
        <f>IFERROR(
 (1.907*EXP(1)^(-0.5*VALUE(tbl_CONTENT[[#This Row],[Layer]]))) *
 ((VALUE(tbl_CONTENT[[#This Row],[RelId]])-1)^(2.5)*4^(1-2.5)+1) +
 ((VALUE(tbl_CONTENT[[#This Row],[Comp]])-1)^(2.5)*4^(1-2.5)+1)*(0.5*((VALUE(tbl_CONTENT[[#This Row],[RelId]])-1)/4)^(2.5)+1),
 0
)</f>
        <v>0</v>
      </c>
      <c r="V508" s="62"/>
      <c r="W508" s="22" t="str">
        <f>IFERROR(
  IF(_xlfn.XLOOKUP(tbl_CONTENT[[#This Row],[Topic]], tbl_TOPIC[Topic], tbl_TOPIC[ParentTopic])="", "",
       _xlfn.XLOOKUP(tbl_CONTENT[[#This Row],[Topic]], tbl_TOPIC[Topic], tbl_TOPIC[ParentTopic])),
  ""
)</f>
        <v>Ringe</v>
      </c>
      <c r="X508" s="22" t="str">
        <f>IFERROR(
  IF(_xlfn.XLOOKUP(tbl_CONTENT[[#This Row],[Topic]], tbl_TOPIC[Topic], tbl_TOPIC[TopicPath])="", "",
       _xlfn.XLOOKUP(tbl_CONTENT[[#This Row],[Topic]], tbl_TOPIC[Topic], tbl_TOPIC[TopicPath])),
  ""
)</f>
        <v>Ringe/Potenzreihenringe und Polynomringe</v>
      </c>
    </row>
    <row r="509" spans="3:24" ht="34" x14ac:dyDescent="0.2">
      <c r="C509" s="62" t="str">
        <f>_xlfn.XLOOKUP(tbl_CONTENT[[#This Row],[TopicID]], tbl_TOPIC[TopicID], tbl_TOPIC[Subject], "")</f>
        <v>A</v>
      </c>
      <c r="D50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A-T12-04-08</v>
      </c>
      <c r="E509" s="62">
        <f>ROW()</f>
        <v>509</v>
      </c>
      <c r="F509" s="22" t="s">
        <v>1051</v>
      </c>
      <c r="G509" s="22" t="str">
        <f>_xlfn.XLOOKUP(tbl_CONTENT[[#This Row],[Topic]], tbl_TOPIC[Topic], tbl_TOPIC[TopicID], "")</f>
        <v>A-1-04</v>
      </c>
      <c r="H509" s="62" cm="1">
        <f t="array" ref="H509">SUM((tbl_CONTENT[[#This Row],[TopicID]]=INDEX(tbl_CONTENT[TopicID],1):tbl_CONTENT[[#This Row],[TopicID]])*1)</f>
        <v>10</v>
      </c>
      <c r="I509" s="62" t="str">
        <f>_xlfn.XLOOKUP(tbl_CONTENT[[#This Row],[Topic]], tbl_TOPIC[Topic], tbl_TOPIC[TopicIndex], "")</f>
        <v>04</v>
      </c>
      <c r="J509" s="22" t="s">
        <v>851</v>
      </c>
      <c r="K509" s="22" t="s">
        <v>862</v>
      </c>
      <c r="L509" s="22" t="s">
        <v>152</v>
      </c>
      <c r="M509" s="22">
        <v>1</v>
      </c>
      <c r="R509" s="62"/>
      <c r="S509" s="35">
        <f>IFERROR(
 (1.907*EXP(1)^(-0.5*tbl_CONTENT[[#This Row],[Layer]])) *
 ((tbl_CONTENT[[#This Row],[RelInt]]-1)^(2.5)*4^(1-2.5)+1) +
 ((tbl_CONTENT[[#This Row],[Comp]]-1)^(2.5)*4^(1-2.5)+1)*(0.5*((tbl_CONTENT[[#This Row],[RelInt]]-1)/4)^(2.5)+1),
 0
)</f>
        <v>0</v>
      </c>
      <c r="T509" s="35">
        <f>IFERROR(
 (1.907*EXP(1)^(-0.5*VALUE(tbl_CONTENT[[#This Row],[Layer]]))) *
 ((VALUE(tbl_CONTENT[[#This Row],[RelId]])-1)^(2.5)*4^(1-2.5)+1) +
 ((VALUE(tbl_CONTENT[[#This Row],[Comp]])-1)^(2.5)*4^(1-2.5)+1)*(0.5*((VALUE(tbl_CONTENT[[#This Row],[RelId]])-1)/4)^(2.5)+1),
 0
)</f>
        <v>0</v>
      </c>
      <c r="V509" s="62"/>
      <c r="W509" s="22" t="str">
        <f>IFERROR(
  IF(_xlfn.XLOOKUP(tbl_CONTENT[[#This Row],[Topic]], tbl_TOPIC[Topic], tbl_TOPIC[ParentTopic])="", "",
       _xlfn.XLOOKUP(tbl_CONTENT[[#This Row],[Topic]], tbl_TOPIC[Topic], tbl_TOPIC[ParentTopic])),
  ""
)</f>
        <v>Ringe</v>
      </c>
      <c r="X509" s="22" t="str">
        <f>IFERROR(
  IF(_xlfn.XLOOKUP(tbl_CONTENT[[#This Row],[Topic]], tbl_TOPIC[Topic], tbl_TOPIC[TopicPath])="", "",
       _xlfn.XLOOKUP(tbl_CONTENT[[#This Row],[Topic]], tbl_TOPIC[Topic], tbl_TOPIC[TopicPath])),
  ""
)</f>
        <v>Ringe/Potenzreihenringe und Polynomringe</v>
      </c>
    </row>
    <row r="510" spans="3:24" ht="34" x14ac:dyDescent="0.2">
      <c r="C510" s="62" t="str">
        <f>_xlfn.XLOOKUP(tbl_CONTENT[[#This Row],[TopicID]], tbl_TOPIC[TopicID], tbl_TOPIC[Subject], "")</f>
        <v>A</v>
      </c>
      <c r="D51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A-T12-04-09</v>
      </c>
      <c r="E510" s="62">
        <f>ROW()</f>
        <v>510</v>
      </c>
      <c r="F510" s="22" t="s">
        <v>1051</v>
      </c>
      <c r="G510" s="22" t="str">
        <f>_xlfn.XLOOKUP(tbl_CONTENT[[#This Row],[Topic]], tbl_TOPIC[Topic], tbl_TOPIC[TopicID], "")</f>
        <v>A-1-04</v>
      </c>
      <c r="H510" s="62" cm="1">
        <f t="array" ref="H510">SUM((tbl_CONTENT[[#This Row],[TopicID]]=INDEX(tbl_CONTENT[TopicID],1):tbl_CONTENT[[#This Row],[TopicID]])*1)</f>
        <v>11</v>
      </c>
      <c r="I510" s="62" t="str">
        <f>_xlfn.XLOOKUP(tbl_CONTENT[[#This Row],[Topic]], tbl_TOPIC[Topic], tbl_TOPIC[TopicIndex], "")</f>
        <v>04</v>
      </c>
      <c r="J510" s="22" t="s">
        <v>851</v>
      </c>
      <c r="K510" s="22" t="s">
        <v>863</v>
      </c>
      <c r="L510" s="22" t="s">
        <v>149</v>
      </c>
      <c r="M510" s="22">
        <v>1</v>
      </c>
      <c r="R510" s="62"/>
      <c r="S510" s="35">
        <f>IFERROR(
 (1.907*EXP(1)^(-0.5*tbl_CONTENT[[#This Row],[Layer]])) *
 ((tbl_CONTENT[[#This Row],[RelInt]]-1)^(2.5)*4^(1-2.5)+1) +
 ((tbl_CONTENT[[#This Row],[Comp]]-1)^(2.5)*4^(1-2.5)+1)*(0.5*((tbl_CONTENT[[#This Row],[RelInt]]-1)/4)^(2.5)+1),
 0
)</f>
        <v>0</v>
      </c>
      <c r="T510" s="35">
        <f>IFERROR(
 (1.907*EXP(1)^(-0.5*VALUE(tbl_CONTENT[[#This Row],[Layer]]))) *
 ((VALUE(tbl_CONTENT[[#This Row],[RelId]])-1)^(2.5)*4^(1-2.5)+1) +
 ((VALUE(tbl_CONTENT[[#This Row],[Comp]])-1)^(2.5)*4^(1-2.5)+1)*(0.5*((VALUE(tbl_CONTENT[[#This Row],[RelId]])-1)/4)^(2.5)+1),
 0
)</f>
        <v>0</v>
      </c>
      <c r="V510" s="62"/>
      <c r="W510" s="22" t="str">
        <f>IFERROR(
  IF(_xlfn.XLOOKUP(tbl_CONTENT[[#This Row],[Topic]], tbl_TOPIC[Topic], tbl_TOPIC[ParentTopic])="", "",
       _xlfn.XLOOKUP(tbl_CONTENT[[#This Row],[Topic]], tbl_TOPIC[Topic], tbl_TOPIC[ParentTopic])),
  ""
)</f>
        <v>Ringe</v>
      </c>
      <c r="X510" s="22" t="str">
        <f>IFERROR(
  IF(_xlfn.XLOOKUP(tbl_CONTENT[[#This Row],[Topic]], tbl_TOPIC[Topic], tbl_TOPIC[TopicPath])="", "",
       _xlfn.XLOOKUP(tbl_CONTENT[[#This Row],[Topic]], tbl_TOPIC[Topic], tbl_TOPIC[TopicPath])),
  ""
)</f>
        <v>Ringe/Potenzreihenringe und Polynomringe</v>
      </c>
    </row>
    <row r="511" spans="3:24" ht="34" x14ac:dyDescent="0.2">
      <c r="C511" s="62" t="str">
        <f>_xlfn.XLOOKUP(tbl_CONTENT[[#This Row],[TopicID]], tbl_TOPIC[TopicID], tbl_TOPIC[Subject], "")</f>
        <v>A</v>
      </c>
      <c r="D51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A-T12-04-10</v>
      </c>
      <c r="E511" s="62">
        <f>ROW()</f>
        <v>511</v>
      </c>
      <c r="F511" s="22" t="s">
        <v>1051</v>
      </c>
      <c r="G511" s="22" t="str">
        <f>_xlfn.XLOOKUP(tbl_CONTENT[[#This Row],[Topic]], tbl_TOPIC[Topic], tbl_TOPIC[TopicID], "")</f>
        <v>A-1-04</v>
      </c>
      <c r="H511" s="62" cm="1">
        <f t="array" ref="H511">SUM((tbl_CONTENT[[#This Row],[TopicID]]=INDEX(tbl_CONTENT[TopicID],1):tbl_CONTENT[[#This Row],[TopicID]])*1)</f>
        <v>12</v>
      </c>
      <c r="I511" s="62" t="str">
        <f>_xlfn.XLOOKUP(tbl_CONTENT[[#This Row],[Topic]], tbl_TOPIC[Topic], tbl_TOPIC[TopicIndex], "")</f>
        <v>04</v>
      </c>
      <c r="J511" s="22" t="s">
        <v>851</v>
      </c>
      <c r="K511" s="22" t="s">
        <v>864</v>
      </c>
      <c r="L511" s="22" t="s">
        <v>147</v>
      </c>
      <c r="M511" s="22">
        <v>1</v>
      </c>
      <c r="R511" s="62"/>
      <c r="S511" s="35">
        <f>IFERROR(
 (1.907*EXP(1)^(-0.5*tbl_CONTENT[[#This Row],[Layer]])) *
 ((tbl_CONTENT[[#This Row],[RelInt]]-1)^(2.5)*4^(1-2.5)+1) +
 ((tbl_CONTENT[[#This Row],[Comp]]-1)^(2.5)*4^(1-2.5)+1)*(0.5*((tbl_CONTENT[[#This Row],[RelInt]]-1)/4)^(2.5)+1),
 0
)</f>
        <v>0</v>
      </c>
      <c r="T511" s="35">
        <f>IFERROR(
 (1.907*EXP(1)^(-0.5*VALUE(tbl_CONTENT[[#This Row],[Layer]]))) *
 ((VALUE(tbl_CONTENT[[#This Row],[RelId]])-1)^(2.5)*4^(1-2.5)+1) +
 ((VALUE(tbl_CONTENT[[#This Row],[Comp]])-1)^(2.5)*4^(1-2.5)+1)*(0.5*((VALUE(tbl_CONTENT[[#This Row],[RelId]])-1)/4)^(2.5)+1),
 0
)</f>
        <v>0</v>
      </c>
      <c r="V511" s="62"/>
      <c r="W511" s="22" t="str">
        <f>IFERROR(
  IF(_xlfn.XLOOKUP(tbl_CONTENT[[#This Row],[Topic]], tbl_TOPIC[Topic], tbl_TOPIC[ParentTopic])="", "",
       _xlfn.XLOOKUP(tbl_CONTENT[[#This Row],[Topic]], tbl_TOPIC[Topic], tbl_TOPIC[ParentTopic])),
  ""
)</f>
        <v>Ringe</v>
      </c>
      <c r="X511" s="22" t="str">
        <f>IFERROR(
  IF(_xlfn.XLOOKUP(tbl_CONTENT[[#This Row],[Topic]], tbl_TOPIC[Topic], tbl_TOPIC[TopicPath])="", "",
       _xlfn.XLOOKUP(tbl_CONTENT[[#This Row],[Topic]], tbl_TOPIC[Topic], tbl_TOPIC[TopicPath])),
  ""
)</f>
        <v>Ringe/Potenzreihenringe und Polynomringe</v>
      </c>
    </row>
    <row r="512" spans="3:24" ht="34" x14ac:dyDescent="0.2">
      <c r="C512" s="62" t="str">
        <f>_xlfn.XLOOKUP(tbl_CONTENT[[#This Row],[TopicID]], tbl_TOPIC[TopicID], tbl_TOPIC[Subject], "")</f>
        <v>A</v>
      </c>
      <c r="D51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A-T12-04-11</v>
      </c>
      <c r="E512" s="62">
        <f>ROW()</f>
        <v>512</v>
      </c>
      <c r="F512" s="22" t="s">
        <v>1051</v>
      </c>
      <c r="G512" s="22" t="str">
        <f>_xlfn.XLOOKUP(tbl_CONTENT[[#This Row],[Topic]], tbl_TOPIC[Topic], tbl_TOPIC[TopicID], "")</f>
        <v>A-1-04</v>
      </c>
      <c r="H512" s="62" cm="1">
        <f t="array" ref="H512">SUM((tbl_CONTENT[[#This Row],[TopicID]]=INDEX(tbl_CONTENT[TopicID],1):tbl_CONTENT[[#This Row],[TopicID]])*1)</f>
        <v>13</v>
      </c>
      <c r="I512" s="62" t="str">
        <f>_xlfn.XLOOKUP(tbl_CONTENT[[#This Row],[Topic]], tbl_TOPIC[Topic], tbl_TOPIC[TopicIndex], "")</f>
        <v>04</v>
      </c>
      <c r="J512" s="22" t="s">
        <v>851</v>
      </c>
      <c r="K512" s="22" t="s">
        <v>870</v>
      </c>
      <c r="L512" s="22" t="s">
        <v>147</v>
      </c>
      <c r="M512" s="22">
        <v>1</v>
      </c>
      <c r="R512" s="62"/>
      <c r="S512" s="35">
        <f>IFERROR(
 (1.907*EXP(1)^(-0.5*tbl_CONTENT[[#This Row],[Layer]])) *
 ((tbl_CONTENT[[#This Row],[RelInt]]-1)^(2.5)*4^(1-2.5)+1) +
 ((tbl_CONTENT[[#This Row],[Comp]]-1)^(2.5)*4^(1-2.5)+1)*(0.5*((tbl_CONTENT[[#This Row],[RelInt]]-1)/4)^(2.5)+1),
 0
)</f>
        <v>0</v>
      </c>
      <c r="T512" s="35">
        <f>IFERROR(
 (1.907*EXP(1)^(-0.5*VALUE(tbl_CONTENT[[#This Row],[Layer]]))) *
 ((VALUE(tbl_CONTENT[[#This Row],[RelId]])-1)^(2.5)*4^(1-2.5)+1) +
 ((VALUE(tbl_CONTENT[[#This Row],[Comp]])-1)^(2.5)*4^(1-2.5)+1)*(0.5*((VALUE(tbl_CONTENT[[#This Row],[RelId]])-1)/4)^(2.5)+1),
 0
)</f>
        <v>0</v>
      </c>
      <c r="V512" s="62"/>
      <c r="W512" s="22" t="str">
        <f>IFERROR(
  IF(_xlfn.XLOOKUP(tbl_CONTENT[[#This Row],[Topic]], tbl_TOPIC[Topic], tbl_TOPIC[ParentTopic])="", "",
       _xlfn.XLOOKUP(tbl_CONTENT[[#This Row],[Topic]], tbl_TOPIC[Topic], tbl_TOPIC[ParentTopic])),
  ""
)</f>
        <v>Ringe</v>
      </c>
      <c r="X512" s="22" t="str">
        <f>IFERROR(
  IF(_xlfn.XLOOKUP(tbl_CONTENT[[#This Row],[Topic]], tbl_TOPIC[Topic], tbl_TOPIC[TopicPath])="", "",
       _xlfn.XLOOKUP(tbl_CONTENT[[#This Row],[Topic]], tbl_TOPIC[Topic], tbl_TOPIC[TopicPath])),
  ""
)</f>
        <v>Ringe/Potenzreihenringe und Polynomringe</v>
      </c>
    </row>
    <row r="513" spans="3:24" ht="68" x14ac:dyDescent="0.2">
      <c r="C513" s="62" t="str">
        <f>_xlfn.XLOOKUP(tbl_CONTENT[[#This Row],[TopicID]], tbl_TOPIC[TopicID], tbl_TOPIC[Subject], "")</f>
        <v>A</v>
      </c>
      <c r="D51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A-T12-04-12</v>
      </c>
      <c r="E513" s="62">
        <f>ROW()</f>
        <v>513</v>
      </c>
      <c r="F513" s="22" t="s">
        <v>1051</v>
      </c>
      <c r="G513" s="22" t="str">
        <f>_xlfn.XLOOKUP(tbl_CONTENT[[#This Row],[Topic]], tbl_TOPIC[Topic], tbl_TOPIC[TopicID], "")</f>
        <v>A-1-04</v>
      </c>
      <c r="H513" s="62" cm="1">
        <f t="array" ref="H513">SUM((tbl_CONTENT[[#This Row],[TopicID]]=INDEX(tbl_CONTENT[TopicID],1):tbl_CONTENT[[#This Row],[TopicID]])*1)</f>
        <v>14</v>
      </c>
      <c r="I513" s="62" t="str">
        <f>_xlfn.XLOOKUP(tbl_CONTENT[[#This Row],[Topic]], tbl_TOPIC[Topic], tbl_TOPIC[TopicIndex], "")</f>
        <v>04</v>
      </c>
      <c r="J513" s="22" t="s">
        <v>851</v>
      </c>
      <c r="K513" s="22" t="s">
        <v>865</v>
      </c>
      <c r="L513" s="22" t="s">
        <v>149</v>
      </c>
      <c r="R513" s="62"/>
      <c r="S513" s="35">
        <f>IFERROR(
 (1.907*EXP(1)^(-0.5*tbl_CONTENT[[#This Row],[Layer]])) *
 ((tbl_CONTENT[[#This Row],[RelInt]]-1)^(2.5)*4^(1-2.5)+1) +
 ((tbl_CONTENT[[#This Row],[Comp]]-1)^(2.5)*4^(1-2.5)+1)*(0.5*((tbl_CONTENT[[#This Row],[RelInt]]-1)/4)^(2.5)+1),
 0
)</f>
        <v>0</v>
      </c>
      <c r="T513" s="35">
        <f>IFERROR(
 (1.907*EXP(1)^(-0.5*VALUE(tbl_CONTENT[[#This Row],[Layer]]))) *
 ((VALUE(tbl_CONTENT[[#This Row],[RelId]])-1)^(2.5)*4^(1-2.5)+1) +
 ((VALUE(tbl_CONTENT[[#This Row],[Comp]])-1)^(2.5)*4^(1-2.5)+1)*(0.5*((VALUE(tbl_CONTENT[[#This Row],[RelId]])-1)/4)^(2.5)+1),
 0
)</f>
        <v>0</v>
      </c>
      <c r="V513" s="62"/>
      <c r="W513" s="22" t="str">
        <f>IFERROR(
  IF(_xlfn.XLOOKUP(tbl_CONTENT[[#This Row],[Topic]], tbl_TOPIC[Topic], tbl_TOPIC[ParentTopic])="", "",
       _xlfn.XLOOKUP(tbl_CONTENT[[#This Row],[Topic]], tbl_TOPIC[Topic], tbl_TOPIC[ParentTopic])),
  ""
)</f>
        <v>Ringe</v>
      </c>
      <c r="X513" s="22" t="str">
        <f>IFERROR(
  IF(_xlfn.XLOOKUP(tbl_CONTENT[[#This Row],[Topic]], tbl_TOPIC[Topic], tbl_TOPIC[TopicPath])="", "",
       _xlfn.XLOOKUP(tbl_CONTENT[[#This Row],[Topic]], tbl_TOPIC[Topic], tbl_TOPIC[TopicPath])),
  ""
)</f>
        <v>Ringe/Potenzreihenringe und Polynomringe</v>
      </c>
    </row>
    <row r="514" spans="3:24" ht="34" x14ac:dyDescent="0.2">
      <c r="C514" s="62" t="str">
        <f>_xlfn.XLOOKUP(tbl_CONTENT[[#This Row],[TopicID]], tbl_TOPIC[TopicID], tbl_TOPIC[Subject], "")</f>
        <v>A</v>
      </c>
      <c r="D51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A-T12-04-13</v>
      </c>
      <c r="E514" s="62">
        <f>ROW()</f>
        <v>514</v>
      </c>
      <c r="F514" s="22" t="s">
        <v>1051</v>
      </c>
      <c r="G514" s="22" t="str">
        <f>_xlfn.XLOOKUP(tbl_CONTENT[[#This Row],[Topic]], tbl_TOPIC[Topic], tbl_TOPIC[TopicID], "")</f>
        <v>A-1-04</v>
      </c>
      <c r="H514" s="62" cm="1">
        <f t="array" ref="H514">SUM((tbl_CONTENT[[#This Row],[TopicID]]=INDEX(tbl_CONTENT[TopicID],1):tbl_CONTENT[[#This Row],[TopicID]])*1)</f>
        <v>15</v>
      </c>
      <c r="I514" s="62" t="str">
        <f>_xlfn.XLOOKUP(tbl_CONTENT[[#This Row],[Topic]], tbl_TOPIC[Topic], tbl_TOPIC[TopicIndex], "")</f>
        <v>04</v>
      </c>
      <c r="J514" s="22" t="s">
        <v>851</v>
      </c>
      <c r="K514" s="22" t="s">
        <v>866</v>
      </c>
      <c r="L514" s="22" t="s">
        <v>152</v>
      </c>
      <c r="R514" s="62"/>
      <c r="S514" s="35">
        <f>IFERROR(
 (1.907*EXP(1)^(-0.5*tbl_CONTENT[[#This Row],[Layer]])) *
 ((tbl_CONTENT[[#This Row],[RelInt]]-1)^(2.5)*4^(1-2.5)+1) +
 ((tbl_CONTENT[[#This Row],[Comp]]-1)^(2.5)*4^(1-2.5)+1)*(0.5*((tbl_CONTENT[[#This Row],[RelInt]]-1)/4)^(2.5)+1),
 0
)</f>
        <v>0</v>
      </c>
      <c r="T514" s="35">
        <f>IFERROR(
 (1.907*EXP(1)^(-0.5*VALUE(tbl_CONTENT[[#This Row],[Layer]]))) *
 ((VALUE(tbl_CONTENT[[#This Row],[RelId]])-1)^(2.5)*4^(1-2.5)+1) +
 ((VALUE(tbl_CONTENT[[#This Row],[Comp]])-1)^(2.5)*4^(1-2.5)+1)*(0.5*((VALUE(tbl_CONTENT[[#This Row],[RelId]])-1)/4)^(2.5)+1),
 0
)</f>
        <v>0</v>
      </c>
      <c r="V514" s="62"/>
      <c r="W514" s="22" t="str">
        <f>IFERROR(
  IF(_xlfn.XLOOKUP(tbl_CONTENT[[#This Row],[Topic]], tbl_TOPIC[Topic], tbl_TOPIC[ParentTopic])="", "",
       _xlfn.XLOOKUP(tbl_CONTENT[[#This Row],[Topic]], tbl_TOPIC[Topic], tbl_TOPIC[ParentTopic])),
  ""
)</f>
        <v>Ringe</v>
      </c>
      <c r="X514" s="22" t="str">
        <f>IFERROR(
  IF(_xlfn.XLOOKUP(tbl_CONTENT[[#This Row],[Topic]], tbl_TOPIC[Topic], tbl_TOPIC[TopicPath])="", "",
       _xlfn.XLOOKUP(tbl_CONTENT[[#This Row],[Topic]], tbl_TOPIC[Topic], tbl_TOPIC[TopicPath])),
  ""
)</f>
        <v>Ringe/Potenzreihenringe und Polynomringe</v>
      </c>
    </row>
    <row r="515" spans="3:24" ht="34" x14ac:dyDescent="0.2">
      <c r="C515" s="62" t="str">
        <f>_xlfn.XLOOKUP(tbl_CONTENT[[#This Row],[TopicID]], tbl_TOPIC[TopicID], tbl_TOPIC[Subject], "")</f>
        <v>A</v>
      </c>
      <c r="D51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A-T12-04-14</v>
      </c>
      <c r="E515" s="62">
        <f>ROW()</f>
        <v>515</v>
      </c>
      <c r="F515" s="22" t="s">
        <v>1051</v>
      </c>
      <c r="G515" s="22" t="str">
        <f>_xlfn.XLOOKUP(tbl_CONTENT[[#This Row],[Topic]], tbl_TOPIC[Topic], tbl_TOPIC[TopicID], "")</f>
        <v>A-1-04</v>
      </c>
      <c r="H515" s="62" cm="1">
        <f t="array" ref="H515">SUM((tbl_CONTENT[[#This Row],[TopicID]]=INDEX(tbl_CONTENT[TopicID],1):tbl_CONTENT[[#This Row],[TopicID]])*1)</f>
        <v>16</v>
      </c>
      <c r="I515" s="62" t="str">
        <f>_xlfn.XLOOKUP(tbl_CONTENT[[#This Row],[Topic]], tbl_TOPIC[Topic], tbl_TOPIC[TopicIndex], "")</f>
        <v>04</v>
      </c>
      <c r="J515" s="22" t="s">
        <v>851</v>
      </c>
      <c r="K515" s="22" t="s">
        <v>867</v>
      </c>
      <c r="L515" s="22" t="s">
        <v>179</v>
      </c>
      <c r="R515" s="62"/>
      <c r="S515" s="35">
        <f>IFERROR(
 (1.907*EXP(1)^(-0.5*tbl_CONTENT[[#This Row],[Layer]])) *
 ((tbl_CONTENT[[#This Row],[RelInt]]-1)^(2.5)*4^(1-2.5)+1) +
 ((tbl_CONTENT[[#This Row],[Comp]]-1)^(2.5)*4^(1-2.5)+1)*(0.5*((tbl_CONTENT[[#This Row],[RelInt]]-1)/4)^(2.5)+1),
 0
)</f>
        <v>0</v>
      </c>
      <c r="T515" s="35">
        <f>IFERROR(
 (1.907*EXP(1)^(-0.5*VALUE(tbl_CONTENT[[#This Row],[Layer]]))) *
 ((VALUE(tbl_CONTENT[[#This Row],[RelId]])-1)^(2.5)*4^(1-2.5)+1) +
 ((VALUE(tbl_CONTENT[[#This Row],[Comp]])-1)^(2.5)*4^(1-2.5)+1)*(0.5*((VALUE(tbl_CONTENT[[#This Row],[RelId]])-1)/4)^(2.5)+1),
 0
)</f>
        <v>0</v>
      </c>
      <c r="V515" s="62"/>
      <c r="W515" s="22" t="str">
        <f>IFERROR(
  IF(_xlfn.XLOOKUP(tbl_CONTENT[[#This Row],[Topic]], tbl_TOPIC[Topic], tbl_TOPIC[ParentTopic])="", "",
       _xlfn.XLOOKUP(tbl_CONTENT[[#This Row],[Topic]], tbl_TOPIC[Topic], tbl_TOPIC[ParentTopic])),
  ""
)</f>
        <v>Ringe</v>
      </c>
      <c r="X515" s="22" t="str">
        <f>IFERROR(
  IF(_xlfn.XLOOKUP(tbl_CONTENT[[#This Row],[Topic]], tbl_TOPIC[Topic], tbl_TOPIC[TopicPath])="", "",
       _xlfn.XLOOKUP(tbl_CONTENT[[#This Row],[Topic]], tbl_TOPIC[Topic], tbl_TOPIC[TopicPath])),
  ""
)</f>
        <v>Ringe/Potenzreihenringe und Polynomringe</v>
      </c>
    </row>
    <row r="516" spans="3:24" ht="34" x14ac:dyDescent="0.2">
      <c r="C516" s="62" t="str">
        <f>_xlfn.XLOOKUP(tbl_CONTENT[[#This Row],[TopicID]], tbl_TOPIC[TopicID], tbl_TOPIC[Subject], "")</f>
        <v>A</v>
      </c>
      <c r="D51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A-T12-04-15</v>
      </c>
      <c r="E516" s="62">
        <f>ROW()</f>
        <v>516</v>
      </c>
      <c r="F516" s="22" t="s">
        <v>1051</v>
      </c>
      <c r="G516" s="22" t="str">
        <f>_xlfn.XLOOKUP(tbl_CONTENT[[#This Row],[Topic]], tbl_TOPIC[Topic], tbl_TOPIC[TopicID], "")</f>
        <v>A-1-04</v>
      </c>
      <c r="H516" s="62" cm="1">
        <f t="array" ref="H516">SUM((tbl_CONTENT[[#This Row],[TopicID]]=INDEX(tbl_CONTENT[TopicID],1):tbl_CONTENT[[#This Row],[TopicID]])*1)</f>
        <v>17</v>
      </c>
      <c r="I516" s="62" t="str">
        <f>_xlfn.XLOOKUP(tbl_CONTENT[[#This Row],[Topic]], tbl_TOPIC[Topic], tbl_TOPIC[TopicIndex], "")</f>
        <v>04</v>
      </c>
      <c r="J516" s="22" t="s">
        <v>851</v>
      </c>
      <c r="K516" s="22" t="s">
        <v>868</v>
      </c>
      <c r="L516" s="22" t="s">
        <v>151</v>
      </c>
      <c r="R516" s="62"/>
      <c r="S516" s="35">
        <f>IFERROR(
 (1.907*EXP(1)^(-0.5*tbl_CONTENT[[#This Row],[Layer]])) *
 ((tbl_CONTENT[[#This Row],[RelInt]]-1)^(2.5)*4^(1-2.5)+1) +
 ((tbl_CONTENT[[#This Row],[Comp]]-1)^(2.5)*4^(1-2.5)+1)*(0.5*((tbl_CONTENT[[#This Row],[RelInt]]-1)/4)^(2.5)+1),
 0
)</f>
        <v>0</v>
      </c>
      <c r="T516" s="35">
        <f>IFERROR(
 (1.907*EXP(1)^(-0.5*VALUE(tbl_CONTENT[[#This Row],[Layer]]))) *
 ((VALUE(tbl_CONTENT[[#This Row],[RelId]])-1)^(2.5)*4^(1-2.5)+1) +
 ((VALUE(tbl_CONTENT[[#This Row],[Comp]])-1)^(2.5)*4^(1-2.5)+1)*(0.5*((VALUE(tbl_CONTENT[[#This Row],[RelId]])-1)/4)^(2.5)+1),
 0
)</f>
        <v>0</v>
      </c>
      <c r="V516" s="62"/>
      <c r="W516" s="22" t="str">
        <f>IFERROR(
  IF(_xlfn.XLOOKUP(tbl_CONTENT[[#This Row],[Topic]], tbl_TOPIC[Topic], tbl_TOPIC[ParentTopic])="", "",
       _xlfn.XLOOKUP(tbl_CONTENT[[#This Row],[Topic]], tbl_TOPIC[Topic], tbl_TOPIC[ParentTopic])),
  ""
)</f>
        <v>Ringe</v>
      </c>
      <c r="X516" s="22" t="str">
        <f>IFERROR(
  IF(_xlfn.XLOOKUP(tbl_CONTENT[[#This Row],[Topic]], tbl_TOPIC[Topic], tbl_TOPIC[TopicPath])="", "",
       _xlfn.XLOOKUP(tbl_CONTENT[[#This Row],[Topic]], tbl_TOPIC[Topic], tbl_TOPIC[TopicPath])),
  ""
)</f>
        <v>Ringe/Potenzreihenringe und Polynomringe</v>
      </c>
    </row>
    <row r="517" spans="3:24" ht="51" x14ac:dyDescent="0.2">
      <c r="C517" s="62" t="str">
        <f>_xlfn.XLOOKUP(tbl_CONTENT[[#This Row],[TopicID]], tbl_TOPIC[TopicID], tbl_TOPIC[Subject], "")</f>
        <v>A</v>
      </c>
      <c r="D51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A-T12-04-16</v>
      </c>
      <c r="E517" s="62">
        <f>ROW()</f>
        <v>517</v>
      </c>
      <c r="F517" s="22" t="s">
        <v>1051</v>
      </c>
      <c r="G517" s="22" t="str">
        <f>_xlfn.XLOOKUP(tbl_CONTENT[[#This Row],[Topic]], tbl_TOPIC[Topic], tbl_TOPIC[TopicID], "")</f>
        <v>A-1-04</v>
      </c>
      <c r="H517" s="62" cm="1">
        <f t="array" ref="H517">SUM((tbl_CONTENT[[#This Row],[TopicID]]=INDEX(tbl_CONTENT[TopicID],1):tbl_CONTENT[[#This Row],[TopicID]])*1)</f>
        <v>18</v>
      </c>
      <c r="I517" s="62" t="str">
        <f>_xlfn.XLOOKUP(tbl_CONTENT[[#This Row],[Topic]], tbl_TOPIC[Topic], tbl_TOPIC[TopicIndex], "")</f>
        <v>04</v>
      </c>
      <c r="J517" s="22" t="s">
        <v>851</v>
      </c>
      <c r="K517" s="22" t="s">
        <v>869</v>
      </c>
      <c r="L517" s="22" t="s">
        <v>151</v>
      </c>
      <c r="R517" s="62"/>
      <c r="S517" s="35">
        <f>IFERROR(
 (1.907*EXP(1)^(-0.5*tbl_CONTENT[[#This Row],[Layer]])) *
 ((tbl_CONTENT[[#This Row],[RelInt]]-1)^(2.5)*4^(1-2.5)+1) +
 ((tbl_CONTENT[[#This Row],[Comp]]-1)^(2.5)*4^(1-2.5)+1)*(0.5*((tbl_CONTENT[[#This Row],[RelInt]]-1)/4)^(2.5)+1),
 0
)</f>
        <v>0</v>
      </c>
      <c r="T517" s="35">
        <f>IFERROR(
 (1.907*EXP(1)^(-0.5*VALUE(tbl_CONTENT[[#This Row],[Layer]]))) *
 ((VALUE(tbl_CONTENT[[#This Row],[RelId]])-1)^(2.5)*4^(1-2.5)+1) +
 ((VALUE(tbl_CONTENT[[#This Row],[Comp]])-1)^(2.5)*4^(1-2.5)+1)*(0.5*((VALUE(tbl_CONTENT[[#This Row],[RelId]])-1)/4)^(2.5)+1),
 0
)</f>
        <v>0</v>
      </c>
      <c r="V517" s="62"/>
      <c r="W517" s="22" t="str">
        <f>IFERROR(
  IF(_xlfn.XLOOKUP(tbl_CONTENT[[#This Row],[Topic]], tbl_TOPIC[Topic], tbl_TOPIC[ParentTopic])="", "",
       _xlfn.XLOOKUP(tbl_CONTENT[[#This Row],[Topic]], tbl_TOPIC[Topic], tbl_TOPIC[ParentTopic])),
  ""
)</f>
        <v>Ringe</v>
      </c>
      <c r="X517" s="22" t="str">
        <f>IFERROR(
  IF(_xlfn.XLOOKUP(tbl_CONTENT[[#This Row],[Topic]], tbl_TOPIC[Topic], tbl_TOPIC[TopicPath])="", "",
       _xlfn.XLOOKUP(tbl_CONTENT[[#This Row],[Topic]], tbl_TOPIC[Topic], tbl_TOPIC[TopicPath])),
  ""
)</f>
        <v>Ringe/Potenzreihenringe und Polynomringe</v>
      </c>
    </row>
    <row r="518" spans="3:24" ht="34" x14ac:dyDescent="0.2">
      <c r="C518" s="62" t="str">
        <f>_xlfn.XLOOKUP(tbl_CONTENT[[#This Row],[TopicID]], tbl_TOPIC[TopicID], tbl_TOPIC[Subject], "")</f>
        <v>A</v>
      </c>
      <c r="D51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A-T12-05-01</v>
      </c>
      <c r="E518" s="62">
        <f>ROW()</f>
        <v>518</v>
      </c>
      <c r="F518" s="22" t="s">
        <v>1051</v>
      </c>
      <c r="G518" s="22" t="str">
        <f>_xlfn.XLOOKUP(tbl_CONTENT[[#This Row],[Topic]], tbl_TOPIC[Topic], tbl_TOPIC[TopicID], "")</f>
        <v>A-1-05</v>
      </c>
      <c r="H518" s="62" cm="1">
        <f t="array" ref="H518">SUM((tbl_CONTENT[[#This Row],[TopicID]]=INDEX(tbl_CONTENT[TopicID],1):tbl_CONTENT[[#This Row],[TopicID]])*1)</f>
        <v>1</v>
      </c>
      <c r="I518" s="62" t="str">
        <f>_xlfn.XLOOKUP(tbl_CONTENT[[#This Row],[Topic]], tbl_TOPIC[Topic], tbl_TOPIC[TopicIndex], "")</f>
        <v>05</v>
      </c>
      <c r="J518" s="22" t="s">
        <v>879</v>
      </c>
      <c r="K518" s="22" t="s">
        <v>881</v>
      </c>
      <c r="L518" s="22" t="s">
        <v>147</v>
      </c>
      <c r="R518" s="62"/>
      <c r="S518" s="35">
        <f>IFERROR(
 (1.907*EXP(1)^(-0.5*tbl_CONTENT[[#This Row],[Layer]])) *
 ((tbl_CONTENT[[#This Row],[RelInt]]-1)^(2.5)*4^(1-2.5)+1) +
 ((tbl_CONTENT[[#This Row],[Comp]]-1)^(2.5)*4^(1-2.5)+1)*(0.5*((tbl_CONTENT[[#This Row],[RelInt]]-1)/4)^(2.5)+1),
 0
)</f>
        <v>0</v>
      </c>
      <c r="T518" s="35">
        <f>IFERROR(
 (1.907*EXP(1)^(-0.5*VALUE(tbl_CONTENT[[#This Row],[Layer]]))) *
 ((VALUE(tbl_CONTENT[[#This Row],[RelId]])-1)^(2.5)*4^(1-2.5)+1) +
 ((VALUE(tbl_CONTENT[[#This Row],[Comp]])-1)^(2.5)*4^(1-2.5)+1)*(0.5*((VALUE(tbl_CONTENT[[#This Row],[RelId]])-1)/4)^(2.5)+1),
 0
)</f>
        <v>0</v>
      </c>
      <c r="V518" s="62"/>
      <c r="W518" s="22" t="str">
        <f>IFERROR(
  IF(_xlfn.XLOOKUP(tbl_CONTENT[[#This Row],[Topic]], tbl_TOPIC[Topic], tbl_TOPIC[ParentTopic])="", "",
       _xlfn.XLOOKUP(tbl_CONTENT[[#This Row],[Topic]], tbl_TOPIC[Topic], tbl_TOPIC[ParentTopic])),
  ""
)</f>
        <v>Ringe</v>
      </c>
      <c r="X518" s="22" t="str">
        <f>IFERROR(
  IF(_xlfn.XLOOKUP(tbl_CONTENT[[#This Row],[Topic]], tbl_TOPIC[Topic], tbl_TOPIC[TopicPath])="", "",
       _xlfn.XLOOKUP(tbl_CONTENT[[#This Row],[Topic]], tbl_TOPIC[Topic], tbl_TOPIC[TopicPath])),
  ""
)</f>
        <v>Ringe/Ideale und Quotienten</v>
      </c>
    </row>
    <row r="519" spans="3:24" ht="17" x14ac:dyDescent="0.2">
      <c r="C519" s="62" t="str">
        <f>_xlfn.XLOOKUP(tbl_CONTENT[[#This Row],[TopicID]], tbl_TOPIC[TopicID], tbl_TOPIC[Subject], "")</f>
        <v>A</v>
      </c>
      <c r="D51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A-T12-05-02</v>
      </c>
      <c r="E519" s="62">
        <f>ROW()</f>
        <v>519</v>
      </c>
      <c r="F519" s="22" t="s">
        <v>1051</v>
      </c>
      <c r="G519" s="22" t="str">
        <f>_xlfn.XLOOKUP(tbl_CONTENT[[#This Row],[Topic]], tbl_TOPIC[Topic], tbl_TOPIC[TopicID], "")</f>
        <v>A-1-05</v>
      </c>
      <c r="H519" s="62" cm="1">
        <f t="array" ref="H519">SUM((tbl_CONTENT[[#This Row],[TopicID]]=INDEX(tbl_CONTENT[TopicID],1):tbl_CONTENT[[#This Row],[TopicID]])*1)</f>
        <v>2</v>
      </c>
      <c r="I519" s="62" t="str">
        <f>_xlfn.XLOOKUP(tbl_CONTENT[[#This Row],[Topic]], tbl_TOPIC[Topic], tbl_TOPIC[TopicIndex], "")</f>
        <v>05</v>
      </c>
      <c r="J519" s="22" t="s">
        <v>879</v>
      </c>
      <c r="K519" s="22" t="s">
        <v>882</v>
      </c>
      <c r="L519" s="22" t="s">
        <v>152</v>
      </c>
      <c r="M519" s="22">
        <v>1</v>
      </c>
      <c r="R519" s="62"/>
      <c r="S519" s="35">
        <f>IFERROR(
 (1.907*EXP(1)^(-0.5*tbl_CONTENT[[#This Row],[Layer]])) *
 ((tbl_CONTENT[[#This Row],[RelInt]]-1)^(2.5)*4^(1-2.5)+1) +
 ((tbl_CONTENT[[#This Row],[Comp]]-1)^(2.5)*4^(1-2.5)+1)*(0.5*((tbl_CONTENT[[#This Row],[RelInt]]-1)/4)^(2.5)+1),
 0
)</f>
        <v>0</v>
      </c>
      <c r="T519" s="35">
        <f>IFERROR(
 (1.907*EXP(1)^(-0.5*VALUE(tbl_CONTENT[[#This Row],[Layer]]))) *
 ((VALUE(tbl_CONTENT[[#This Row],[RelId]])-1)^(2.5)*4^(1-2.5)+1) +
 ((VALUE(tbl_CONTENT[[#This Row],[Comp]])-1)^(2.5)*4^(1-2.5)+1)*(0.5*((VALUE(tbl_CONTENT[[#This Row],[RelId]])-1)/4)^(2.5)+1),
 0
)</f>
        <v>0</v>
      </c>
      <c r="V519" s="62"/>
      <c r="W519" s="22" t="str">
        <f>IFERROR(
  IF(_xlfn.XLOOKUP(tbl_CONTENT[[#This Row],[Topic]], tbl_TOPIC[Topic], tbl_TOPIC[ParentTopic])="", "",
       _xlfn.XLOOKUP(tbl_CONTENT[[#This Row],[Topic]], tbl_TOPIC[Topic], tbl_TOPIC[ParentTopic])),
  ""
)</f>
        <v>Ringe</v>
      </c>
      <c r="X519" s="22" t="str">
        <f>IFERROR(
  IF(_xlfn.XLOOKUP(tbl_CONTENT[[#This Row],[Topic]], tbl_TOPIC[Topic], tbl_TOPIC[TopicPath])="", "",
       _xlfn.XLOOKUP(tbl_CONTENT[[#This Row],[Topic]], tbl_TOPIC[Topic], tbl_TOPIC[TopicPath])),
  ""
)</f>
        <v>Ringe/Ideale und Quotienten</v>
      </c>
    </row>
    <row r="520" spans="3:24" ht="17" x14ac:dyDescent="0.2">
      <c r="C520" s="62" t="str">
        <f>_xlfn.XLOOKUP(tbl_CONTENT[[#This Row],[TopicID]], tbl_TOPIC[TopicID], tbl_TOPIC[Subject], "")</f>
        <v>A</v>
      </c>
      <c r="D52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A-T12-05-03</v>
      </c>
      <c r="E520" s="62">
        <f>ROW()</f>
        <v>520</v>
      </c>
      <c r="F520" s="22" t="s">
        <v>1051</v>
      </c>
      <c r="G520" s="22" t="str">
        <f>_xlfn.XLOOKUP(tbl_CONTENT[[#This Row],[Topic]], tbl_TOPIC[Topic], tbl_TOPIC[TopicID], "")</f>
        <v>A-1-05</v>
      </c>
      <c r="H520" s="62" cm="1">
        <f t="array" ref="H520">SUM((tbl_CONTENT[[#This Row],[TopicID]]=INDEX(tbl_CONTENT[TopicID],1):tbl_CONTENT[[#This Row],[TopicID]])*1)</f>
        <v>3</v>
      </c>
      <c r="I520" s="62" t="str">
        <f>_xlfn.XLOOKUP(tbl_CONTENT[[#This Row],[Topic]], tbl_TOPIC[Topic], tbl_TOPIC[TopicIndex], "")</f>
        <v>05</v>
      </c>
      <c r="J520" s="22" t="s">
        <v>879</v>
      </c>
      <c r="K520" s="22" t="s">
        <v>883</v>
      </c>
      <c r="L520" s="22" t="s">
        <v>149</v>
      </c>
      <c r="M520" s="22">
        <v>1</v>
      </c>
      <c r="R520" s="62"/>
      <c r="S520" s="35">
        <f>IFERROR(
 (1.907*EXP(1)^(-0.5*tbl_CONTENT[[#This Row],[Layer]])) *
 ((tbl_CONTENT[[#This Row],[RelInt]]-1)^(2.5)*4^(1-2.5)+1) +
 ((tbl_CONTENT[[#This Row],[Comp]]-1)^(2.5)*4^(1-2.5)+1)*(0.5*((tbl_CONTENT[[#This Row],[RelInt]]-1)/4)^(2.5)+1),
 0
)</f>
        <v>0</v>
      </c>
      <c r="T520" s="35">
        <f>IFERROR(
 (1.907*EXP(1)^(-0.5*VALUE(tbl_CONTENT[[#This Row],[Layer]]))) *
 ((VALUE(tbl_CONTENT[[#This Row],[RelId]])-1)^(2.5)*4^(1-2.5)+1) +
 ((VALUE(tbl_CONTENT[[#This Row],[Comp]])-1)^(2.5)*4^(1-2.5)+1)*(0.5*((VALUE(tbl_CONTENT[[#This Row],[RelId]])-1)/4)^(2.5)+1),
 0
)</f>
        <v>0</v>
      </c>
      <c r="V520" s="62"/>
      <c r="W520" s="22" t="str">
        <f>IFERROR(
  IF(_xlfn.XLOOKUP(tbl_CONTENT[[#This Row],[Topic]], tbl_TOPIC[Topic], tbl_TOPIC[ParentTopic])="", "",
       _xlfn.XLOOKUP(tbl_CONTENT[[#This Row],[Topic]], tbl_TOPIC[Topic], tbl_TOPIC[ParentTopic])),
  ""
)</f>
        <v>Ringe</v>
      </c>
      <c r="X520" s="22" t="str">
        <f>IFERROR(
  IF(_xlfn.XLOOKUP(tbl_CONTENT[[#This Row],[Topic]], tbl_TOPIC[Topic], tbl_TOPIC[TopicPath])="", "",
       _xlfn.XLOOKUP(tbl_CONTENT[[#This Row],[Topic]], tbl_TOPIC[Topic], tbl_TOPIC[TopicPath])),
  ""
)</f>
        <v>Ringe/Ideale und Quotienten</v>
      </c>
    </row>
    <row r="521" spans="3:24" ht="17" x14ac:dyDescent="0.2">
      <c r="C521" s="62" t="str">
        <f>_xlfn.XLOOKUP(tbl_CONTENT[[#This Row],[TopicID]], tbl_TOPIC[TopicID], tbl_TOPIC[Subject], "")</f>
        <v>A</v>
      </c>
      <c r="D52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A-T12-05-04</v>
      </c>
      <c r="E521" s="62">
        <f>ROW()</f>
        <v>521</v>
      </c>
      <c r="F521" s="22" t="s">
        <v>1051</v>
      </c>
      <c r="G521" s="22" t="str">
        <f>_xlfn.XLOOKUP(tbl_CONTENT[[#This Row],[Topic]], tbl_TOPIC[Topic], tbl_TOPIC[TopicID], "")</f>
        <v>A-1-05</v>
      </c>
      <c r="H521" s="62" cm="1">
        <f t="array" ref="H521">SUM((tbl_CONTENT[[#This Row],[TopicID]]=INDEX(tbl_CONTENT[TopicID],1):tbl_CONTENT[[#This Row],[TopicID]])*1)</f>
        <v>4</v>
      </c>
      <c r="I521" s="62" t="str">
        <f>_xlfn.XLOOKUP(tbl_CONTENT[[#This Row],[Topic]], tbl_TOPIC[Topic], tbl_TOPIC[TopicIndex], "")</f>
        <v>05</v>
      </c>
      <c r="J521" s="22" t="s">
        <v>879</v>
      </c>
      <c r="K521" s="22" t="s">
        <v>1010</v>
      </c>
      <c r="L521" s="22" t="s">
        <v>179</v>
      </c>
      <c r="R521" s="62"/>
      <c r="S521" s="35">
        <f>IFERROR(
 (1.907*EXP(1)^(-0.5*tbl_CONTENT[[#This Row],[Layer]])) *
 ((tbl_CONTENT[[#This Row],[RelInt]]-1)^(2.5)*4^(1-2.5)+1) +
 ((tbl_CONTENT[[#This Row],[Comp]]-1)^(2.5)*4^(1-2.5)+1)*(0.5*((tbl_CONTENT[[#This Row],[RelInt]]-1)/4)^(2.5)+1),
 0
)</f>
        <v>0</v>
      </c>
      <c r="T521" s="35">
        <f>IFERROR(
 (1.907*EXP(1)^(-0.5*VALUE(tbl_CONTENT[[#This Row],[Layer]]))) *
 ((VALUE(tbl_CONTENT[[#This Row],[RelId]])-1)^(2.5)*4^(1-2.5)+1) +
 ((VALUE(tbl_CONTENT[[#This Row],[Comp]])-1)^(2.5)*4^(1-2.5)+1)*(0.5*((VALUE(tbl_CONTENT[[#This Row],[RelId]])-1)/4)^(2.5)+1),
 0
)</f>
        <v>0</v>
      </c>
      <c r="V521" s="62"/>
      <c r="W521" s="22" t="str">
        <f>IFERROR(
  IF(_xlfn.XLOOKUP(tbl_CONTENT[[#This Row],[Topic]], tbl_TOPIC[Topic], tbl_TOPIC[ParentTopic])="", "",
       _xlfn.XLOOKUP(tbl_CONTENT[[#This Row],[Topic]], tbl_TOPIC[Topic], tbl_TOPIC[ParentTopic])),
  ""
)</f>
        <v>Ringe</v>
      </c>
      <c r="X521" s="22" t="str">
        <f>IFERROR(
  IF(_xlfn.XLOOKUP(tbl_CONTENT[[#This Row],[Topic]], tbl_TOPIC[Topic], tbl_TOPIC[TopicPath])="", "",
       _xlfn.XLOOKUP(tbl_CONTENT[[#This Row],[Topic]], tbl_TOPIC[Topic], tbl_TOPIC[TopicPath])),
  ""
)</f>
        <v>Ringe/Ideale und Quotienten</v>
      </c>
    </row>
    <row r="522" spans="3:24" ht="17" x14ac:dyDescent="0.2">
      <c r="C522" s="62" t="str">
        <f>_xlfn.XLOOKUP(tbl_CONTENT[[#This Row],[TopicID]], tbl_TOPIC[TopicID], tbl_TOPIC[Subject], "")</f>
        <v>A</v>
      </c>
      <c r="D52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A-T12-05-05</v>
      </c>
      <c r="E522" s="62">
        <f>ROW()</f>
        <v>522</v>
      </c>
      <c r="F522" s="22" t="s">
        <v>1051</v>
      </c>
      <c r="G522" s="22" t="str">
        <f>_xlfn.XLOOKUP(tbl_CONTENT[[#This Row],[Topic]], tbl_TOPIC[Topic], tbl_TOPIC[TopicID], "")</f>
        <v>A-1-05</v>
      </c>
      <c r="H522" s="62" cm="1">
        <f t="array" ref="H522">SUM((tbl_CONTENT[[#This Row],[TopicID]]=INDEX(tbl_CONTENT[TopicID],1):tbl_CONTENT[[#This Row],[TopicID]])*1)</f>
        <v>5</v>
      </c>
      <c r="I522" s="62" t="str">
        <f>_xlfn.XLOOKUP(tbl_CONTENT[[#This Row],[Topic]], tbl_TOPIC[Topic], tbl_TOPIC[TopicIndex], "")</f>
        <v>05</v>
      </c>
      <c r="J522" s="22" t="s">
        <v>879</v>
      </c>
      <c r="K522" s="22" t="s">
        <v>884</v>
      </c>
      <c r="L522" s="22" t="s">
        <v>151</v>
      </c>
      <c r="R522" s="62"/>
      <c r="S522" s="35">
        <f>IFERROR(
 (1.907*EXP(1)^(-0.5*tbl_CONTENT[[#This Row],[Layer]])) *
 ((tbl_CONTENT[[#This Row],[RelInt]]-1)^(2.5)*4^(1-2.5)+1) +
 ((tbl_CONTENT[[#This Row],[Comp]]-1)^(2.5)*4^(1-2.5)+1)*(0.5*((tbl_CONTENT[[#This Row],[RelInt]]-1)/4)^(2.5)+1),
 0
)</f>
        <v>0</v>
      </c>
      <c r="T522" s="35">
        <f>IFERROR(
 (1.907*EXP(1)^(-0.5*VALUE(tbl_CONTENT[[#This Row],[Layer]]))) *
 ((VALUE(tbl_CONTENT[[#This Row],[RelId]])-1)^(2.5)*4^(1-2.5)+1) +
 ((VALUE(tbl_CONTENT[[#This Row],[Comp]])-1)^(2.5)*4^(1-2.5)+1)*(0.5*((VALUE(tbl_CONTENT[[#This Row],[RelId]])-1)/4)^(2.5)+1),
 0
)</f>
        <v>0</v>
      </c>
      <c r="V522" s="62"/>
      <c r="W522" s="22" t="str">
        <f>IFERROR(
  IF(_xlfn.XLOOKUP(tbl_CONTENT[[#This Row],[Topic]], tbl_TOPIC[Topic], tbl_TOPIC[ParentTopic])="", "",
       _xlfn.XLOOKUP(tbl_CONTENT[[#This Row],[Topic]], tbl_TOPIC[Topic], tbl_TOPIC[ParentTopic])),
  ""
)</f>
        <v>Ringe</v>
      </c>
      <c r="X522" s="22" t="str">
        <f>IFERROR(
  IF(_xlfn.XLOOKUP(tbl_CONTENT[[#This Row],[Topic]], tbl_TOPIC[Topic], tbl_TOPIC[TopicPath])="", "",
       _xlfn.XLOOKUP(tbl_CONTENT[[#This Row],[Topic]], tbl_TOPIC[Topic], tbl_TOPIC[TopicPath])),
  ""
)</f>
        <v>Ringe/Ideale und Quotienten</v>
      </c>
    </row>
    <row r="523" spans="3:24" ht="17" x14ac:dyDescent="0.2">
      <c r="C523" s="62" t="str">
        <f>_xlfn.XLOOKUP(tbl_CONTENT[[#This Row],[TopicID]], tbl_TOPIC[TopicID], tbl_TOPIC[Subject], "")</f>
        <v>A</v>
      </c>
      <c r="D52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A-T12-05-06</v>
      </c>
      <c r="E523" s="62">
        <f>ROW()</f>
        <v>523</v>
      </c>
      <c r="F523" s="22" t="s">
        <v>1051</v>
      </c>
      <c r="G523" s="22" t="str">
        <f>_xlfn.XLOOKUP(tbl_CONTENT[[#This Row],[Topic]], tbl_TOPIC[Topic], tbl_TOPIC[TopicID], "")</f>
        <v>A-1-05</v>
      </c>
      <c r="H523" s="62" cm="1">
        <f t="array" ref="H523">SUM((tbl_CONTENT[[#This Row],[TopicID]]=INDEX(tbl_CONTENT[TopicID],1):tbl_CONTENT[[#This Row],[TopicID]])*1)</f>
        <v>6</v>
      </c>
      <c r="I523" s="62" t="str">
        <f>_xlfn.XLOOKUP(tbl_CONTENT[[#This Row],[Topic]], tbl_TOPIC[Topic], tbl_TOPIC[TopicIndex], "")</f>
        <v>05</v>
      </c>
      <c r="J523" s="22" t="s">
        <v>879</v>
      </c>
      <c r="K523" s="22" t="s">
        <v>1011</v>
      </c>
      <c r="L523" s="22" t="s">
        <v>151</v>
      </c>
      <c r="R523" s="62"/>
      <c r="S523" s="35">
        <f>IFERROR(
 (1.907*EXP(1)^(-0.5*tbl_CONTENT[[#This Row],[Layer]])) *
 ((tbl_CONTENT[[#This Row],[RelInt]]-1)^(2.5)*4^(1-2.5)+1) +
 ((tbl_CONTENT[[#This Row],[Comp]]-1)^(2.5)*4^(1-2.5)+1)*(0.5*((tbl_CONTENT[[#This Row],[RelInt]]-1)/4)^(2.5)+1),
 0
)</f>
        <v>0</v>
      </c>
      <c r="T523" s="35">
        <f>IFERROR(
 (1.907*EXP(1)^(-0.5*VALUE(tbl_CONTENT[[#This Row],[Layer]]))) *
 ((VALUE(tbl_CONTENT[[#This Row],[RelId]])-1)^(2.5)*4^(1-2.5)+1) +
 ((VALUE(tbl_CONTENT[[#This Row],[Comp]])-1)^(2.5)*4^(1-2.5)+1)*(0.5*((VALUE(tbl_CONTENT[[#This Row],[RelId]])-1)/4)^(2.5)+1),
 0
)</f>
        <v>0</v>
      </c>
      <c r="V523" s="62"/>
      <c r="W523" s="22" t="str">
        <f>IFERROR(
  IF(_xlfn.XLOOKUP(tbl_CONTENT[[#This Row],[Topic]], tbl_TOPIC[Topic], tbl_TOPIC[ParentTopic])="", "",
       _xlfn.XLOOKUP(tbl_CONTENT[[#This Row],[Topic]], tbl_TOPIC[Topic], tbl_TOPIC[ParentTopic])),
  ""
)</f>
        <v>Ringe</v>
      </c>
      <c r="X523" s="22" t="str">
        <f>IFERROR(
  IF(_xlfn.XLOOKUP(tbl_CONTENT[[#This Row],[Topic]], tbl_TOPIC[Topic], tbl_TOPIC[TopicPath])="", "",
       _xlfn.XLOOKUP(tbl_CONTENT[[#This Row],[Topic]], tbl_TOPIC[Topic], tbl_TOPIC[TopicPath])),
  ""
)</f>
        <v>Ringe/Ideale und Quotienten</v>
      </c>
    </row>
    <row r="524" spans="3:24" ht="17" x14ac:dyDescent="0.2">
      <c r="C524" s="62" t="str">
        <f>_xlfn.XLOOKUP(tbl_CONTENT[[#This Row],[TopicID]], tbl_TOPIC[TopicID], tbl_TOPIC[Subject], "")</f>
        <v>A</v>
      </c>
      <c r="D52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A-T12-05-07</v>
      </c>
      <c r="E524" s="62">
        <f>ROW()</f>
        <v>524</v>
      </c>
      <c r="F524" s="22" t="s">
        <v>1051</v>
      </c>
      <c r="G524" s="22" t="str">
        <f>_xlfn.XLOOKUP(tbl_CONTENT[[#This Row],[Topic]], tbl_TOPIC[Topic], tbl_TOPIC[TopicID], "")</f>
        <v>A-1-05</v>
      </c>
      <c r="H524" s="62" cm="1">
        <f t="array" ref="H524">SUM((tbl_CONTENT[[#This Row],[TopicID]]=INDEX(tbl_CONTENT[TopicID],1):tbl_CONTENT[[#This Row],[TopicID]])*1)</f>
        <v>7</v>
      </c>
      <c r="I524" s="62" t="str">
        <f>_xlfn.XLOOKUP(tbl_CONTENT[[#This Row],[Topic]], tbl_TOPIC[Topic], tbl_TOPIC[TopicIndex], "")</f>
        <v>05</v>
      </c>
      <c r="J524" s="22" t="s">
        <v>879</v>
      </c>
      <c r="K524" s="22" t="s">
        <v>885</v>
      </c>
      <c r="L524" s="22" t="s">
        <v>152</v>
      </c>
      <c r="M524" s="22">
        <v>1</v>
      </c>
      <c r="R524" s="62"/>
      <c r="S524" s="35">
        <f>IFERROR(
 (1.907*EXP(1)^(-0.5*tbl_CONTENT[[#This Row],[Layer]])) *
 ((tbl_CONTENT[[#This Row],[RelInt]]-1)^(2.5)*4^(1-2.5)+1) +
 ((tbl_CONTENT[[#This Row],[Comp]]-1)^(2.5)*4^(1-2.5)+1)*(0.5*((tbl_CONTENT[[#This Row],[RelInt]]-1)/4)^(2.5)+1),
 0
)</f>
        <v>0</v>
      </c>
      <c r="T524" s="35">
        <f>IFERROR(
 (1.907*EXP(1)^(-0.5*VALUE(tbl_CONTENT[[#This Row],[Layer]]))) *
 ((VALUE(tbl_CONTENT[[#This Row],[RelId]])-1)^(2.5)*4^(1-2.5)+1) +
 ((VALUE(tbl_CONTENT[[#This Row],[Comp]])-1)^(2.5)*4^(1-2.5)+1)*(0.5*((VALUE(tbl_CONTENT[[#This Row],[RelId]])-1)/4)^(2.5)+1),
 0
)</f>
        <v>0</v>
      </c>
      <c r="V524" s="62"/>
      <c r="W524" s="22" t="str">
        <f>IFERROR(
  IF(_xlfn.XLOOKUP(tbl_CONTENT[[#This Row],[Topic]], tbl_TOPIC[Topic], tbl_TOPIC[ParentTopic])="", "",
       _xlfn.XLOOKUP(tbl_CONTENT[[#This Row],[Topic]], tbl_TOPIC[Topic], tbl_TOPIC[ParentTopic])),
  ""
)</f>
        <v>Ringe</v>
      </c>
      <c r="X524" s="22" t="str">
        <f>IFERROR(
  IF(_xlfn.XLOOKUP(tbl_CONTENT[[#This Row],[Topic]], tbl_TOPIC[Topic], tbl_TOPIC[TopicPath])="", "",
       _xlfn.XLOOKUP(tbl_CONTENT[[#This Row],[Topic]], tbl_TOPIC[Topic], tbl_TOPIC[TopicPath])),
  ""
)</f>
        <v>Ringe/Ideale und Quotienten</v>
      </c>
    </row>
    <row r="525" spans="3:24" ht="34" x14ac:dyDescent="0.2">
      <c r="C525" s="62" t="str">
        <f>_xlfn.XLOOKUP(tbl_CONTENT[[#This Row],[TopicID]], tbl_TOPIC[TopicID], tbl_TOPIC[Subject], "")</f>
        <v>A</v>
      </c>
      <c r="D52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A-T12-05-08</v>
      </c>
      <c r="E525" s="62">
        <f>ROW()</f>
        <v>525</v>
      </c>
      <c r="F525" s="22" t="s">
        <v>1051</v>
      </c>
      <c r="G525" s="22" t="str">
        <f>_xlfn.XLOOKUP(tbl_CONTENT[[#This Row],[Topic]], tbl_TOPIC[Topic], tbl_TOPIC[TopicID], "")</f>
        <v>A-1-05</v>
      </c>
      <c r="H525" s="62" cm="1">
        <f t="array" ref="H525">SUM((tbl_CONTENT[[#This Row],[TopicID]]=INDEX(tbl_CONTENT[TopicID],1):tbl_CONTENT[[#This Row],[TopicID]])*1)</f>
        <v>8</v>
      </c>
      <c r="I525" s="62" t="str">
        <f>_xlfn.XLOOKUP(tbl_CONTENT[[#This Row],[Topic]], tbl_TOPIC[Topic], tbl_TOPIC[TopicIndex], "")</f>
        <v>05</v>
      </c>
      <c r="J525" s="22" t="s">
        <v>879</v>
      </c>
      <c r="K525" s="22" t="s">
        <v>886</v>
      </c>
      <c r="L525" s="22" t="s">
        <v>147</v>
      </c>
      <c r="R525" s="62"/>
      <c r="S525" s="35">
        <f>IFERROR(
 (1.907*EXP(1)^(-0.5*tbl_CONTENT[[#This Row],[Layer]])) *
 ((tbl_CONTENT[[#This Row],[RelInt]]-1)^(2.5)*4^(1-2.5)+1) +
 ((tbl_CONTENT[[#This Row],[Comp]]-1)^(2.5)*4^(1-2.5)+1)*(0.5*((tbl_CONTENT[[#This Row],[RelInt]]-1)/4)^(2.5)+1),
 0
)</f>
        <v>0</v>
      </c>
      <c r="T525" s="35">
        <f>IFERROR(
 (1.907*EXP(1)^(-0.5*VALUE(tbl_CONTENT[[#This Row],[Layer]]))) *
 ((VALUE(tbl_CONTENT[[#This Row],[RelId]])-1)^(2.5)*4^(1-2.5)+1) +
 ((VALUE(tbl_CONTENT[[#This Row],[Comp]])-1)^(2.5)*4^(1-2.5)+1)*(0.5*((VALUE(tbl_CONTENT[[#This Row],[RelId]])-1)/4)^(2.5)+1),
 0
)</f>
        <v>0</v>
      </c>
      <c r="V525" s="62"/>
      <c r="W525" s="22" t="str">
        <f>IFERROR(
  IF(_xlfn.XLOOKUP(tbl_CONTENT[[#This Row],[Topic]], tbl_TOPIC[Topic], tbl_TOPIC[ParentTopic])="", "",
       _xlfn.XLOOKUP(tbl_CONTENT[[#This Row],[Topic]], tbl_TOPIC[Topic], tbl_TOPIC[ParentTopic])),
  ""
)</f>
        <v>Ringe</v>
      </c>
      <c r="X525" s="22" t="str">
        <f>IFERROR(
  IF(_xlfn.XLOOKUP(tbl_CONTENT[[#This Row],[Topic]], tbl_TOPIC[Topic], tbl_TOPIC[TopicPath])="", "",
       _xlfn.XLOOKUP(tbl_CONTENT[[#This Row],[Topic]], tbl_TOPIC[Topic], tbl_TOPIC[TopicPath])),
  ""
)</f>
        <v>Ringe/Ideale und Quotienten</v>
      </c>
    </row>
    <row r="526" spans="3:24" ht="17" x14ac:dyDescent="0.2">
      <c r="C526" s="62" t="str">
        <f>_xlfn.XLOOKUP(tbl_CONTENT[[#This Row],[TopicID]], tbl_TOPIC[TopicID], tbl_TOPIC[Subject], "")</f>
        <v>A</v>
      </c>
      <c r="D52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A-T12-05-09</v>
      </c>
      <c r="E526" s="62">
        <f>ROW()</f>
        <v>526</v>
      </c>
      <c r="F526" s="22" t="s">
        <v>1051</v>
      </c>
      <c r="G526" s="22" t="str">
        <f>_xlfn.XLOOKUP(tbl_CONTENT[[#This Row],[Topic]], tbl_TOPIC[Topic], tbl_TOPIC[TopicID], "")</f>
        <v>A-1-05</v>
      </c>
      <c r="H526" s="62" cm="1">
        <f t="array" ref="H526">SUM((tbl_CONTENT[[#This Row],[TopicID]]=INDEX(tbl_CONTENT[TopicID],1):tbl_CONTENT[[#This Row],[TopicID]])*1)</f>
        <v>9</v>
      </c>
      <c r="I526" s="62" t="str">
        <f>_xlfn.XLOOKUP(tbl_CONTENT[[#This Row],[Topic]], tbl_TOPIC[Topic], tbl_TOPIC[TopicIndex], "")</f>
        <v>05</v>
      </c>
      <c r="J526" s="22" t="s">
        <v>879</v>
      </c>
      <c r="K526" s="22" t="s">
        <v>887</v>
      </c>
      <c r="L526" s="22" t="s">
        <v>149</v>
      </c>
      <c r="R526" s="62"/>
      <c r="S526" s="35">
        <f>IFERROR(
 (1.907*EXP(1)^(-0.5*tbl_CONTENT[[#This Row],[Layer]])) *
 ((tbl_CONTENT[[#This Row],[RelInt]]-1)^(2.5)*4^(1-2.5)+1) +
 ((tbl_CONTENT[[#This Row],[Comp]]-1)^(2.5)*4^(1-2.5)+1)*(0.5*((tbl_CONTENT[[#This Row],[RelInt]]-1)/4)^(2.5)+1),
 0
)</f>
        <v>0</v>
      </c>
      <c r="T526" s="35">
        <f>IFERROR(
 (1.907*EXP(1)^(-0.5*VALUE(tbl_CONTENT[[#This Row],[Layer]]))) *
 ((VALUE(tbl_CONTENT[[#This Row],[RelId]])-1)^(2.5)*4^(1-2.5)+1) +
 ((VALUE(tbl_CONTENT[[#This Row],[Comp]])-1)^(2.5)*4^(1-2.5)+1)*(0.5*((VALUE(tbl_CONTENT[[#This Row],[RelId]])-1)/4)^(2.5)+1),
 0
)</f>
        <v>0</v>
      </c>
      <c r="V526" s="62"/>
      <c r="W526" s="22" t="str">
        <f>IFERROR(
  IF(_xlfn.XLOOKUP(tbl_CONTENT[[#This Row],[Topic]], tbl_TOPIC[Topic], tbl_TOPIC[ParentTopic])="", "",
       _xlfn.XLOOKUP(tbl_CONTENT[[#This Row],[Topic]], tbl_TOPIC[Topic], tbl_TOPIC[ParentTopic])),
  ""
)</f>
        <v>Ringe</v>
      </c>
      <c r="X526" s="22" t="str">
        <f>IFERROR(
  IF(_xlfn.XLOOKUP(tbl_CONTENT[[#This Row],[Topic]], tbl_TOPIC[Topic], tbl_TOPIC[TopicPath])="", "",
       _xlfn.XLOOKUP(tbl_CONTENT[[#This Row],[Topic]], tbl_TOPIC[Topic], tbl_TOPIC[TopicPath])),
  ""
)</f>
        <v>Ringe/Ideale und Quotienten</v>
      </c>
    </row>
    <row r="527" spans="3:24" ht="17" x14ac:dyDescent="0.2">
      <c r="C527" s="62" t="str">
        <f>_xlfn.XLOOKUP(tbl_CONTENT[[#This Row],[TopicID]], tbl_TOPIC[TopicID], tbl_TOPIC[Subject], "")</f>
        <v>A</v>
      </c>
      <c r="D52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A-T12-05-10</v>
      </c>
      <c r="E527" s="62">
        <f>ROW()</f>
        <v>527</v>
      </c>
      <c r="F527" s="22" t="s">
        <v>1051</v>
      </c>
      <c r="G527" s="22" t="str">
        <f>_xlfn.XLOOKUP(tbl_CONTENT[[#This Row],[Topic]], tbl_TOPIC[Topic], tbl_TOPIC[TopicID], "")</f>
        <v>A-1-05</v>
      </c>
      <c r="H527" s="62" cm="1">
        <f t="array" ref="H527">SUM((tbl_CONTENT[[#This Row],[TopicID]]=INDEX(tbl_CONTENT[TopicID],1):tbl_CONTENT[[#This Row],[TopicID]])*1)</f>
        <v>10</v>
      </c>
      <c r="I527" s="62" t="str">
        <f>_xlfn.XLOOKUP(tbl_CONTENT[[#This Row],[Topic]], tbl_TOPIC[Topic], tbl_TOPIC[TopicIndex], "")</f>
        <v>05</v>
      </c>
      <c r="J527" s="22" t="s">
        <v>879</v>
      </c>
      <c r="K527" s="22" t="s">
        <v>888</v>
      </c>
      <c r="L527" s="22" t="s">
        <v>152</v>
      </c>
      <c r="R527" s="62"/>
      <c r="S527" s="35">
        <f>IFERROR(
 (1.907*EXP(1)^(-0.5*tbl_CONTENT[[#This Row],[Layer]])) *
 ((tbl_CONTENT[[#This Row],[RelInt]]-1)^(2.5)*4^(1-2.5)+1) +
 ((tbl_CONTENT[[#This Row],[Comp]]-1)^(2.5)*4^(1-2.5)+1)*(0.5*((tbl_CONTENT[[#This Row],[RelInt]]-1)/4)^(2.5)+1),
 0
)</f>
        <v>0</v>
      </c>
      <c r="T527" s="35">
        <f>IFERROR(
 (1.907*EXP(1)^(-0.5*VALUE(tbl_CONTENT[[#This Row],[Layer]]))) *
 ((VALUE(tbl_CONTENT[[#This Row],[RelId]])-1)^(2.5)*4^(1-2.5)+1) +
 ((VALUE(tbl_CONTENT[[#This Row],[Comp]])-1)^(2.5)*4^(1-2.5)+1)*(0.5*((VALUE(tbl_CONTENT[[#This Row],[RelId]])-1)/4)^(2.5)+1),
 0
)</f>
        <v>0</v>
      </c>
      <c r="V527" s="62"/>
      <c r="W527" s="22" t="str">
        <f>IFERROR(
  IF(_xlfn.XLOOKUP(tbl_CONTENT[[#This Row],[Topic]], tbl_TOPIC[Topic], tbl_TOPIC[ParentTopic])="", "",
       _xlfn.XLOOKUP(tbl_CONTENT[[#This Row],[Topic]], tbl_TOPIC[Topic], tbl_TOPIC[ParentTopic])),
  ""
)</f>
        <v>Ringe</v>
      </c>
      <c r="X527" s="22" t="str">
        <f>IFERROR(
  IF(_xlfn.XLOOKUP(tbl_CONTENT[[#This Row],[Topic]], tbl_TOPIC[Topic], tbl_TOPIC[TopicPath])="", "",
       _xlfn.XLOOKUP(tbl_CONTENT[[#This Row],[Topic]], tbl_TOPIC[Topic], tbl_TOPIC[TopicPath])),
  ""
)</f>
        <v>Ringe/Ideale und Quotienten</v>
      </c>
    </row>
    <row r="528" spans="3:24" ht="17" x14ac:dyDescent="0.2">
      <c r="C528" s="62" t="str">
        <f>_xlfn.XLOOKUP(tbl_CONTENT[[#This Row],[TopicID]], tbl_TOPIC[TopicID], tbl_TOPIC[Subject], "")</f>
        <v>A</v>
      </c>
      <c r="D52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A-T12-05-11</v>
      </c>
      <c r="E528" s="62">
        <f>ROW()</f>
        <v>528</v>
      </c>
      <c r="F528" s="22" t="s">
        <v>1051</v>
      </c>
      <c r="G528" s="22" t="str">
        <f>_xlfn.XLOOKUP(tbl_CONTENT[[#This Row],[Topic]], tbl_TOPIC[Topic], tbl_TOPIC[TopicID], "")</f>
        <v>A-1-05</v>
      </c>
      <c r="H528" s="62" cm="1">
        <f t="array" ref="H528">SUM((tbl_CONTENT[[#This Row],[TopicID]]=INDEX(tbl_CONTENT[TopicID],1):tbl_CONTENT[[#This Row],[TopicID]])*1)</f>
        <v>11</v>
      </c>
      <c r="I528" s="62" t="str">
        <f>_xlfn.XLOOKUP(tbl_CONTENT[[#This Row],[Topic]], tbl_TOPIC[Topic], tbl_TOPIC[TopicIndex], "")</f>
        <v>05</v>
      </c>
      <c r="J528" s="22" t="s">
        <v>879</v>
      </c>
      <c r="K528" s="22" t="s">
        <v>1012</v>
      </c>
      <c r="L528" s="22" t="s">
        <v>179</v>
      </c>
      <c r="R528" s="62"/>
      <c r="S528" s="35">
        <f>IFERROR(
 (1.907*EXP(1)^(-0.5*tbl_CONTENT[[#This Row],[Layer]])) *
 ((tbl_CONTENT[[#This Row],[RelInt]]-1)^(2.5)*4^(1-2.5)+1) +
 ((tbl_CONTENT[[#This Row],[Comp]]-1)^(2.5)*4^(1-2.5)+1)*(0.5*((tbl_CONTENT[[#This Row],[RelInt]]-1)/4)^(2.5)+1),
 0
)</f>
        <v>0</v>
      </c>
      <c r="T528" s="35">
        <f>IFERROR(
 (1.907*EXP(1)^(-0.5*VALUE(tbl_CONTENT[[#This Row],[Layer]]))) *
 ((VALUE(tbl_CONTENT[[#This Row],[RelId]])-1)^(2.5)*4^(1-2.5)+1) +
 ((VALUE(tbl_CONTENT[[#This Row],[Comp]])-1)^(2.5)*4^(1-2.5)+1)*(0.5*((VALUE(tbl_CONTENT[[#This Row],[RelId]])-1)/4)^(2.5)+1),
 0
)</f>
        <v>0</v>
      </c>
      <c r="V528" s="62"/>
      <c r="W528" s="22" t="str">
        <f>IFERROR(
  IF(_xlfn.XLOOKUP(tbl_CONTENT[[#This Row],[Topic]], tbl_TOPIC[Topic], tbl_TOPIC[ParentTopic])="", "",
       _xlfn.XLOOKUP(tbl_CONTENT[[#This Row],[Topic]], tbl_TOPIC[Topic], tbl_TOPIC[ParentTopic])),
  ""
)</f>
        <v>Ringe</v>
      </c>
      <c r="X528" s="22" t="str">
        <f>IFERROR(
  IF(_xlfn.XLOOKUP(tbl_CONTENT[[#This Row],[Topic]], tbl_TOPIC[Topic], tbl_TOPIC[TopicPath])="", "",
       _xlfn.XLOOKUP(tbl_CONTENT[[#This Row],[Topic]], tbl_TOPIC[Topic], tbl_TOPIC[TopicPath])),
  ""
)</f>
        <v>Ringe/Ideale und Quotienten</v>
      </c>
    </row>
    <row r="529" spans="3:24" ht="34" x14ac:dyDescent="0.2">
      <c r="C529" s="62" t="str">
        <f>_xlfn.XLOOKUP(tbl_CONTENT[[#This Row],[TopicID]], tbl_TOPIC[TopicID], tbl_TOPIC[Subject], "")</f>
        <v>A</v>
      </c>
      <c r="D52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A-T12-05-12</v>
      </c>
      <c r="E529" s="62">
        <f>ROW()</f>
        <v>529</v>
      </c>
      <c r="F529" s="22" t="s">
        <v>1051</v>
      </c>
      <c r="G529" s="22" t="str">
        <f>_xlfn.XLOOKUP(tbl_CONTENT[[#This Row],[Topic]], tbl_TOPIC[Topic], tbl_TOPIC[TopicID], "")</f>
        <v>A-1-05</v>
      </c>
      <c r="H529" s="62" cm="1">
        <f t="array" ref="H529">SUM((tbl_CONTENT[[#This Row],[TopicID]]=INDEX(tbl_CONTENT[TopicID],1):tbl_CONTENT[[#This Row],[TopicID]])*1)</f>
        <v>12</v>
      </c>
      <c r="I529" s="62" t="str">
        <f>_xlfn.XLOOKUP(tbl_CONTENT[[#This Row],[Topic]], tbl_TOPIC[Topic], tbl_TOPIC[TopicIndex], "")</f>
        <v>05</v>
      </c>
      <c r="J529" s="22" t="s">
        <v>879</v>
      </c>
      <c r="K529" s="22" t="s">
        <v>1013</v>
      </c>
      <c r="L529" s="22" t="s">
        <v>179</v>
      </c>
      <c r="R529" s="62"/>
      <c r="S529" s="35">
        <f>IFERROR(
 (1.907*EXP(1)^(-0.5*tbl_CONTENT[[#This Row],[Layer]])) *
 ((tbl_CONTENT[[#This Row],[RelInt]]-1)^(2.5)*4^(1-2.5)+1) +
 ((tbl_CONTENT[[#This Row],[Comp]]-1)^(2.5)*4^(1-2.5)+1)*(0.5*((tbl_CONTENT[[#This Row],[RelInt]]-1)/4)^(2.5)+1),
 0
)</f>
        <v>0</v>
      </c>
      <c r="T529" s="35">
        <f>IFERROR(
 (1.907*EXP(1)^(-0.5*VALUE(tbl_CONTENT[[#This Row],[Layer]]))) *
 ((VALUE(tbl_CONTENT[[#This Row],[RelId]])-1)^(2.5)*4^(1-2.5)+1) +
 ((VALUE(tbl_CONTENT[[#This Row],[Comp]])-1)^(2.5)*4^(1-2.5)+1)*(0.5*((VALUE(tbl_CONTENT[[#This Row],[RelId]])-1)/4)^(2.5)+1),
 0
)</f>
        <v>0</v>
      </c>
      <c r="V529" s="62"/>
      <c r="W529" s="22" t="str">
        <f>IFERROR(
  IF(_xlfn.XLOOKUP(tbl_CONTENT[[#This Row],[Topic]], tbl_TOPIC[Topic], tbl_TOPIC[ParentTopic])="", "",
       _xlfn.XLOOKUP(tbl_CONTENT[[#This Row],[Topic]], tbl_TOPIC[Topic], tbl_TOPIC[ParentTopic])),
  ""
)</f>
        <v>Ringe</v>
      </c>
      <c r="X529" s="22" t="str">
        <f>IFERROR(
  IF(_xlfn.XLOOKUP(tbl_CONTENT[[#This Row],[Topic]], tbl_TOPIC[Topic], tbl_TOPIC[TopicPath])="", "",
       _xlfn.XLOOKUP(tbl_CONTENT[[#This Row],[Topic]], tbl_TOPIC[Topic], tbl_TOPIC[TopicPath])),
  ""
)</f>
        <v>Ringe/Ideale und Quotienten</v>
      </c>
    </row>
    <row r="530" spans="3:24" ht="17" x14ac:dyDescent="0.2">
      <c r="C530" s="62" t="str">
        <f>_xlfn.XLOOKUP(tbl_CONTENT[[#This Row],[TopicID]], tbl_TOPIC[TopicID], tbl_TOPIC[Subject], "")</f>
        <v>A</v>
      </c>
      <c r="D53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A-T12-05-13</v>
      </c>
      <c r="E530" s="62">
        <f>ROW()</f>
        <v>530</v>
      </c>
      <c r="F530" s="22" t="s">
        <v>1051</v>
      </c>
      <c r="G530" s="22" t="str">
        <f>_xlfn.XLOOKUP(tbl_CONTENT[[#This Row],[Topic]], tbl_TOPIC[Topic], tbl_TOPIC[TopicID], "")</f>
        <v>A-1-05</v>
      </c>
      <c r="H530" s="62" cm="1">
        <f t="array" ref="H530">SUM((tbl_CONTENT[[#This Row],[TopicID]]=INDEX(tbl_CONTENT[TopicID],1):tbl_CONTENT[[#This Row],[TopicID]])*1)</f>
        <v>13</v>
      </c>
      <c r="I530" s="62" t="str">
        <f>_xlfn.XLOOKUP(tbl_CONTENT[[#This Row],[Topic]], tbl_TOPIC[Topic], tbl_TOPIC[TopicIndex], "")</f>
        <v>05</v>
      </c>
      <c r="J530" s="22" t="s">
        <v>879</v>
      </c>
      <c r="K530" s="22" t="s">
        <v>1014</v>
      </c>
      <c r="L530" s="22" t="s">
        <v>179</v>
      </c>
      <c r="R530" s="62"/>
      <c r="S530" s="35">
        <f>IFERROR(
 (1.907*EXP(1)^(-0.5*tbl_CONTENT[[#This Row],[Layer]])) *
 ((tbl_CONTENT[[#This Row],[RelInt]]-1)^(2.5)*4^(1-2.5)+1) +
 ((tbl_CONTENT[[#This Row],[Comp]]-1)^(2.5)*4^(1-2.5)+1)*(0.5*((tbl_CONTENT[[#This Row],[RelInt]]-1)/4)^(2.5)+1),
 0
)</f>
        <v>0</v>
      </c>
      <c r="T530" s="35">
        <f>IFERROR(
 (1.907*EXP(1)^(-0.5*VALUE(tbl_CONTENT[[#This Row],[Layer]]))) *
 ((VALUE(tbl_CONTENT[[#This Row],[RelId]])-1)^(2.5)*4^(1-2.5)+1) +
 ((VALUE(tbl_CONTENT[[#This Row],[Comp]])-1)^(2.5)*4^(1-2.5)+1)*(0.5*((VALUE(tbl_CONTENT[[#This Row],[RelId]])-1)/4)^(2.5)+1),
 0
)</f>
        <v>0</v>
      </c>
      <c r="V530" s="62"/>
      <c r="W530" s="22" t="str">
        <f>IFERROR(
  IF(_xlfn.XLOOKUP(tbl_CONTENT[[#This Row],[Topic]], tbl_TOPIC[Topic], tbl_TOPIC[ParentTopic])="", "",
       _xlfn.XLOOKUP(tbl_CONTENT[[#This Row],[Topic]], tbl_TOPIC[Topic], tbl_TOPIC[ParentTopic])),
  ""
)</f>
        <v>Ringe</v>
      </c>
      <c r="X530" s="22" t="str">
        <f>IFERROR(
  IF(_xlfn.XLOOKUP(tbl_CONTENT[[#This Row],[Topic]], tbl_TOPIC[Topic], tbl_TOPIC[TopicPath])="", "",
       _xlfn.XLOOKUP(tbl_CONTENT[[#This Row],[Topic]], tbl_TOPIC[Topic], tbl_TOPIC[TopicPath])),
  ""
)</f>
        <v>Ringe/Ideale und Quotienten</v>
      </c>
    </row>
    <row r="531" spans="3:24" ht="34" x14ac:dyDescent="0.2">
      <c r="C531" s="62" t="str">
        <f>_xlfn.XLOOKUP(tbl_CONTENT[[#This Row],[TopicID]], tbl_TOPIC[TopicID], tbl_TOPIC[Subject], "")</f>
        <v>A</v>
      </c>
      <c r="D53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A-T12-05-14</v>
      </c>
      <c r="E531" s="62">
        <f>ROW()</f>
        <v>531</v>
      </c>
      <c r="F531" s="22" t="s">
        <v>1051</v>
      </c>
      <c r="G531" s="22" t="str">
        <f>_xlfn.XLOOKUP(tbl_CONTENT[[#This Row],[Topic]], tbl_TOPIC[Topic], tbl_TOPIC[TopicID], "")</f>
        <v>A-1-05</v>
      </c>
      <c r="H531" s="62" cm="1">
        <f t="array" ref="H531">SUM((tbl_CONTENT[[#This Row],[TopicID]]=INDEX(tbl_CONTENT[TopicID],1):tbl_CONTENT[[#This Row],[TopicID]])*1)</f>
        <v>14</v>
      </c>
      <c r="I531" s="62" t="str">
        <f>_xlfn.XLOOKUP(tbl_CONTENT[[#This Row],[Topic]], tbl_TOPIC[Topic], tbl_TOPIC[TopicIndex], "")</f>
        <v>05</v>
      </c>
      <c r="J531" s="22" t="s">
        <v>879</v>
      </c>
      <c r="K531" s="22" t="s">
        <v>889</v>
      </c>
      <c r="L531" s="22" t="s">
        <v>149</v>
      </c>
      <c r="R531" s="62"/>
      <c r="S531" s="35">
        <f>IFERROR(
 (1.907*EXP(1)^(-0.5*tbl_CONTENT[[#This Row],[Layer]])) *
 ((tbl_CONTENT[[#This Row],[RelInt]]-1)^(2.5)*4^(1-2.5)+1) +
 ((tbl_CONTENT[[#This Row],[Comp]]-1)^(2.5)*4^(1-2.5)+1)*(0.5*((tbl_CONTENT[[#This Row],[RelInt]]-1)/4)^(2.5)+1),
 0
)</f>
        <v>0</v>
      </c>
      <c r="T531" s="35">
        <f>IFERROR(
 (1.907*EXP(1)^(-0.5*VALUE(tbl_CONTENT[[#This Row],[Layer]]))) *
 ((VALUE(tbl_CONTENT[[#This Row],[RelId]])-1)^(2.5)*4^(1-2.5)+1) +
 ((VALUE(tbl_CONTENT[[#This Row],[Comp]])-1)^(2.5)*4^(1-2.5)+1)*(0.5*((VALUE(tbl_CONTENT[[#This Row],[RelId]])-1)/4)^(2.5)+1),
 0
)</f>
        <v>0</v>
      </c>
      <c r="V531" s="62"/>
      <c r="W531" s="22" t="str">
        <f>IFERROR(
  IF(_xlfn.XLOOKUP(tbl_CONTENT[[#This Row],[Topic]], tbl_TOPIC[Topic], tbl_TOPIC[ParentTopic])="", "",
       _xlfn.XLOOKUP(tbl_CONTENT[[#This Row],[Topic]], tbl_TOPIC[Topic], tbl_TOPIC[ParentTopic])),
  ""
)</f>
        <v>Ringe</v>
      </c>
      <c r="X531" s="22" t="str">
        <f>IFERROR(
  IF(_xlfn.XLOOKUP(tbl_CONTENT[[#This Row],[Topic]], tbl_TOPIC[Topic], tbl_TOPIC[TopicPath])="", "",
       _xlfn.XLOOKUP(tbl_CONTENT[[#This Row],[Topic]], tbl_TOPIC[Topic], tbl_TOPIC[TopicPath])),
  ""
)</f>
        <v>Ringe/Ideale und Quotienten</v>
      </c>
    </row>
    <row r="532" spans="3:24" ht="34" x14ac:dyDescent="0.2">
      <c r="C532" s="62" t="str">
        <f>_xlfn.XLOOKUP(tbl_CONTENT[[#This Row],[TopicID]], tbl_TOPIC[TopicID], tbl_TOPIC[Subject], "")</f>
        <v>A</v>
      </c>
      <c r="D53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A-T12-05-15</v>
      </c>
      <c r="E532" s="62">
        <f>ROW()</f>
        <v>532</v>
      </c>
      <c r="F532" s="22" t="s">
        <v>1051</v>
      </c>
      <c r="G532" s="22" t="str">
        <f>_xlfn.XLOOKUP(tbl_CONTENT[[#This Row],[Topic]], tbl_TOPIC[Topic], tbl_TOPIC[TopicID], "")</f>
        <v>A-1-05</v>
      </c>
      <c r="H532" s="62" cm="1">
        <f t="array" ref="H532">SUM((tbl_CONTENT[[#This Row],[TopicID]]=INDEX(tbl_CONTENT[TopicID],1):tbl_CONTENT[[#This Row],[TopicID]])*1)</f>
        <v>15</v>
      </c>
      <c r="I532" s="62" t="str">
        <f>_xlfn.XLOOKUP(tbl_CONTENT[[#This Row],[Topic]], tbl_TOPIC[Topic], tbl_TOPIC[TopicIndex], "")</f>
        <v>05</v>
      </c>
      <c r="J532" s="22" t="s">
        <v>879</v>
      </c>
      <c r="K532" s="22" t="s">
        <v>890</v>
      </c>
      <c r="L532" s="22" t="s">
        <v>151</v>
      </c>
      <c r="M532" s="22">
        <v>1</v>
      </c>
      <c r="R532" s="62"/>
      <c r="S532" s="35">
        <f>IFERROR(
 (1.907*EXP(1)^(-0.5*tbl_CONTENT[[#This Row],[Layer]])) *
 ((tbl_CONTENT[[#This Row],[RelInt]]-1)^(2.5)*4^(1-2.5)+1) +
 ((tbl_CONTENT[[#This Row],[Comp]]-1)^(2.5)*4^(1-2.5)+1)*(0.5*((tbl_CONTENT[[#This Row],[RelInt]]-1)/4)^(2.5)+1),
 0
)</f>
        <v>0</v>
      </c>
      <c r="T532" s="35">
        <f>IFERROR(
 (1.907*EXP(1)^(-0.5*VALUE(tbl_CONTENT[[#This Row],[Layer]]))) *
 ((VALUE(tbl_CONTENT[[#This Row],[RelId]])-1)^(2.5)*4^(1-2.5)+1) +
 ((VALUE(tbl_CONTENT[[#This Row],[Comp]])-1)^(2.5)*4^(1-2.5)+1)*(0.5*((VALUE(tbl_CONTENT[[#This Row],[RelId]])-1)/4)^(2.5)+1),
 0
)</f>
        <v>0</v>
      </c>
      <c r="V532" s="62"/>
      <c r="W532" s="22" t="str">
        <f>IFERROR(
  IF(_xlfn.XLOOKUP(tbl_CONTENT[[#This Row],[Topic]], tbl_TOPIC[Topic], tbl_TOPIC[ParentTopic])="", "",
       _xlfn.XLOOKUP(tbl_CONTENT[[#This Row],[Topic]], tbl_TOPIC[Topic], tbl_TOPIC[ParentTopic])),
  ""
)</f>
        <v>Ringe</v>
      </c>
      <c r="X532" s="22" t="str">
        <f>IFERROR(
  IF(_xlfn.XLOOKUP(tbl_CONTENT[[#This Row],[Topic]], tbl_TOPIC[Topic], tbl_TOPIC[TopicPath])="", "",
       _xlfn.XLOOKUP(tbl_CONTENT[[#This Row],[Topic]], tbl_TOPIC[Topic], tbl_TOPIC[TopicPath])),
  ""
)</f>
        <v>Ringe/Ideale und Quotienten</v>
      </c>
    </row>
    <row r="533" spans="3:24" ht="34" x14ac:dyDescent="0.2">
      <c r="C533" s="62" t="str">
        <f>_xlfn.XLOOKUP(tbl_CONTENT[[#This Row],[TopicID]], tbl_TOPIC[TopicID], tbl_TOPIC[Subject], "")</f>
        <v>A</v>
      </c>
      <c r="D53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A-T12-05-16</v>
      </c>
      <c r="E533" s="62">
        <f>ROW()</f>
        <v>533</v>
      </c>
      <c r="F533" s="22" t="s">
        <v>1051</v>
      </c>
      <c r="G533" s="22" t="str">
        <f>_xlfn.XLOOKUP(tbl_CONTENT[[#This Row],[Topic]], tbl_TOPIC[Topic], tbl_TOPIC[TopicID], "")</f>
        <v>A-1-05</v>
      </c>
      <c r="H533" s="62" cm="1">
        <f t="array" ref="H533">SUM((tbl_CONTENT[[#This Row],[TopicID]]=INDEX(tbl_CONTENT[TopicID],1):tbl_CONTENT[[#This Row],[TopicID]])*1)</f>
        <v>16</v>
      </c>
      <c r="I533" s="62" t="str">
        <f>_xlfn.XLOOKUP(tbl_CONTENT[[#This Row],[Topic]], tbl_TOPIC[Topic], tbl_TOPIC[TopicIndex], "")</f>
        <v>05</v>
      </c>
      <c r="J533" s="22" t="s">
        <v>879</v>
      </c>
      <c r="K533" s="22" t="s">
        <v>891</v>
      </c>
      <c r="L533" s="22" t="s">
        <v>148</v>
      </c>
      <c r="R533" s="62"/>
      <c r="S533" s="35">
        <f>IFERROR(
 (1.907*EXP(1)^(-0.5*tbl_CONTENT[[#This Row],[Layer]])) *
 ((tbl_CONTENT[[#This Row],[RelInt]]-1)^(2.5)*4^(1-2.5)+1) +
 ((tbl_CONTENT[[#This Row],[Comp]]-1)^(2.5)*4^(1-2.5)+1)*(0.5*((tbl_CONTENT[[#This Row],[RelInt]]-1)/4)^(2.5)+1),
 0
)</f>
        <v>0</v>
      </c>
      <c r="T533" s="35">
        <f>IFERROR(
 (1.907*EXP(1)^(-0.5*VALUE(tbl_CONTENT[[#This Row],[Layer]]))) *
 ((VALUE(tbl_CONTENT[[#This Row],[RelId]])-1)^(2.5)*4^(1-2.5)+1) +
 ((VALUE(tbl_CONTENT[[#This Row],[Comp]])-1)^(2.5)*4^(1-2.5)+1)*(0.5*((VALUE(tbl_CONTENT[[#This Row],[RelId]])-1)/4)^(2.5)+1),
 0
)</f>
        <v>0</v>
      </c>
      <c r="V533" s="62"/>
      <c r="W533" s="22" t="str">
        <f>IFERROR(
  IF(_xlfn.XLOOKUP(tbl_CONTENT[[#This Row],[Topic]], tbl_TOPIC[Topic], tbl_TOPIC[ParentTopic])="", "",
       _xlfn.XLOOKUP(tbl_CONTENT[[#This Row],[Topic]], tbl_TOPIC[Topic], tbl_TOPIC[ParentTopic])),
  ""
)</f>
        <v>Ringe</v>
      </c>
      <c r="X533" s="22" t="str">
        <f>IFERROR(
  IF(_xlfn.XLOOKUP(tbl_CONTENT[[#This Row],[Topic]], tbl_TOPIC[Topic], tbl_TOPIC[TopicPath])="", "",
       _xlfn.XLOOKUP(tbl_CONTENT[[#This Row],[Topic]], tbl_TOPIC[Topic], tbl_TOPIC[TopicPath])),
  ""
)</f>
        <v>Ringe/Ideale und Quotienten</v>
      </c>
    </row>
    <row r="534" spans="3:24" ht="34" x14ac:dyDescent="0.2">
      <c r="C534" s="62" t="str">
        <f>_xlfn.XLOOKUP(tbl_CONTENT[[#This Row],[TopicID]], tbl_TOPIC[TopicID], tbl_TOPIC[Subject], "")</f>
        <v>A</v>
      </c>
      <c r="D53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A-T12-05-17</v>
      </c>
      <c r="E534" s="62">
        <f>ROW()</f>
        <v>534</v>
      </c>
      <c r="F534" s="22" t="s">
        <v>1051</v>
      </c>
      <c r="G534" s="22" t="str">
        <f>_xlfn.XLOOKUP(tbl_CONTENT[[#This Row],[Topic]], tbl_TOPIC[Topic], tbl_TOPIC[TopicID], "")</f>
        <v>A-1-05</v>
      </c>
      <c r="H534" s="62" cm="1">
        <f t="array" ref="H534">SUM((tbl_CONTENT[[#This Row],[TopicID]]=INDEX(tbl_CONTENT[TopicID],1):tbl_CONTENT[[#This Row],[TopicID]])*1)</f>
        <v>17</v>
      </c>
      <c r="I534" s="62" t="str">
        <f>_xlfn.XLOOKUP(tbl_CONTENT[[#This Row],[Topic]], tbl_TOPIC[Topic], tbl_TOPIC[TopicIndex], "")</f>
        <v>05</v>
      </c>
      <c r="J534" s="22" t="s">
        <v>879</v>
      </c>
      <c r="K534" s="22" t="s">
        <v>892</v>
      </c>
      <c r="L534" s="22" t="s">
        <v>152</v>
      </c>
      <c r="M534" s="22">
        <v>1</v>
      </c>
      <c r="R534" s="62"/>
      <c r="S534" s="35">
        <f>IFERROR(
 (1.907*EXP(1)^(-0.5*tbl_CONTENT[[#This Row],[Layer]])) *
 ((tbl_CONTENT[[#This Row],[RelInt]]-1)^(2.5)*4^(1-2.5)+1) +
 ((tbl_CONTENT[[#This Row],[Comp]]-1)^(2.5)*4^(1-2.5)+1)*(0.5*((tbl_CONTENT[[#This Row],[RelInt]]-1)/4)^(2.5)+1),
 0
)</f>
        <v>0</v>
      </c>
      <c r="T534" s="35">
        <f>IFERROR(
 (1.907*EXP(1)^(-0.5*VALUE(tbl_CONTENT[[#This Row],[Layer]]))) *
 ((VALUE(tbl_CONTENT[[#This Row],[RelId]])-1)^(2.5)*4^(1-2.5)+1) +
 ((VALUE(tbl_CONTENT[[#This Row],[Comp]])-1)^(2.5)*4^(1-2.5)+1)*(0.5*((VALUE(tbl_CONTENT[[#This Row],[RelId]])-1)/4)^(2.5)+1),
 0
)</f>
        <v>0</v>
      </c>
      <c r="V534" s="62"/>
      <c r="W534" s="22" t="str">
        <f>IFERROR(
  IF(_xlfn.XLOOKUP(tbl_CONTENT[[#This Row],[Topic]], tbl_TOPIC[Topic], tbl_TOPIC[ParentTopic])="", "",
       _xlfn.XLOOKUP(tbl_CONTENT[[#This Row],[Topic]], tbl_TOPIC[Topic], tbl_TOPIC[ParentTopic])),
  ""
)</f>
        <v>Ringe</v>
      </c>
      <c r="X534" s="22" t="str">
        <f>IFERROR(
  IF(_xlfn.XLOOKUP(tbl_CONTENT[[#This Row],[Topic]], tbl_TOPIC[Topic], tbl_TOPIC[TopicPath])="", "",
       _xlfn.XLOOKUP(tbl_CONTENT[[#This Row],[Topic]], tbl_TOPIC[Topic], tbl_TOPIC[TopicPath])),
  ""
)</f>
        <v>Ringe/Ideale und Quotienten</v>
      </c>
    </row>
    <row r="535" spans="3:24" ht="34" x14ac:dyDescent="0.2">
      <c r="C535" s="62" t="str">
        <f>_xlfn.XLOOKUP(tbl_CONTENT[[#This Row],[TopicID]], tbl_TOPIC[TopicID], tbl_TOPIC[Subject], "")</f>
        <v>A</v>
      </c>
      <c r="D53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A-T12-05-18</v>
      </c>
      <c r="E535" s="62">
        <f>ROW()</f>
        <v>535</v>
      </c>
      <c r="F535" s="22" t="s">
        <v>1051</v>
      </c>
      <c r="G535" s="22" t="str">
        <f>_xlfn.XLOOKUP(tbl_CONTENT[[#This Row],[Topic]], tbl_TOPIC[Topic], tbl_TOPIC[TopicID], "")</f>
        <v>A-1-05</v>
      </c>
      <c r="H535" s="62" cm="1">
        <f t="array" ref="H535">SUM((tbl_CONTENT[[#This Row],[TopicID]]=INDEX(tbl_CONTENT[TopicID],1):tbl_CONTENT[[#This Row],[TopicID]])*1)</f>
        <v>18</v>
      </c>
      <c r="I535" s="62" t="str">
        <f>_xlfn.XLOOKUP(tbl_CONTENT[[#This Row],[Topic]], tbl_TOPIC[Topic], tbl_TOPIC[TopicIndex], "")</f>
        <v>05</v>
      </c>
      <c r="J535" s="22" t="s">
        <v>879</v>
      </c>
      <c r="K535" s="22" t="s">
        <v>893</v>
      </c>
      <c r="L535" s="22" t="s">
        <v>151</v>
      </c>
      <c r="R535" s="62"/>
      <c r="S535" s="35">
        <f>IFERROR(
 (1.907*EXP(1)^(-0.5*tbl_CONTENT[[#This Row],[Layer]])) *
 ((tbl_CONTENT[[#This Row],[RelInt]]-1)^(2.5)*4^(1-2.5)+1) +
 ((tbl_CONTENT[[#This Row],[Comp]]-1)^(2.5)*4^(1-2.5)+1)*(0.5*((tbl_CONTENT[[#This Row],[RelInt]]-1)/4)^(2.5)+1),
 0
)</f>
        <v>0</v>
      </c>
      <c r="T535" s="35">
        <f>IFERROR(
 (1.907*EXP(1)^(-0.5*VALUE(tbl_CONTENT[[#This Row],[Layer]]))) *
 ((VALUE(tbl_CONTENT[[#This Row],[RelId]])-1)^(2.5)*4^(1-2.5)+1) +
 ((VALUE(tbl_CONTENT[[#This Row],[Comp]])-1)^(2.5)*4^(1-2.5)+1)*(0.5*((VALUE(tbl_CONTENT[[#This Row],[RelId]])-1)/4)^(2.5)+1),
 0
)</f>
        <v>0</v>
      </c>
      <c r="V535" s="62"/>
      <c r="W535" s="22" t="str">
        <f>IFERROR(
  IF(_xlfn.XLOOKUP(tbl_CONTENT[[#This Row],[Topic]], tbl_TOPIC[Topic], tbl_TOPIC[ParentTopic])="", "",
       _xlfn.XLOOKUP(tbl_CONTENT[[#This Row],[Topic]], tbl_TOPIC[Topic], tbl_TOPIC[ParentTopic])),
  ""
)</f>
        <v>Ringe</v>
      </c>
      <c r="X535" s="22" t="str">
        <f>IFERROR(
  IF(_xlfn.XLOOKUP(tbl_CONTENT[[#This Row],[Topic]], tbl_TOPIC[Topic], tbl_TOPIC[TopicPath])="", "",
       _xlfn.XLOOKUP(tbl_CONTENT[[#This Row],[Topic]], tbl_TOPIC[Topic], tbl_TOPIC[TopicPath])),
  ""
)</f>
        <v>Ringe/Ideale und Quotienten</v>
      </c>
    </row>
    <row r="536" spans="3:24" ht="17" x14ac:dyDescent="0.2">
      <c r="C536" s="62" t="str">
        <f>_xlfn.XLOOKUP(tbl_CONTENT[[#This Row],[TopicID]], tbl_TOPIC[TopicID], tbl_TOPIC[Subject], "")</f>
        <v>A</v>
      </c>
      <c r="D53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A-T12-05-19</v>
      </c>
      <c r="E536" s="62">
        <f>ROW()</f>
        <v>536</v>
      </c>
      <c r="F536" s="22" t="s">
        <v>1051</v>
      </c>
      <c r="G536" s="22" t="str">
        <f>_xlfn.XLOOKUP(tbl_CONTENT[[#This Row],[Topic]], tbl_TOPIC[Topic], tbl_TOPIC[TopicID], "")</f>
        <v>A-1-05</v>
      </c>
      <c r="H536" s="62" cm="1">
        <f t="array" ref="H536">SUM((tbl_CONTENT[[#This Row],[TopicID]]=INDEX(tbl_CONTENT[TopicID],1):tbl_CONTENT[[#This Row],[TopicID]])*1)</f>
        <v>19</v>
      </c>
      <c r="I536" s="62" t="str">
        <f>_xlfn.XLOOKUP(tbl_CONTENT[[#This Row],[Topic]], tbl_TOPIC[Topic], tbl_TOPIC[TopicIndex], "")</f>
        <v>05</v>
      </c>
      <c r="J536" s="22" t="s">
        <v>879</v>
      </c>
      <c r="K536" s="22" t="s">
        <v>894</v>
      </c>
      <c r="L536" s="22" t="s">
        <v>147</v>
      </c>
      <c r="R536" s="62"/>
      <c r="S536" s="35">
        <f>IFERROR(
 (1.907*EXP(1)^(-0.5*tbl_CONTENT[[#This Row],[Layer]])) *
 ((tbl_CONTENT[[#This Row],[RelInt]]-1)^(2.5)*4^(1-2.5)+1) +
 ((tbl_CONTENT[[#This Row],[Comp]]-1)^(2.5)*4^(1-2.5)+1)*(0.5*((tbl_CONTENT[[#This Row],[RelInt]]-1)/4)^(2.5)+1),
 0
)</f>
        <v>0</v>
      </c>
      <c r="T536" s="35">
        <f>IFERROR(
 (1.907*EXP(1)^(-0.5*VALUE(tbl_CONTENT[[#This Row],[Layer]]))) *
 ((VALUE(tbl_CONTENT[[#This Row],[RelId]])-1)^(2.5)*4^(1-2.5)+1) +
 ((VALUE(tbl_CONTENT[[#This Row],[Comp]])-1)^(2.5)*4^(1-2.5)+1)*(0.5*((VALUE(tbl_CONTENT[[#This Row],[RelId]])-1)/4)^(2.5)+1),
 0
)</f>
        <v>0</v>
      </c>
      <c r="V536" s="62"/>
      <c r="W536" s="22" t="str">
        <f>IFERROR(
  IF(_xlfn.XLOOKUP(tbl_CONTENT[[#This Row],[Topic]], tbl_TOPIC[Topic], tbl_TOPIC[ParentTopic])="", "",
       _xlfn.XLOOKUP(tbl_CONTENT[[#This Row],[Topic]], tbl_TOPIC[Topic], tbl_TOPIC[ParentTopic])),
  ""
)</f>
        <v>Ringe</v>
      </c>
      <c r="X536" s="22" t="str">
        <f>IFERROR(
  IF(_xlfn.XLOOKUP(tbl_CONTENT[[#This Row],[Topic]], tbl_TOPIC[Topic], tbl_TOPIC[TopicPath])="", "",
       _xlfn.XLOOKUP(tbl_CONTENT[[#This Row],[Topic]], tbl_TOPIC[Topic], tbl_TOPIC[TopicPath])),
  ""
)</f>
        <v>Ringe/Ideale und Quotienten</v>
      </c>
    </row>
    <row r="537" spans="3:24" ht="34" x14ac:dyDescent="0.2">
      <c r="C537" s="62" t="str">
        <f>_xlfn.XLOOKUP(tbl_CONTENT[[#This Row],[TopicID]], tbl_TOPIC[TopicID], tbl_TOPIC[Subject], "")</f>
        <v>A</v>
      </c>
      <c r="D53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A-T12-05-20</v>
      </c>
      <c r="E537" s="62">
        <f>ROW()</f>
        <v>537</v>
      </c>
      <c r="F537" s="22" t="s">
        <v>1051</v>
      </c>
      <c r="G537" s="22" t="str">
        <f>_xlfn.XLOOKUP(tbl_CONTENT[[#This Row],[Topic]], tbl_TOPIC[Topic], tbl_TOPIC[TopicID], "")</f>
        <v>A-1-05</v>
      </c>
      <c r="H537" s="62" cm="1">
        <f t="array" ref="H537">SUM((tbl_CONTENT[[#This Row],[TopicID]]=INDEX(tbl_CONTENT[TopicID],1):tbl_CONTENT[[#This Row],[TopicID]])*1)</f>
        <v>20</v>
      </c>
      <c r="I537" s="62" t="str">
        <f>_xlfn.XLOOKUP(tbl_CONTENT[[#This Row],[Topic]], tbl_TOPIC[Topic], tbl_TOPIC[TopicIndex], "")</f>
        <v>05</v>
      </c>
      <c r="J537" s="22" t="s">
        <v>879</v>
      </c>
      <c r="K537" s="22" t="s">
        <v>895</v>
      </c>
      <c r="L537" s="22" t="s">
        <v>151</v>
      </c>
      <c r="R537" s="62"/>
      <c r="S537" s="35">
        <f>IFERROR(
 (1.907*EXP(1)^(-0.5*tbl_CONTENT[[#This Row],[Layer]])) *
 ((tbl_CONTENT[[#This Row],[RelInt]]-1)^(2.5)*4^(1-2.5)+1) +
 ((tbl_CONTENT[[#This Row],[Comp]]-1)^(2.5)*4^(1-2.5)+1)*(0.5*((tbl_CONTENT[[#This Row],[RelInt]]-1)/4)^(2.5)+1),
 0
)</f>
        <v>0</v>
      </c>
      <c r="T537" s="35">
        <f>IFERROR(
 (1.907*EXP(1)^(-0.5*VALUE(tbl_CONTENT[[#This Row],[Layer]]))) *
 ((VALUE(tbl_CONTENT[[#This Row],[RelId]])-1)^(2.5)*4^(1-2.5)+1) +
 ((VALUE(tbl_CONTENT[[#This Row],[Comp]])-1)^(2.5)*4^(1-2.5)+1)*(0.5*((VALUE(tbl_CONTENT[[#This Row],[RelId]])-1)/4)^(2.5)+1),
 0
)</f>
        <v>0</v>
      </c>
      <c r="V537" s="62"/>
      <c r="W537" s="22" t="str">
        <f>IFERROR(
  IF(_xlfn.XLOOKUP(tbl_CONTENT[[#This Row],[Topic]], tbl_TOPIC[Topic], tbl_TOPIC[ParentTopic])="", "",
       _xlfn.XLOOKUP(tbl_CONTENT[[#This Row],[Topic]], tbl_TOPIC[Topic], tbl_TOPIC[ParentTopic])),
  ""
)</f>
        <v>Ringe</v>
      </c>
      <c r="X537" s="22" t="str">
        <f>IFERROR(
  IF(_xlfn.XLOOKUP(tbl_CONTENT[[#This Row],[Topic]], tbl_TOPIC[Topic], tbl_TOPIC[TopicPath])="", "",
       _xlfn.XLOOKUP(tbl_CONTENT[[#This Row],[Topic]], tbl_TOPIC[Topic], tbl_TOPIC[TopicPath])),
  ""
)</f>
        <v>Ringe/Ideale und Quotienten</v>
      </c>
    </row>
    <row r="538" spans="3:24" ht="34" x14ac:dyDescent="0.2">
      <c r="C538" s="62" t="str">
        <f>_xlfn.XLOOKUP(tbl_CONTENT[[#This Row],[TopicID]], tbl_TOPIC[TopicID], tbl_TOPIC[Subject], "")</f>
        <v>A</v>
      </c>
      <c r="D53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A-T12-05-21</v>
      </c>
      <c r="E538" s="62">
        <f>ROW()</f>
        <v>538</v>
      </c>
      <c r="F538" s="22" t="s">
        <v>1051</v>
      </c>
      <c r="G538" s="22" t="str">
        <f>_xlfn.XLOOKUP(tbl_CONTENT[[#This Row],[Topic]], tbl_TOPIC[Topic], tbl_TOPIC[TopicID], "")</f>
        <v>A-1-05</v>
      </c>
      <c r="H538" s="62" cm="1">
        <f t="array" ref="H538">SUM((tbl_CONTENT[[#This Row],[TopicID]]=INDEX(tbl_CONTENT[TopicID],1):tbl_CONTENT[[#This Row],[TopicID]])*1)</f>
        <v>21</v>
      </c>
      <c r="I538" s="62" t="str">
        <f>_xlfn.XLOOKUP(tbl_CONTENT[[#This Row],[Topic]], tbl_TOPIC[Topic], tbl_TOPIC[TopicIndex], "")</f>
        <v>05</v>
      </c>
      <c r="J538" s="22" t="s">
        <v>879</v>
      </c>
      <c r="K538" s="22" t="s">
        <v>896</v>
      </c>
      <c r="L538" s="22" t="s">
        <v>151</v>
      </c>
      <c r="R538" s="62"/>
      <c r="S538" s="35">
        <f>IFERROR(
 (1.907*EXP(1)^(-0.5*tbl_CONTENT[[#This Row],[Layer]])) *
 ((tbl_CONTENT[[#This Row],[RelInt]]-1)^(2.5)*4^(1-2.5)+1) +
 ((tbl_CONTENT[[#This Row],[Comp]]-1)^(2.5)*4^(1-2.5)+1)*(0.5*((tbl_CONTENT[[#This Row],[RelInt]]-1)/4)^(2.5)+1),
 0
)</f>
        <v>0</v>
      </c>
      <c r="T538" s="35">
        <f>IFERROR(
 (1.907*EXP(1)^(-0.5*VALUE(tbl_CONTENT[[#This Row],[Layer]]))) *
 ((VALUE(tbl_CONTENT[[#This Row],[RelId]])-1)^(2.5)*4^(1-2.5)+1) +
 ((VALUE(tbl_CONTENT[[#This Row],[Comp]])-1)^(2.5)*4^(1-2.5)+1)*(0.5*((VALUE(tbl_CONTENT[[#This Row],[RelId]])-1)/4)^(2.5)+1),
 0
)</f>
        <v>0</v>
      </c>
      <c r="V538" s="62"/>
      <c r="W538" s="22" t="str">
        <f>IFERROR(
  IF(_xlfn.XLOOKUP(tbl_CONTENT[[#This Row],[Topic]], tbl_TOPIC[Topic], tbl_TOPIC[ParentTopic])="", "",
       _xlfn.XLOOKUP(tbl_CONTENT[[#This Row],[Topic]], tbl_TOPIC[Topic], tbl_TOPIC[ParentTopic])),
  ""
)</f>
        <v>Ringe</v>
      </c>
      <c r="X538" s="22" t="str">
        <f>IFERROR(
  IF(_xlfn.XLOOKUP(tbl_CONTENT[[#This Row],[Topic]], tbl_TOPIC[Topic], tbl_TOPIC[TopicPath])="", "",
       _xlfn.XLOOKUP(tbl_CONTENT[[#This Row],[Topic]], tbl_TOPIC[Topic], tbl_TOPIC[TopicPath])),
  ""
)</f>
        <v>Ringe/Ideale und Quotienten</v>
      </c>
    </row>
    <row r="539" spans="3:24" ht="17" x14ac:dyDescent="0.2">
      <c r="C539" s="62" t="str">
        <f>_xlfn.XLOOKUP(tbl_CONTENT[[#This Row],[TopicID]], tbl_TOPIC[TopicID], tbl_TOPIC[Subject], "")</f>
        <v>A</v>
      </c>
      <c r="D53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A-T12-05-22</v>
      </c>
      <c r="E539" s="62">
        <f>ROW()</f>
        <v>539</v>
      </c>
      <c r="F539" s="22" t="s">
        <v>1051</v>
      </c>
      <c r="G539" s="22" t="str">
        <f>_xlfn.XLOOKUP(tbl_CONTENT[[#This Row],[Topic]], tbl_TOPIC[Topic], tbl_TOPIC[TopicID], "")</f>
        <v>A-1-05</v>
      </c>
      <c r="H539" s="62" cm="1">
        <f t="array" ref="H539">SUM((tbl_CONTENT[[#This Row],[TopicID]]=INDEX(tbl_CONTENT[TopicID],1):tbl_CONTENT[[#This Row],[TopicID]])*1)</f>
        <v>22</v>
      </c>
      <c r="I539" s="62" t="str">
        <f>_xlfn.XLOOKUP(tbl_CONTENT[[#This Row],[Topic]], tbl_TOPIC[Topic], tbl_TOPIC[TopicIndex], "")</f>
        <v>05</v>
      </c>
      <c r="J539" s="22" t="s">
        <v>879</v>
      </c>
      <c r="K539" s="22" t="s">
        <v>897</v>
      </c>
      <c r="L539" s="22" t="s">
        <v>151</v>
      </c>
      <c r="M539" s="22">
        <v>1</v>
      </c>
      <c r="R539" s="62"/>
      <c r="S539" s="35">
        <f>IFERROR(
 (1.907*EXP(1)^(-0.5*tbl_CONTENT[[#This Row],[Layer]])) *
 ((tbl_CONTENT[[#This Row],[RelInt]]-1)^(2.5)*4^(1-2.5)+1) +
 ((tbl_CONTENT[[#This Row],[Comp]]-1)^(2.5)*4^(1-2.5)+1)*(0.5*((tbl_CONTENT[[#This Row],[RelInt]]-1)/4)^(2.5)+1),
 0
)</f>
        <v>0</v>
      </c>
      <c r="T539" s="35">
        <f>IFERROR(
 (1.907*EXP(1)^(-0.5*VALUE(tbl_CONTENT[[#This Row],[Layer]]))) *
 ((VALUE(tbl_CONTENT[[#This Row],[RelId]])-1)^(2.5)*4^(1-2.5)+1) +
 ((VALUE(tbl_CONTENT[[#This Row],[Comp]])-1)^(2.5)*4^(1-2.5)+1)*(0.5*((VALUE(tbl_CONTENT[[#This Row],[RelId]])-1)/4)^(2.5)+1),
 0
)</f>
        <v>0</v>
      </c>
      <c r="V539" s="62"/>
      <c r="W539" s="22" t="str">
        <f>IFERROR(
  IF(_xlfn.XLOOKUP(tbl_CONTENT[[#This Row],[Topic]], tbl_TOPIC[Topic], tbl_TOPIC[ParentTopic])="", "",
       _xlfn.XLOOKUP(tbl_CONTENT[[#This Row],[Topic]], tbl_TOPIC[Topic], tbl_TOPIC[ParentTopic])),
  ""
)</f>
        <v>Ringe</v>
      </c>
      <c r="X539" s="22" t="str">
        <f>IFERROR(
  IF(_xlfn.XLOOKUP(tbl_CONTENT[[#This Row],[Topic]], tbl_TOPIC[Topic], tbl_TOPIC[TopicPath])="", "",
       _xlfn.XLOOKUP(tbl_CONTENT[[#This Row],[Topic]], tbl_TOPIC[Topic], tbl_TOPIC[TopicPath])),
  ""
)</f>
        <v>Ringe/Ideale und Quotienten</v>
      </c>
    </row>
    <row r="540" spans="3:24" ht="51" x14ac:dyDescent="0.2">
      <c r="C540" s="62" t="str">
        <f>_xlfn.XLOOKUP(tbl_CONTENT[[#This Row],[TopicID]], tbl_TOPIC[TopicID], tbl_TOPIC[Subject], "")</f>
        <v>A</v>
      </c>
      <c r="D54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A-T12-05-23</v>
      </c>
      <c r="E540" s="62">
        <f>ROW()</f>
        <v>540</v>
      </c>
      <c r="F540" s="22" t="s">
        <v>1051</v>
      </c>
      <c r="G540" s="22" t="str">
        <f>_xlfn.XLOOKUP(tbl_CONTENT[[#This Row],[Topic]], tbl_TOPIC[Topic], tbl_TOPIC[TopicID], "")</f>
        <v>A-1-05</v>
      </c>
      <c r="H540" s="62" cm="1">
        <f t="array" ref="H540">SUM((tbl_CONTENT[[#This Row],[TopicID]]=INDEX(tbl_CONTENT[TopicID],1):tbl_CONTENT[[#This Row],[TopicID]])*1)</f>
        <v>23</v>
      </c>
      <c r="I540" s="62" t="str">
        <f>_xlfn.XLOOKUP(tbl_CONTENT[[#This Row],[Topic]], tbl_TOPIC[Topic], tbl_TOPIC[TopicIndex], "")</f>
        <v>05</v>
      </c>
      <c r="J540" s="22" t="s">
        <v>879</v>
      </c>
      <c r="K540" s="22" t="s">
        <v>1016</v>
      </c>
      <c r="L540" s="22" t="s">
        <v>147</v>
      </c>
      <c r="R540" s="62"/>
      <c r="S540" s="35">
        <f>IFERROR(
 (1.907*EXP(1)^(-0.5*tbl_CONTENT[[#This Row],[Layer]])) *
 ((tbl_CONTENT[[#This Row],[RelInt]]-1)^(2.5)*4^(1-2.5)+1) +
 ((tbl_CONTENT[[#This Row],[Comp]]-1)^(2.5)*4^(1-2.5)+1)*(0.5*((tbl_CONTENT[[#This Row],[RelInt]]-1)/4)^(2.5)+1),
 0
)</f>
        <v>0</v>
      </c>
      <c r="T540" s="35">
        <f>IFERROR(
 (1.907*EXP(1)^(-0.5*VALUE(tbl_CONTENT[[#This Row],[Layer]]))) *
 ((VALUE(tbl_CONTENT[[#This Row],[RelId]])-1)^(2.5)*4^(1-2.5)+1) +
 ((VALUE(tbl_CONTENT[[#This Row],[Comp]])-1)^(2.5)*4^(1-2.5)+1)*(0.5*((VALUE(tbl_CONTENT[[#This Row],[RelId]])-1)/4)^(2.5)+1),
 0
)</f>
        <v>0</v>
      </c>
      <c r="V540" s="62"/>
      <c r="W540" s="22" t="str">
        <f>IFERROR(
  IF(_xlfn.XLOOKUP(tbl_CONTENT[[#This Row],[Topic]], tbl_TOPIC[Topic], tbl_TOPIC[ParentTopic])="", "",
       _xlfn.XLOOKUP(tbl_CONTENT[[#This Row],[Topic]], tbl_TOPIC[Topic], tbl_TOPIC[ParentTopic])),
  ""
)</f>
        <v>Ringe</v>
      </c>
      <c r="X540" s="22" t="str">
        <f>IFERROR(
  IF(_xlfn.XLOOKUP(tbl_CONTENT[[#This Row],[Topic]], tbl_TOPIC[Topic], tbl_TOPIC[TopicPath])="", "",
       _xlfn.XLOOKUP(tbl_CONTENT[[#This Row],[Topic]], tbl_TOPIC[Topic], tbl_TOPIC[TopicPath])),
  ""
)</f>
        <v>Ringe/Ideale und Quotienten</v>
      </c>
    </row>
    <row r="541" spans="3:24" ht="51" x14ac:dyDescent="0.2">
      <c r="C541" s="62" t="str">
        <f>_xlfn.XLOOKUP(tbl_CONTENT[[#This Row],[TopicID]], tbl_TOPIC[TopicID], tbl_TOPIC[Subject], "")</f>
        <v>A</v>
      </c>
      <c r="D54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A-T12-05-24</v>
      </c>
      <c r="E541" s="62">
        <f>ROW()</f>
        <v>541</v>
      </c>
      <c r="F541" s="22" t="s">
        <v>1051</v>
      </c>
      <c r="G541" s="22" t="str">
        <f>_xlfn.XLOOKUP(tbl_CONTENT[[#This Row],[Topic]], tbl_TOPIC[Topic], tbl_TOPIC[TopicID], "")</f>
        <v>A-1-05</v>
      </c>
      <c r="H541" s="62" cm="1">
        <f t="array" ref="H541">SUM((tbl_CONTENT[[#This Row],[TopicID]]=INDEX(tbl_CONTENT[TopicID],1):tbl_CONTENT[[#This Row],[TopicID]])*1)</f>
        <v>24</v>
      </c>
      <c r="I541" s="62" t="str">
        <f>_xlfn.XLOOKUP(tbl_CONTENT[[#This Row],[Topic]], tbl_TOPIC[Topic], tbl_TOPIC[TopicIndex], "")</f>
        <v>05</v>
      </c>
      <c r="J541" s="22" t="s">
        <v>879</v>
      </c>
      <c r="K541" s="22" t="s">
        <v>1015</v>
      </c>
      <c r="L541" s="22" t="s">
        <v>179</v>
      </c>
      <c r="R541" s="62"/>
      <c r="S541" s="35">
        <f>IFERROR(
 (1.907*EXP(1)^(-0.5*tbl_CONTENT[[#This Row],[Layer]])) *
 ((tbl_CONTENT[[#This Row],[RelInt]]-1)^(2.5)*4^(1-2.5)+1) +
 ((tbl_CONTENT[[#This Row],[Comp]]-1)^(2.5)*4^(1-2.5)+1)*(0.5*((tbl_CONTENT[[#This Row],[RelInt]]-1)/4)^(2.5)+1),
 0
)</f>
        <v>0</v>
      </c>
      <c r="T541" s="35">
        <f>IFERROR(
 (1.907*EXP(1)^(-0.5*VALUE(tbl_CONTENT[[#This Row],[Layer]]))) *
 ((VALUE(tbl_CONTENT[[#This Row],[RelId]])-1)^(2.5)*4^(1-2.5)+1) +
 ((VALUE(tbl_CONTENT[[#This Row],[Comp]])-1)^(2.5)*4^(1-2.5)+1)*(0.5*((VALUE(tbl_CONTENT[[#This Row],[RelId]])-1)/4)^(2.5)+1),
 0
)</f>
        <v>0</v>
      </c>
      <c r="V541" s="62"/>
      <c r="W541" s="22" t="str">
        <f>IFERROR(
  IF(_xlfn.XLOOKUP(tbl_CONTENT[[#This Row],[Topic]], tbl_TOPIC[Topic], tbl_TOPIC[ParentTopic])="", "",
       _xlfn.XLOOKUP(tbl_CONTENT[[#This Row],[Topic]], tbl_TOPIC[Topic], tbl_TOPIC[ParentTopic])),
  ""
)</f>
        <v>Ringe</v>
      </c>
      <c r="X541" s="22" t="str">
        <f>IFERROR(
  IF(_xlfn.XLOOKUP(tbl_CONTENT[[#This Row],[Topic]], tbl_TOPIC[Topic], tbl_TOPIC[TopicPath])="", "",
       _xlfn.XLOOKUP(tbl_CONTENT[[#This Row],[Topic]], tbl_TOPIC[Topic], tbl_TOPIC[TopicPath])),
  ""
)</f>
        <v>Ringe/Ideale und Quotienten</v>
      </c>
    </row>
    <row r="542" spans="3:24" ht="17" x14ac:dyDescent="0.2">
      <c r="C542" s="62" t="str">
        <f>_xlfn.XLOOKUP(tbl_CONTENT[[#This Row],[TopicID]], tbl_TOPIC[TopicID], tbl_TOPIC[Subject], "")</f>
        <v>A</v>
      </c>
      <c r="D54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A-T12-05-25</v>
      </c>
      <c r="E542" s="62">
        <f>ROW()</f>
        <v>542</v>
      </c>
      <c r="F542" s="22" t="s">
        <v>1051</v>
      </c>
      <c r="G542" s="22" t="str">
        <f>_xlfn.XLOOKUP(tbl_CONTENT[[#This Row],[Topic]], tbl_TOPIC[Topic], tbl_TOPIC[TopicID], "")</f>
        <v>A-1-05</v>
      </c>
      <c r="H542" s="62" cm="1">
        <f t="array" ref="H542">SUM((tbl_CONTENT[[#This Row],[TopicID]]=INDEX(tbl_CONTENT[TopicID],1):tbl_CONTENT[[#This Row],[TopicID]])*1)</f>
        <v>25</v>
      </c>
      <c r="I542" s="62" t="str">
        <f>_xlfn.XLOOKUP(tbl_CONTENT[[#This Row],[Topic]], tbl_TOPIC[Topic], tbl_TOPIC[TopicIndex], "")</f>
        <v>05</v>
      </c>
      <c r="J542" s="22" t="s">
        <v>879</v>
      </c>
      <c r="K542" s="22" t="s">
        <v>898</v>
      </c>
      <c r="L542" s="22" t="s">
        <v>151</v>
      </c>
      <c r="R542" s="62"/>
      <c r="S542" s="35">
        <f>IFERROR(
 (1.907*EXP(1)^(-0.5*tbl_CONTENT[[#This Row],[Layer]])) *
 ((tbl_CONTENT[[#This Row],[RelInt]]-1)^(2.5)*4^(1-2.5)+1) +
 ((tbl_CONTENT[[#This Row],[Comp]]-1)^(2.5)*4^(1-2.5)+1)*(0.5*((tbl_CONTENT[[#This Row],[RelInt]]-1)/4)^(2.5)+1),
 0
)</f>
        <v>0</v>
      </c>
      <c r="T542" s="35">
        <f>IFERROR(
 (1.907*EXP(1)^(-0.5*VALUE(tbl_CONTENT[[#This Row],[Layer]]))) *
 ((VALUE(tbl_CONTENT[[#This Row],[RelId]])-1)^(2.5)*4^(1-2.5)+1) +
 ((VALUE(tbl_CONTENT[[#This Row],[Comp]])-1)^(2.5)*4^(1-2.5)+1)*(0.5*((VALUE(tbl_CONTENT[[#This Row],[RelId]])-1)/4)^(2.5)+1),
 0
)</f>
        <v>0</v>
      </c>
      <c r="V542" s="62"/>
      <c r="W542" s="22" t="str">
        <f>IFERROR(
  IF(_xlfn.XLOOKUP(tbl_CONTENT[[#This Row],[Topic]], tbl_TOPIC[Topic], tbl_TOPIC[ParentTopic])="", "",
       _xlfn.XLOOKUP(tbl_CONTENT[[#This Row],[Topic]], tbl_TOPIC[Topic], tbl_TOPIC[ParentTopic])),
  ""
)</f>
        <v>Ringe</v>
      </c>
      <c r="X542" s="22" t="str">
        <f>IFERROR(
  IF(_xlfn.XLOOKUP(tbl_CONTENT[[#This Row],[Topic]], tbl_TOPIC[Topic], tbl_TOPIC[TopicPath])="", "",
       _xlfn.XLOOKUP(tbl_CONTENT[[#This Row],[Topic]], tbl_TOPIC[Topic], tbl_TOPIC[TopicPath])),
  ""
)</f>
        <v>Ringe/Ideale und Quotienten</v>
      </c>
    </row>
    <row r="543" spans="3:24" ht="17" x14ac:dyDescent="0.2">
      <c r="C543" s="62" t="str">
        <f>_xlfn.XLOOKUP(tbl_CONTENT[[#This Row],[TopicID]], tbl_TOPIC[TopicID], tbl_TOPIC[Subject], "")</f>
        <v>A</v>
      </c>
      <c r="D54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A-T12-05-26</v>
      </c>
      <c r="E543" s="62">
        <f>ROW()</f>
        <v>543</v>
      </c>
      <c r="F543" s="22" t="s">
        <v>1051</v>
      </c>
      <c r="G543" s="22" t="str">
        <f>_xlfn.XLOOKUP(tbl_CONTENT[[#This Row],[Topic]], tbl_TOPIC[Topic], tbl_TOPIC[TopicID], "")</f>
        <v>A-1-05</v>
      </c>
      <c r="H543" s="62" cm="1">
        <f t="array" ref="H543">SUM((tbl_CONTENT[[#This Row],[TopicID]]=INDEX(tbl_CONTENT[TopicID],1):tbl_CONTENT[[#This Row],[TopicID]])*1)</f>
        <v>26</v>
      </c>
      <c r="I543" s="62" t="str">
        <f>_xlfn.XLOOKUP(tbl_CONTENT[[#This Row],[Topic]], tbl_TOPIC[Topic], tbl_TOPIC[TopicIndex], "")</f>
        <v>05</v>
      </c>
      <c r="J543" s="22" t="s">
        <v>879</v>
      </c>
      <c r="K543" s="22" t="s">
        <v>899</v>
      </c>
      <c r="L543" s="22" t="s">
        <v>151</v>
      </c>
      <c r="R543" s="62"/>
      <c r="S543" s="35">
        <f>IFERROR(
 (1.907*EXP(1)^(-0.5*tbl_CONTENT[[#This Row],[Layer]])) *
 ((tbl_CONTENT[[#This Row],[RelInt]]-1)^(2.5)*4^(1-2.5)+1) +
 ((tbl_CONTENT[[#This Row],[Comp]]-1)^(2.5)*4^(1-2.5)+1)*(0.5*((tbl_CONTENT[[#This Row],[RelInt]]-1)/4)^(2.5)+1),
 0
)</f>
        <v>0</v>
      </c>
      <c r="T543" s="35">
        <f>IFERROR(
 (1.907*EXP(1)^(-0.5*VALUE(tbl_CONTENT[[#This Row],[Layer]]))) *
 ((VALUE(tbl_CONTENT[[#This Row],[RelId]])-1)^(2.5)*4^(1-2.5)+1) +
 ((VALUE(tbl_CONTENT[[#This Row],[Comp]])-1)^(2.5)*4^(1-2.5)+1)*(0.5*((VALUE(tbl_CONTENT[[#This Row],[RelId]])-1)/4)^(2.5)+1),
 0
)</f>
        <v>0</v>
      </c>
      <c r="V543" s="62"/>
      <c r="W543" s="22" t="str">
        <f>IFERROR(
  IF(_xlfn.XLOOKUP(tbl_CONTENT[[#This Row],[Topic]], tbl_TOPIC[Topic], tbl_TOPIC[ParentTopic])="", "",
       _xlfn.XLOOKUP(tbl_CONTENT[[#This Row],[Topic]], tbl_TOPIC[Topic], tbl_TOPIC[ParentTopic])),
  ""
)</f>
        <v>Ringe</v>
      </c>
      <c r="X543" s="22" t="str">
        <f>IFERROR(
  IF(_xlfn.XLOOKUP(tbl_CONTENT[[#This Row],[Topic]], tbl_TOPIC[Topic], tbl_TOPIC[TopicPath])="", "",
       _xlfn.XLOOKUP(tbl_CONTENT[[#This Row],[Topic]], tbl_TOPIC[Topic], tbl_TOPIC[TopicPath])),
  ""
)</f>
        <v>Ringe/Ideale und Quotienten</v>
      </c>
    </row>
    <row r="544" spans="3:24" ht="51" x14ac:dyDescent="0.2">
      <c r="C544" s="62" t="str">
        <f>_xlfn.XLOOKUP(tbl_CONTENT[[#This Row],[TopicID]], tbl_TOPIC[TopicID], tbl_TOPIC[Subject], "")</f>
        <v>QM</v>
      </c>
      <c r="D54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QM-T12-22-01</v>
      </c>
      <c r="E544" s="62">
        <f>ROW()</f>
        <v>544</v>
      </c>
      <c r="F544" s="22" t="s">
        <v>1051</v>
      </c>
      <c r="G544" s="22" t="str">
        <f>_xlfn.XLOOKUP(tbl_CONTENT[[#This Row],[Topic]], tbl_TOPIC[Topic], tbl_TOPIC[TopicID], "")</f>
        <v>QM-1-22</v>
      </c>
      <c r="H544" s="62" cm="1">
        <f t="array" ref="H544">SUM((tbl_CONTENT[[#This Row],[TopicID]]=INDEX(tbl_CONTENT[TopicID],1):tbl_CONTENT[[#This Row],[TopicID]])*1)</f>
        <v>1</v>
      </c>
      <c r="I544" s="62" t="str">
        <f>_xlfn.XLOOKUP(tbl_CONTENT[[#This Row],[Topic]], tbl_TOPIC[Topic], tbl_TOPIC[TopicIndex], "")</f>
        <v>22</v>
      </c>
      <c r="J544" s="22" t="s">
        <v>677</v>
      </c>
      <c r="K544" s="22" t="s">
        <v>907</v>
      </c>
      <c r="L544" s="22" t="s">
        <v>380</v>
      </c>
      <c r="R544" s="62"/>
      <c r="S544" s="35">
        <f>IFERROR(
 (1.907*EXP(1)^(-0.5*tbl_CONTENT[[#This Row],[Layer]])) *
 ((tbl_CONTENT[[#This Row],[RelInt]]-1)^(2.5)*4^(1-2.5)+1) +
 ((tbl_CONTENT[[#This Row],[Comp]]-1)^(2.5)*4^(1-2.5)+1)*(0.5*((tbl_CONTENT[[#This Row],[RelInt]]-1)/4)^(2.5)+1),
 0
)</f>
        <v>0</v>
      </c>
      <c r="T544" s="35">
        <f>IFERROR(
 (1.907*EXP(1)^(-0.5*VALUE(tbl_CONTENT[[#This Row],[Layer]]))) *
 ((VALUE(tbl_CONTENT[[#This Row],[RelId]])-1)^(2.5)*4^(1-2.5)+1) +
 ((VALUE(tbl_CONTENT[[#This Row],[Comp]])-1)^(2.5)*4^(1-2.5)+1)*(0.5*((VALUE(tbl_CONTENT[[#This Row],[RelId]])-1)/4)^(2.5)+1),
 0
)</f>
        <v>0</v>
      </c>
      <c r="V544" s="62"/>
      <c r="W544" s="22" t="str">
        <f>IFERROR(
  IF(_xlfn.XLOOKUP(tbl_CONTENT[[#This Row],[Topic]], tbl_TOPIC[Topic], tbl_TOPIC[ParentTopic])="", "",
       _xlfn.XLOOKUP(tbl_CONTENT[[#This Row],[Topic]], tbl_TOPIC[Topic], tbl_TOPIC[ParentTopic])),
  ""
)</f>
        <v>Eindimensionale Systeme</v>
      </c>
      <c r="X544" s="22" t="str">
        <f>IFERROR(
  IF(_xlfn.XLOOKUP(tbl_CONTENT[[#This Row],[Topic]], tbl_TOPIC[Topic], tbl_TOPIC[TopicPath])="", "",
       _xlfn.XLOOKUP(tbl_CONTENT[[#This Row],[Topic]], tbl_TOPIC[Topic], tbl_TOPIC[TopicPath])),
  ""
)</f>
        <v>Eindimensionale Systeme/Stationäre Schrödinger Gleichung</v>
      </c>
    </row>
    <row r="545" spans="3:24" ht="34" x14ac:dyDescent="0.2">
      <c r="C545" s="62" t="str">
        <f>_xlfn.XLOOKUP(tbl_CONTENT[[#This Row],[TopicID]], tbl_TOPIC[TopicID], tbl_TOPIC[Subject], "")</f>
        <v>QM</v>
      </c>
      <c r="D54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QM-T12-22-02</v>
      </c>
      <c r="E545" s="62">
        <f>ROW()</f>
        <v>545</v>
      </c>
      <c r="F545" s="22" t="s">
        <v>1051</v>
      </c>
      <c r="G545" s="22" t="str">
        <f>_xlfn.XLOOKUP(tbl_CONTENT[[#This Row],[Topic]], tbl_TOPIC[Topic], tbl_TOPIC[TopicID], "")</f>
        <v>QM-1-22</v>
      </c>
      <c r="H545" s="62" cm="1">
        <f t="array" ref="H545">SUM((tbl_CONTENT[[#This Row],[TopicID]]=INDEX(tbl_CONTENT[TopicID],1):tbl_CONTENT[[#This Row],[TopicID]])*1)</f>
        <v>2</v>
      </c>
      <c r="I545" s="62" t="str">
        <f>_xlfn.XLOOKUP(tbl_CONTENT[[#This Row],[Topic]], tbl_TOPIC[Topic], tbl_TOPIC[TopicIndex], "")</f>
        <v>22</v>
      </c>
      <c r="J545" s="22" t="s">
        <v>677</v>
      </c>
      <c r="K545" s="22" t="s">
        <v>908</v>
      </c>
      <c r="L545" s="22" t="s">
        <v>380</v>
      </c>
      <c r="R545" s="62"/>
      <c r="S545" s="35">
        <f>IFERROR(
 (1.907*EXP(1)^(-0.5*tbl_CONTENT[[#This Row],[Layer]])) *
 ((tbl_CONTENT[[#This Row],[RelInt]]-1)^(2.5)*4^(1-2.5)+1) +
 ((tbl_CONTENT[[#This Row],[Comp]]-1)^(2.5)*4^(1-2.5)+1)*(0.5*((tbl_CONTENT[[#This Row],[RelInt]]-1)/4)^(2.5)+1),
 0
)</f>
        <v>0</v>
      </c>
      <c r="T545" s="35">
        <f>IFERROR(
 (1.907*EXP(1)^(-0.5*VALUE(tbl_CONTENT[[#This Row],[Layer]]))) *
 ((VALUE(tbl_CONTENT[[#This Row],[RelId]])-1)^(2.5)*4^(1-2.5)+1) +
 ((VALUE(tbl_CONTENT[[#This Row],[Comp]])-1)^(2.5)*4^(1-2.5)+1)*(0.5*((VALUE(tbl_CONTENT[[#This Row],[RelId]])-1)/4)^(2.5)+1),
 0
)</f>
        <v>0</v>
      </c>
      <c r="V545" s="62"/>
      <c r="W545" s="22" t="str">
        <f>IFERROR(
  IF(_xlfn.XLOOKUP(tbl_CONTENT[[#This Row],[Topic]], tbl_TOPIC[Topic], tbl_TOPIC[ParentTopic])="", "",
       _xlfn.XLOOKUP(tbl_CONTENT[[#This Row],[Topic]], tbl_TOPIC[Topic], tbl_TOPIC[ParentTopic])),
  ""
)</f>
        <v>Eindimensionale Systeme</v>
      </c>
      <c r="X545" s="22" t="str">
        <f>IFERROR(
  IF(_xlfn.XLOOKUP(tbl_CONTENT[[#This Row],[Topic]], tbl_TOPIC[Topic], tbl_TOPIC[TopicPath])="", "",
       _xlfn.XLOOKUP(tbl_CONTENT[[#This Row],[Topic]], tbl_TOPIC[Topic], tbl_TOPIC[TopicPath])),
  ""
)</f>
        <v>Eindimensionale Systeme/Stationäre Schrödinger Gleichung</v>
      </c>
    </row>
    <row r="546" spans="3:24" ht="34" x14ac:dyDescent="0.2">
      <c r="C546" s="62" t="str">
        <f>_xlfn.XLOOKUP(tbl_CONTENT[[#This Row],[TopicID]], tbl_TOPIC[TopicID], tbl_TOPIC[Subject], "")</f>
        <v>QM</v>
      </c>
      <c r="D54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QM-T12-22-03</v>
      </c>
      <c r="E546" s="62">
        <f>ROW()</f>
        <v>546</v>
      </c>
      <c r="F546" s="22" t="s">
        <v>1051</v>
      </c>
      <c r="G546" s="22" t="str">
        <f>_xlfn.XLOOKUP(tbl_CONTENT[[#This Row],[Topic]], tbl_TOPIC[Topic], tbl_TOPIC[TopicID], "")</f>
        <v>QM-1-22</v>
      </c>
      <c r="H546" s="62" cm="1">
        <f t="array" ref="H546">SUM((tbl_CONTENT[[#This Row],[TopicID]]=INDEX(tbl_CONTENT[TopicID],1):tbl_CONTENT[[#This Row],[TopicID]])*1)</f>
        <v>3</v>
      </c>
      <c r="I546" s="62" t="str">
        <f>_xlfn.XLOOKUP(tbl_CONTENT[[#This Row],[Topic]], tbl_TOPIC[Topic], tbl_TOPIC[TopicIndex], "")</f>
        <v>22</v>
      </c>
      <c r="J546" s="22" t="s">
        <v>677</v>
      </c>
      <c r="K546" s="22" t="s">
        <v>909</v>
      </c>
      <c r="L546" s="22" t="s">
        <v>152</v>
      </c>
      <c r="R546" s="62"/>
      <c r="S546" s="35">
        <f>IFERROR(
 (1.907*EXP(1)^(-0.5*tbl_CONTENT[[#This Row],[Layer]])) *
 ((tbl_CONTENT[[#This Row],[RelInt]]-1)^(2.5)*4^(1-2.5)+1) +
 ((tbl_CONTENT[[#This Row],[Comp]]-1)^(2.5)*4^(1-2.5)+1)*(0.5*((tbl_CONTENT[[#This Row],[RelInt]]-1)/4)^(2.5)+1),
 0
)</f>
        <v>0</v>
      </c>
      <c r="T546" s="35">
        <f>IFERROR(
 (1.907*EXP(1)^(-0.5*VALUE(tbl_CONTENT[[#This Row],[Layer]]))) *
 ((VALUE(tbl_CONTENT[[#This Row],[RelId]])-1)^(2.5)*4^(1-2.5)+1) +
 ((VALUE(tbl_CONTENT[[#This Row],[Comp]])-1)^(2.5)*4^(1-2.5)+1)*(0.5*((VALUE(tbl_CONTENT[[#This Row],[RelId]])-1)/4)^(2.5)+1),
 0
)</f>
        <v>0</v>
      </c>
      <c r="V546" s="62"/>
      <c r="W546" s="22" t="str">
        <f>IFERROR(
  IF(_xlfn.XLOOKUP(tbl_CONTENT[[#This Row],[Topic]], tbl_TOPIC[Topic], tbl_TOPIC[ParentTopic])="", "",
       _xlfn.XLOOKUP(tbl_CONTENT[[#This Row],[Topic]], tbl_TOPIC[Topic], tbl_TOPIC[ParentTopic])),
  ""
)</f>
        <v>Eindimensionale Systeme</v>
      </c>
      <c r="X546" s="22" t="str">
        <f>IFERROR(
  IF(_xlfn.XLOOKUP(tbl_CONTENT[[#This Row],[Topic]], tbl_TOPIC[Topic], tbl_TOPIC[TopicPath])="", "",
       _xlfn.XLOOKUP(tbl_CONTENT[[#This Row],[Topic]], tbl_TOPIC[Topic], tbl_TOPIC[TopicPath])),
  ""
)</f>
        <v>Eindimensionale Systeme/Stationäre Schrödinger Gleichung</v>
      </c>
    </row>
    <row r="547" spans="3:24" ht="51" x14ac:dyDescent="0.2">
      <c r="C547" s="62" t="str">
        <f>_xlfn.XLOOKUP(tbl_CONTENT[[#This Row],[TopicID]], tbl_TOPIC[TopicID], tbl_TOPIC[Subject], "")</f>
        <v>QM</v>
      </c>
      <c r="D54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QM-T12-22-04</v>
      </c>
      <c r="E547" s="62">
        <f>ROW()</f>
        <v>547</v>
      </c>
      <c r="F547" s="22" t="s">
        <v>1051</v>
      </c>
      <c r="G547" s="22" t="str">
        <f>_xlfn.XLOOKUP(tbl_CONTENT[[#This Row],[Topic]], tbl_TOPIC[Topic], tbl_TOPIC[TopicID], "")</f>
        <v>QM-1-22</v>
      </c>
      <c r="H547" s="62" cm="1">
        <f t="array" ref="H547">SUM((tbl_CONTENT[[#This Row],[TopicID]]=INDEX(tbl_CONTENT[TopicID],1):tbl_CONTENT[[#This Row],[TopicID]])*1)</f>
        <v>4</v>
      </c>
      <c r="I547" s="62" t="str">
        <f>_xlfn.XLOOKUP(tbl_CONTENT[[#This Row],[Topic]], tbl_TOPIC[Topic], tbl_TOPIC[TopicIndex], "")</f>
        <v>22</v>
      </c>
      <c r="J547" s="22" t="s">
        <v>677</v>
      </c>
      <c r="K547" s="22" t="s">
        <v>910</v>
      </c>
      <c r="L547" s="22" t="s">
        <v>380</v>
      </c>
      <c r="R547" s="62"/>
      <c r="S547" s="35">
        <f>IFERROR(
 (1.907*EXP(1)^(-0.5*tbl_CONTENT[[#This Row],[Layer]])) *
 ((tbl_CONTENT[[#This Row],[RelInt]]-1)^(2.5)*4^(1-2.5)+1) +
 ((tbl_CONTENT[[#This Row],[Comp]]-1)^(2.5)*4^(1-2.5)+1)*(0.5*((tbl_CONTENT[[#This Row],[RelInt]]-1)/4)^(2.5)+1),
 0
)</f>
        <v>0</v>
      </c>
      <c r="T547" s="35">
        <f>IFERROR(
 (1.907*EXP(1)^(-0.5*VALUE(tbl_CONTENT[[#This Row],[Layer]]))) *
 ((VALUE(tbl_CONTENT[[#This Row],[RelId]])-1)^(2.5)*4^(1-2.5)+1) +
 ((VALUE(tbl_CONTENT[[#This Row],[Comp]])-1)^(2.5)*4^(1-2.5)+1)*(0.5*((VALUE(tbl_CONTENT[[#This Row],[RelId]])-1)/4)^(2.5)+1),
 0
)</f>
        <v>0</v>
      </c>
      <c r="V547" s="62"/>
      <c r="W547" s="22" t="str">
        <f>IFERROR(
  IF(_xlfn.XLOOKUP(tbl_CONTENT[[#This Row],[Topic]], tbl_TOPIC[Topic], tbl_TOPIC[ParentTopic])="", "",
       _xlfn.XLOOKUP(tbl_CONTENT[[#This Row],[Topic]], tbl_TOPIC[Topic], tbl_TOPIC[ParentTopic])),
  ""
)</f>
        <v>Eindimensionale Systeme</v>
      </c>
      <c r="X547" s="22" t="str">
        <f>IFERROR(
  IF(_xlfn.XLOOKUP(tbl_CONTENT[[#This Row],[Topic]], tbl_TOPIC[Topic], tbl_TOPIC[TopicPath])="", "",
       _xlfn.XLOOKUP(tbl_CONTENT[[#This Row],[Topic]], tbl_TOPIC[Topic], tbl_TOPIC[TopicPath])),
  ""
)</f>
        <v>Eindimensionale Systeme/Stationäre Schrödinger Gleichung</v>
      </c>
    </row>
    <row r="548" spans="3:24" ht="34" x14ac:dyDescent="0.2">
      <c r="C548" s="62" t="str">
        <f>_xlfn.XLOOKUP(tbl_CONTENT[[#This Row],[TopicID]], tbl_TOPIC[TopicID], tbl_TOPIC[Subject], "")</f>
        <v>QM</v>
      </c>
      <c r="D54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QM-T12-22-05</v>
      </c>
      <c r="E548" s="62">
        <f>ROW()</f>
        <v>548</v>
      </c>
      <c r="F548" s="22" t="s">
        <v>1051</v>
      </c>
      <c r="G548" s="22" t="str">
        <f>_xlfn.XLOOKUP(tbl_CONTENT[[#This Row],[Topic]], tbl_TOPIC[Topic], tbl_TOPIC[TopicID], "")</f>
        <v>QM-1-22</v>
      </c>
      <c r="H548" s="62" cm="1">
        <f t="array" ref="H548">SUM((tbl_CONTENT[[#This Row],[TopicID]]=INDEX(tbl_CONTENT[TopicID],1):tbl_CONTENT[[#This Row],[TopicID]])*1)</f>
        <v>5</v>
      </c>
      <c r="I548" s="62" t="str">
        <f>_xlfn.XLOOKUP(tbl_CONTENT[[#This Row],[Topic]], tbl_TOPIC[Topic], tbl_TOPIC[TopicIndex], "")</f>
        <v>22</v>
      </c>
      <c r="J548" s="22" t="s">
        <v>677</v>
      </c>
      <c r="K548" s="22" t="s">
        <v>911</v>
      </c>
      <c r="L548" s="22" t="s">
        <v>152</v>
      </c>
      <c r="R548" s="62"/>
      <c r="S548" s="35">
        <f>IFERROR(
 (1.907*EXP(1)^(-0.5*tbl_CONTENT[[#This Row],[Layer]])) *
 ((tbl_CONTENT[[#This Row],[RelInt]]-1)^(2.5)*4^(1-2.5)+1) +
 ((tbl_CONTENT[[#This Row],[Comp]]-1)^(2.5)*4^(1-2.5)+1)*(0.5*((tbl_CONTENT[[#This Row],[RelInt]]-1)/4)^(2.5)+1),
 0
)</f>
        <v>0</v>
      </c>
      <c r="T548" s="35">
        <f>IFERROR(
 (1.907*EXP(1)^(-0.5*VALUE(tbl_CONTENT[[#This Row],[Layer]]))) *
 ((VALUE(tbl_CONTENT[[#This Row],[RelId]])-1)^(2.5)*4^(1-2.5)+1) +
 ((VALUE(tbl_CONTENT[[#This Row],[Comp]])-1)^(2.5)*4^(1-2.5)+1)*(0.5*((VALUE(tbl_CONTENT[[#This Row],[RelId]])-1)/4)^(2.5)+1),
 0
)</f>
        <v>0</v>
      </c>
      <c r="V548" s="62"/>
      <c r="W548" s="22" t="str">
        <f>IFERROR(
  IF(_xlfn.XLOOKUP(tbl_CONTENT[[#This Row],[Topic]], tbl_TOPIC[Topic], tbl_TOPIC[ParentTopic])="", "",
       _xlfn.XLOOKUP(tbl_CONTENT[[#This Row],[Topic]], tbl_TOPIC[Topic], tbl_TOPIC[ParentTopic])),
  ""
)</f>
        <v>Eindimensionale Systeme</v>
      </c>
      <c r="X548" s="22" t="str">
        <f>IFERROR(
  IF(_xlfn.XLOOKUP(tbl_CONTENT[[#This Row],[Topic]], tbl_TOPIC[Topic], tbl_TOPIC[TopicPath])="", "",
       _xlfn.XLOOKUP(tbl_CONTENT[[#This Row],[Topic]], tbl_TOPIC[Topic], tbl_TOPIC[TopicPath])),
  ""
)</f>
        <v>Eindimensionale Systeme/Stationäre Schrödinger Gleichung</v>
      </c>
    </row>
    <row r="549" spans="3:24" ht="34" x14ac:dyDescent="0.2">
      <c r="C549" s="62" t="str">
        <f>_xlfn.XLOOKUP(tbl_CONTENT[[#This Row],[TopicID]], tbl_TOPIC[TopicID], tbl_TOPIC[Subject], "")</f>
        <v>QM</v>
      </c>
      <c r="D54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QM-T12-22-06</v>
      </c>
      <c r="E549" s="62">
        <f>ROW()</f>
        <v>549</v>
      </c>
      <c r="F549" s="22" t="s">
        <v>1051</v>
      </c>
      <c r="G549" s="22" t="str">
        <f>_xlfn.XLOOKUP(tbl_CONTENT[[#This Row],[Topic]], tbl_TOPIC[Topic], tbl_TOPIC[TopicID], "")</f>
        <v>QM-1-22</v>
      </c>
      <c r="H549" s="62" cm="1">
        <f t="array" ref="H549">SUM((tbl_CONTENT[[#This Row],[TopicID]]=INDEX(tbl_CONTENT[TopicID],1):tbl_CONTENT[[#This Row],[TopicID]])*1)</f>
        <v>6</v>
      </c>
      <c r="I549" s="62" t="str">
        <f>_xlfn.XLOOKUP(tbl_CONTENT[[#This Row],[Topic]], tbl_TOPIC[Topic], tbl_TOPIC[TopicIndex], "")</f>
        <v>22</v>
      </c>
      <c r="J549" s="22" t="s">
        <v>677</v>
      </c>
      <c r="K549" s="22" t="s">
        <v>912</v>
      </c>
      <c r="L549" s="22" t="s">
        <v>380</v>
      </c>
      <c r="R549" s="62"/>
      <c r="S549" s="35">
        <f>IFERROR(
 (1.907*EXP(1)^(-0.5*tbl_CONTENT[[#This Row],[Layer]])) *
 ((tbl_CONTENT[[#This Row],[RelInt]]-1)^(2.5)*4^(1-2.5)+1) +
 ((tbl_CONTENT[[#This Row],[Comp]]-1)^(2.5)*4^(1-2.5)+1)*(0.5*((tbl_CONTENT[[#This Row],[RelInt]]-1)/4)^(2.5)+1),
 0
)</f>
        <v>0</v>
      </c>
      <c r="T549" s="35">
        <f>IFERROR(
 (1.907*EXP(1)^(-0.5*VALUE(tbl_CONTENT[[#This Row],[Layer]]))) *
 ((VALUE(tbl_CONTENT[[#This Row],[RelId]])-1)^(2.5)*4^(1-2.5)+1) +
 ((VALUE(tbl_CONTENT[[#This Row],[Comp]])-1)^(2.5)*4^(1-2.5)+1)*(0.5*((VALUE(tbl_CONTENT[[#This Row],[RelId]])-1)/4)^(2.5)+1),
 0
)</f>
        <v>0</v>
      </c>
      <c r="V549" s="62"/>
      <c r="W549" s="22" t="str">
        <f>IFERROR(
  IF(_xlfn.XLOOKUP(tbl_CONTENT[[#This Row],[Topic]], tbl_TOPIC[Topic], tbl_TOPIC[ParentTopic])="", "",
       _xlfn.XLOOKUP(tbl_CONTENT[[#This Row],[Topic]], tbl_TOPIC[Topic], tbl_TOPIC[ParentTopic])),
  ""
)</f>
        <v>Eindimensionale Systeme</v>
      </c>
      <c r="X549" s="22" t="str">
        <f>IFERROR(
  IF(_xlfn.XLOOKUP(tbl_CONTENT[[#This Row],[Topic]], tbl_TOPIC[Topic], tbl_TOPIC[TopicPath])="", "",
       _xlfn.XLOOKUP(tbl_CONTENT[[#This Row],[Topic]], tbl_TOPIC[Topic], tbl_TOPIC[TopicPath])),
  ""
)</f>
        <v>Eindimensionale Systeme/Stationäre Schrödinger Gleichung</v>
      </c>
    </row>
    <row r="550" spans="3:24" ht="34" x14ac:dyDescent="0.2">
      <c r="C550" s="62" t="str">
        <f>_xlfn.XLOOKUP(tbl_CONTENT[[#This Row],[TopicID]], tbl_TOPIC[TopicID], tbl_TOPIC[Subject], "")</f>
        <v>QM</v>
      </c>
      <c r="D55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QM-T12-22-07</v>
      </c>
      <c r="E550" s="62">
        <f>ROW()</f>
        <v>550</v>
      </c>
      <c r="F550" s="22" t="s">
        <v>1051</v>
      </c>
      <c r="G550" s="22" t="str">
        <f>_xlfn.XLOOKUP(tbl_CONTENT[[#This Row],[Topic]], tbl_TOPIC[Topic], tbl_TOPIC[TopicID], "")</f>
        <v>QM-1-22</v>
      </c>
      <c r="H550" s="62" cm="1">
        <f t="array" ref="H550">SUM((tbl_CONTENT[[#This Row],[TopicID]]=INDEX(tbl_CONTENT[TopicID],1):tbl_CONTENT[[#This Row],[TopicID]])*1)</f>
        <v>7</v>
      </c>
      <c r="I550" s="62" t="str">
        <f>_xlfn.XLOOKUP(tbl_CONTENT[[#This Row],[Topic]], tbl_TOPIC[Topic], tbl_TOPIC[TopicIndex], "")</f>
        <v>22</v>
      </c>
      <c r="J550" s="22" t="s">
        <v>677</v>
      </c>
      <c r="K550" s="22" t="s">
        <v>913</v>
      </c>
      <c r="L550" s="22" t="s">
        <v>179</v>
      </c>
      <c r="R550" s="62"/>
      <c r="S550" s="35">
        <f>IFERROR(
 (1.907*EXP(1)^(-0.5*tbl_CONTENT[[#This Row],[Layer]])) *
 ((tbl_CONTENT[[#This Row],[RelInt]]-1)^(2.5)*4^(1-2.5)+1) +
 ((tbl_CONTENT[[#This Row],[Comp]]-1)^(2.5)*4^(1-2.5)+1)*(0.5*((tbl_CONTENT[[#This Row],[RelInt]]-1)/4)^(2.5)+1),
 0
)</f>
        <v>0</v>
      </c>
      <c r="T550" s="35">
        <f>IFERROR(
 (1.907*EXP(1)^(-0.5*VALUE(tbl_CONTENT[[#This Row],[Layer]]))) *
 ((VALUE(tbl_CONTENT[[#This Row],[RelId]])-1)^(2.5)*4^(1-2.5)+1) +
 ((VALUE(tbl_CONTENT[[#This Row],[Comp]])-1)^(2.5)*4^(1-2.5)+1)*(0.5*((VALUE(tbl_CONTENT[[#This Row],[RelId]])-1)/4)^(2.5)+1),
 0
)</f>
        <v>0</v>
      </c>
      <c r="V550" s="62"/>
      <c r="W550" s="22" t="str">
        <f>IFERROR(
  IF(_xlfn.XLOOKUP(tbl_CONTENT[[#This Row],[Topic]], tbl_TOPIC[Topic], tbl_TOPIC[ParentTopic])="", "",
       _xlfn.XLOOKUP(tbl_CONTENT[[#This Row],[Topic]], tbl_TOPIC[Topic], tbl_TOPIC[ParentTopic])),
  ""
)</f>
        <v>Eindimensionale Systeme</v>
      </c>
      <c r="X550" s="22" t="str">
        <f>IFERROR(
  IF(_xlfn.XLOOKUP(tbl_CONTENT[[#This Row],[Topic]], tbl_TOPIC[Topic], tbl_TOPIC[TopicPath])="", "",
       _xlfn.XLOOKUP(tbl_CONTENT[[#This Row],[Topic]], tbl_TOPIC[Topic], tbl_TOPIC[TopicPath])),
  ""
)</f>
        <v>Eindimensionale Systeme/Stationäre Schrödinger Gleichung</v>
      </c>
    </row>
    <row r="551" spans="3:24" ht="68" x14ac:dyDescent="0.2">
      <c r="C551" s="62" t="str">
        <f>_xlfn.XLOOKUP(tbl_CONTENT[[#This Row],[TopicID]], tbl_TOPIC[TopicID], tbl_TOPIC[Subject], "")</f>
        <v>QM</v>
      </c>
      <c r="D55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QM-T12-23-01</v>
      </c>
      <c r="E551" s="62">
        <f>ROW()</f>
        <v>551</v>
      </c>
      <c r="F551" s="22" t="s">
        <v>1051</v>
      </c>
      <c r="G551" s="22" t="str">
        <f>_xlfn.XLOOKUP(tbl_CONTENT[[#This Row],[Topic]], tbl_TOPIC[Topic], tbl_TOPIC[TopicID], "")</f>
        <v>QM-1-23</v>
      </c>
      <c r="H551" s="62" cm="1">
        <f t="array" ref="H551">SUM((tbl_CONTENT[[#This Row],[TopicID]]=INDEX(tbl_CONTENT[TopicID],1):tbl_CONTENT[[#This Row],[TopicID]])*1)</f>
        <v>1</v>
      </c>
      <c r="I551" s="62" t="str">
        <f>_xlfn.XLOOKUP(tbl_CONTENT[[#This Row],[Topic]], tbl_TOPIC[Topic], tbl_TOPIC[TopicIndex], "")</f>
        <v>23</v>
      </c>
      <c r="J551" s="22" t="s">
        <v>678</v>
      </c>
      <c r="K551" s="22" t="s">
        <v>914</v>
      </c>
      <c r="L551" s="22" t="s">
        <v>380</v>
      </c>
      <c r="R551" s="62"/>
      <c r="S551" s="35">
        <f>IFERROR(
 (1.907*EXP(1)^(-0.5*tbl_CONTENT[[#This Row],[Layer]])) *
 ((tbl_CONTENT[[#This Row],[RelInt]]-1)^(2.5)*4^(1-2.5)+1) +
 ((tbl_CONTENT[[#This Row],[Comp]]-1)^(2.5)*4^(1-2.5)+1)*(0.5*((tbl_CONTENT[[#This Row],[RelInt]]-1)/4)^(2.5)+1),
 0
)</f>
        <v>0</v>
      </c>
      <c r="T551" s="35">
        <f>IFERROR(
 (1.907*EXP(1)^(-0.5*VALUE(tbl_CONTENT[[#This Row],[Layer]]))) *
 ((VALUE(tbl_CONTENT[[#This Row],[RelId]])-1)^(2.5)*4^(1-2.5)+1) +
 ((VALUE(tbl_CONTENT[[#This Row],[Comp]])-1)^(2.5)*4^(1-2.5)+1)*(0.5*((VALUE(tbl_CONTENT[[#This Row],[RelId]])-1)/4)^(2.5)+1),
 0
)</f>
        <v>0</v>
      </c>
      <c r="V551" s="62"/>
      <c r="W551" s="22" t="str">
        <f>IFERROR(
  IF(_xlfn.XLOOKUP(tbl_CONTENT[[#This Row],[Topic]], tbl_TOPIC[Topic], tbl_TOPIC[ParentTopic])="", "",
       _xlfn.XLOOKUP(tbl_CONTENT[[#This Row],[Topic]], tbl_TOPIC[Topic], tbl_TOPIC[ParentTopic])),
  ""
)</f>
        <v>Eindimensionale Systeme</v>
      </c>
      <c r="X551" s="22" t="str">
        <f>IFERROR(
  IF(_xlfn.XLOOKUP(tbl_CONTENT[[#This Row],[Topic]], tbl_TOPIC[Topic], tbl_TOPIC[TopicPath])="", "",
       _xlfn.XLOOKUP(tbl_CONTENT[[#This Row],[Topic]], tbl_TOPIC[Topic], tbl_TOPIC[TopicPath])),
  ""
)</f>
        <v>Eindimensionale Systeme/Eindimensionale Potentialstufe</v>
      </c>
    </row>
    <row r="552" spans="3:24" ht="34" x14ac:dyDescent="0.2">
      <c r="C552" s="62" t="str">
        <f>_xlfn.XLOOKUP(tbl_CONTENT[[#This Row],[TopicID]], tbl_TOPIC[TopicID], tbl_TOPIC[Subject], "")</f>
        <v>QM</v>
      </c>
      <c r="D55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QM-T12-23-02</v>
      </c>
      <c r="E552" s="62">
        <f>ROW()</f>
        <v>552</v>
      </c>
      <c r="F552" s="22" t="s">
        <v>1051</v>
      </c>
      <c r="G552" s="22" t="str">
        <f>_xlfn.XLOOKUP(tbl_CONTENT[[#This Row],[Topic]], tbl_TOPIC[Topic], tbl_TOPIC[TopicID], "")</f>
        <v>QM-1-23</v>
      </c>
      <c r="H552" s="62" cm="1">
        <f t="array" ref="H552">SUM((tbl_CONTENT[[#This Row],[TopicID]]=INDEX(tbl_CONTENT[TopicID],1):tbl_CONTENT[[#This Row],[TopicID]])*1)</f>
        <v>2</v>
      </c>
      <c r="I552" s="62" t="str">
        <f>_xlfn.XLOOKUP(tbl_CONTENT[[#This Row],[Topic]], tbl_TOPIC[Topic], tbl_TOPIC[TopicIndex], "")</f>
        <v>23</v>
      </c>
      <c r="J552" s="22" t="s">
        <v>678</v>
      </c>
      <c r="K552" s="22" t="s">
        <v>915</v>
      </c>
      <c r="L552" s="22" t="s">
        <v>147</v>
      </c>
      <c r="R552" s="62"/>
      <c r="S552" s="35">
        <f>IFERROR(
 (1.907*EXP(1)^(-0.5*tbl_CONTENT[[#This Row],[Layer]])) *
 ((tbl_CONTENT[[#This Row],[RelInt]]-1)^(2.5)*4^(1-2.5)+1) +
 ((tbl_CONTENT[[#This Row],[Comp]]-1)^(2.5)*4^(1-2.5)+1)*(0.5*((tbl_CONTENT[[#This Row],[RelInt]]-1)/4)^(2.5)+1),
 0
)</f>
        <v>0</v>
      </c>
      <c r="T552" s="35">
        <f>IFERROR(
 (1.907*EXP(1)^(-0.5*VALUE(tbl_CONTENT[[#This Row],[Layer]]))) *
 ((VALUE(tbl_CONTENT[[#This Row],[RelId]])-1)^(2.5)*4^(1-2.5)+1) +
 ((VALUE(tbl_CONTENT[[#This Row],[Comp]])-1)^(2.5)*4^(1-2.5)+1)*(0.5*((VALUE(tbl_CONTENT[[#This Row],[RelId]])-1)/4)^(2.5)+1),
 0
)</f>
        <v>0</v>
      </c>
      <c r="V552" s="62"/>
      <c r="W552" s="22" t="str">
        <f>IFERROR(
  IF(_xlfn.XLOOKUP(tbl_CONTENT[[#This Row],[Topic]], tbl_TOPIC[Topic], tbl_TOPIC[ParentTopic])="", "",
       _xlfn.XLOOKUP(tbl_CONTENT[[#This Row],[Topic]], tbl_TOPIC[Topic], tbl_TOPIC[ParentTopic])),
  ""
)</f>
        <v>Eindimensionale Systeme</v>
      </c>
      <c r="X552" s="22" t="str">
        <f>IFERROR(
  IF(_xlfn.XLOOKUP(tbl_CONTENT[[#This Row],[Topic]], tbl_TOPIC[Topic], tbl_TOPIC[TopicPath])="", "",
       _xlfn.XLOOKUP(tbl_CONTENT[[#This Row],[Topic]], tbl_TOPIC[Topic], tbl_TOPIC[TopicPath])),
  ""
)</f>
        <v>Eindimensionale Systeme/Eindimensionale Potentialstufe</v>
      </c>
    </row>
    <row r="553" spans="3:24" ht="34" x14ac:dyDescent="0.2">
      <c r="C553" s="62" t="str">
        <f>_xlfn.XLOOKUP(tbl_CONTENT[[#This Row],[TopicID]], tbl_TOPIC[TopicID], tbl_TOPIC[Subject], "")</f>
        <v>QM</v>
      </c>
      <c r="D55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QM-T12-23-03</v>
      </c>
      <c r="E553" s="62">
        <f>ROW()</f>
        <v>553</v>
      </c>
      <c r="F553" s="22" t="s">
        <v>1051</v>
      </c>
      <c r="G553" s="22" t="str">
        <f>_xlfn.XLOOKUP(tbl_CONTENT[[#This Row],[Topic]], tbl_TOPIC[Topic], tbl_TOPIC[TopicID], "")</f>
        <v>QM-1-23</v>
      </c>
      <c r="H553" s="62" cm="1">
        <f t="array" ref="H553">SUM((tbl_CONTENT[[#This Row],[TopicID]]=INDEX(tbl_CONTENT[TopicID],1):tbl_CONTENT[[#This Row],[TopicID]])*1)</f>
        <v>3</v>
      </c>
      <c r="I553" s="62" t="str">
        <f>_xlfn.XLOOKUP(tbl_CONTENT[[#This Row],[Topic]], tbl_TOPIC[Topic], tbl_TOPIC[TopicIndex], "")</f>
        <v>23</v>
      </c>
      <c r="J553" s="22" t="s">
        <v>678</v>
      </c>
      <c r="K553" s="22" t="s">
        <v>916</v>
      </c>
      <c r="L553" s="22" t="s">
        <v>147</v>
      </c>
      <c r="R553" s="62"/>
      <c r="S553" s="35">
        <f>IFERROR(
 (1.907*EXP(1)^(-0.5*tbl_CONTENT[[#This Row],[Layer]])) *
 ((tbl_CONTENT[[#This Row],[RelInt]]-1)^(2.5)*4^(1-2.5)+1) +
 ((tbl_CONTENT[[#This Row],[Comp]]-1)^(2.5)*4^(1-2.5)+1)*(0.5*((tbl_CONTENT[[#This Row],[RelInt]]-1)/4)^(2.5)+1),
 0
)</f>
        <v>0</v>
      </c>
      <c r="T553" s="35">
        <f>IFERROR(
 (1.907*EXP(1)^(-0.5*VALUE(tbl_CONTENT[[#This Row],[Layer]]))) *
 ((VALUE(tbl_CONTENT[[#This Row],[RelId]])-1)^(2.5)*4^(1-2.5)+1) +
 ((VALUE(tbl_CONTENT[[#This Row],[Comp]])-1)^(2.5)*4^(1-2.5)+1)*(0.5*((VALUE(tbl_CONTENT[[#This Row],[RelId]])-1)/4)^(2.5)+1),
 0
)</f>
        <v>0</v>
      </c>
      <c r="V553" s="62"/>
      <c r="W553" s="22" t="str">
        <f>IFERROR(
  IF(_xlfn.XLOOKUP(tbl_CONTENT[[#This Row],[Topic]], tbl_TOPIC[Topic], tbl_TOPIC[ParentTopic])="", "",
       _xlfn.XLOOKUP(tbl_CONTENT[[#This Row],[Topic]], tbl_TOPIC[Topic], tbl_TOPIC[ParentTopic])),
  ""
)</f>
        <v>Eindimensionale Systeme</v>
      </c>
      <c r="X553" s="22" t="str">
        <f>IFERROR(
  IF(_xlfn.XLOOKUP(tbl_CONTENT[[#This Row],[Topic]], tbl_TOPIC[Topic], tbl_TOPIC[TopicPath])="", "",
       _xlfn.XLOOKUP(tbl_CONTENT[[#This Row],[Topic]], tbl_TOPIC[Topic], tbl_TOPIC[TopicPath])),
  ""
)</f>
        <v>Eindimensionale Systeme/Eindimensionale Potentialstufe</v>
      </c>
    </row>
    <row r="554" spans="3:24" ht="51" x14ac:dyDescent="0.2">
      <c r="C554" s="62" t="str">
        <f>_xlfn.XLOOKUP(tbl_CONTENT[[#This Row],[TopicID]], tbl_TOPIC[TopicID], tbl_TOPIC[Subject], "")</f>
        <v>QM</v>
      </c>
      <c r="D55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QM-T12-24-01</v>
      </c>
      <c r="E554" s="62">
        <f>ROW()</f>
        <v>554</v>
      </c>
      <c r="F554" s="22" t="s">
        <v>1051</v>
      </c>
      <c r="G554" s="22" t="str">
        <f>_xlfn.XLOOKUP(tbl_CONTENT[[#This Row],[Topic]], tbl_TOPIC[Topic], tbl_TOPIC[TopicID], "")</f>
        <v>QM-1-24</v>
      </c>
      <c r="H554" s="62" cm="1">
        <f t="array" ref="H554">SUM((tbl_CONTENT[[#This Row],[TopicID]]=INDEX(tbl_CONTENT[TopicID],1):tbl_CONTENT[[#This Row],[TopicID]])*1)</f>
        <v>1</v>
      </c>
      <c r="I554" s="62" t="str">
        <f>_xlfn.XLOOKUP(tbl_CONTENT[[#This Row],[Topic]], tbl_TOPIC[Topic], tbl_TOPIC[TopicIndex], "")</f>
        <v>24</v>
      </c>
      <c r="J554" s="22" t="s">
        <v>679</v>
      </c>
      <c r="K554" s="22" t="s">
        <v>917</v>
      </c>
      <c r="L554" s="22" t="s">
        <v>147</v>
      </c>
      <c r="R554" s="62"/>
      <c r="S554" s="35">
        <f>IFERROR(
 (1.907*EXP(1)^(-0.5*tbl_CONTENT[[#This Row],[Layer]])) *
 ((tbl_CONTENT[[#This Row],[RelInt]]-1)^(2.5)*4^(1-2.5)+1) +
 ((tbl_CONTENT[[#This Row],[Comp]]-1)^(2.5)*4^(1-2.5)+1)*(0.5*((tbl_CONTENT[[#This Row],[RelInt]]-1)/4)^(2.5)+1),
 0
)</f>
        <v>0</v>
      </c>
      <c r="T554" s="35">
        <f>IFERROR(
 (1.907*EXP(1)^(-0.5*VALUE(tbl_CONTENT[[#This Row],[Layer]]))) *
 ((VALUE(tbl_CONTENT[[#This Row],[RelId]])-1)^(2.5)*4^(1-2.5)+1) +
 ((VALUE(tbl_CONTENT[[#This Row],[Comp]])-1)^(2.5)*4^(1-2.5)+1)*(0.5*((VALUE(tbl_CONTENT[[#This Row],[RelId]])-1)/4)^(2.5)+1),
 0
)</f>
        <v>0</v>
      </c>
      <c r="V554" s="62"/>
      <c r="W554" s="22" t="str">
        <f>IFERROR(
  IF(_xlfn.XLOOKUP(tbl_CONTENT[[#This Row],[Topic]], tbl_TOPIC[Topic], tbl_TOPIC[ParentTopic])="", "",
       _xlfn.XLOOKUP(tbl_CONTENT[[#This Row],[Topic]], tbl_TOPIC[Topic], tbl_TOPIC[ParentTopic])),
  ""
)</f>
        <v>Eindimensionale Potentialstufe</v>
      </c>
      <c r="X554" s="22" t="str">
        <f>IFERROR(
  IF(_xlfn.XLOOKUP(tbl_CONTENT[[#This Row],[Topic]], tbl_TOPIC[Topic], tbl_TOPIC[TopicPath])="", "",
       _xlfn.XLOOKUP(tbl_CONTENT[[#This Row],[Topic]], tbl_TOPIC[Topic], tbl_TOPIC[TopicPath])),
  ""
)</f>
        <v>Eindimensionale Systeme/Eindimensionale Potentialstufe/Streuzustände</v>
      </c>
    </row>
    <row r="555" spans="3:24" ht="34" x14ac:dyDescent="0.2">
      <c r="C555" s="62" t="str">
        <f>_xlfn.XLOOKUP(tbl_CONTENT[[#This Row],[TopicID]], tbl_TOPIC[TopicID], tbl_TOPIC[Subject], "")</f>
        <v>QM</v>
      </c>
      <c r="D55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QM-T12-24-02</v>
      </c>
      <c r="E555" s="62">
        <f>ROW()</f>
        <v>555</v>
      </c>
      <c r="F555" s="22" t="s">
        <v>1051</v>
      </c>
      <c r="G555" s="22" t="str">
        <f>_xlfn.XLOOKUP(tbl_CONTENT[[#This Row],[Topic]], tbl_TOPIC[Topic], tbl_TOPIC[TopicID], "")</f>
        <v>QM-1-24</v>
      </c>
      <c r="H555" s="62" cm="1">
        <f t="array" ref="H555">SUM((tbl_CONTENT[[#This Row],[TopicID]]=INDEX(tbl_CONTENT[TopicID],1):tbl_CONTENT[[#This Row],[TopicID]])*1)</f>
        <v>2</v>
      </c>
      <c r="I555" s="62" t="str">
        <f>_xlfn.XLOOKUP(tbl_CONTENT[[#This Row],[Topic]], tbl_TOPIC[Topic], tbl_TOPIC[TopicIndex], "")</f>
        <v>24</v>
      </c>
      <c r="J555" s="22" t="s">
        <v>679</v>
      </c>
      <c r="K555" s="22" t="s">
        <v>1017</v>
      </c>
      <c r="L555" s="22" t="s">
        <v>380</v>
      </c>
      <c r="R555" s="62"/>
      <c r="S555" s="35">
        <f>IFERROR(
 (1.907*EXP(1)^(-0.5*tbl_CONTENT[[#This Row],[Layer]])) *
 ((tbl_CONTENT[[#This Row],[RelInt]]-1)^(2.5)*4^(1-2.5)+1) +
 ((tbl_CONTENT[[#This Row],[Comp]]-1)^(2.5)*4^(1-2.5)+1)*(0.5*((tbl_CONTENT[[#This Row],[RelInt]]-1)/4)^(2.5)+1),
 0
)</f>
        <v>0</v>
      </c>
      <c r="T555" s="35">
        <f>IFERROR(
 (1.907*EXP(1)^(-0.5*VALUE(tbl_CONTENT[[#This Row],[Layer]]))) *
 ((VALUE(tbl_CONTENT[[#This Row],[RelId]])-1)^(2.5)*4^(1-2.5)+1) +
 ((VALUE(tbl_CONTENT[[#This Row],[Comp]])-1)^(2.5)*4^(1-2.5)+1)*(0.5*((VALUE(tbl_CONTENT[[#This Row],[RelId]])-1)/4)^(2.5)+1),
 0
)</f>
        <v>0</v>
      </c>
      <c r="V555" s="62"/>
      <c r="W555" s="22" t="str">
        <f>IFERROR(
  IF(_xlfn.XLOOKUP(tbl_CONTENT[[#This Row],[Topic]], tbl_TOPIC[Topic], tbl_TOPIC[ParentTopic])="", "",
       _xlfn.XLOOKUP(tbl_CONTENT[[#This Row],[Topic]], tbl_TOPIC[Topic], tbl_TOPIC[ParentTopic])),
  ""
)</f>
        <v>Eindimensionale Potentialstufe</v>
      </c>
      <c r="X555" s="22" t="str">
        <f>IFERROR(
  IF(_xlfn.XLOOKUP(tbl_CONTENT[[#This Row],[Topic]], tbl_TOPIC[Topic], tbl_TOPIC[TopicPath])="", "",
       _xlfn.XLOOKUP(tbl_CONTENT[[#This Row],[Topic]], tbl_TOPIC[Topic], tbl_TOPIC[TopicPath])),
  ""
)</f>
        <v>Eindimensionale Systeme/Eindimensionale Potentialstufe/Streuzustände</v>
      </c>
    </row>
    <row r="556" spans="3:24" ht="34" x14ac:dyDescent="0.2">
      <c r="C556" s="62" t="str">
        <f>_xlfn.XLOOKUP(tbl_CONTENT[[#This Row],[TopicID]], tbl_TOPIC[TopicID], tbl_TOPIC[Subject], "")</f>
        <v>QM</v>
      </c>
      <c r="D55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QM-T12-24-03</v>
      </c>
      <c r="E556" s="62">
        <f>ROW()</f>
        <v>556</v>
      </c>
      <c r="F556" s="22" t="s">
        <v>1051</v>
      </c>
      <c r="G556" s="22" t="str">
        <f>_xlfn.XLOOKUP(tbl_CONTENT[[#This Row],[Topic]], tbl_TOPIC[Topic], tbl_TOPIC[TopicID], "")</f>
        <v>QM-1-24</v>
      </c>
      <c r="H556" s="62" cm="1">
        <f t="array" ref="H556">SUM((tbl_CONTENT[[#This Row],[TopicID]]=INDEX(tbl_CONTENT[TopicID],1):tbl_CONTENT[[#This Row],[TopicID]])*1)</f>
        <v>3</v>
      </c>
      <c r="I556" s="62" t="str">
        <f>_xlfn.XLOOKUP(tbl_CONTENT[[#This Row],[Topic]], tbl_TOPIC[Topic], tbl_TOPIC[TopicIndex], "")</f>
        <v>24</v>
      </c>
      <c r="J556" s="22" t="s">
        <v>679</v>
      </c>
      <c r="K556" s="22" t="s">
        <v>1018</v>
      </c>
      <c r="L556" s="22" t="s">
        <v>380</v>
      </c>
      <c r="R556" s="62"/>
      <c r="S556" s="35">
        <f>IFERROR(
 (1.907*EXP(1)^(-0.5*tbl_CONTENT[[#This Row],[Layer]])) *
 ((tbl_CONTENT[[#This Row],[RelInt]]-1)^(2.5)*4^(1-2.5)+1) +
 ((tbl_CONTENT[[#This Row],[Comp]]-1)^(2.5)*4^(1-2.5)+1)*(0.5*((tbl_CONTENT[[#This Row],[RelInt]]-1)/4)^(2.5)+1),
 0
)</f>
        <v>0</v>
      </c>
      <c r="T556" s="35">
        <f>IFERROR(
 (1.907*EXP(1)^(-0.5*VALUE(tbl_CONTENT[[#This Row],[Layer]]))) *
 ((VALUE(tbl_CONTENT[[#This Row],[RelId]])-1)^(2.5)*4^(1-2.5)+1) +
 ((VALUE(tbl_CONTENT[[#This Row],[Comp]])-1)^(2.5)*4^(1-2.5)+1)*(0.5*((VALUE(tbl_CONTENT[[#This Row],[RelId]])-1)/4)^(2.5)+1),
 0
)</f>
        <v>0</v>
      </c>
      <c r="V556" s="62"/>
      <c r="W556" s="22" t="str">
        <f>IFERROR(
  IF(_xlfn.XLOOKUP(tbl_CONTENT[[#This Row],[Topic]], tbl_TOPIC[Topic], tbl_TOPIC[ParentTopic])="", "",
       _xlfn.XLOOKUP(tbl_CONTENT[[#This Row],[Topic]], tbl_TOPIC[Topic], tbl_TOPIC[ParentTopic])),
  ""
)</f>
        <v>Eindimensionale Potentialstufe</v>
      </c>
      <c r="X556" s="22" t="str">
        <f>IFERROR(
  IF(_xlfn.XLOOKUP(tbl_CONTENT[[#This Row],[Topic]], tbl_TOPIC[Topic], tbl_TOPIC[TopicPath])="", "",
       _xlfn.XLOOKUP(tbl_CONTENT[[#This Row],[Topic]], tbl_TOPIC[Topic], tbl_TOPIC[TopicPath])),
  ""
)</f>
        <v>Eindimensionale Systeme/Eindimensionale Potentialstufe/Streuzustände</v>
      </c>
    </row>
    <row r="557" spans="3:24" ht="34" x14ac:dyDescent="0.2">
      <c r="C557" s="62" t="str">
        <f>_xlfn.XLOOKUP(tbl_CONTENT[[#This Row],[TopicID]], tbl_TOPIC[TopicID], tbl_TOPIC[Subject], "")</f>
        <v>QM</v>
      </c>
      <c r="D55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QM-T12-24-04</v>
      </c>
      <c r="E557" s="62">
        <f>ROW()</f>
        <v>557</v>
      </c>
      <c r="F557" s="22" t="s">
        <v>1051</v>
      </c>
      <c r="G557" s="22" t="str">
        <f>_xlfn.XLOOKUP(tbl_CONTENT[[#This Row],[Topic]], tbl_TOPIC[Topic], tbl_TOPIC[TopicID], "")</f>
        <v>QM-1-24</v>
      </c>
      <c r="H557" s="62" cm="1">
        <f t="array" ref="H557">SUM((tbl_CONTENT[[#This Row],[TopicID]]=INDEX(tbl_CONTENT[TopicID],1):tbl_CONTENT[[#This Row],[TopicID]])*1)</f>
        <v>4</v>
      </c>
      <c r="I557" s="62" t="str">
        <f>_xlfn.XLOOKUP(tbl_CONTENT[[#This Row],[Topic]], tbl_TOPIC[Topic], tbl_TOPIC[TopicIndex], "")</f>
        <v>24</v>
      </c>
      <c r="J557" s="22" t="s">
        <v>679</v>
      </c>
      <c r="K557" s="22" t="s">
        <v>918</v>
      </c>
      <c r="L557" s="22" t="s">
        <v>380</v>
      </c>
      <c r="R557" s="62"/>
      <c r="S557" s="35">
        <f>IFERROR(
 (1.907*EXP(1)^(-0.5*tbl_CONTENT[[#This Row],[Layer]])) *
 ((tbl_CONTENT[[#This Row],[RelInt]]-1)^(2.5)*4^(1-2.5)+1) +
 ((tbl_CONTENT[[#This Row],[Comp]]-1)^(2.5)*4^(1-2.5)+1)*(0.5*((tbl_CONTENT[[#This Row],[RelInt]]-1)/4)^(2.5)+1),
 0
)</f>
        <v>0</v>
      </c>
      <c r="T557" s="35">
        <f>IFERROR(
 (1.907*EXP(1)^(-0.5*VALUE(tbl_CONTENT[[#This Row],[Layer]]))) *
 ((VALUE(tbl_CONTENT[[#This Row],[RelId]])-1)^(2.5)*4^(1-2.5)+1) +
 ((VALUE(tbl_CONTENT[[#This Row],[Comp]])-1)^(2.5)*4^(1-2.5)+1)*(0.5*((VALUE(tbl_CONTENT[[#This Row],[RelId]])-1)/4)^(2.5)+1),
 0
)</f>
        <v>0</v>
      </c>
      <c r="V557" s="62"/>
      <c r="W557" s="22" t="str">
        <f>IFERROR(
  IF(_xlfn.XLOOKUP(tbl_CONTENT[[#This Row],[Topic]], tbl_TOPIC[Topic], tbl_TOPIC[ParentTopic])="", "",
       _xlfn.XLOOKUP(tbl_CONTENT[[#This Row],[Topic]], tbl_TOPIC[Topic], tbl_TOPIC[ParentTopic])),
  ""
)</f>
        <v>Eindimensionale Potentialstufe</v>
      </c>
      <c r="X557" s="22" t="str">
        <f>IFERROR(
  IF(_xlfn.XLOOKUP(tbl_CONTENT[[#This Row],[Topic]], tbl_TOPIC[Topic], tbl_TOPIC[TopicPath])="", "",
       _xlfn.XLOOKUP(tbl_CONTENT[[#This Row],[Topic]], tbl_TOPIC[Topic], tbl_TOPIC[TopicPath])),
  ""
)</f>
        <v>Eindimensionale Systeme/Eindimensionale Potentialstufe/Streuzustände</v>
      </c>
    </row>
    <row r="558" spans="3:24" ht="34" x14ac:dyDescent="0.2">
      <c r="C558" s="62" t="str">
        <f>_xlfn.XLOOKUP(tbl_CONTENT[[#This Row],[TopicID]], tbl_TOPIC[TopicID], tbl_TOPIC[Subject], "")</f>
        <v>QM</v>
      </c>
      <c r="D55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QM-T12-24-05</v>
      </c>
      <c r="E558" s="62">
        <f>ROW()</f>
        <v>558</v>
      </c>
      <c r="F558" s="22" t="s">
        <v>1051</v>
      </c>
      <c r="G558" s="22" t="str">
        <f>_xlfn.XLOOKUP(tbl_CONTENT[[#This Row],[Topic]], tbl_TOPIC[Topic], tbl_TOPIC[TopicID], "")</f>
        <v>QM-1-24</v>
      </c>
      <c r="H558" s="62" cm="1">
        <f t="array" ref="H558">SUM((tbl_CONTENT[[#This Row],[TopicID]]=INDEX(tbl_CONTENT[TopicID],1):tbl_CONTENT[[#This Row],[TopicID]])*1)</f>
        <v>5</v>
      </c>
      <c r="I558" s="62" t="str">
        <f>_xlfn.XLOOKUP(tbl_CONTENT[[#This Row],[Topic]], tbl_TOPIC[Topic], tbl_TOPIC[TopicIndex], "")</f>
        <v>24</v>
      </c>
      <c r="J558" s="22" t="s">
        <v>679</v>
      </c>
      <c r="K558" s="22" t="s">
        <v>1019</v>
      </c>
      <c r="L558" s="22" t="s">
        <v>380</v>
      </c>
      <c r="R558" s="62"/>
      <c r="S558" s="35">
        <f>IFERROR(
 (1.907*EXP(1)^(-0.5*tbl_CONTENT[[#This Row],[Layer]])) *
 ((tbl_CONTENT[[#This Row],[RelInt]]-1)^(2.5)*4^(1-2.5)+1) +
 ((tbl_CONTENT[[#This Row],[Comp]]-1)^(2.5)*4^(1-2.5)+1)*(0.5*((tbl_CONTENT[[#This Row],[RelInt]]-1)/4)^(2.5)+1),
 0
)</f>
        <v>0</v>
      </c>
      <c r="T558" s="35">
        <f>IFERROR(
 (1.907*EXP(1)^(-0.5*VALUE(tbl_CONTENT[[#This Row],[Layer]]))) *
 ((VALUE(tbl_CONTENT[[#This Row],[RelId]])-1)^(2.5)*4^(1-2.5)+1) +
 ((VALUE(tbl_CONTENT[[#This Row],[Comp]])-1)^(2.5)*4^(1-2.5)+1)*(0.5*((VALUE(tbl_CONTENT[[#This Row],[RelId]])-1)/4)^(2.5)+1),
 0
)</f>
        <v>0</v>
      </c>
      <c r="V558" s="62"/>
      <c r="W558" s="22" t="str">
        <f>IFERROR(
  IF(_xlfn.XLOOKUP(tbl_CONTENT[[#This Row],[Topic]], tbl_TOPIC[Topic], tbl_TOPIC[ParentTopic])="", "",
       _xlfn.XLOOKUP(tbl_CONTENT[[#This Row],[Topic]], tbl_TOPIC[Topic], tbl_TOPIC[ParentTopic])),
  ""
)</f>
        <v>Eindimensionale Potentialstufe</v>
      </c>
      <c r="X558" s="22" t="str">
        <f>IFERROR(
  IF(_xlfn.XLOOKUP(tbl_CONTENT[[#This Row],[Topic]], tbl_TOPIC[Topic], tbl_TOPIC[TopicPath])="", "",
       _xlfn.XLOOKUP(tbl_CONTENT[[#This Row],[Topic]], tbl_TOPIC[Topic], tbl_TOPIC[TopicPath])),
  ""
)</f>
        <v>Eindimensionale Systeme/Eindimensionale Potentialstufe/Streuzustände</v>
      </c>
    </row>
    <row r="559" spans="3:24" ht="34" x14ac:dyDescent="0.2">
      <c r="C559" s="62" t="str">
        <f>_xlfn.XLOOKUP(tbl_CONTENT[[#This Row],[TopicID]], tbl_TOPIC[TopicID], tbl_TOPIC[Subject], "")</f>
        <v>QM</v>
      </c>
      <c r="D55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QM-T12-24-06</v>
      </c>
      <c r="E559" s="62">
        <f>ROW()</f>
        <v>559</v>
      </c>
      <c r="F559" s="22" t="s">
        <v>1051</v>
      </c>
      <c r="G559" s="22" t="str">
        <f>_xlfn.XLOOKUP(tbl_CONTENT[[#This Row],[Topic]], tbl_TOPIC[Topic], tbl_TOPIC[TopicID], "")</f>
        <v>QM-1-24</v>
      </c>
      <c r="H559" s="62" cm="1">
        <f t="array" ref="H559">SUM((tbl_CONTENT[[#This Row],[TopicID]]=INDEX(tbl_CONTENT[TopicID],1):tbl_CONTENT[[#This Row],[TopicID]])*1)</f>
        <v>6</v>
      </c>
      <c r="I559" s="62" t="str">
        <f>_xlfn.XLOOKUP(tbl_CONTENT[[#This Row],[Topic]], tbl_TOPIC[Topic], tbl_TOPIC[TopicIndex], "")</f>
        <v>24</v>
      </c>
      <c r="J559" s="22" t="s">
        <v>679</v>
      </c>
      <c r="K559" s="22" t="s">
        <v>921</v>
      </c>
      <c r="L559" s="22" t="s">
        <v>380</v>
      </c>
      <c r="R559" s="62"/>
      <c r="S559" s="35">
        <f>IFERROR(
 (1.907*EXP(1)^(-0.5*tbl_CONTENT[[#This Row],[Layer]])) *
 ((tbl_CONTENT[[#This Row],[RelInt]]-1)^(2.5)*4^(1-2.5)+1) +
 ((tbl_CONTENT[[#This Row],[Comp]]-1)^(2.5)*4^(1-2.5)+1)*(0.5*((tbl_CONTENT[[#This Row],[RelInt]]-1)/4)^(2.5)+1),
 0
)</f>
        <v>0</v>
      </c>
      <c r="T559" s="35">
        <f>IFERROR(
 (1.907*EXP(1)^(-0.5*VALUE(tbl_CONTENT[[#This Row],[Layer]]))) *
 ((VALUE(tbl_CONTENT[[#This Row],[RelId]])-1)^(2.5)*4^(1-2.5)+1) +
 ((VALUE(tbl_CONTENT[[#This Row],[Comp]])-1)^(2.5)*4^(1-2.5)+1)*(0.5*((VALUE(tbl_CONTENT[[#This Row],[RelId]])-1)/4)^(2.5)+1),
 0
)</f>
        <v>0</v>
      </c>
      <c r="V559" s="62"/>
      <c r="W559" s="22" t="str">
        <f>IFERROR(
  IF(_xlfn.XLOOKUP(tbl_CONTENT[[#This Row],[Topic]], tbl_TOPIC[Topic], tbl_TOPIC[ParentTopic])="", "",
       _xlfn.XLOOKUP(tbl_CONTENT[[#This Row],[Topic]], tbl_TOPIC[Topic], tbl_TOPIC[ParentTopic])),
  ""
)</f>
        <v>Eindimensionale Potentialstufe</v>
      </c>
      <c r="X559" s="22" t="str">
        <f>IFERROR(
  IF(_xlfn.XLOOKUP(tbl_CONTENT[[#This Row],[Topic]], tbl_TOPIC[Topic], tbl_TOPIC[TopicPath])="", "",
       _xlfn.XLOOKUP(tbl_CONTENT[[#This Row],[Topic]], tbl_TOPIC[Topic], tbl_TOPIC[TopicPath])),
  ""
)</f>
        <v>Eindimensionale Systeme/Eindimensionale Potentialstufe/Streuzustände</v>
      </c>
    </row>
    <row r="560" spans="3:24" ht="51" x14ac:dyDescent="0.2">
      <c r="C560" s="62" t="str">
        <f>_xlfn.XLOOKUP(tbl_CONTENT[[#This Row],[TopicID]], tbl_TOPIC[TopicID], tbl_TOPIC[Subject], "")</f>
        <v>QM</v>
      </c>
      <c r="D56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QM-T12-24-07</v>
      </c>
      <c r="E560" s="62">
        <f>ROW()</f>
        <v>560</v>
      </c>
      <c r="F560" s="22" t="s">
        <v>1051</v>
      </c>
      <c r="G560" s="22" t="str">
        <f>_xlfn.XLOOKUP(tbl_CONTENT[[#This Row],[Topic]], tbl_TOPIC[Topic], tbl_TOPIC[TopicID], "")</f>
        <v>QM-1-24</v>
      </c>
      <c r="H560" s="62" cm="1">
        <f t="array" ref="H560">SUM((tbl_CONTENT[[#This Row],[TopicID]]=INDEX(tbl_CONTENT[TopicID],1):tbl_CONTENT[[#This Row],[TopicID]])*1)</f>
        <v>7</v>
      </c>
      <c r="I560" s="62" t="str">
        <f>_xlfn.XLOOKUP(tbl_CONTENT[[#This Row],[Topic]], tbl_TOPIC[Topic], tbl_TOPIC[TopicIndex], "")</f>
        <v>24</v>
      </c>
      <c r="J560" s="22" t="s">
        <v>679</v>
      </c>
      <c r="K560" s="22" t="s">
        <v>1020</v>
      </c>
      <c r="L560" s="22" t="s">
        <v>380</v>
      </c>
      <c r="R560" s="62"/>
      <c r="S560" s="35">
        <f>IFERROR(
 (1.907*EXP(1)^(-0.5*tbl_CONTENT[[#This Row],[Layer]])) *
 ((tbl_CONTENT[[#This Row],[RelInt]]-1)^(2.5)*4^(1-2.5)+1) +
 ((tbl_CONTENT[[#This Row],[Comp]]-1)^(2.5)*4^(1-2.5)+1)*(0.5*((tbl_CONTENT[[#This Row],[RelInt]]-1)/4)^(2.5)+1),
 0
)</f>
        <v>0</v>
      </c>
      <c r="T560" s="35">
        <f>IFERROR(
 (1.907*EXP(1)^(-0.5*VALUE(tbl_CONTENT[[#This Row],[Layer]]))) *
 ((VALUE(tbl_CONTENT[[#This Row],[RelId]])-1)^(2.5)*4^(1-2.5)+1) +
 ((VALUE(tbl_CONTENT[[#This Row],[Comp]])-1)^(2.5)*4^(1-2.5)+1)*(0.5*((VALUE(tbl_CONTENT[[#This Row],[RelId]])-1)/4)^(2.5)+1),
 0
)</f>
        <v>0</v>
      </c>
      <c r="V560" s="62"/>
      <c r="W560" s="22" t="str">
        <f>IFERROR(
  IF(_xlfn.XLOOKUP(tbl_CONTENT[[#This Row],[Topic]], tbl_TOPIC[Topic], tbl_TOPIC[ParentTopic])="", "",
       _xlfn.XLOOKUP(tbl_CONTENT[[#This Row],[Topic]], tbl_TOPIC[Topic], tbl_TOPIC[ParentTopic])),
  ""
)</f>
        <v>Eindimensionale Potentialstufe</v>
      </c>
      <c r="X560" s="22" t="str">
        <f>IFERROR(
  IF(_xlfn.XLOOKUP(tbl_CONTENT[[#This Row],[Topic]], tbl_TOPIC[Topic], tbl_TOPIC[TopicPath])="", "",
       _xlfn.XLOOKUP(tbl_CONTENT[[#This Row],[Topic]], tbl_TOPIC[Topic], tbl_TOPIC[TopicPath])),
  ""
)</f>
        <v>Eindimensionale Systeme/Eindimensionale Potentialstufe/Streuzustände</v>
      </c>
    </row>
    <row r="561" spans="3:24" ht="51" x14ac:dyDescent="0.2">
      <c r="C561" s="62" t="str">
        <f>_xlfn.XLOOKUP(tbl_CONTENT[[#This Row],[TopicID]], tbl_TOPIC[TopicID], tbl_TOPIC[Subject], "")</f>
        <v>QM</v>
      </c>
      <c r="D56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QM-T12-24-08</v>
      </c>
      <c r="E561" s="62">
        <f>ROW()</f>
        <v>561</v>
      </c>
      <c r="F561" s="22" t="s">
        <v>1051</v>
      </c>
      <c r="G561" s="22" t="str">
        <f>_xlfn.XLOOKUP(tbl_CONTENT[[#This Row],[Topic]], tbl_TOPIC[Topic], tbl_TOPIC[TopicID], "")</f>
        <v>QM-1-24</v>
      </c>
      <c r="H561" s="62" cm="1">
        <f t="array" ref="H561">SUM((tbl_CONTENT[[#This Row],[TopicID]]=INDEX(tbl_CONTENT[TopicID],1):tbl_CONTENT[[#This Row],[TopicID]])*1)</f>
        <v>8</v>
      </c>
      <c r="I561" s="62" t="str">
        <f>_xlfn.XLOOKUP(tbl_CONTENT[[#This Row],[Topic]], tbl_TOPIC[Topic], tbl_TOPIC[TopicIndex], "")</f>
        <v>24</v>
      </c>
      <c r="J561" s="22" t="s">
        <v>679</v>
      </c>
      <c r="K561" s="22" t="s">
        <v>1021</v>
      </c>
      <c r="L561" s="22" t="s">
        <v>380</v>
      </c>
      <c r="R561" s="62"/>
      <c r="S561" s="35">
        <f>IFERROR(
 (1.907*EXP(1)^(-0.5*tbl_CONTENT[[#This Row],[Layer]])) *
 ((tbl_CONTENT[[#This Row],[RelInt]]-1)^(2.5)*4^(1-2.5)+1) +
 ((tbl_CONTENT[[#This Row],[Comp]]-1)^(2.5)*4^(1-2.5)+1)*(0.5*((tbl_CONTENT[[#This Row],[RelInt]]-1)/4)^(2.5)+1),
 0
)</f>
        <v>0</v>
      </c>
      <c r="T561" s="35">
        <f>IFERROR(
 (1.907*EXP(1)^(-0.5*VALUE(tbl_CONTENT[[#This Row],[Layer]]))) *
 ((VALUE(tbl_CONTENT[[#This Row],[RelId]])-1)^(2.5)*4^(1-2.5)+1) +
 ((VALUE(tbl_CONTENT[[#This Row],[Comp]])-1)^(2.5)*4^(1-2.5)+1)*(0.5*((VALUE(tbl_CONTENT[[#This Row],[RelId]])-1)/4)^(2.5)+1),
 0
)</f>
        <v>0</v>
      </c>
      <c r="V561" s="62"/>
      <c r="W561" s="22" t="str">
        <f>IFERROR(
  IF(_xlfn.XLOOKUP(tbl_CONTENT[[#This Row],[Topic]], tbl_TOPIC[Topic], tbl_TOPIC[ParentTopic])="", "",
       _xlfn.XLOOKUP(tbl_CONTENT[[#This Row],[Topic]], tbl_TOPIC[Topic], tbl_TOPIC[ParentTopic])),
  ""
)</f>
        <v>Eindimensionale Potentialstufe</v>
      </c>
      <c r="X561" s="22" t="str">
        <f>IFERROR(
  IF(_xlfn.XLOOKUP(tbl_CONTENT[[#This Row],[Topic]], tbl_TOPIC[Topic], tbl_TOPIC[TopicPath])="", "",
       _xlfn.XLOOKUP(tbl_CONTENT[[#This Row],[Topic]], tbl_TOPIC[Topic], tbl_TOPIC[TopicPath])),
  ""
)</f>
        <v>Eindimensionale Systeme/Eindimensionale Potentialstufe/Streuzustände</v>
      </c>
    </row>
    <row r="562" spans="3:24" ht="34" x14ac:dyDescent="0.2">
      <c r="C562" s="62" t="str">
        <f>_xlfn.XLOOKUP(tbl_CONTENT[[#This Row],[TopicID]], tbl_TOPIC[TopicID], tbl_TOPIC[Subject], "")</f>
        <v>QM</v>
      </c>
      <c r="D56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QM-T12-25-01</v>
      </c>
      <c r="E562" s="62">
        <f>ROW()</f>
        <v>562</v>
      </c>
      <c r="F562" s="22" t="s">
        <v>1051</v>
      </c>
      <c r="G562" s="22" t="str">
        <f>_xlfn.XLOOKUP(tbl_CONTENT[[#This Row],[Topic]], tbl_TOPIC[Topic], tbl_TOPIC[TopicID], "")</f>
        <v>QM-1-25</v>
      </c>
      <c r="H562" s="62" cm="1">
        <f t="array" ref="H562">SUM((tbl_CONTENT[[#This Row],[TopicID]]=INDEX(tbl_CONTENT[TopicID],1):tbl_CONTENT[[#This Row],[TopicID]])*1)</f>
        <v>1</v>
      </c>
      <c r="I562" s="62" t="str">
        <f>_xlfn.XLOOKUP(tbl_CONTENT[[#This Row],[Topic]], tbl_TOPIC[Topic], tbl_TOPIC[TopicIndex], "")</f>
        <v>25</v>
      </c>
      <c r="J562" s="22" t="s">
        <v>680</v>
      </c>
      <c r="K562" s="22" t="s">
        <v>1022</v>
      </c>
      <c r="L562" s="22" t="s">
        <v>147</v>
      </c>
      <c r="R562" s="62"/>
      <c r="S562" s="35">
        <f>IFERROR(
 (1.907*EXP(1)^(-0.5*tbl_CONTENT[[#This Row],[Layer]])) *
 ((tbl_CONTENT[[#This Row],[RelInt]]-1)^(2.5)*4^(1-2.5)+1) +
 ((tbl_CONTENT[[#This Row],[Comp]]-1)^(2.5)*4^(1-2.5)+1)*(0.5*((tbl_CONTENT[[#This Row],[RelInt]]-1)/4)^(2.5)+1),
 0
)</f>
        <v>0</v>
      </c>
      <c r="T562" s="35">
        <f>IFERROR(
 (1.907*EXP(1)^(-0.5*VALUE(tbl_CONTENT[[#This Row],[Layer]]))) *
 ((VALUE(tbl_CONTENT[[#This Row],[RelId]])-1)^(2.5)*4^(1-2.5)+1) +
 ((VALUE(tbl_CONTENT[[#This Row],[Comp]])-1)^(2.5)*4^(1-2.5)+1)*(0.5*((VALUE(tbl_CONTENT[[#This Row],[RelId]])-1)/4)^(2.5)+1),
 0
)</f>
        <v>0</v>
      </c>
      <c r="V562" s="62"/>
      <c r="W562" s="22" t="str">
        <f>IFERROR(
  IF(_xlfn.XLOOKUP(tbl_CONTENT[[#This Row],[Topic]], tbl_TOPIC[Topic], tbl_TOPIC[ParentTopic])="", "",
       _xlfn.XLOOKUP(tbl_CONTENT[[#This Row],[Topic]], tbl_TOPIC[Topic], tbl_TOPIC[ParentTopic])),
  ""
)</f>
        <v>Eindimensionale Potentialstufe</v>
      </c>
      <c r="X562" s="22" t="str">
        <f>IFERROR(
  IF(_xlfn.XLOOKUP(tbl_CONTENT[[#This Row],[Topic]], tbl_TOPIC[Topic], tbl_TOPIC[TopicPath])="", "",
       _xlfn.XLOOKUP(tbl_CONTENT[[#This Row],[Topic]], tbl_TOPIC[Topic], tbl_TOPIC[TopicPath])),
  ""
)</f>
        <v>Eindimensionale Systeme/Eindimensionale Potentialstufe/Reflektierte Zustände</v>
      </c>
    </row>
    <row r="563" spans="3:24" ht="34" x14ac:dyDescent="0.2">
      <c r="C563" s="62" t="str">
        <f>_xlfn.XLOOKUP(tbl_CONTENT[[#This Row],[TopicID]], tbl_TOPIC[TopicID], tbl_TOPIC[Subject], "")</f>
        <v>QM</v>
      </c>
      <c r="D56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QM-T12-25-02</v>
      </c>
      <c r="E563" s="62">
        <f>ROW()</f>
        <v>563</v>
      </c>
      <c r="F563" s="22" t="s">
        <v>1051</v>
      </c>
      <c r="G563" s="22" t="str">
        <f>_xlfn.XLOOKUP(tbl_CONTENT[[#This Row],[Topic]], tbl_TOPIC[Topic], tbl_TOPIC[TopicID], "")</f>
        <v>QM-1-25</v>
      </c>
      <c r="H563" s="62" cm="1">
        <f t="array" ref="H563">SUM((tbl_CONTENT[[#This Row],[TopicID]]=INDEX(tbl_CONTENT[TopicID],1):tbl_CONTENT[[#This Row],[TopicID]])*1)</f>
        <v>2</v>
      </c>
      <c r="I563" s="62" t="str">
        <f>_xlfn.XLOOKUP(tbl_CONTENT[[#This Row],[Topic]], tbl_TOPIC[Topic], tbl_TOPIC[TopicIndex], "")</f>
        <v>25</v>
      </c>
      <c r="J563" s="22" t="s">
        <v>680</v>
      </c>
      <c r="K563" s="22" t="s">
        <v>1023</v>
      </c>
      <c r="L563" s="22" t="s">
        <v>380</v>
      </c>
      <c r="R563" s="62"/>
      <c r="S563" s="35">
        <f>IFERROR(
 (1.907*EXP(1)^(-0.5*tbl_CONTENT[[#This Row],[Layer]])) *
 ((tbl_CONTENT[[#This Row],[RelInt]]-1)^(2.5)*4^(1-2.5)+1) +
 ((tbl_CONTENT[[#This Row],[Comp]]-1)^(2.5)*4^(1-2.5)+1)*(0.5*((tbl_CONTENT[[#This Row],[RelInt]]-1)/4)^(2.5)+1),
 0
)</f>
        <v>0</v>
      </c>
      <c r="T563" s="35">
        <f>IFERROR(
 (1.907*EXP(1)^(-0.5*VALUE(tbl_CONTENT[[#This Row],[Layer]]))) *
 ((VALUE(tbl_CONTENT[[#This Row],[RelId]])-1)^(2.5)*4^(1-2.5)+1) +
 ((VALUE(tbl_CONTENT[[#This Row],[Comp]])-1)^(2.5)*4^(1-2.5)+1)*(0.5*((VALUE(tbl_CONTENT[[#This Row],[RelId]])-1)/4)^(2.5)+1),
 0
)</f>
        <v>0</v>
      </c>
      <c r="V563" s="62"/>
      <c r="W563" s="22" t="str">
        <f>IFERROR(
  IF(_xlfn.XLOOKUP(tbl_CONTENT[[#This Row],[Topic]], tbl_TOPIC[Topic], tbl_TOPIC[ParentTopic])="", "",
       _xlfn.XLOOKUP(tbl_CONTENT[[#This Row],[Topic]], tbl_TOPIC[Topic], tbl_TOPIC[ParentTopic])),
  ""
)</f>
        <v>Eindimensionale Potentialstufe</v>
      </c>
      <c r="X563" s="22" t="str">
        <f>IFERROR(
  IF(_xlfn.XLOOKUP(tbl_CONTENT[[#This Row],[Topic]], tbl_TOPIC[Topic], tbl_TOPIC[TopicPath])="", "",
       _xlfn.XLOOKUP(tbl_CONTENT[[#This Row],[Topic]], tbl_TOPIC[Topic], tbl_TOPIC[TopicPath])),
  ""
)</f>
        <v>Eindimensionale Systeme/Eindimensionale Potentialstufe/Reflektierte Zustände</v>
      </c>
    </row>
    <row r="564" spans="3:24" ht="34" x14ac:dyDescent="0.2">
      <c r="C564" s="62" t="str">
        <f>_xlfn.XLOOKUP(tbl_CONTENT[[#This Row],[TopicID]], tbl_TOPIC[TopicID], tbl_TOPIC[Subject], "")</f>
        <v>QM</v>
      </c>
      <c r="D56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QM-T12-25-03</v>
      </c>
      <c r="E564" s="62">
        <f>ROW()</f>
        <v>564</v>
      </c>
      <c r="F564" s="22" t="s">
        <v>1051</v>
      </c>
      <c r="G564" s="22" t="str">
        <f>_xlfn.XLOOKUP(tbl_CONTENT[[#This Row],[Topic]], tbl_TOPIC[Topic], tbl_TOPIC[TopicID], "")</f>
        <v>QM-1-25</v>
      </c>
      <c r="H564" s="62" cm="1">
        <f t="array" ref="H564">SUM((tbl_CONTENT[[#This Row],[TopicID]]=INDEX(tbl_CONTENT[TopicID],1):tbl_CONTENT[[#This Row],[TopicID]])*1)</f>
        <v>3</v>
      </c>
      <c r="I564" s="62" t="str">
        <f>_xlfn.XLOOKUP(tbl_CONTENT[[#This Row],[Topic]], tbl_TOPIC[Topic], tbl_TOPIC[TopicIndex], "")</f>
        <v>25</v>
      </c>
      <c r="J564" s="22" t="s">
        <v>680</v>
      </c>
      <c r="K564" s="22" t="s">
        <v>1024</v>
      </c>
      <c r="L564" s="22" t="s">
        <v>380</v>
      </c>
      <c r="R564" s="62"/>
      <c r="S564" s="35">
        <f>IFERROR(
 (1.907*EXP(1)^(-0.5*tbl_CONTENT[[#This Row],[Layer]])) *
 ((tbl_CONTENT[[#This Row],[RelInt]]-1)^(2.5)*4^(1-2.5)+1) +
 ((tbl_CONTENT[[#This Row],[Comp]]-1)^(2.5)*4^(1-2.5)+1)*(0.5*((tbl_CONTENT[[#This Row],[RelInt]]-1)/4)^(2.5)+1),
 0
)</f>
        <v>0</v>
      </c>
      <c r="T564" s="35">
        <f>IFERROR(
 (1.907*EXP(1)^(-0.5*VALUE(tbl_CONTENT[[#This Row],[Layer]]))) *
 ((VALUE(tbl_CONTENT[[#This Row],[RelId]])-1)^(2.5)*4^(1-2.5)+1) +
 ((VALUE(tbl_CONTENT[[#This Row],[Comp]])-1)^(2.5)*4^(1-2.5)+1)*(0.5*((VALUE(tbl_CONTENT[[#This Row],[RelId]])-1)/4)^(2.5)+1),
 0
)</f>
        <v>0</v>
      </c>
      <c r="V564" s="62"/>
      <c r="W564" s="22" t="str">
        <f>IFERROR(
  IF(_xlfn.XLOOKUP(tbl_CONTENT[[#This Row],[Topic]], tbl_TOPIC[Topic], tbl_TOPIC[ParentTopic])="", "",
       _xlfn.XLOOKUP(tbl_CONTENT[[#This Row],[Topic]], tbl_TOPIC[Topic], tbl_TOPIC[ParentTopic])),
  ""
)</f>
        <v>Eindimensionale Potentialstufe</v>
      </c>
      <c r="X564" s="22" t="str">
        <f>IFERROR(
  IF(_xlfn.XLOOKUP(tbl_CONTENT[[#This Row],[Topic]], tbl_TOPIC[Topic], tbl_TOPIC[TopicPath])="", "",
       _xlfn.XLOOKUP(tbl_CONTENT[[#This Row],[Topic]], tbl_TOPIC[Topic], tbl_TOPIC[TopicPath])),
  ""
)</f>
        <v>Eindimensionale Systeme/Eindimensionale Potentialstufe/Reflektierte Zustände</v>
      </c>
    </row>
    <row r="565" spans="3:24" ht="34" x14ac:dyDescent="0.2">
      <c r="C565" s="62" t="str">
        <f>_xlfn.XLOOKUP(tbl_CONTENT[[#This Row],[TopicID]], tbl_TOPIC[TopicID], tbl_TOPIC[Subject], "")</f>
        <v>QM</v>
      </c>
      <c r="D56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QM-T12-25-04</v>
      </c>
      <c r="E565" s="62">
        <f>ROW()</f>
        <v>565</v>
      </c>
      <c r="F565" s="22" t="s">
        <v>1051</v>
      </c>
      <c r="G565" s="22" t="str">
        <f>_xlfn.XLOOKUP(tbl_CONTENT[[#This Row],[Topic]], tbl_TOPIC[Topic], tbl_TOPIC[TopicID], "")</f>
        <v>QM-1-25</v>
      </c>
      <c r="H565" s="62" cm="1">
        <f t="array" ref="H565">SUM((tbl_CONTENT[[#This Row],[TopicID]]=INDEX(tbl_CONTENT[TopicID],1):tbl_CONTENT[[#This Row],[TopicID]])*1)</f>
        <v>4</v>
      </c>
      <c r="I565" s="62" t="str">
        <f>_xlfn.XLOOKUP(tbl_CONTENT[[#This Row],[Topic]], tbl_TOPIC[Topic], tbl_TOPIC[TopicIndex], "")</f>
        <v>25</v>
      </c>
      <c r="J565" s="22" t="s">
        <v>680</v>
      </c>
      <c r="K565" s="22" t="s">
        <v>1025</v>
      </c>
      <c r="L565" s="22" t="s">
        <v>380</v>
      </c>
      <c r="R565" s="62"/>
      <c r="S565" s="35">
        <f>IFERROR(
 (1.907*EXP(1)^(-0.5*tbl_CONTENT[[#This Row],[Layer]])) *
 ((tbl_CONTENT[[#This Row],[RelInt]]-1)^(2.5)*4^(1-2.5)+1) +
 ((tbl_CONTENT[[#This Row],[Comp]]-1)^(2.5)*4^(1-2.5)+1)*(0.5*((tbl_CONTENT[[#This Row],[RelInt]]-1)/4)^(2.5)+1),
 0
)</f>
        <v>0</v>
      </c>
      <c r="T565" s="35">
        <f>IFERROR(
 (1.907*EXP(1)^(-0.5*VALUE(tbl_CONTENT[[#This Row],[Layer]]))) *
 ((VALUE(tbl_CONTENT[[#This Row],[RelId]])-1)^(2.5)*4^(1-2.5)+1) +
 ((VALUE(tbl_CONTENT[[#This Row],[Comp]])-1)^(2.5)*4^(1-2.5)+1)*(0.5*((VALUE(tbl_CONTENT[[#This Row],[RelId]])-1)/4)^(2.5)+1),
 0
)</f>
        <v>0</v>
      </c>
      <c r="V565" s="62"/>
      <c r="W565" s="22" t="str">
        <f>IFERROR(
  IF(_xlfn.XLOOKUP(tbl_CONTENT[[#This Row],[Topic]], tbl_TOPIC[Topic], tbl_TOPIC[ParentTopic])="", "",
       _xlfn.XLOOKUP(tbl_CONTENT[[#This Row],[Topic]], tbl_TOPIC[Topic], tbl_TOPIC[ParentTopic])),
  ""
)</f>
        <v>Eindimensionale Potentialstufe</v>
      </c>
      <c r="X565" s="22" t="str">
        <f>IFERROR(
  IF(_xlfn.XLOOKUP(tbl_CONTENT[[#This Row],[Topic]], tbl_TOPIC[Topic], tbl_TOPIC[TopicPath])="", "",
       _xlfn.XLOOKUP(tbl_CONTENT[[#This Row],[Topic]], tbl_TOPIC[Topic], tbl_TOPIC[TopicPath])),
  ""
)</f>
        <v>Eindimensionale Systeme/Eindimensionale Potentialstufe/Reflektierte Zustände</v>
      </c>
    </row>
    <row r="566" spans="3:24" ht="34" x14ac:dyDescent="0.2">
      <c r="C566" s="62" t="str">
        <f>_xlfn.XLOOKUP(tbl_CONTENT[[#This Row],[TopicID]], tbl_TOPIC[TopicID], tbl_TOPIC[Subject], "")</f>
        <v>QM</v>
      </c>
      <c r="D56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QM-T12-25-05</v>
      </c>
      <c r="E566" s="62">
        <f>ROW()</f>
        <v>566</v>
      </c>
      <c r="F566" s="22" t="s">
        <v>1051</v>
      </c>
      <c r="G566" s="22" t="str">
        <f>_xlfn.XLOOKUP(tbl_CONTENT[[#This Row],[Topic]], tbl_TOPIC[Topic], tbl_TOPIC[TopicID], "")</f>
        <v>QM-1-25</v>
      </c>
      <c r="H566" s="62" cm="1">
        <f t="array" ref="H566">SUM((tbl_CONTENT[[#This Row],[TopicID]]=INDEX(tbl_CONTENT[TopicID],1):tbl_CONTENT[[#This Row],[TopicID]])*1)</f>
        <v>5</v>
      </c>
      <c r="I566" s="62" t="str">
        <f>_xlfn.XLOOKUP(tbl_CONTENT[[#This Row],[Topic]], tbl_TOPIC[Topic], tbl_TOPIC[TopicIndex], "")</f>
        <v>25</v>
      </c>
      <c r="J566" s="22" t="s">
        <v>680</v>
      </c>
      <c r="K566" s="22" t="s">
        <v>1026</v>
      </c>
      <c r="L566" s="22" t="s">
        <v>380</v>
      </c>
      <c r="R566" s="62"/>
      <c r="S566" s="35">
        <f>IFERROR(
 (1.907*EXP(1)^(-0.5*tbl_CONTENT[[#This Row],[Layer]])) *
 ((tbl_CONTENT[[#This Row],[RelInt]]-1)^(2.5)*4^(1-2.5)+1) +
 ((tbl_CONTENT[[#This Row],[Comp]]-1)^(2.5)*4^(1-2.5)+1)*(0.5*((tbl_CONTENT[[#This Row],[RelInt]]-1)/4)^(2.5)+1),
 0
)</f>
        <v>0</v>
      </c>
      <c r="T566" s="35">
        <f>IFERROR(
 (1.907*EXP(1)^(-0.5*VALUE(tbl_CONTENT[[#This Row],[Layer]]))) *
 ((VALUE(tbl_CONTENT[[#This Row],[RelId]])-1)^(2.5)*4^(1-2.5)+1) +
 ((VALUE(tbl_CONTENT[[#This Row],[Comp]])-1)^(2.5)*4^(1-2.5)+1)*(0.5*((VALUE(tbl_CONTENT[[#This Row],[RelId]])-1)/4)^(2.5)+1),
 0
)</f>
        <v>0</v>
      </c>
      <c r="V566" s="62"/>
      <c r="W566" s="22" t="str">
        <f>IFERROR(
  IF(_xlfn.XLOOKUP(tbl_CONTENT[[#This Row],[Topic]], tbl_TOPIC[Topic], tbl_TOPIC[ParentTopic])="", "",
       _xlfn.XLOOKUP(tbl_CONTENT[[#This Row],[Topic]], tbl_TOPIC[Topic], tbl_TOPIC[ParentTopic])),
  ""
)</f>
        <v>Eindimensionale Potentialstufe</v>
      </c>
      <c r="X566" s="22" t="str">
        <f>IFERROR(
  IF(_xlfn.XLOOKUP(tbl_CONTENT[[#This Row],[Topic]], tbl_TOPIC[Topic], tbl_TOPIC[TopicPath])="", "",
       _xlfn.XLOOKUP(tbl_CONTENT[[#This Row],[Topic]], tbl_TOPIC[Topic], tbl_TOPIC[TopicPath])),
  ""
)</f>
        <v>Eindimensionale Systeme/Eindimensionale Potentialstufe/Reflektierte Zustände</v>
      </c>
    </row>
    <row r="567" spans="3:24" ht="51" x14ac:dyDescent="0.2">
      <c r="C567" s="62" t="str">
        <f>_xlfn.XLOOKUP(tbl_CONTENT[[#This Row],[TopicID]], tbl_TOPIC[TopicID], tbl_TOPIC[Subject], "")</f>
        <v>QM</v>
      </c>
      <c r="D56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QM-T12-25-06</v>
      </c>
      <c r="E567" s="62">
        <f>ROW()</f>
        <v>567</v>
      </c>
      <c r="F567" s="22" t="s">
        <v>1051</v>
      </c>
      <c r="G567" s="22" t="str">
        <f>_xlfn.XLOOKUP(tbl_CONTENT[[#This Row],[Topic]], tbl_TOPIC[Topic], tbl_TOPIC[TopicID], "")</f>
        <v>QM-1-25</v>
      </c>
      <c r="H567" s="62" cm="1">
        <f t="array" ref="H567">SUM((tbl_CONTENT[[#This Row],[TopicID]]=INDEX(tbl_CONTENT[TopicID],1):tbl_CONTENT[[#This Row],[TopicID]])*1)</f>
        <v>6</v>
      </c>
      <c r="I567" s="62" t="str">
        <f>_xlfn.XLOOKUP(tbl_CONTENT[[#This Row],[Topic]], tbl_TOPIC[Topic], tbl_TOPIC[TopicIndex], "")</f>
        <v>25</v>
      </c>
      <c r="J567" s="22" t="s">
        <v>680</v>
      </c>
      <c r="K567" s="22" t="s">
        <v>930</v>
      </c>
      <c r="L567" s="22" t="s">
        <v>380</v>
      </c>
      <c r="R567" s="62"/>
      <c r="S567" s="35">
        <f>IFERROR(
 (1.907*EXP(1)^(-0.5*tbl_CONTENT[[#This Row],[Layer]])) *
 ((tbl_CONTENT[[#This Row],[RelInt]]-1)^(2.5)*4^(1-2.5)+1) +
 ((tbl_CONTENT[[#This Row],[Comp]]-1)^(2.5)*4^(1-2.5)+1)*(0.5*((tbl_CONTENT[[#This Row],[RelInt]]-1)/4)^(2.5)+1),
 0
)</f>
        <v>0</v>
      </c>
      <c r="T567" s="35">
        <f>IFERROR(
 (1.907*EXP(1)^(-0.5*VALUE(tbl_CONTENT[[#This Row],[Layer]]))) *
 ((VALUE(tbl_CONTENT[[#This Row],[RelId]])-1)^(2.5)*4^(1-2.5)+1) +
 ((VALUE(tbl_CONTENT[[#This Row],[Comp]])-1)^(2.5)*4^(1-2.5)+1)*(0.5*((VALUE(tbl_CONTENT[[#This Row],[RelId]])-1)/4)^(2.5)+1),
 0
)</f>
        <v>0</v>
      </c>
      <c r="V567" s="62"/>
      <c r="W567" s="22" t="str">
        <f>IFERROR(
  IF(_xlfn.XLOOKUP(tbl_CONTENT[[#This Row],[Topic]], tbl_TOPIC[Topic], tbl_TOPIC[ParentTopic])="", "",
       _xlfn.XLOOKUP(tbl_CONTENT[[#This Row],[Topic]], tbl_TOPIC[Topic], tbl_TOPIC[ParentTopic])),
  ""
)</f>
        <v>Eindimensionale Potentialstufe</v>
      </c>
      <c r="X567" s="22" t="str">
        <f>IFERROR(
  IF(_xlfn.XLOOKUP(tbl_CONTENT[[#This Row],[Topic]], tbl_TOPIC[Topic], tbl_TOPIC[TopicPath])="", "",
       _xlfn.XLOOKUP(tbl_CONTENT[[#This Row],[Topic]], tbl_TOPIC[Topic], tbl_TOPIC[TopicPath])),
  ""
)</f>
        <v>Eindimensionale Systeme/Eindimensionale Potentialstufe/Reflektierte Zustände</v>
      </c>
    </row>
    <row r="568" spans="3:24" ht="68" x14ac:dyDescent="0.2">
      <c r="C568" s="62" t="str">
        <f>_xlfn.XLOOKUP(tbl_CONTENT[[#This Row],[TopicID]], tbl_TOPIC[TopicID], tbl_TOPIC[Subject], "")</f>
        <v>QM</v>
      </c>
      <c r="D56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QM-T12-25-07</v>
      </c>
      <c r="E568" s="62">
        <f>ROW()</f>
        <v>568</v>
      </c>
      <c r="F568" s="22" t="s">
        <v>1051</v>
      </c>
      <c r="G568" s="22" t="str">
        <f>_xlfn.XLOOKUP(tbl_CONTENT[[#This Row],[Topic]], tbl_TOPIC[Topic], tbl_TOPIC[TopicID], "")</f>
        <v>QM-1-25</v>
      </c>
      <c r="H568" s="62" cm="1">
        <f t="array" ref="H568">SUM((tbl_CONTENT[[#This Row],[TopicID]]=INDEX(tbl_CONTENT[TopicID],1):tbl_CONTENT[[#This Row],[TopicID]])*1)</f>
        <v>7</v>
      </c>
      <c r="I568" s="62" t="str">
        <f>_xlfn.XLOOKUP(tbl_CONTENT[[#This Row],[Topic]], tbl_TOPIC[Topic], tbl_TOPIC[TopicIndex], "")</f>
        <v>25</v>
      </c>
      <c r="J568" s="22" t="s">
        <v>680</v>
      </c>
      <c r="K568" s="22" t="s">
        <v>1027</v>
      </c>
      <c r="L568" s="22" t="s">
        <v>380</v>
      </c>
      <c r="R568" s="62"/>
      <c r="S568" s="35">
        <f>IFERROR(
 (1.907*EXP(1)^(-0.5*tbl_CONTENT[[#This Row],[Layer]])) *
 ((tbl_CONTENT[[#This Row],[RelInt]]-1)^(2.5)*4^(1-2.5)+1) +
 ((tbl_CONTENT[[#This Row],[Comp]]-1)^(2.5)*4^(1-2.5)+1)*(0.5*((tbl_CONTENT[[#This Row],[RelInt]]-1)/4)^(2.5)+1),
 0
)</f>
        <v>0</v>
      </c>
      <c r="T568" s="35">
        <f>IFERROR(
 (1.907*EXP(1)^(-0.5*VALUE(tbl_CONTENT[[#This Row],[Layer]]))) *
 ((VALUE(tbl_CONTENT[[#This Row],[RelId]])-1)^(2.5)*4^(1-2.5)+1) +
 ((VALUE(tbl_CONTENT[[#This Row],[Comp]])-1)^(2.5)*4^(1-2.5)+1)*(0.5*((VALUE(tbl_CONTENT[[#This Row],[RelId]])-1)/4)^(2.5)+1),
 0
)</f>
        <v>0</v>
      </c>
      <c r="V568" s="62"/>
      <c r="W568" s="22" t="str">
        <f>IFERROR(
  IF(_xlfn.XLOOKUP(tbl_CONTENT[[#This Row],[Topic]], tbl_TOPIC[Topic], tbl_TOPIC[ParentTopic])="", "",
       _xlfn.XLOOKUP(tbl_CONTENT[[#This Row],[Topic]], tbl_TOPIC[Topic], tbl_TOPIC[ParentTopic])),
  ""
)</f>
        <v>Eindimensionale Potentialstufe</v>
      </c>
      <c r="X568" s="22" t="str">
        <f>IFERROR(
  IF(_xlfn.XLOOKUP(tbl_CONTENT[[#This Row],[Topic]], tbl_TOPIC[Topic], tbl_TOPIC[TopicPath])="", "",
       _xlfn.XLOOKUP(tbl_CONTENT[[#This Row],[Topic]], tbl_TOPIC[Topic], tbl_TOPIC[TopicPath])),
  ""
)</f>
        <v>Eindimensionale Systeme/Eindimensionale Potentialstufe/Reflektierte Zustände</v>
      </c>
    </row>
    <row r="569" spans="3:24" ht="34" x14ac:dyDescent="0.2">
      <c r="C569" s="62" t="str">
        <f>_xlfn.XLOOKUP(tbl_CONTENT[[#This Row],[TopicID]], tbl_TOPIC[TopicID], tbl_TOPIC[Subject], "")</f>
        <v>GPDE</v>
      </c>
      <c r="D56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GPDE-T12-02-24</v>
      </c>
      <c r="E569" s="62">
        <f>ROW()</f>
        <v>569</v>
      </c>
      <c r="F569" s="22" t="s">
        <v>1051</v>
      </c>
      <c r="G569" s="22" t="str">
        <f>_xlfn.XLOOKUP(tbl_CONTENT[[#This Row],[Topic]], tbl_TOPIC[Topic], tbl_TOPIC[TopicID], "")</f>
        <v>GPDE-1-02</v>
      </c>
      <c r="H569" s="62" cm="1">
        <f t="array" ref="H569">SUM((tbl_CONTENT[[#This Row],[TopicID]]=INDEX(tbl_CONTENT[TopicID],1):tbl_CONTENT[[#This Row],[TopicID]])*1)</f>
        <v>24</v>
      </c>
      <c r="I569" s="62" t="str">
        <f>_xlfn.XLOOKUP(tbl_CONTENT[[#This Row],[Topic]], tbl_TOPIC[Topic], tbl_TOPIC[TopicIndex], "")</f>
        <v>02</v>
      </c>
      <c r="J569" s="22" t="s">
        <v>331</v>
      </c>
      <c r="K569" s="22" t="s">
        <v>934</v>
      </c>
      <c r="L569" s="22" t="s">
        <v>380</v>
      </c>
      <c r="M569" s="22">
        <v>1</v>
      </c>
      <c r="R569" s="62"/>
      <c r="S569" s="35">
        <f>IFERROR(
 (1.907*EXP(1)^(-0.5*tbl_CONTENT[[#This Row],[Layer]])) *
 ((tbl_CONTENT[[#This Row],[RelInt]]-1)^(2.5)*4^(1-2.5)+1) +
 ((tbl_CONTENT[[#This Row],[Comp]]-1)^(2.5)*4^(1-2.5)+1)*(0.5*((tbl_CONTENT[[#This Row],[RelInt]]-1)/4)^(2.5)+1),
 0
)</f>
        <v>0</v>
      </c>
      <c r="T569" s="35">
        <f>IFERROR(
 (1.907*EXP(1)^(-0.5*VALUE(tbl_CONTENT[[#This Row],[Layer]]))) *
 ((VALUE(tbl_CONTENT[[#This Row],[RelId]])-1)^(2.5)*4^(1-2.5)+1) +
 ((VALUE(tbl_CONTENT[[#This Row],[Comp]])-1)^(2.5)*4^(1-2.5)+1)*(0.5*((VALUE(tbl_CONTENT[[#This Row],[RelId]])-1)/4)^(2.5)+1),
 0
)</f>
        <v>0</v>
      </c>
      <c r="V569" s="62"/>
      <c r="W569" s="22" t="str">
        <f>IFERROR(
  IF(_xlfn.XLOOKUP(tbl_CONTENT[[#This Row],[Topic]], tbl_TOPIC[Topic], tbl_TOPIC[ParentTopic])="", "",
       _xlfn.XLOOKUP(tbl_CONTENT[[#This Row],[Topic]], tbl_TOPIC[Topic], tbl_TOPIC[ParentTopic])),
  ""
)</f>
        <v>GPDE Basics</v>
      </c>
      <c r="X569" s="22" t="str">
        <f>IFERROR(
  IF(_xlfn.XLOOKUP(tbl_CONTENT[[#This Row],[Topic]], tbl_TOPIC[Topic], tbl_TOPIC[TopicPath])="", "",
       _xlfn.XLOOKUP(tbl_CONTENT[[#This Row],[Topic]], tbl_TOPIC[Topic], tbl_TOPIC[TopicPath])),
  ""
)</f>
        <v>GPDE Basics/Differentialoperatoren</v>
      </c>
    </row>
    <row r="570" spans="3:24" ht="17" x14ac:dyDescent="0.2">
      <c r="C570" s="62" t="str">
        <f>_xlfn.XLOOKUP(tbl_CONTENT[[#This Row],[TopicID]], tbl_TOPIC[TopicID], tbl_TOPIC[Subject], "")</f>
        <v>A</v>
      </c>
      <c r="D57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A-T12-07-01</v>
      </c>
      <c r="E570" s="62">
        <f>ROW()</f>
        <v>570</v>
      </c>
      <c r="F570" s="22" t="s">
        <v>1051</v>
      </c>
      <c r="G570" s="22" t="str">
        <f>_xlfn.XLOOKUP(tbl_CONTENT[[#This Row],[Topic]], tbl_TOPIC[Topic], tbl_TOPIC[TopicID], "")</f>
        <v>A-1-07</v>
      </c>
      <c r="H570" s="62" cm="1">
        <f t="array" ref="H570">SUM((tbl_CONTENT[[#This Row],[TopicID]]=INDEX(tbl_CONTENT[TopicID],1):tbl_CONTENT[[#This Row],[TopicID]])*1)</f>
        <v>1</v>
      </c>
      <c r="I570" s="62" t="str">
        <f>_xlfn.XLOOKUP(tbl_CONTENT[[#This Row],[Topic]], tbl_TOPIC[Topic], tbl_TOPIC[TopicIndex], "")</f>
        <v>07</v>
      </c>
      <c r="J570" s="22" t="s">
        <v>936</v>
      </c>
      <c r="K570" s="22" t="s">
        <v>937</v>
      </c>
      <c r="L570" s="22" t="s">
        <v>152</v>
      </c>
      <c r="R570" s="62"/>
      <c r="S570" s="35">
        <f>IFERROR(
 (1.907*EXP(1)^(-0.5*tbl_CONTENT[[#This Row],[Layer]])) *
 ((tbl_CONTENT[[#This Row],[RelInt]]-1)^(2.5)*4^(1-2.5)+1) +
 ((tbl_CONTENT[[#This Row],[Comp]]-1)^(2.5)*4^(1-2.5)+1)*(0.5*((tbl_CONTENT[[#This Row],[RelInt]]-1)/4)^(2.5)+1),
 0
)</f>
        <v>0</v>
      </c>
      <c r="T570" s="35">
        <f>IFERROR(
 (1.907*EXP(1)^(-0.5*VALUE(tbl_CONTENT[[#This Row],[Layer]]))) *
 ((VALUE(tbl_CONTENT[[#This Row],[RelId]])-1)^(2.5)*4^(1-2.5)+1) +
 ((VALUE(tbl_CONTENT[[#This Row],[Comp]])-1)^(2.5)*4^(1-2.5)+1)*(0.5*((VALUE(tbl_CONTENT[[#This Row],[RelId]])-1)/4)^(2.5)+1),
 0
)</f>
        <v>0</v>
      </c>
      <c r="V570" s="62"/>
      <c r="W570" s="22" t="str">
        <f>IFERROR(
  IF(_xlfn.XLOOKUP(tbl_CONTENT[[#This Row],[Topic]], tbl_TOPIC[Topic], tbl_TOPIC[ParentTopic])="", "",
       _xlfn.XLOOKUP(tbl_CONTENT[[#This Row],[Topic]], tbl_TOPIC[Topic], tbl_TOPIC[ParentTopic])),
  ""
)</f>
        <v>Moduln</v>
      </c>
      <c r="X570" s="22" t="str">
        <f>IFERROR(
  IF(_xlfn.XLOOKUP(tbl_CONTENT[[#This Row],[Topic]], tbl_TOPIC[Topic], tbl_TOPIC[TopicPath])="", "",
       _xlfn.XLOOKUP(tbl_CONTENT[[#This Row],[Topic]], tbl_TOPIC[Topic], tbl_TOPIC[TopicPath])),
  ""
)</f>
        <v>Moduln/Moduln Grundlagen</v>
      </c>
    </row>
    <row r="571" spans="3:24" ht="17" x14ac:dyDescent="0.2">
      <c r="C571" s="62" t="str">
        <f>_xlfn.XLOOKUP(tbl_CONTENT[[#This Row],[TopicID]], tbl_TOPIC[TopicID], tbl_TOPIC[Subject], "")</f>
        <v>A</v>
      </c>
      <c r="D57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A-T12-07-02</v>
      </c>
      <c r="E571" s="62">
        <f>ROW()</f>
        <v>571</v>
      </c>
      <c r="F571" s="22" t="s">
        <v>1051</v>
      </c>
      <c r="G571" s="22" t="str">
        <f>_xlfn.XLOOKUP(tbl_CONTENT[[#This Row],[Topic]], tbl_TOPIC[Topic], tbl_TOPIC[TopicID], "")</f>
        <v>A-1-07</v>
      </c>
      <c r="H571" s="62" cm="1">
        <f t="array" ref="H571">SUM((tbl_CONTENT[[#This Row],[TopicID]]=INDEX(tbl_CONTENT[TopicID],1):tbl_CONTENT[[#This Row],[TopicID]])*1)</f>
        <v>2</v>
      </c>
      <c r="I571" s="62" t="str">
        <f>_xlfn.XLOOKUP(tbl_CONTENT[[#This Row],[Topic]], tbl_TOPIC[Topic], tbl_TOPIC[TopicIndex], "")</f>
        <v>07</v>
      </c>
      <c r="J571" s="22" t="s">
        <v>936</v>
      </c>
      <c r="K571" s="22" t="s">
        <v>938</v>
      </c>
      <c r="L571" s="22" t="s">
        <v>152</v>
      </c>
      <c r="R571" s="62"/>
      <c r="S571" s="35">
        <f>IFERROR(
 (1.907*EXP(1)^(-0.5*tbl_CONTENT[[#This Row],[Layer]])) *
 ((tbl_CONTENT[[#This Row],[RelInt]]-1)^(2.5)*4^(1-2.5)+1) +
 ((tbl_CONTENT[[#This Row],[Comp]]-1)^(2.5)*4^(1-2.5)+1)*(0.5*((tbl_CONTENT[[#This Row],[RelInt]]-1)/4)^(2.5)+1),
 0
)</f>
        <v>0</v>
      </c>
      <c r="T571" s="35">
        <f>IFERROR(
 (1.907*EXP(1)^(-0.5*VALUE(tbl_CONTENT[[#This Row],[Layer]]))) *
 ((VALUE(tbl_CONTENT[[#This Row],[RelId]])-1)^(2.5)*4^(1-2.5)+1) +
 ((VALUE(tbl_CONTENT[[#This Row],[Comp]])-1)^(2.5)*4^(1-2.5)+1)*(0.5*((VALUE(tbl_CONTENT[[#This Row],[RelId]])-1)/4)^(2.5)+1),
 0
)</f>
        <v>0</v>
      </c>
      <c r="V571" s="62"/>
      <c r="W571" s="22" t="str">
        <f>IFERROR(
  IF(_xlfn.XLOOKUP(tbl_CONTENT[[#This Row],[Topic]], tbl_TOPIC[Topic], tbl_TOPIC[ParentTopic])="", "",
       _xlfn.XLOOKUP(tbl_CONTENT[[#This Row],[Topic]], tbl_TOPIC[Topic], tbl_TOPIC[ParentTopic])),
  ""
)</f>
        <v>Moduln</v>
      </c>
      <c r="X571" s="22" t="str">
        <f>IFERROR(
  IF(_xlfn.XLOOKUP(tbl_CONTENT[[#This Row],[Topic]], tbl_TOPIC[Topic], tbl_TOPIC[TopicPath])="", "",
       _xlfn.XLOOKUP(tbl_CONTENT[[#This Row],[Topic]], tbl_TOPIC[Topic], tbl_TOPIC[TopicPath])),
  ""
)</f>
        <v>Moduln/Moduln Grundlagen</v>
      </c>
    </row>
    <row r="572" spans="3:24" ht="17" x14ac:dyDescent="0.2">
      <c r="C572" s="62" t="str">
        <f>_xlfn.XLOOKUP(tbl_CONTENT[[#This Row],[TopicID]], tbl_TOPIC[TopicID], tbl_TOPIC[Subject], "")</f>
        <v>A</v>
      </c>
      <c r="D57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A-T12-07-03</v>
      </c>
      <c r="E572" s="62">
        <f>ROW()</f>
        <v>572</v>
      </c>
      <c r="F572" s="22" t="s">
        <v>1051</v>
      </c>
      <c r="G572" s="22" t="str">
        <f>_xlfn.XLOOKUP(tbl_CONTENT[[#This Row],[Topic]], tbl_TOPIC[Topic], tbl_TOPIC[TopicID], "")</f>
        <v>A-1-07</v>
      </c>
      <c r="H572" s="62" cm="1">
        <f t="array" ref="H572">SUM((tbl_CONTENT[[#This Row],[TopicID]]=INDEX(tbl_CONTENT[TopicID],1):tbl_CONTENT[[#This Row],[TopicID]])*1)</f>
        <v>3</v>
      </c>
      <c r="I572" s="62" t="str">
        <f>_xlfn.XLOOKUP(tbl_CONTENT[[#This Row],[Topic]], tbl_TOPIC[Topic], tbl_TOPIC[TopicIndex], "")</f>
        <v>07</v>
      </c>
      <c r="J572" s="22" t="s">
        <v>936</v>
      </c>
      <c r="K572" s="22" t="s">
        <v>939</v>
      </c>
      <c r="L572" s="22" t="s">
        <v>152</v>
      </c>
      <c r="R572" s="62"/>
      <c r="S572" s="35">
        <f>IFERROR(
 (1.907*EXP(1)^(-0.5*tbl_CONTENT[[#This Row],[Layer]])) *
 ((tbl_CONTENT[[#This Row],[RelInt]]-1)^(2.5)*4^(1-2.5)+1) +
 ((tbl_CONTENT[[#This Row],[Comp]]-1)^(2.5)*4^(1-2.5)+1)*(0.5*((tbl_CONTENT[[#This Row],[RelInt]]-1)/4)^(2.5)+1),
 0
)</f>
        <v>0</v>
      </c>
      <c r="T572" s="35">
        <f>IFERROR(
 (1.907*EXP(1)^(-0.5*VALUE(tbl_CONTENT[[#This Row],[Layer]]))) *
 ((VALUE(tbl_CONTENT[[#This Row],[RelId]])-1)^(2.5)*4^(1-2.5)+1) +
 ((VALUE(tbl_CONTENT[[#This Row],[Comp]])-1)^(2.5)*4^(1-2.5)+1)*(0.5*((VALUE(tbl_CONTENT[[#This Row],[RelId]])-1)/4)^(2.5)+1),
 0
)</f>
        <v>0</v>
      </c>
      <c r="V572" s="62"/>
      <c r="W572" s="22" t="str">
        <f>IFERROR(
  IF(_xlfn.XLOOKUP(tbl_CONTENT[[#This Row],[Topic]], tbl_TOPIC[Topic], tbl_TOPIC[ParentTopic])="", "",
       _xlfn.XLOOKUP(tbl_CONTENT[[#This Row],[Topic]], tbl_TOPIC[Topic], tbl_TOPIC[ParentTopic])),
  ""
)</f>
        <v>Moduln</v>
      </c>
      <c r="X572" s="22" t="str">
        <f>IFERROR(
  IF(_xlfn.XLOOKUP(tbl_CONTENT[[#This Row],[Topic]], tbl_TOPIC[Topic], tbl_TOPIC[TopicPath])="", "",
       _xlfn.XLOOKUP(tbl_CONTENT[[#This Row],[Topic]], tbl_TOPIC[Topic], tbl_TOPIC[TopicPath])),
  ""
)</f>
        <v>Moduln/Moduln Grundlagen</v>
      </c>
    </row>
    <row r="573" spans="3:24" ht="34" x14ac:dyDescent="0.2">
      <c r="C573" s="62" t="str">
        <f>_xlfn.XLOOKUP(tbl_CONTENT[[#This Row],[TopicID]], tbl_TOPIC[TopicID], tbl_TOPIC[Subject], "")</f>
        <v>A</v>
      </c>
      <c r="D57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A-T12-07-04</v>
      </c>
      <c r="E573" s="62">
        <f>ROW()</f>
        <v>573</v>
      </c>
      <c r="F573" s="22" t="s">
        <v>1051</v>
      </c>
      <c r="G573" s="22" t="str">
        <f>_xlfn.XLOOKUP(tbl_CONTENT[[#This Row],[Topic]], tbl_TOPIC[Topic], tbl_TOPIC[TopicID], "")</f>
        <v>A-1-07</v>
      </c>
      <c r="H573" s="62" cm="1">
        <f t="array" ref="H573">SUM((tbl_CONTENT[[#This Row],[TopicID]]=INDEX(tbl_CONTENT[TopicID],1):tbl_CONTENT[[#This Row],[TopicID]])*1)</f>
        <v>4</v>
      </c>
      <c r="I573" s="62" t="str">
        <f>_xlfn.XLOOKUP(tbl_CONTENT[[#This Row],[Topic]], tbl_TOPIC[Topic], tbl_TOPIC[TopicIndex], "")</f>
        <v>07</v>
      </c>
      <c r="J573" s="22" t="s">
        <v>936</v>
      </c>
      <c r="K573" s="22" t="s">
        <v>940</v>
      </c>
      <c r="L573" s="22" t="s">
        <v>152</v>
      </c>
      <c r="R573" s="62"/>
      <c r="S573" s="35">
        <f>IFERROR(
 (1.907*EXP(1)^(-0.5*tbl_CONTENT[[#This Row],[Layer]])) *
 ((tbl_CONTENT[[#This Row],[RelInt]]-1)^(2.5)*4^(1-2.5)+1) +
 ((tbl_CONTENT[[#This Row],[Comp]]-1)^(2.5)*4^(1-2.5)+1)*(0.5*((tbl_CONTENT[[#This Row],[RelInt]]-1)/4)^(2.5)+1),
 0
)</f>
        <v>0</v>
      </c>
      <c r="T573" s="35">
        <f>IFERROR(
 (1.907*EXP(1)^(-0.5*VALUE(tbl_CONTENT[[#This Row],[Layer]]))) *
 ((VALUE(tbl_CONTENT[[#This Row],[RelId]])-1)^(2.5)*4^(1-2.5)+1) +
 ((VALUE(tbl_CONTENT[[#This Row],[Comp]])-1)^(2.5)*4^(1-2.5)+1)*(0.5*((VALUE(tbl_CONTENT[[#This Row],[RelId]])-1)/4)^(2.5)+1),
 0
)</f>
        <v>0</v>
      </c>
      <c r="V573" s="62"/>
      <c r="W573" s="22" t="str">
        <f>IFERROR(
  IF(_xlfn.XLOOKUP(tbl_CONTENT[[#This Row],[Topic]], tbl_TOPIC[Topic], tbl_TOPIC[ParentTopic])="", "",
       _xlfn.XLOOKUP(tbl_CONTENT[[#This Row],[Topic]], tbl_TOPIC[Topic], tbl_TOPIC[ParentTopic])),
  ""
)</f>
        <v>Moduln</v>
      </c>
      <c r="X573" s="22" t="str">
        <f>IFERROR(
  IF(_xlfn.XLOOKUP(tbl_CONTENT[[#This Row],[Topic]], tbl_TOPIC[Topic], tbl_TOPIC[TopicPath])="", "",
       _xlfn.XLOOKUP(tbl_CONTENT[[#This Row],[Topic]], tbl_TOPIC[Topic], tbl_TOPIC[TopicPath])),
  ""
)</f>
        <v>Moduln/Moduln Grundlagen</v>
      </c>
    </row>
    <row r="574" spans="3:24" ht="34" x14ac:dyDescent="0.2">
      <c r="C574" s="62" t="str">
        <f>_xlfn.XLOOKUP(tbl_CONTENT[[#This Row],[TopicID]], tbl_TOPIC[TopicID], tbl_TOPIC[Subject], "")</f>
        <v>A</v>
      </c>
      <c r="D57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A-T12-07-05</v>
      </c>
      <c r="E574" s="62">
        <f>ROW()</f>
        <v>574</v>
      </c>
      <c r="F574" s="22" t="s">
        <v>1051</v>
      </c>
      <c r="G574" s="22" t="str">
        <f>_xlfn.XLOOKUP(tbl_CONTENT[[#This Row],[Topic]], tbl_TOPIC[Topic], tbl_TOPIC[TopicID], "")</f>
        <v>A-1-07</v>
      </c>
      <c r="H574" s="62" cm="1">
        <f t="array" ref="H574">SUM((tbl_CONTENT[[#This Row],[TopicID]]=INDEX(tbl_CONTENT[TopicID],1):tbl_CONTENT[[#This Row],[TopicID]])*1)</f>
        <v>5</v>
      </c>
      <c r="I574" s="62" t="str">
        <f>_xlfn.XLOOKUP(tbl_CONTENT[[#This Row],[Topic]], tbl_TOPIC[Topic], tbl_TOPIC[TopicIndex], "")</f>
        <v>07</v>
      </c>
      <c r="J574" s="22" t="s">
        <v>936</v>
      </c>
      <c r="K574" s="22" t="s">
        <v>941</v>
      </c>
      <c r="L574" s="22" t="s">
        <v>152</v>
      </c>
      <c r="R574" s="62"/>
      <c r="S574" s="35">
        <f>IFERROR(
 (1.907*EXP(1)^(-0.5*tbl_CONTENT[[#This Row],[Layer]])) *
 ((tbl_CONTENT[[#This Row],[RelInt]]-1)^(2.5)*4^(1-2.5)+1) +
 ((tbl_CONTENT[[#This Row],[Comp]]-1)^(2.5)*4^(1-2.5)+1)*(0.5*((tbl_CONTENT[[#This Row],[RelInt]]-1)/4)^(2.5)+1),
 0
)</f>
        <v>0</v>
      </c>
      <c r="T574" s="35">
        <f>IFERROR(
 (1.907*EXP(1)^(-0.5*VALUE(tbl_CONTENT[[#This Row],[Layer]]))) *
 ((VALUE(tbl_CONTENT[[#This Row],[RelId]])-1)^(2.5)*4^(1-2.5)+1) +
 ((VALUE(tbl_CONTENT[[#This Row],[Comp]])-1)^(2.5)*4^(1-2.5)+1)*(0.5*((VALUE(tbl_CONTENT[[#This Row],[RelId]])-1)/4)^(2.5)+1),
 0
)</f>
        <v>0</v>
      </c>
      <c r="V574" s="62"/>
      <c r="W574" s="22" t="str">
        <f>IFERROR(
  IF(_xlfn.XLOOKUP(tbl_CONTENT[[#This Row],[Topic]], tbl_TOPIC[Topic], tbl_TOPIC[ParentTopic])="", "",
       _xlfn.XLOOKUP(tbl_CONTENT[[#This Row],[Topic]], tbl_TOPIC[Topic], tbl_TOPIC[ParentTopic])),
  ""
)</f>
        <v>Moduln</v>
      </c>
      <c r="X574" s="22" t="str">
        <f>IFERROR(
  IF(_xlfn.XLOOKUP(tbl_CONTENT[[#This Row],[Topic]], tbl_TOPIC[Topic], tbl_TOPIC[TopicPath])="", "",
       _xlfn.XLOOKUP(tbl_CONTENT[[#This Row],[Topic]], tbl_TOPIC[Topic], tbl_TOPIC[TopicPath])),
  ""
)</f>
        <v>Moduln/Moduln Grundlagen</v>
      </c>
    </row>
    <row r="575" spans="3:24" ht="34" x14ac:dyDescent="0.2">
      <c r="C575" s="62" t="str">
        <f>_xlfn.XLOOKUP(tbl_CONTENT[[#This Row],[TopicID]], tbl_TOPIC[TopicID], tbl_TOPIC[Subject], "")</f>
        <v>A</v>
      </c>
      <c r="D57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A-T12-07-06</v>
      </c>
      <c r="E575" s="62">
        <f>ROW()</f>
        <v>575</v>
      </c>
      <c r="F575" s="22" t="s">
        <v>1051</v>
      </c>
      <c r="G575" s="22" t="str">
        <f>_xlfn.XLOOKUP(tbl_CONTENT[[#This Row],[Topic]], tbl_TOPIC[Topic], tbl_TOPIC[TopicID], "")</f>
        <v>A-1-07</v>
      </c>
      <c r="H575" s="62" cm="1">
        <f t="array" ref="H575">SUM((tbl_CONTENT[[#This Row],[TopicID]]=INDEX(tbl_CONTENT[TopicID],1):tbl_CONTENT[[#This Row],[TopicID]])*1)</f>
        <v>6</v>
      </c>
      <c r="I575" s="62" t="str">
        <f>_xlfn.XLOOKUP(tbl_CONTENT[[#This Row],[Topic]], tbl_TOPIC[Topic], tbl_TOPIC[TopicIndex], "")</f>
        <v>07</v>
      </c>
      <c r="J575" s="22" t="s">
        <v>936</v>
      </c>
      <c r="K575" s="22" t="s">
        <v>942</v>
      </c>
      <c r="L575" s="22" t="s">
        <v>152</v>
      </c>
      <c r="R575" s="62"/>
      <c r="S575" s="35">
        <f>IFERROR(
 (1.907*EXP(1)^(-0.5*tbl_CONTENT[[#This Row],[Layer]])) *
 ((tbl_CONTENT[[#This Row],[RelInt]]-1)^(2.5)*4^(1-2.5)+1) +
 ((tbl_CONTENT[[#This Row],[Comp]]-1)^(2.5)*4^(1-2.5)+1)*(0.5*((tbl_CONTENT[[#This Row],[RelInt]]-1)/4)^(2.5)+1),
 0
)</f>
        <v>0</v>
      </c>
      <c r="T575" s="35">
        <f>IFERROR(
 (1.907*EXP(1)^(-0.5*VALUE(tbl_CONTENT[[#This Row],[Layer]]))) *
 ((VALUE(tbl_CONTENT[[#This Row],[RelId]])-1)^(2.5)*4^(1-2.5)+1) +
 ((VALUE(tbl_CONTENT[[#This Row],[Comp]])-1)^(2.5)*4^(1-2.5)+1)*(0.5*((VALUE(tbl_CONTENT[[#This Row],[RelId]])-1)/4)^(2.5)+1),
 0
)</f>
        <v>0</v>
      </c>
      <c r="V575" s="62"/>
      <c r="W575" s="22" t="str">
        <f>IFERROR(
  IF(_xlfn.XLOOKUP(tbl_CONTENT[[#This Row],[Topic]], tbl_TOPIC[Topic], tbl_TOPIC[ParentTopic])="", "",
       _xlfn.XLOOKUP(tbl_CONTENT[[#This Row],[Topic]], tbl_TOPIC[Topic], tbl_TOPIC[ParentTopic])),
  ""
)</f>
        <v>Moduln</v>
      </c>
      <c r="X575" s="22" t="str">
        <f>IFERROR(
  IF(_xlfn.XLOOKUP(tbl_CONTENT[[#This Row],[Topic]], tbl_TOPIC[Topic], tbl_TOPIC[TopicPath])="", "",
       _xlfn.XLOOKUP(tbl_CONTENT[[#This Row],[Topic]], tbl_TOPIC[Topic], tbl_TOPIC[TopicPath])),
  ""
)</f>
        <v>Moduln/Moduln Grundlagen</v>
      </c>
    </row>
    <row r="576" spans="3:24" ht="17" x14ac:dyDescent="0.2">
      <c r="C576" s="62" t="str">
        <f>_xlfn.XLOOKUP(tbl_CONTENT[[#This Row],[TopicID]], tbl_TOPIC[TopicID], tbl_TOPIC[Subject], "")</f>
        <v>A</v>
      </c>
      <c r="D57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A-T12-07-07</v>
      </c>
      <c r="E576" s="62">
        <f>ROW()</f>
        <v>576</v>
      </c>
      <c r="F576" s="22" t="s">
        <v>1051</v>
      </c>
      <c r="G576" s="22" t="str">
        <f>_xlfn.XLOOKUP(tbl_CONTENT[[#This Row],[Topic]], tbl_TOPIC[Topic], tbl_TOPIC[TopicID], "")</f>
        <v>A-1-07</v>
      </c>
      <c r="H576" s="62" cm="1">
        <f t="array" ref="H576">SUM((tbl_CONTENT[[#This Row],[TopicID]]=INDEX(tbl_CONTENT[TopicID],1):tbl_CONTENT[[#This Row],[TopicID]])*1)</f>
        <v>7</v>
      </c>
      <c r="I576" s="62" t="str">
        <f>_xlfn.XLOOKUP(tbl_CONTENT[[#This Row],[Topic]], tbl_TOPIC[Topic], tbl_TOPIC[TopicIndex], "")</f>
        <v>07</v>
      </c>
      <c r="J576" s="22" t="s">
        <v>936</v>
      </c>
      <c r="K576" s="22" t="s">
        <v>943</v>
      </c>
      <c r="L576" s="22" t="s">
        <v>152</v>
      </c>
      <c r="R576" s="62"/>
      <c r="S576" s="35">
        <f>IFERROR(
 (1.907*EXP(1)^(-0.5*tbl_CONTENT[[#This Row],[Layer]])) *
 ((tbl_CONTENT[[#This Row],[RelInt]]-1)^(2.5)*4^(1-2.5)+1) +
 ((tbl_CONTENT[[#This Row],[Comp]]-1)^(2.5)*4^(1-2.5)+1)*(0.5*((tbl_CONTENT[[#This Row],[RelInt]]-1)/4)^(2.5)+1),
 0
)</f>
        <v>0</v>
      </c>
      <c r="T576" s="35">
        <f>IFERROR(
 (1.907*EXP(1)^(-0.5*VALUE(tbl_CONTENT[[#This Row],[Layer]]))) *
 ((VALUE(tbl_CONTENT[[#This Row],[RelId]])-1)^(2.5)*4^(1-2.5)+1) +
 ((VALUE(tbl_CONTENT[[#This Row],[Comp]])-1)^(2.5)*4^(1-2.5)+1)*(0.5*((VALUE(tbl_CONTENT[[#This Row],[RelId]])-1)/4)^(2.5)+1),
 0
)</f>
        <v>0</v>
      </c>
      <c r="V576" s="62"/>
      <c r="W576" s="22" t="str">
        <f>IFERROR(
  IF(_xlfn.XLOOKUP(tbl_CONTENT[[#This Row],[Topic]], tbl_TOPIC[Topic], tbl_TOPIC[ParentTopic])="", "",
       _xlfn.XLOOKUP(tbl_CONTENT[[#This Row],[Topic]], tbl_TOPIC[Topic], tbl_TOPIC[ParentTopic])),
  ""
)</f>
        <v>Moduln</v>
      </c>
      <c r="X576" s="22" t="str">
        <f>IFERROR(
  IF(_xlfn.XLOOKUP(tbl_CONTENT[[#This Row],[Topic]], tbl_TOPIC[Topic], tbl_TOPIC[TopicPath])="", "",
       _xlfn.XLOOKUP(tbl_CONTENT[[#This Row],[Topic]], tbl_TOPIC[Topic], tbl_TOPIC[TopicPath])),
  ""
)</f>
        <v>Moduln/Moduln Grundlagen</v>
      </c>
    </row>
    <row r="577" spans="3:24" ht="17" x14ac:dyDescent="0.2">
      <c r="C577" s="62" t="str">
        <f>_xlfn.XLOOKUP(tbl_CONTENT[[#This Row],[TopicID]], tbl_TOPIC[TopicID], tbl_TOPIC[Subject], "")</f>
        <v>A</v>
      </c>
      <c r="D57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A-T12-07-08</v>
      </c>
      <c r="E577" s="62">
        <f>ROW()</f>
        <v>577</v>
      </c>
      <c r="F577" s="22" t="s">
        <v>1051</v>
      </c>
      <c r="G577" s="22" t="str">
        <f>_xlfn.XLOOKUP(tbl_CONTENT[[#This Row],[Topic]], tbl_TOPIC[Topic], tbl_TOPIC[TopicID], "")</f>
        <v>A-1-07</v>
      </c>
      <c r="H577" s="62" cm="1">
        <f t="array" ref="H577">SUM((tbl_CONTENT[[#This Row],[TopicID]]=INDEX(tbl_CONTENT[TopicID],1):tbl_CONTENT[[#This Row],[TopicID]])*1)</f>
        <v>8</v>
      </c>
      <c r="I577" s="62" t="str">
        <f>_xlfn.XLOOKUP(tbl_CONTENT[[#This Row],[Topic]], tbl_TOPIC[Topic], tbl_TOPIC[TopicIndex], "")</f>
        <v>07</v>
      </c>
      <c r="J577" s="22" t="s">
        <v>936</v>
      </c>
      <c r="K577" s="22" t="s">
        <v>944</v>
      </c>
      <c r="L577" s="22" t="s">
        <v>152</v>
      </c>
      <c r="R577" s="62"/>
      <c r="S577" s="35">
        <f>IFERROR(
 (1.907*EXP(1)^(-0.5*tbl_CONTENT[[#This Row],[Layer]])) *
 ((tbl_CONTENT[[#This Row],[RelInt]]-1)^(2.5)*4^(1-2.5)+1) +
 ((tbl_CONTENT[[#This Row],[Comp]]-1)^(2.5)*4^(1-2.5)+1)*(0.5*((tbl_CONTENT[[#This Row],[RelInt]]-1)/4)^(2.5)+1),
 0
)</f>
        <v>0</v>
      </c>
      <c r="T577" s="35">
        <f>IFERROR(
 (1.907*EXP(1)^(-0.5*VALUE(tbl_CONTENT[[#This Row],[Layer]]))) *
 ((VALUE(tbl_CONTENT[[#This Row],[RelId]])-1)^(2.5)*4^(1-2.5)+1) +
 ((VALUE(tbl_CONTENT[[#This Row],[Comp]])-1)^(2.5)*4^(1-2.5)+1)*(0.5*((VALUE(tbl_CONTENT[[#This Row],[RelId]])-1)/4)^(2.5)+1),
 0
)</f>
        <v>0</v>
      </c>
      <c r="V577" s="62"/>
      <c r="W577" s="22" t="str">
        <f>IFERROR(
  IF(_xlfn.XLOOKUP(tbl_CONTENT[[#This Row],[Topic]], tbl_TOPIC[Topic], tbl_TOPIC[ParentTopic])="", "",
       _xlfn.XLOOKUP(tbl_CONTENT[[#This Row],[Topic]], tbl_TOPIC[Topic], tbl_TOPIC[ParentTopic])),
  ""
)</f>
        <v>Moduln</v>
      </c>
      <c r="X577" s="22" t="str">
        <f>IFERROR(
  IF(_xlfn.XLOOKUP(tbl_CONTENT[[#This Row],[Topic]], tbl_TOPIC[Topic], tbl_TOPIC[TopicPath])="", "",
       _xlfn.XLOOKUP(tbl_CONTENT[[#This Row],[Topic]], tbl_TOPIC[Topic], tbl_TOPIC[TopicPath])),
  ""
)</f>
        <v>Moduln/Moduln Grundlagen</v>
      </c>
    </row>
    <row r="578" spans="3:24" ht="17" x14ac:dyDescent="0.2">
      <c r="C578" s="62" t="str">
        <f>_xlfn.XLOOKUP(tbl_CONTENT[[#This Row],[TopicID]], tbl_TOPIC[TopicID], tbl_TOPIC[Subject], "")</f>
        <v>A</v>
      </c>
      <c r="D57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A-T12-07-09</v>
      </c>
      <c r="E578" s="62">
        <f>ROW()</f>
        <v>578</v>
      </c>
      <c r="F578" s="22" t="s">
        <v>1051</v>
      </c>
      <c r="G578" s="22" t="str">
        <f>_xlfn.XLOOKUP(tbl_CONTENT[[#This Row],[Topic]], tbl_TOPIC[Topic], tbl_TOPIC[TopicID], "")</f>
        <v>A-1-07</v>
      </c>
      <c r="H578" s="62" cm="1">
        <f t="array" ref="H578">SUM((tbl_CONTENT[[#This Row],[TopicID]]=INDEX(tbl_CONTENT[TopicID],1):tbl_CONTENT[[#This Row],[TopicID]])*1)</f>
        <v>9</v>
      </c>
      <c r="I578" s="62" t="str">
        <f>_xlfn.XLOOKUP(tbl_CONTENT[[#This Row],[Topic]], tbl_TOPIC[Topic], tbl_TOPIC[TopicIndex], "")</f>
        <v>07</v>
      </c>
      <c r="J578" s="22" t="s">
        <v>936</v>
      </c>
      <c r="K578" s="22" t="s">
        <v>945</v>
      </c>
      <c r="L578" s="22" t="s">
        <v>152</v>
      </c>
      <c r="R578" s="62"/>
      <c r="S578" s="35">
        <f>IFERROR(
 (1.907*EXP(1)^(-0.5*tbl_CONTENT[[#This Row],[Layer]])) *
 ((tbl_CONTENT[[#This Row],[RelInt]]-1)^(2.5)*4^(1-2.5)+1) +
 ((tbl_CONTENT[[#This Row],[Comp]]-1)^(2.5)*4^(1-2.5)+1)*(0.5*((tbl_CONTENT[[#This Row],[RelInt]]-1)/4)^(2.5)+1),
 0
)</f>
        <v>0</v>
      </c>
      <c r="T578" s="35">
        <f>IFERROR(
 (1.907*EXP(1)^(-0.5*VALUE(tbl_CONTENT[[#This Row],[Layer]]))) *
 ((VALUE(tbl_CONTENT[[#This Row],[RelId]])-1)^(2.5)*4^(1-2.5)+1) +
 ((VALUE(tbl_CONTENT[[#This Row],[Comp]])-1)^(2.5)*4^(1-2.5)+1)*(0.5*((VALUE(tbl_CONTENT[[#This Row],[RelId]])-1)/4)^(2.5)+1),
 0
)</f>
        <v>0</v>
      </c>
      <c r="V578" s="62"/>
      <c r="W578" s="22" t="str">
        <f>IFERROR(
  IF(_xlfn.XLOOKUP(tbl_CONTENT[[#This Row],[Topic]], tbl_TOPIC[Topic], tbl_TOPIC[ParentTopic])="", "",
       _xlfn.XLOOKUP(tbl_CONTENT[[#This Row],[Topic]], tbl_TOPIC[Topic], tbl_TOPIC[ParentTopic])),
  ""
)</f>
        <v>Moduln</v>
      </c>
      <c r="X578" s="22" t="str">
        <f>IFERROR(
  IF(_xlfn.XLOOKUP(tbl_CONTENT[[#This Row],[Topic]], tbl_TOPIC[Topic], tbl_TOPIC[TopicPath])="", "",
       _xlfn.XLOOKUP(tbl_CONTENT[[#This Row],[Topic]], tbl_TOPIC[Topic], tbl_TOPIC[TopicPath])),
  ""
)</f>
        <v>Moduln/Moduln Grundlagen</v>
      </c>
    </row>
    <row r="579" spans="3:24" ht="17" x14ac:dyDescent="0.2">
      <c r="C579" s="62" t="str">
        <f>_xlfn.XLOOKUP(tbl_CONTENT[[#This Row],[TopicID]], tbl_TOPIC[TopicID], tbl_TOPIC[Subject], "")</f>
        <v>A</v>
      </c>
      <c r="D57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A-T12-07-10</v>
      </c>
      <c r="E579" s="62">
        <f>ROW()</f>
        <v>579</v>
      </c>
      <c r="F579" s="22" t="s">
        <v>1051</v>
      </c>
      <c r="G579" s="22" t="str">
        <f>_xlfn.XLOOKUP(tbl_CONTENT[[#This Row],[Topic]], tbl_TOPIC[Topic], tbl_TOPIC[TopicID], "")</f>
        <v>A-1-07</v>
      </c>
      <c r="H579" s="62" cm="1">
        <f t="array" ref="H579">SUM((tbl_CONTENT[[#This Row],[TopicID]]=INDEX(tbl_CONTENT[TopicID],1):tbl_CONTENT[[#This Row],[TopicID]])*1)</f>
        <v>10</v>
      </c>
      <c r="I579" s="62" t="str">
        <f>_xlfn.XLOOKUP(tbl_CONTENT[[#This Row],[Topic]], tbl_TOPIC[Topic], tbl_TOPIC[TopicIndex], "")</f>
        <v>07</v>
      </c>
      <c r="J579" s="22" t="s">
        <v>936</v>
      </c>
      <c r="K579" s="22" t="s">
        <v>946</v>
      </c>
      <c r="L579" s="22" t="s">
        <v>152</v>
      </c>
      <c r="R579" s="62"/>
      <c r="S579" s="35">
        <f>IFERROR(
 (1.907*EXP(1)^(-0.5*tbl_CONTENT[[#This Row],[Layer]])) *
 ((tbl_CONTENT[[#This Row],[RelInt]]-1)^(2.5)*4^(1-2.5)+1) +
 ((tbl_CONTENT[[#This Row],[Comp]]-1)^(2.5)*4^(1-2.5)+1)*(0.5*((tbl_CONTENT[[#This Row],[RelInt]]-1)/4)^(2.5)+1),
 0
)</f>
        <v>0</v>
      </c>
      <c r="T579" s="35">
        <f>IFERROR(
 (1.907*EXP(1)^(-0.5*VALUE(tbl_CONTENT[[#This Row],[Layer]]))) *
 ((VALUE(tbl_CONTENT[[#This Row],[RelId]])-1)^(2.5)*4^(1-2.5)+1) +
 ((VALUE(tbl_CONTENT[[#This Row],[Comp]])-1)^(2.5)*4^(1-2.5)+1)*(0.5*((VALUE(tbl_CONTENT[[#This Row],[RelId]])-1)/4)^(2.5)+1),
 0
)</f>
        <v>0</v>
      </c>
      <c r="V579" s="62"/>
      <c r="W579" s="22" t="str">
        <f>IFERROR(
  IF(_xlfn.XLOOKUP(tbl_CONTENT[[#This Row],[Topic]], tbl_TOPIC[Topic], tbl_TOPIC[ParentTopic])="", "",
       _xlfn.XLOOKUP(tbl_CONTENT[[#This Row],[Topic]], tbl_TOPIC[Topic], tbl_TOPIC[ParentTopic])),
  ""
)</f>
        <v>Moduln</v>
      </c>
      <c r="X579" s="22" t="str">
        <f>IFERROR(
  IF(_xlfn.XLOOKUP(tbl_CONTENT[[#This Row],[Topic]], tbl_TOPIC[Topic], tbl_TOPIC[TopicPath])="", "",
       _xlfn.XLOOKUP(tbl_CONTENT[[#This Row],[Topic]], tbl_TOPIC[Topic], tbl_TOPIC[TopicPath])),
  ""
)</f>
        <v>Moduln/Moduln Grundlagen</v>
      </c>
    </row>
    <row r="580" spans="3:24" ht="17" x14ac:dyDescent="0.2">
      <c r="C580" s="62" t="str">
        <f>_xlfn.XLOOKUP(tbl_CONTENT[[#This Row],[TopicID]], tbl_TOPIC[TopicID], tbl_TOPIC[Subject], "")</f>
        <v>A</v>
      </c>
      <c r="D58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A-T12-07-11</v>
      </c>
      <c r="E580" s="62">
        <f>ROW()</f>
        <v>580</v>
      </c>
      <c r="F580" s="22" t="s">
        <v>1051</v>
      </c>
      <c r="G580" s="22" t="str">
        <f>_xlfn.XLOOKUP(tbl_CONTENT[[#This Row],[Topic]], tbl_TOPIC[Topic], tbl_TOPIC[TopicID], "")</f>
        <v>A-1-07</v>
      </c>
      <c r="H580" s="62" cm="1">
        <f t="array" ref="H580">SUM((tbl_CONTENT[[#This Row],[TopicID]]=INDEX(tbl_CONTENT[TopicID],1):tbl_CONTENT[[#This Row],[TopicID]])*1)</f>
        <v>11</v>
      </c>
      <c r="I580" s="62" t="str">
        <f>_xlfn.XLOOKUP(tbl_CONTENT[[#This Row],[Topic]], tbl_TOPIC[Topic], tbl_TOPIC[TopicIndex], "")</f>
        <v>07</v>
      </c>
      <c r="J580" s="22" t="s">
        <v>936</v>
      </c>
      <c r="K580" s="22" t="s">
        <v>947</v>
      </c>
      <c r="L580" s="22" t="s">
        <v>179</v>
      </c>
      <c r="R580" s="62"/>
      <c r="S580" s="35">
        <f>IFERROR(
 (1.907*EXP(1)^(-0.5*tbl_CONTENT[[#This Row],[Layer]])) *
 ((tbl_CONTENT[[#This Row],[RelInt]]-1)^(2.5)*4^(1-2.5)+1) +
 ((tbl_CONTENT[[#This Row],[Comp]]-1)^(2.5)*4^(1-2.5)+1)*(0.5*((tbl_CONTENT[[#This Row],[RelInt]]-1)/4)^(2.5)+1),
 0
)</f>
        <v>0</v>
      </c>
      <c r="T580" s="35">
        <f>IFERROR(
 (1.907*EXP(1)^(-0.5*VALUE(tbl_CONTENT[[#This Row],[Layer]]))) *
 ((VALUE(tbl_CONTENT[[#This Row],[RelId]])-1)^(2.5)*4^(1-2.5)+1) +
 ((VALUE(tbl_CONTENT[[#This Row],[Comp]])-1)^(2.5)*4^(1-2.5)+1)*(0.5*((VALUE(tbl_CONTENT[[#This Row],[RelId]])-1)/4)^(2.5)+1),
 0
)</f>
        <v>0</v>
      </c>
      <c r="V580" s="62"/>
      <c r="W580" s="22" t="str">
        <f>IFERROR(
  IF(_xlfn.XLOOKUP(tbl_CONTENT[[#This Row],[Topic]], tbl_TOPIC[Topic], tbl_TOPIC[ParentTopic])="", "",
       _xlfn.XLOOKUP(tbl_CONTENT[[#This Row],[Topic]], tbl_TOPIC[Topic], tbl_TOPIC[ParentTopic])),
  ""
)</f>
        <v>Moduln</v>
      </c>
      <c r="X580" s="22" t="str">
        <f>IFERROR(
  IF(_xlfn.XLOOKUP(tbl_CONTENT[[#This Row],[Topic]], tbl_TOPIC[Topic], tbl_TOPIC[TopicPath])="", "",
       _xlfn.XLOOKUP(tbl_CONTENT[[#This Row],[Topic]], tbl_TOPIC[Topic], tbl_TOPIC[TopicPath])),
  ""
)</f>
        <v>Moduln/Moduln Grundlagen</v>
      </c>
    </row>
    <row r="581" spans="3:24" ht="17" x14ac:dyDescent="0.2">
      <c r="C581" s="62" t="str">
        <f>_xlfn.XLOOKUP(tbl_CONTENT[[#This Row],[TopicID]], tbl_TOPIC[TopicID], tbl_TOPIC[Subject], "")</f>
        <v>A</v>
      </c>
      <c r="D58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A-T12-07-12</v>
      </c>
      <c r="E581" s="62">
        <f>ROW()</f>
        <v>581</v>
      </c>
      <c r="F581" s="22" t="s">
        <v>1051</v>
      </c>
      <c r="G581" s="22" t="str">
        <f>_xlfn.XLOOKUP(tbl_CONTENT[[#This Row],[Topic]], tbl_TOPIC[Topic], tbl_TOPIC[TopicID], "")</f>
        <v>A-1-07</v>
      </c>
      <c r="H581" s="62" cm="1">
        <f t="array" ref="H581">SUM((tbl_CONTENT[[#This Row],[TopicID]]=INDEX(tbl_CONTENT[TopicID],1):tbl_CONTENT[[#This Row],[TopicID]])*1)</f>
        <v>12</v>
      </c>
      <c r="I581" s="62" t="str">
        <f>_xlfn.XLOOKUP(tbl_CONTENT[[#This Row],[Topic]], tbl_TOPIC[Topic], tbl_TOPIC[TopicIndex], "")</f>
        <v>07</v>
      </c>
      <c r="J581" s="22" t="s">
        <v>936</v>
      </c>
      <c r="K581" s="22" t="s">
        <v>1028</v>
      </c>
      <c r="L581" s="22" t="s">
        <v>179</v>
      </c>
      <c r="R581" s="62"/>
      <c r="S581" s="35">
        <f>IFERROR(
 (1.907*EXP(1)^(-0.5*tbl_CONTENT[[#This Row],[Layer]])) *
 ((tbl_CONTENT[[#This Row],[RelInt]]-1)^(2.5)*4^(1-2.5)+1) +
 ((tbl_CONTENT[[#This Row],[Comp]]-1)^(2.5)*4^(1-2.5)+1)*(0.5*((tbl_CONTENT[[#This Row],[RelInt]]-1)/4)^(2.5)+1),
 0
)</f>
        <v>0</v>
      </c>
      <c r="T581" s="35">
        <f>IFERROR(
 (1.907*EXP(1)^(-0.5*VALUE(tbl_CONTENT[[#This Row],[Layer]]))) *
 ((VALUE(tbl_CONTENT[[#This Row],[RelId]])-1)^(2.5)*4^(1-2.5)+1) +
 ((VALUE(tbl_CONTENT[[#This Row],[Comp]])-1)^(2.5)*4^(1-2.5)+1)*(0.5*((VALUE(tbl_CONTENT[[#This Row],[RelId]])-1)/4)^(2.5)+1),
 0
)</f>
        <v>0</v>
      </c>
      <c r="V581" s="62"/>
      <c r="W581" s="22" t="str">
        <f>IFERROR(
  IF(_xlfn.XLOOKUP(tbl_CONTENT[[#This Row],[Topic]], tbl_TOPIC[Topic], tbl_TOPIC[ParentTopic])="", "",
       _xlfn.XLOOKUP(tbl_CONTENT[[#This Row],[Topic]], tbl_TOPIC[Topic], tbl_TOPIC[ParentTopic])),
  ""
)</f>
        <v>Moduln</v>
      </c>
      <c r="X581" s="22" t="str">
        <f>IFERROR(
  IF(_xlfn.XLOOKUP(tbl_CONTENT[[#This Row],[Topic]], tbl_TOPIC[Topic], tbl_TOPIC[TopicPath])="", "",
       _xlfn.XLOOKUP(tbl_CONTENT[[#This Row],[Topic]], tbl_TOPIC[Topic], tbl_TOPIC[TopicPath])),
  ""
)</f>
        <v>Moduln/Moduln Grundlagen</v>
      </c>
    </row>
    <row r="582" spans="3:24" ht="51" x14ac:dyDescent="0.2">
      <c r="C582" s="62" t="str">
        <f>_xlfn.XLOOKUP(tbl_CONTENT[[#This Row],[TopicID]], tbl_TOPIC[TopicID], tbl_TOPIC[Subject], "")</f>
        <v>A</v>
      </c>
      <c r="D58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A-T12-07-13</v>
      </c>
      <c r="E582" s="62">
        <f>ROW()</f>
        <v>582</v>
      </c>
      <c r="F582" s="22" t="s">
        <v>1051</v>
      </c>
      <c r="G582" s="22" t="str">
        <f>_xlfn.XLOOKUP(tbl_CONTENT[[#This Row],[Topic]], tbl_TOPIC[Topic], tbl_TOPIC[TopicID], "")</f>
        <v>A-1-07</v>
      </c>
      <c r="H582" s="62" cm="1">
        <f t="array" ref="H582">SUM((tbl_CONTENT[[#This Row],[TopicID]]=INDEX(tbl_CONTENT[TopicID],1):tbl_CONTENT[[#This Row],[TopicID]])*1)</f>
        <v>13</v>
      </c>
      <c r="I582" s="62" t="str">
        <f>_xlfn.XLOOKUP(tbl_CONTENT[[#This Row],[Topic]], tbl_TOPIC[Topic], tbl_TOPIC[TopicIndex], "")</f>
        <v>07</v>
      </c>
      <c r="J582" s="22" t="s">
        <v>936</v>
      </c>
      <c r="K582" s="22" t="s">
        <v>948</v>
      </c>
      <c r="L582" s="22" t="s">
        <v>179</v>
      </c>
      <c r="R582" s="62"/>
      <c r="S582" s="35">
        <f>IFERROR(
 (1.907*EXP(1)^(-0.5*tbl_CONTENT[[#This Row],[Layer]])) *
 ((tbl_CONTENT[[#This Row],[RelInt]]-1)^(2.5)*4^(1-2.5)+1) +
 ((tbl_CONTENT[[#This Row],[Comp]]-1)^(2.5)*4^(1-2.5)+1)*(0.5*((tbl_CONTENT[[#This Row],[RelInt]]-1)/4)^(2.5)+1),
 0
)</f>
        <v>0</v>
      </c>
      <c r="T582" s="35">
        <f>IFERROR(
 (1.907*EXP(1)^(-0.5*VALUE(tbl_CONTENT[[#This Row],[Layer]]))) *
 ((VALUE(tbl_CONTENT[[#This Row],[RelId]])-1)^(2.5)*4^(1-2.5)+1) +
 ((VALUE(tbl_CONTENT[[#This Row],[Comp]])-1)^(2.5)*4^(1-2.5)+1)*(0.5*((VALUE(tbl_CONTENT[[#This Row],[RelId]])-1)/4)^(2.5)+1),
 0
)</f>
        <v>0</v>
      </c>
      <c r="V582" s="62"/>
      <c r="W582" s="22" t="str">
        <f>IFERROR(
  IF(_xlfn.XLOOKUP(tbl_CONTENT[[#This Row],[Topic]], tbl_TOPIC[Topic], tbl_TOPIC[ParentTopic])="", "",
       _xlfn.XLOOKUP(tbl_CONTENT[[#This Row],[Topic]], tbl_TOPIC[Topic], tbl_TOPIC[ParentTopic])),
  ""
)</f>
        <v>Moduln</v>
      </c>
      <c r="X582" s="22" t="str">
        <f>IFERROR(
  IF(_xlfn.XLOOKUP(tbl_CONTENT[[#This Row],[Topic]], tbl_TOPIC[Topic], tbl_TOPIC[TopicPath])="", "",
       _xlfn.XLOOKUP(tbl_CONTENT[[#This Row],[Topic]], tbl_TOPIC[Topic], tbl_TOPIC[TopicPath])),
  ""
)</f>
        <v>Moduln/Moduln Grundlagen</v>
      </c>
    </row>
    <row r="583" spans="3:24" ht="51" x14ac:dyDescent="0.2">
      <c r="C583" s="62" t="str">
        <f>_xlfn.XLOOKUP(tbl_CONTENT[[#This Row],[TopicID]], tbl_TOPIC[TopicID], tbl_TOPIC[Subject], "")</f>
        <v>A</v>
      </c>
      <c r="D58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A-T12-07-14</v>
      </c>
      <c r="E583" s="62">
        <f>ROW()</f>
        <v>583</v>
      </c>
      <c r="F583" s="22" t="s">
        <v>1051</v>
      </c>
      <c r="G583" s="22" t="str">
        <f>_xlfn.XLOOKUP(tbl_CONTENT[[#This Row],[Topic]], tbl_TOPIC[Topic], tbl_TOPIC[TopicID], "")</f>
        <v>A-1-07</v>
      </c>
      <c r="H583" s="62" cm="1">
        <f t="array" ref="H583">SUM((tbl_CONTENT[[#This Row],[TopicID]]=INDEX(tbl_CONTENT[TopicID],1):tbl_CONTENT[[#This Row],[TopicID]])*1)</f>
        <v>14</v>
      </c>
      <c r="I583" s="62" t="str">
        <f>_xlfn.XLOOKUP(tbl_CONTENT[[#This Row],[Topic]], tbl_TOPIC[Topic], tbl_TOPIC[TopicIndex], "")</f>
        <v>07</v>
      </c>
      <c r="J583" s="22" t="s">
        <v>936</v>
      </c>
      <c r="K583" s="22" t="s">
        <v>949</v>
      </c>
      <c r="L583" s="22" t="s">
        <v>179</v>
      </c>
      <c r="R583" s="62"/>
      <c r="S583" s="35">
        <f>IFERROR(
 (1.907*EXP(1)^(-0.5*tbl_CONTENT[[#This Row],[Layer]])) *
 ((tbl_CONTENT[[#This Row],[RelInt]]-1)^(2.5)*4^(1-2.5)+1) +
 ((tbl_CONTENT[[#This Row],[Comp]]-1)^(2.5)*4^(1-2.5)+1)*(0.5*((tbl_CONTENT[[#This Row],[RelInt]]-1)/4)^(2.5)+1),
 0
)</f>
        <v>0</v>
      </c>
      <c r="T583" s="35">
        <f>IFERROR(
 (1.907*EXP(1)^(-0.5*VALUE(tbl_CONTENT[[#This Row],[Layer]]))) *
 ((VALUE(tbl_CONTENT[[#This Row],[RelId]])-1)^(2.5)*4^(1-2.5)+1) +
 ((VALUE(tbl_CONTENT[[#This Row],[Comp]])-1)^(2.5)*4^(1-2.5)+1)*(0.5*((VALUE(tbl_CONTENT[[#This Row],[RelId]])-1)/4)^(2.5)+1),
 0
)</f>
        <v>0</v>
      </c>
      <c r="V583" s="62"/>
      <c r="W583" s="22" t="str">
        <f>IFERROR(
  IF(_xlfn.XLOOKUP(tbl_CONTENT[[#This Row],[Topic]], tbl_TOPIC[Topic], tbl_TOPIC[ParentTopic])="", "",
       _xlfn.XLOOKUP(tbl_CONTENT[[#This Row],[Topic]], tbl_TOPIC[Topic], tbl_TOPIC[ParentTopic])),
  ""
)</f>
        <v>Moduln</v>
      </c>
      <c r="X583" s="22" t="str">
        <f>IFERROR(
  IF(_xlfn.XLOOKUP(tbl_CONTENT[[#This Row],[Topic]], tbl_TOPIC[Topic], tbl_TOPIC[TopicPath])="", "",
       _xlfn.XLOOKUP(tbl_CONTENT[[#This Row],[Topic]], tbl_TOPIC[Topic], tbl_TOPIC[TopicPath])),
  ""
)</f>
        <v>Moduln/Moduln Grundlagen</v>
      </c>
    </row>
    <row r="584" spans="3:24" ht="51" x14ac:dyDescent="0.2">
      <c r="C584" s="62" t="str">
        <f>_xlfn.XLOOKUP(tbl_CONTENT[[#This Row],[TopicID]], tbl_TOPIC[TopicID], tbl_TOPIC[Subject], "")</f>
        <v>A</v>
      </c>
      <c r="D58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A-T12-07-15</v>
      </c>
      <c r="E584" s="62">
        <f>ROW()</f>
        <v>584</v>
      </c>
      <c r="F584" s="22" t="s">
        <v>1051</v>
      </c>
      <c r="G584" s="22" t="str">
        <f>_xlfn.XLOOKUP(tbl_CONTENT[[#This Row],[Topic]], tbl_TOPIC[Topic], tbl_TOPIC[TopicID], "")</f>
        <v>A-1-07</v>
      </c>
      <c r="H584" s="62" cm="1">
        <f t="array" ref="H584">SUM((tbl_CONTENT[[#This Row],[TopicID]]=INDEX(tbl_CONTENT[TopicID],1):tbl_CONTENT[[#This Row],[TopicID]])*1)</f>
        <v>15</v>
      </c>
      <c r="I584" s="62" t="str">
        <f>_xlfn.XLOOKUP(tbl_CONTENT[[#This Row],[Topic]], tbl_TOPIC[Topic], tbl_TOPIC[TopicIndex], "")</f>
        <v>07</v>
      </c>
      <c r="J584" s="22" t="s">
        <v>936</v>
      </c>
      <c r="K584" s="22" t="s">
        <v>950</v>
      </c>
      <c r="L584" s="22" t="s">
        <v>179</v>
      </c>
      <c r="R584" s="62"/>
      <c r="S584" s="35">
        <f>IFERROR(
 (1.907*EXP(1)^(-0.5*tbl_CONTENT[[#This Row],[Layer]])) *
 ((tbl_CONTENT[[#This Row],[RelInt]]-1)^(2.5)*4^(1-2.5)+1) +
 ((tbl_CONTENT[[#This Row],[Comp]]-1)^(2.5)*4^(1-2.5)+1)*(0.5*((tbl_CONTENT[[#This Row],[RelInt]]-1)/4)^(2.5)+1),
 0
)</f>
        <v>0</v>
      </c>
      <c r="T584" s="35">
        <f>IFERROR(
 (1.907*EXP(1)^(-0.5*VALUE(tbl_CONTENT[[#This Row],[Layer]]))) *
 ((VALUE(tbl_CONTENT[[#This Row],[RelId]])-1)^(2.5)*4^(1-2.5)+1) +
 ((VALUE(tbl_CONTENT[[#This Row],[Comp]])-1)^(2.5)*4^(1-2.5)+1)*(0.5*((VALUE(tbl_CONTENT[[#This Row],[RelId]])-1)/4)^(2.5)+1),
 0
)</f>
        <v>0</v>
      </c>
      <c r="V584" s="62"/>
      <c r="W584" s="22" t="str">
        <f>IFERROR(
  IF(_xlfn.XLOOKUP(tbl_CONTENT[[#This Row],[Topic]], tbl_TOPIC[Topic], tbl_TOPIC[ParentTopic])="", "",
       _xlfn.XLOOKUP(tbl_CONTENT[[#This Row],[Topic]], tbl_TOPIC[Topic], tbl_TOPIC[ParentTopic])),
  ""
)</f>
        <v>Moduln</v>
      </c>
      <c r="X584" s="22" t="str">
        <f>IFERROR(
  IF(_xlfn.XLOOKUP(tbl_CONTENT[[#This Row],[Topic]], tbl_TOPIC[Topic], tbl_TOPIC[TopicPath])="", "",
       _xlfn.XLOOKUP(tbl_CONTENT[[#This Row],[Topic]], tbl_TOPIC[Topic], tbl_TOPIC[TopicPath])),
  ""
)</f>
        <v>Moduln/Moduln Grundlagen</v>
      </c>
    </row>
    <row r="585" spans="3:24" ht="34" x14ac:dyDescent="0.2">
      <c r="C585" s="62" t="str">
        <f>_xlfn.XLOOKUP(tbl_CONTENT[[#This Row],[TopicID]], tbl_TOPIC[TopicID], tbl_TOPIC[Subject], "")</f>
        <v>A</v>
      </c>
      <c r="D58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A-T12-07-16</v>
      </c>
      <c r="E585" s="62">
        <f>ROW()</f>
        <v>585</v>
      </c>
      <c r="F585" s="22" t="s">
        <v>1051</v>
      </c>
      <c r="G585" s="22" t="str">
        <f>_xlfn.XLOOKUP(tbl_CONTENT[[#This Row],[Topic]], tbl_TOPIC[Topic], tbl_TOPIC[TopicID], "")</f>
        <v>A-1-07</v>
      </c>
      <c r="H585" s="62" cm="1">
        <f t="array" ref="H585">SUM((tbl_CONTENT[[#This Row],[TopicID]]=INDEX(tbl_CONTENT[TopicID],1):tbl_CONTENT[[#This Row],[TopicID]])*1)</f>
        <v>16</v>
      </c>
      <c r="I585" s="62" t="str">
        <f>_xlfn.XLOOKUP(tbl_CONTENT[[#This Row],[Topic]], tbl_TOPIC[Topic], tbl_TOPIC[TopicIndex], "")</f>
        <v>07</v>
      </c>
      <c r="J585" s="22" t="s">
        <v>936</v>
      </c>
      <c r="K585" s="22" t="s">
        <v>951</v>
      </c>
      <c r="L585" s="22" t="s">
        <v>179</v>
      </c>
      <c r="R585" s="62"/>
      <c r="S585" s="35">
        <f>IFERROR(
 (1.907*EXP(1)^(-0.5*tbl_CONTENT[[#This Row],[Layer]])) *
 ((tbl_CONTENT[[#This Row],[RelInt]]-1)^(2.5)*4^(1-2.5)+1) +
 ((tbl_CONTENT[[#This Row],[Comp]]-1)^(2.5)*4^(1-2.5)+1)*(0.5*((tbl_CONTENT[[#This Row],[RelInt]]-1)/4)^(2.5)+1),
 0
)</f>
        <v>0</v>
      </c>
      <c r="T585" s="35">
        <f>IFERROR(
 (1.907*EXP(1)^(-0.5*VALUE(tbl_CONTENT[[#This Row],[Layer]]))) *
 ((VALUE(tbl_CONTENT[[#This Row],[RelId]])-1)^(2.5)*4^(1-2.5)+1) +
 ((VALUE(tbl_CONTENT[[#This Row],[Comp]])-1)^(2.5)*4^(1-2.5)+1)*(0.5*((VALUE(tbl_CONTENT[[#This Row],[RelId]])-1)/4)^(2.5)+1),
 0
)</f>
        <v>0</v>
      </c>
      <c r="V585" s="62"/>
      <c r="W585" s="22" t="str">
        <f>IFERROR(
  IF(_xlfn.XLOOKUP(tbl_CONTENT[[#This Row],[Topic]], tbl_TOPIC[Topic], tbl_TOPIC[ParentTopic])="", "",
       _xlfn.XLOOKUP(tbl_CONTENT[[#This Row],[Topic]], tbl_TOPIC[Topic], tbl_TOPIC[ParentTopic])),
  ""
)</f>
        <v>Moduln</v>
      </c>
      <c r="X585" s="22" t="str">
        <f>IFERROR(
  IF(_xlfn.XLOOKUP(tbl_CONTENT[[#This Row],[Topic]], tbl_TOPIC[Topic], tbl_TOPIC[TopicPath])="", "",
       _xlfn.XLOOKUP(tbl_CONTENT[[#This Row],[Topic]], tbl_TOPIC[Topic], tbl_TOPIC[TopicPath])),
  ""
)</f>
        <v>Moduln/Moduln Grundlagen</v>
      </c>
    </row>
    <row r="586" spans="3:24" ht="68" x14ac:dyDescent="0.2">
      <c r="C586" s="62" t="str">
        <f>_xlfn.XLOOKUP(tbl_CONTENT[[#This Row],[TopicID]], tbl_TOPIC[TopicID], tbl_TOPIC[Subject], "")</f>
        <v>A</v>
      </c>
      <c r="D58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A-T12-07-17</v>
      </c>
      <c r="E586" s="62">
        <f>ROW()</f>
        <v>586</v>
      </c>
      <c r="F586" s="22" t="s">
        <v>1051</v>
      </c>
      <c r="G586" s="22" t="str">
        <f>_xlfn.XLOOKUP(tbl_CONTENT[[#This Row],[Topic]], tbl_TOPIC[Topic], tbl_TOPIC[TopicID], "")</f>
        <v>A-1-07</v>
      </c>
      <c r="H586" s="62" cm="1">
        <f t="array" ref="H586">SUM((tbl_CONTENT[[#This Row],[TopicID]]=INDEX(tbl_CONTENT[TopicID],1):tbl_CONTENT[[#This Row],[TopicID]])*1)</f>
        <v>17</v>
      </c>
      <c r="I586" s="62" t="str">
        <f>_xlfn.XLOOKUP(tbl_CONTENT[[#This Row],[Topic]], tbl_TOPIC[Topic], tbl_TOPIC[TopicIndex], "")</f>
        <v>07</v>
      </c>
      <c r="J586" s="22" t="s">
        <v>936</v>
      </c>
      <c r="K586" s="22" t="s">
        <v>1029</v>
      </c>
      <c r="L586" s="22" t="s">
        <v>179</v>
      </c>
      <c r="R586" s="62"/>
      <c r="S586" s="35">
        <f>IFERROR(
 (1.907*EXP(1)^(-0.5*tbl_CONTENT[[#This Row],[Layer]])) *
 ((tbl_CONTENT[[#This Row],[RelInt]]-1)^(2.5)*4^(1-2.5)+1) +
 ((tbl_CONTENT[[#This Row],[Comp]]-1)^(2.5)*4^(1-2.5)+1)*(0.5*((tbl_CONTENT[[#This Row],[RelInt]]-1)/4)^(2.5)+1),
 0
)</f>
        <v>0</v>
      </c>
      <c r="T586" s="35">
        <f>IFERROR(
 (1.907*EXP(1)^(-0.5*VALUE(tbl_CONTENT[[#This Row],[Layer]]))) *
 ((VALUE(tbl_CONTENT[[#This Row],[RelId]])-1)^(2.5)*4^(1-2.5)+1) +
 ((VALUE(tbl_CONTENT[[#This Row],[Comp]])-1)^(2.5)*4^(1-2.5)+1)*(0.5*((VALUE(tbl_CONTENT[[#This Row],[RelId]])-1)/4)^(2.5)+1),
 0
)</f>
        <v>0</v>
      </c>
      <c r="V586" s="62"/>
      <c r="W586" s="22" t="str">
        <f>IFERROR(
  IF(_xlfn.XLOOKUP(tbl_CONTENT[[#This Row],[Topic]], tbl_TOPIC[Topic], tbl_TOPIC[ParentTopic])="", "",
       _xlfn.XLOOKUP(tbl_CONTENT[[#This Row],[Topic]], tbl_TOPIC[Topic], tbl_TOPIC[ParentTopic])),
  ""
)</f>
        <v>Moduln</v>
      </c>
      <c r="X586" s="22" t="str">
        <f>IFERROR(
  IF(_xlfn.XLOOKUP(tbl_CONTENT[[#This Row],[Topic]], tbl_TOPIC[Topic], tbl_TOPIC[TopicPath])="", "",
       _xlfn.XLOOKUP(tbl_CONTENT[[#This Row],[Topic]], tbl_TOPIC[Topic], tbl_TOPIC[TopicPath])),
  ""
)</f>
        <v>Moduln/Moduln Grundlagen</v>
      </c>
    </row>
    <row r="587" spans="3:24" ht="34" x14ac:dyDescent="0.2">
      <c r="C587" s="62" t="str">
        <f>_xlfn.XLOOKUP(tbl_CONTENT[[#This Row],[TopicID]], tbl_TOPIC[TopicID], tbl_TOPIC[Subject], "")</f>
        <v>A</v>
      </c>
      <c r="D58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A-T12-07-18</v>
      </c>
      <c r="E587" s="62">
        <f>ROW()</f>
        <v>587</v>
      </c>
      <c r="F587" s="22" t="s">
        <v>1051</v>
      </c>
      <c r="G587" s="22" t="str">
        <f>_xlfn.XLOOKUP(tbl_CONTENT[[#This Row],[Topic]], tbl_TOPIC[Topic], tbl_TOPIC[TopicID], "")</f>
        <v>A-1-07</v>
      </c>
      <c r="H587" s="62" cm="1">
        <f t="array" ref="H587">SUM((tbl_CONTENT[[#This Row],[TopicID]]=INDEX(tbl_CONTENT[TopicID],1):tbl_CONTENT[[#This Row],[TopicID]])*1)</f>
        <v>18</v>
      </c>
      <c r="I587" s="62" t="str">
        <f>_xlfn.XLOOKUP(tbl_CONTENT[[#This Row],[Topic]], tbl_TOPIC[Topic], tbl_TOPIC[TopicIndex], "")</f>
        <v>07</v>
      </c>
      <c r="J587" s="22" t="s">
        <v>936</v>
      </c>
      <c r="K587" s="22" t="s">
        <v>1030</v>
      </c>
      <c r="L587" s="22" t="s">
        <v>179</v>
      </c>
      <c r="R587" s="62"/>
      <c r="S587" s="35">
        <f>IFERROR(
 (1.907*EXP(1)^(-0.5*tbl_CONTENT[[#This Row],[Layer]])) *
 ((tbl_CONTENT[[#This Row],[RelInt]]-1)^(2.5)*4^(1-2.5)+1) +
 ((tbl_CONTENT[[#This Row],[Comp]]-1)^(2.5)*4^(1-2.5)+1)*(0.5*((tbl_CONTENT[[#This Row],[RelInt]]-1)/4)^(2.5)+1),
 0
)</f>
        <v>0</v>
      </c>
      <c r="T587" s="35">
        <f>IFERROR(
 (1.907*EXP(1)^(-0.5*VALUE(tbl_CONTENT[[#This Row],[Layer]]))) *
 ((VALUE(tbl_CONTENT[[#This Row],[RelId]])-1)^(2.5)*4^(1-2.5)+1) +
 ((VALUE(tbl_CONTENT[[#This Row],[Comp]])-1)^(2.5)*4^(1-2.5)+1)*(0.5*((VALUE(tbl_CONTENT[[#This Row],[RelId]])-1)/4)^(2.5)+1),
 0
)</f>
        <v>0</v>
      </c>
      <c r="V587" s="62"/>
      <c r="W587" s="22" t="str">
        <f>IFERROR(
  IF(_xlfn.XLOOKUP(tbl_CONTENT[[#This Row],[Topic]], tbl_TOPIC[Topic], tbl_TOPIC[ParentTopic])="", "",
       _xlfn.XLOOKUP(tbl_CONTENT[[#This Row],[Topic]], tbl_TOPIC[Topic], tbl_TOPIC[ParentTopic])),
  ""
)</f>
        <v>Moduln</v>
      </c>
      <c r="X587" s="22" t="str">
        <f>IFERROR(
  IF(_xlfn.XLOOKUP(tbl_CONTENT[[#This Row],[Topic]], tbl_TOPIC[Topic], tbl_TOPIC[TopicPath])="", "",
       _xlfn.XLOOKUP(tbl_CONTENT[[#This Row],[Topic]], tbl_TOPIC[Topic], tbl_TOPIC[TopicPath])),
  ""
)</f>
        <v>Moduln/Moduln Grundlagen</v>
      </c>
    </row>
    <row r="588" spans="3:24" ht="34" x14ac:dyDescent="0.2">
      <c r="C588" s="62" t="str">
        <f>_xlfn.XLOOKUP(tbl_CONTENT[[#This Row],[TopicID]], tbl_TOPIC[TopicID], tbl_TOPIC[Subject], "")</f>
        <v>A</v>
      </c>
      <c r="D58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A-T12-07-19</v>
      </c>
      <c r="E588" s="62">
        <f>ROW()</f>
        <v>588</v>
      </c>
      <c r="F588" s="22" t="s">
        <v>1051</v>
      </c>
      <c r="G588" s="22" t="str">
        <f>_xlfn.XLOOKUP(tbl_CONTENT[[#This Row],[Topic]], tbl_TOPIC[Topic], tbl_TOPIC[TopicID], "")</f>
        <v>A-1-07</v>
      </c>
      <c r="H588" s="62" cm="1">
        <f t="array" ref="H588">SUM((tbl_CONTENT[[#This Row],[TopicID]]=INDEX(tbl_CONTENT[TopicID],1):tbl_CONTENT[[#This Row],[TopicID]])*1)</f>
        <v>19</v>
      </c>
      <c r="I588" s="62" t="str">
        <f>_xlfn.XLOOKUP(tbl_CONTENT[[#This Row],[Topic]], tbl_TOPIC[Topic], tbl_TOPIC[TopicIndex], "")</f>
        <v>07</v>
      </c>
      <c r="J588" s="22" t="s">
        <v>936</v>
      </c>
      <c r="K588" s="22" t="s">
        <v>952</v>
      </c>
      <c r="L588" s="22" t="s">
        <v>179</v>
      </c>
      <c r="R588" s="62"/>
      <c r="S588" s="35">
        <f>IFERROR(
 (1.907*EXP(1)^(-0.5*tbl_CONTENT[[#This Row],[Layer]])) *
 ((tbl_CONTENT[[#This Row],[RelInt]]-1)^(2.5)*4^(1-2.5)+1) +
 ((tbl_CONTENT[[#This Row],[Comp]]-1)^(2.5)*4^(1-2.5)+1)*(0.5*((tbl_CONTENT[[#This Row],[RelInt]]-1)/4)^(2.5)+1),
 0
)</f>
        <v>0</v>
      </c>
      <c r="T588" s="35">
        <f>IFERROR(
 (1.907*EXP(1)^(-0.5*VALUE(tbl_CONTENT[[#This Row],[Layer]]))) *
 ((VALUE(tbl_CONTENT[[#This Row],[RelId]])-1)^(2.5)*4^(1-2.5)+1) +
 ((VALUE(tbl_CONTENT[[#This Row],[Comp]])-1)^(2.5)*4^(1-2.5)+1)*(0.5*((VALUE(tbl_CONTENT[[#This Row],[RelId]])-1)/4)^(2.5)+1),
 0
)</f>
        <v>0</v>
      </c>
      <c r="V588" s="62"/>
      <c r="W588" s="22" t="str">
        <f>IFERROR(
  IF(_xlfn.XLOOKUP(tbl_CONTENT[[#This Row],[Topic]], tbl_TOPIC[Topic], tbl_TOPIC[ParentTopic])="", "",
       _xlfn.XLOOKUP(tbl_CONTENT[[#This Row],[Topic]], tbl_TOPIC[Topic], tbl_TOPIC[ParentTopic])),
  ""
)</f>
        <v>Moduln</v>
      </c>
      <c r="X588" s="22" t="str">
        <f>IFERROR(
  IF(_xlfn.XLOOKUP(tbl_CONTENT[[#This Row],[Topic]], tbl_TOPIC[Topic], tbl_TOPIC[TopicPath])="", "",
       _xlfn.XLOOKUP(tbl_CONTENT[[#This Row],[Topic]], tbl_TOPIC[Topic], tbl_TOPIC[TopicPath])),
  ""
)</f>
        <v>Moduln/Moduln Grundlagen</v>
      </c>
    </row>
    <row r="589" spans="3:24" ht="34" x14ac:dyDescent="0.2">
      <c r="C589" s="62" t="str">
        <f>_xlfn.XLOOKUP(tbl_CONTENT[[#This Row],[TopicID]], tbl_TOPIC[TopicID], tbl_TOPIC[Subject], "")</f>
        <v>A</v>
      </c>
      <c r="D58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A-T12-07-20</v>
      </c>
      <c r="E589" s="62">
        <f>ROW()</f>
        <v>589</v>
      </c>
      <c r="F589" s="22" t="s">
        <v>1051</v>
      </c>
      <c r="G589" s="22" t="str">
        <f>_xlfn.XLOOKUP(tbl_CONTENT[[#This Row],[Topic]], tbl_TOPIC[Topic], tbl_TOPIC[TopicID], "")</f>
        <v>A-1-07</v>
      </c>
      <c r="H589" s="62" cm="1">
        <f t="array" ref="H589">SUM((tbl_CONTENT[[#This Row],[TopicID]]=INDEX(tbl_CONTENT[TopicID],1):tbl_CONTENT[[#This Row],[TopicID]])*1)</f>
        <v>20</v>
      </c>
      <c r="I589" s="62" t="str">
        <f>_xlfn.XLOOKUP(tbl_CONTENT[[#This Row],[Topic]], tbl_TOPIC[Topic], tbl_TOPIC[TopicIndex], "")</f>
        <v>07</v>
      </c>
      <c r="J589" s="22" t="s">
        <v>936</v>
      </c>
      <c r="K589" s="22" t="s">
        <v>1031</v>
      </c>
      <c r="L589" s="22" t="s">
        <v>179</v>
      </c>
      <c r="R589" s="62"/>
      <c r="S589" s="35">
        <f>IFERROR(
 (1.907*EXP(1)^(-0.5*tbl_CONTENT[[#This Row],[Layer]])) *
 ((tbl_CONTENT[[#This Row],[RelInt]]-1)^(2.5)*4^(1-2.5)+1) +
 ((tbl_CONTENT[[#This Row],[Comp]]-1)^(2.5)*4^(1-2.5)+1)*(0.5*((tbl_CONTENT[[#This Row],[RelInt]]-1)/4)^(2.5)+1),
 0
)</f>
        <v>0</v>
      </c>
      <c r="T589" s="35">
        <f>IFERROR(
 (1.907*EXP(1)^(-0.5*VALUE(tbl_CONTENT[[#This Row],[Layer]]))) *
 ((VALUE(tbl_CONTENT[[#This Row],[RelId]])-1)^(2.5)*4^(1-2.5)+1) +
 ((VALUE(tbl_CONTENT[[#This Row],[Comp]])-1)^(2.5)*4^(1-2.5)+1)*(0.5*((VALUE(tbl_CONTENT[[#This Row],[RelId]])-1)/4)^(2.5)+1),
 0
)</f>
        <v>0</v>
      </c>
      <c r="V589" s="62"/>
      <c r="W589" s="22" t="str">
        <f>IFERROR(
  IF(_xlfn.XLOOKUP(tbl_CONTENT[[#This Row],[Topic]], tbl_TOPIC[Topic], tbl_TOPIC[ParentTopic])="", "",
       _xlfn.XLOOKUP(tbl_CONTENT[[#This Row],[Topic]], tbl_TOPIC[Topic], tbl_TOPIC[ParentTopic])),
  ""
)</f>
        <v>Moduln</v>
      </c>
      <c r="X589" s="22" t="str">
        <f>IFERROR(
  IF(_xlfn.XLOOKUP(tbl_CONTENT[[#This Row],[Topic]], tbl_TOPIC[Topic], tbl_TOPIC[TopicPath])="", "",
       _xlfn.XLOOKUP(tbl_CONTENT[[#This Row],[Topic]], tbl_TOPIC[Topic], tbl_TOPIC[TopicPath])),
  ""
)</f>
        <v>Moduln/Moduln Grundlagen</v>
      </c>
    </row>
    <row r="590" spans="3:24" ht="51" x14ac:dyDescent="0.2">
      <c r="C590" s="62" t="str">
        <f>_xlfn.XLOOKUP(tbl_CONTENT[[#This Row],[TopicID]], tbl_TOPIC[TopicID], tbl_TOPIC[Subject], "")</f>
        <v>A</v>
      </c>
      <c r="D59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A-T12-07-21</v>
      </c>
      <c r="E590" s="62">
        <f>ROW()</f>
        <v>590</v>
      </c>
      <c r="F590" s="22" t="s">
        <v>1051</v>
      </c>
      <c r="G590" s="22" t="str">
        <f>_xlfn.XLOOKUP(tbl_CONTENT[[#This Row],[Topic]], tbl_TOPIC[Topic], tbl_TOPIC[TopicID], "")</f>
        <v>A-1-07</v>
      </c>
      <c r="H590" s="62" cm="1">
        <f t="array" ref="H590">SUM((tbl_CONTENT[[#This Row],[TopicID]]=INDEX(tbl_CONTENT[TopicID],1):tbl_CONTENT[[#This Row],[TopicID]])*1)</f>
        <v>21</v>
      </c>
      <c r="I590" s="62" t="str">
        <f>_xlfn.XLOOKUP(tbl_CONTENT[[#This Row],[Topic]], tbl_TOPIC[Topic], tbl_TOPIC[TopicIndex], "")</f>
        <v>07</v>
      </c>
      <c r="J590" s="22" t="s">
        <v>936</v>
      </c>
      <c r="K590" s="22" t="s">
        <v>953</v>
      </c>
      <c r="L590" s="22" t="s">
        <v>179</v>
      </c>
      <c r="R590" s="62"/>
      <c r="S590" s="35">
        <f>IFERROR(
 (1.907*EXP(1)^(-0.5*tbl_CONTENT[[#This Row],[Layer]])) *
 ((tbl_CONTENT[[#This Row],[RelInt]]-1)^(2.5)*4^(1-2.5)+1) +
 ((tbl_CONTENT[[#This Row],[Comp]]-1)^(2.5)*4^(1-2.5)+1)*(0.5*((tbl_CONTENT[[#This Row],[RelInt]]-1)/4)^(2.5)+1),
 0
)</f>
        <v>0</v>
      </c>
      <c r="T590" s="35">
        <f>IFERROR(
 (1.907*EXP(1)^(-0.5*VALUE(tbl_CONTENT[[#This Row],[Layer]]))) *
 ((VALUE(tbl_CONTENT[[#This Row],[RelId]])-1)^(2.5)*4^(1-2.5)+1) +
 ((VALUE(tbl_CONTENT[[#This Row],[Comp]])-1)^(2.5)*4^(1-2.5)+1)*(0.5*((VALUE(tbl_CONTENT[[#This Row],[RelId]])-1)/4)^(2.5)+1),
 0
)</f>
        <v>0</v>
      </c>
      <c r="V590" s="62"/>
      <c r="W590" s="22" t="str">
        <f>IFERROR(
  IF(_xlfn.XLOOKUP(tbl_CONTENT[[#This Row],[Topic]], tbl_TOPIC[Topic], tbl_TOPIC[ParentTopic])="", "",
       _xlfn.XLOOKUP(tbl_CONTENT[[#This Row],[Topic]], tbl_TOPIC[Topic], tbl_TOPIC[ParentTopic])),
  ""
)</f>
        <v>Moduln</v>
      </c>
      <c r="X590" s="22" t="str">
        <f>IFERROR(
  IF(_xlfn.XLOOKUP(tbl_CONTENT[[#This Row],[Topic]], tbl_TOPIC[Topic], tbl_TOPIC[TopicPath])="", "",
       _xlfn.XLOOKUP(tbl_CONTENT[[#This Row],[Topic]], tbl_TOPIC[Topic], tbl_TOPIC[TopicPath])),
  ""
)</f>
        <v>Moduln/Moduln Grundlagen</v>
      </c>
    </row>
    <row r="591" spans="3:24" ht="17" x14ac:dyDescent="0.2">
      <c r="C591" s="62" t="str">
        <f>_xlfn.XLOOKUP(tbl_CONTENT[[#This Row],[TopicID]], tbl_TOPIC[TopicID], tbl_TOPIC[Subject], "")</f>
        <v>A</v>
      </c>
      <c r="D59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A-T12-07-22</v>
      </c>
      <c r="E591" s="62">
        <f>ROW()</f>
        <v>591</v>
      </c>
      <c r="F591" s="22" t="s">
        <v>1051</v>
      </c>
      <c r="G591" s="22" t="str">
        <f>_xlfn.XLOOKUP(tbl_CONTENT[[#This Row],[Topic]], tbl_TOPIC[Topic], tbl_TOPIC[TopicID], "")</f>
        <v>A-1-07</v>
      </c>
      <c r="H591" s="62" cm="1">
        <f t="array" ref="H591">SUM((tbl_CONTENT[[#This Row],[TopicID]]=INDEX(tbl_CONTENT[TopicID],1):tbl_CONTENT[[#This Row],[TopicID]])*1)</f>
        <v>22</v>
      </c>
      <c r="I591" s="62" t="str">
        <f>_xlfn.XLOOKUP(tbl_CONTENT[[#This Row],[Topic]], tbl_TOPIC[Topic], tbl_TOPIC[TopicIndex], "")</f>
        <v>07</v>
      </c>
      <c r="J591" s="22" t="s">
        <v>936</v>
      </c>
      <c r="K591" s="22" t="s">
        <v>954</v>
      </c>
      <c r="L591" s="22" t="s">
        <v>179</v>
      </c>
      <c r="R591" s="62"/>
      <c r="S591" s="35">
        <f>IFERROR(
 (1.907*EXP(1)^(-0.5*tbl_CONTENT[[#This Row],[Layer]])) *
 ((tbl_CONTENT[[#This Row],[RelInt]]-1)^(2.5)*4^(1-2.5)+1) +
 ((tbl_CONTENT[[#This Row],[Comp]]-1)^(2.5)*4^(1-2.5)+1)*(0.5*((tbl_CONTENT[[#This Row],[RelInt]]-1)/4)^(2.5)+1),
 0
)</f>
        <v>0</v>
      </c>
      <c r="T591" s="35">
        <f>IFERROR(
 (1.907*EXP(1)^(-0.5*VALUE(tbl_CONTENT[[#This Row],[Layer]]))) *
 ((VALUE(tbl_CONTENT[[#This Row],[RelId]])-1)^(2.5)*4^(1-2.5)+1) +
 ((VALUE(tbl_CONTENT[[#This Row],[Comp]])-1)^(2.5)*4^(1-2.5)+1)*(0.5*((VALUE(tbl_CONTENT[[#This Row],[RelId]])-1)/4)^(2.5)+1),
 0
)</f>
        <v>0</v>
      </c>
      <c r="V591" s="62"/>
      <c r="W591" s="22" t="str">
        <f>IFERROR(
  IF(_xlfn.XLOOKUP(tbl_CONTENT[[#This Row],[Topic]], tbl_TOPIC[Topic], tbl_TOPIC[ParentTopic])="", "",
       _xlfn.XLOOKUP(tbl_CONTENT[[#This Row],[Topic]], tbl_TOPIC[Topic], tbl_TOPIC[ParentTopic])),
  ""
)</f>
        <v>Moduln</v>
      </c>
      <c r="X591" s="22" t="str">
        <f>IFERROR(
  IF(_xlfn.XLOOKUP(tbl_CONTENT[[#This Row],[Topic]], tbl_TOPIC[Topic], tbl_TOPIC[TopicPath])="", "",
       _xlfn.XLOOKUP(tbl_CONTENT[[#This Row],[Topic]], tbl_TOPIC[Topic], tbl_TOPIC[TopicPath])),
  ""
)</f>
        <v>Moduln/Moduln Grundlagen</v>
      </c>
    </row>
    <row r="592" spans="3:24" ht="68" x14ac:dyDescent="0.2">
      <c r="C592" s="62" t="str">
        <f>_xlfn.XLOOKUP(tbl_CONTENT[[#This Row],[TopicID]], tbl_TOPIC[TopicID], tbl_TOPIC[Subject], "")</f>
        <v>A</v>
      </c>
      <c r="D59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A-T12-07-23</v>
      </c>
      <c r="E592" s="62">
        <f>ROW()</f>
        <v>592</v>
      </c>
      <c r="F592" s="22" t="s">
        <v>1051</v>
      </c>
      <c r="G592" s="22" t="str">
        <f>_xlfn.XLOOKUP(tbl_CONTENT[[#This Row],[Topic]], tbl_TOPIC[Topic], tbl_TOPIC[TopicID], "")</f>
        <v>A-1-07</v>
      </c>
      <c r="H592" s="62" cm="1">
        <f t="array" ref="H592">SUM((tbl_CONTENT[[#This Row],[TopicID]]=INDEX(tbl_CONTENT[TopicID],1):tbl_CONTENT[[#This Row],[TopicID]])*1)</f>
        <v>23</v>
      </c>
      <c r="I592" s="62" t="str">
        <f>_xlfn.XLOOKUP(tbl_CONTENT[[#This Row],[Topic]], tbl_TOPIC[Topic], tbl_TOPIC[TopicIndex], "")</f>
        <v>07</v>
      </c>
      <c r="J592" s="22" t="s">
        <v>936</v>
      </c>
      <c r="K592" s="22" t="s">
        <v>1032</v>
      </c>
      <c r="L592" s="22" t="s">
        <v>179</v>
      </c>
      <c r="R592" s="62"/>
      <c r="S592" s="35">
        <f>IFERROR(
 (1.907*EXP(1)^(-0.5*tbl_CONTENT[[#This Row],[Layer]])) *
 ((tbl_CONTENT[[#This Row],[RelInt]]-1)^(2.5)*4^(1-2.5)+1) +
 ((tbl_CONTENT[[#This Row],[Comp]]-1)^(2.5)*4^(1-2.5)+1)*(0.5*((tbl_CONTENT[[#This Row],[RelInt]]-1)/4)^(2.5)+1),
 0
)</f>
        <v>0</v>
      </c>
      <c r="T592" s="35">
        <f>IFERROR(
 (1.907*EXP(1)^(-0.5*VALUE(tbl_CONTENT[[#This Row],[Layer]]))) *
 ((VALUE(tbl_CONTENT[[#This Row],[RelId]])-1)^(2.5)*4^(1-2.5)+1) +
 ((VALUE(tbl_CONTENT[[#This Row],[Comp]])-1)^(2.5)*4^(1-2.5)+1)*(0.5*((VALUE(tbl_CONTENT[[#This Row],[RelId]])-1)/4)^(2.5)+1),
 0
)</f>
        <v>0</v>
      </c>
      <c r="V592" s="62"/>
      <c r="W592" s="22" t="str">
        <f>IFERROR(
  IF(_xlfn.XLOOKUP(tbl_CONTENT[[#This Row],[Topic]], tbl_TOPIC[Topic], tbl_TOPIC[ParentTopic])="", "",
       _xlfn.XLOOKUP(tbl_CONTENT[[#This Row],[Topic]], tbl_TOPIC[Topic], tbl_TOPIC[ParentTopic])),
  ""
)</f>
        <v>Moduln</v>
      </c>
      <c r="X592" s="22" t="str">
        <f>IFERROR(
  IF(_xlfn.XLOOKUP(tbl_CONTENT[[#This Row],[Topic]], tbl_TOPIC[Topic], tbl_TOPIC[TopicPath])="", "",
       _xlfn.XLOOKUP(tbl_CONTENT[[#This Row],[Topic]], tbl_TOPIC[Topic], tbl_TOPIC[TopicPath])),
  ""
)</f>
        <v>Moduln/Moduln Grundlagen</v>
      </c>
    </row>
    <row r="593" spans="3:24" ht="34" x14ac:dyDescent="0.2">
      <c r="C593" s="62" t="str">
        <f>_xlfn.XLOOKUP(tbl_CONTENT[[#This Row],[TopicID]], tbl_TOPIC[TopicID], tbl_TOPIC[Subject], "")</f>
        <v>RG</v>
      </c>
      <c r="D59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RG-T12-03-14</v>
      </c>
      <c r="E593" s="62">
        <f>ROW()</f>
        <v>593</v>
      </c>
      <c r="F593" s="22" t="s">
        <v>1051</v>
      </c>
      <c r="G593" s="22" t="str">
        <f>_xlfn.XLOOKUP(tbl_CONTENT[[#This Row],[Topic]], tbl_TOPIC[Topic], tbl_TOPIC[TopicID], "")</f>
        <v>RG-1-03</v>
      </c>
      <c r="H593" s="62" cm="1">
        <f t="array" ref="H593">SUM((tbl_CONTENT[[#This Row],[TopicID]]=INDEX(tbl_CONTENT[TopicID],1):tbl_CONTENT[[#This Row],[TopicID]])*1)</f>
        <v>14</v>
      </c>
      <c r="I593" s="62" t="str">
        <f>_xlfn.XLOOKUP(tbl_CONTENT[[#This Row],[Topic]], tbl_TOPIC[Topic], tbl_TOPIC[TopicIndex], "")</f>
        <v>03</v>
      </c>
      <c r="J593" s="22" t="s">
        <v>498</v>
      </c>
      <c r="K593" s="22" t="s">
        <v>957</v>
      </c>
      <c r="L593" s="22" t="s">
        <v>152</v>
      </c>
      <c r="R593" s="62"/>
      <c r="S593" s="35">
        <f>IFERROR(
 (1.907*EXP(1)^(-0.5*tbl_CONTENT[[#This Row],[Layer]])) *
 ((tbl_CONTENT[[#This Row],[RelInt]]-1)^(2.5)*4^(1-2.5)+1) +
 ((tbl_CONTENT[[#This Row],[Comp]]-1)^(2.5)*4^(1-2.5)+1)*(0.5*((tbl_CONTENT[[#This Row],[RelInt]]-1)/4)^(2.5)+1),
 0
)</f>
        <v>0</v>
      </c>
      <c r="T593" s="35">
        <f>IFERROR(
 (1.907*EXP(1)^(-0.5*VALUE(tbl_CONTENT[[#This Row],[Layer]]))) *
 ((VALUE(tbl_CONTENT[[#This Row],[RelId]])-1)^(2.5)*4^(1-2.5)+1) +
 ((VALUE(tbl_CONTENT[[#This Row],[Comp]])-1)^(2.5)*4^(1-2.5)+1)*(0.5*((VALUE(tbl_CONTENT[[#This Row],[RelId]])-1)/4)^(2.5)+1),
 0
)</f>
        <v>0</v>
      </c>
      <c r="V593" s="62"/>
      <c r="W593" s="22" t="str">
        <f>IFERROR(
  IF(_xlfn.XLOOKUP(tbl_CONTENT[[#This Row],[Topic]], tbl_TOPIC[Topic], tbl_TOPIC[ParentTopic])="", "",
       _xlfn.XLOOKUP(tbl_CONTENT[[#This Row],[Topic]], tbl_TOPIC[Topic], tbl_TOPIC[ParentTopic])),
  ""
)</f>
        <v>Differenzierbare Mannigfaltigkeiten</v>
      </c>
      <c r="X593" s="22" t="str">
        <f>IFERROR(
  IF(_xlfn.XLOOKUP(tbl_CONTENT[[#This Row],[Topic]], tbl_TOPIC[Topic], tbl_TOPIC[TopicPath])="", "",
       _xlfn.XLOOKUP(tbl_CONTENT[[#This Row],[Topic]], tbl_TOPIC[Topic], tbl_TOPIC[TopicPath])),
  ""
)</f>
        <v>Differenzierbare Mannigfaltigkeiten/Glatte Mannigfaltigkeiten</v>
      </c>
    </row>
    <row r="594" spans="3:24" ht="34" x14ac:dyDescent="0.2">
      <c r="C594" s="62" t="str">
        <f>_xlfn.XLOOKUP(tbl_CONTENT[[#This Row],[TopicID]], tbl_TOPIC[TopicID], tbl_TOPIC[Subject], "")</f>
        <v>RG</v>
      </c>
      <c r="D59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RG-T12-03-15</v>
      </c>
      <c r="E594" s="62">
        <f>ROW()</f>
        <v>594</v>
      </c>
      <c r="F594" s="22" t="s">
        <v>1051</v>
      </c>
      <c r="G594" s="22" t="str">
        <f>_xlfn.XLOOKUP(tbl_CONTENT[[#This Row],[Topic]], tbl_TOPIC[Topic], tbl_TOPIC[TopicID], "")</f>
        <v>RG-1-03</v>
      </c>
      <c r="H594" s="62" cm="1">
        <f t="array" ref="H594">SUM((tbl_CONTENT[[#This Row],[TopicID]]=INDEX(tbl_CONTENT[TopicID],1):tbl_CONTENT[[#This Row],[TopicID]])*1)</f>
        <v>15</v>
      </c>
      <c r="I594" s="62" t="str">
        <f>_xlfn.XLOOKUP(tbl_CONTENT[[#This Row],[Topic]], tbl_TOPIC[Topic], tbl_TOPIC[TopicIndex], "")</f>
        <v>03</v>
      </c>
      <c r="J594" s="22" t="s">
        <v>498</v>
      </c>
      <c r="K594" s="22" t="s">
        <v>983</v>
      </c>
      <c r="L594" s="22" t="s">
        <v>152</v>
      </c>
      <c r="R594" s="62"/>
      <c r="S594" s="35">
        <f>IFERROR(
 (1.907*EXP(1)^(-0.5*tbl_CONTENT[[#This Row],[Layer]])) *
 ((tbl_CONTENT[[#This Row],[RelInt]]-1)^(2.5)*4^(1-2.5)+1) +
 ((tbl_CONTENT[[#This Row],[Comp]]-1)^(2.5)*4^(1-2.5)+1)*(0.5*((tbl_CONTENT[[#This Row],[RelInt]]-1)/4)^(2.5)+1),
 0
)</f>
        <v>0</v>
      </c>
      <c r="T594" s="35">
        <f>IFERROR(
 (1.907*EXP(1)^(-0.5*VALUE(tbl_CONTENT[[#This Row],[Layer]]))) *
 ((VALUE(tbl_CONTENT[[#This Row],[RelId]])-1)^(2.5)*4^(1-2.5)+1) +
 ((VALUE(tbl_CONTENT[[#This Row],[Comp]])-1)^(2.5)*4^(1-2.5)+1)*(0.5*((VALUE(tbl_CONTENT[[#This Row],[RelId]])-1)/4)^(2.5)+1),
 0
)</f>
        <v>0</v>
      </c>
      <c r="V594" s="62"/>
      <c r="W594" s="22" t="str">
        <f>IFERROR(
  IF(_xlfn.XLOOKUP(tbl_CONTENT[[#This Row],[Topic]], tbl_TOPIC[Topic], tbl_TOPIC[ParentTopic])="", "",
       _xlfn.XLOOKUP(tbl_CONTENT[[#This Row],[Topic]], tbl_TOPIC[Topic], tbl_TOPIC[ParentTopic])),
  ""
)</f>
        <v>Differenzierbare Mannigfaltigkeiten</v>
      </c>
      <c r="X594" s="22" t="str">
        <f>IFERROR(
  IF(_xlfn.XLOOKUP(tbl_CONTENT[[#This Row],[Topic]], tbl_TOPIC[Topic], tbl_TOPIC[TopicPath])="", "",
       _xlfn.XLOOKUP(tbl_CONTENT[[#This Row],[Topic]], tbl_TOPIC[Topic], tbl_TOPIC[TopicPath])),
  ""
)</f>
        <v>Differenzierbare Mannigfaltigkeiten/Glatte Mannigfaltigkeiten</v>
      </c>
    </row>
    <row r="595" spans="3:24" ht="34" x14ac:dyDescent="0.2">
      <c r="C595" s="62" t="str">
        <f>_xlfn.XLOOKUP(tbl_CONTENT[[#This Row],[TopicID]], tbl_TOPIC[TopicID], tbl_TOPIC[Subject], "")</f>
        <v>RG</v>
      </c>
      <c r="D59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RG-T12-03-16</v>
      </c>
      <c r="E595" s="62">
        <f>ROW()</f>
        <v>595</v>
      </c>
      <c r="F595" s="22" t="s">
        <v>1051</v>
      </c>
      <c r="G595" s="22" t="str">
        <f>_xlfn.XLOOKUP(tbl_CONTENT[[#This Row],[Topic]], tbl_TOPIC[Topic], tbl_TOPIC[TopicID], "")</f>
        <v>RG-1-03</v>
      </c>
      <c r="H595" s="62" cm="1">
        <f t="array" ref="H595">SUM((tbl_CONTENT[[#This Row],[TopicID]]=INDEX(tbl_CONTENT[TopicID],1):tbl_CONTENT[[#This Row],[TopicID]])*1)</f>
        <v>16</v>
      </c>
      <c r="I595" s="62" t="str">
        <f>_xlfn.XLOOKUP(tbl_CONTENT[[#This Row],[Topic]], tbl_TOPIC[Topic], tbl_TOPIC[TopicIndex], "")</f>
        <v>03</v>
      </c>
      <c r="J595" s="22" t="s">
        <v>498</v>
      </c>
      <c r="K595" s="22" t="s">
        <v>984</v>
      </c>
      <c r="L595" s="22" t="s">
        <v>152</v>
      </c>
      <c r="R595" s="62"/>
      <c r="S595" s="35">
        <f>IFERROR(
 (1.907*EXP(1)^(-0.5*tbl_CONTENT[[#This Row],[Layer]])) *
 ((tbl_CONTENT[[#This Row],[RelInt]]-1)^(2.5)*4^(1-2.5)+1) +
 ((tbl_CONTENT[[#This Row],[Comp]]-1)^(2.5)*4^(1-2.5)+1)*(0.5*((tbl_CONTENT[[#This Row],[RelInt]]-1)/4)^(2.5)+1),
 0
)</f>
        <v>0</v>
      </c>
      <c r="T595" s="35">
        <f>IFERROR(
 (1.907*EXP(1)^(-0.5*VALUE(tbl_CONTENT[[#This Row],[Layer]]))) *
 ((VALUE(tbl_CONTENT[[#This Row],[RelId]])-1)^(2.5)*4^(1-2.5)+1) +
 ((VALUE(tbl_CONTENT[[#This Row],[Comp]])-1)^(2.5)*4^(1-2.5)+1)*(0.5*((VALUE(tbl_CONTENT[[#This Row],[RelId]])-1)/4)^(2.5)+1),
 0
)</f>
        <v>0</v>
      </c>
      <c r="V595" s="62"/>
      <c r="W595" s="22" t="str">
        <f>IFERROR(
  IF(_xlfn.XLOOKUP(tbl_CONTENT[[#This Row],[Topic]], tbl_TOPIC[Topic], tbl_TOPIC[ParentTopic])="", "",
       _xlfn.XLOOKUP(tbl_CONTENT[[#This Row],[Topic]], tbl_TOPIC[Topic], tbl_TOPIC[ParentTopic])),
  ""
)</f>
        <v>Differenzierbare Mannigfaltigkeiten</v>
      </c>
      <c r="X595" s="22" t="str">
        <f>IFERROR(
  IF(_xlfn.XLOOKUP(tbl_CONTENT[[#This Row],[Topic]], tbl_TOPIC[Topic], tbl_TOPIC[TopicPath])="", "",
       _xlfn.XLOOKUP(tbl_CONTENT[[#This Row],[Topic]], tbl_TOPIC[Topic], tbl_TOPIC[TopicPath])),
  ""
)</f>
        <v>Differenzierbare Mannigfaltigkeiten/Glatte Mannigfaltigkeiten</v>
      </c>
    </row>
    <row r="596" spans="3:24" ht="34" x14ac:dyDescent="0.2">
      <c r="C596" s="62" t="str">
        <f>_xlfn.XLOOKUP(tbl_CONTENT[[#This Row],[TopicID]], tbl_TOPIC[TopicID], tbl_TOPIC[Subject], "")</f>
        <v>EFT1</v>
      </c>
      <c r="D59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EFT1-T12-02-66</v>
      </c>
      <c r="E596" s="62">
        <f>ROW()</f>
        <v>596</v>
      </c>
      <c r="F596" s="22" t="s">
        <v>1051</v>
      </c>
      <c r="G596" s="22" t="str">
        <f>_xlfn.XLOOKUP(tbl_CONTENT[[#This Row],[Topic]], tbl_TOPIC[Topic], tbl_TOPIC[TopicID], "")</f>
        <v>EFT1-1-02</v>
      </c>
      <c r="H596" s="62" cm="1">
        <f t="array" ref="H596">SUM((tbl_CONTENT[[#This Row],[TopicID]]=INDEX(tbl_CONTENT[TopicID],1):tbl_CONTENT[[#This Row],[TopicID]])*1)</f>
        <v>66</v>
      </c>
      <c r="I596" s="62" t="str">
        <f>_xlfn.XLOOKUP(tbl_CONTENT[[#This Row],[Topic]], tbl_TOPIC[Topic], tbl_TOPIC[TopicIndex], "")</f>
        <v>02</v>
      </c>
      <c r="J596" s="22" t="s">
        <v>596</v>
      </c>
      <c r="K596" s="22" t="s">
        <v>985</v>
      </c>
      <c r="L596" s="22" t="s">
        <v>152</v>
      </c>
      <c r="R596" s="62"/>
      <c r="S596" s="35">
        <f>IFERROR(
 (1.907*EXP(1)^(-0.5*tbl_CONTENT[[#This Row],[Layer]])) *
 ((tbl_CONTENT[[#This Row],[RelInt]]-1)^(2.5)*4^(1-2.5)+1) +
 ((tbl_CONTENT[[#This Row],[Comp]]-1)^(2.5)*4^(1-2.5)+1)*(0.5*((tbl_CONTENT[[#This Row],[RelInt]]-1)/4)^(2.5)+1),
 0
)</f>
        <v>0</v>
      </c>
      <c r="T596" s="35">
        <f>IFERROR(
 (1.907*EXP(1)^(-0.5*VALUE(tbl_CONTENT[[#This Row],[Layer]]))) *
 ((VALUE(tbl_CONTENT[[#This Row],[RelId]])-1)^(2.5)*4^(1-2.5)+1) +
 ((VALUE(tbl_CONTENT[[#This Row],[Comp]])-1)^(2.5)*4^(1-2.5)+1)*(0.5*((VALUE(tbl_CONTENT[[#This Row],[RelId]])-1)/4)^(2.5)+1),
 0
)</f>
        <v>0</v>
      </c>
      <c r="V596" s="62"/>
      <c r="W596" s="22" t="str">
        <f>IFERROR(
  IF(_xlfn.XLOOKUP(tbl_CONTENT[[#This Row],[Topic]], tbl_TOPIC[Topic], tbl_TOPIC[ParentTopic])="", "",
       _xlfn.XLOOKUP(tbl_CONTENT[[#This Row],[Topic]], tbl_TOPIC[Topic], tbl_TOPIC[ParentTopic])),
  ""
)</f>
        <v/>
      </c>
      <c r="X596" s="22" t="str">
        <f>IFERROR(
  IF(_xlfn.XLOOKUP(tbl_CONTENT[[#This Row],[Topic]], tbl_TOPIC[Topic], tbl_TOPIC[TopicPath])="", "",
       _xlfn.XLOOKUP(tbl_CONTENT[[#This Row],[Topic]], tbl_TOPIC[Topic], tbl_TOPIC[TopicPath])),
  ""
)</f>
        <v>Faserbündel</v>
      </c>
    </row>
    <row r="597" spans="3:24" ht="34" x14ac:dyDescent="0.2">
      <c r="C597" s="62" t="str">
        <f>_xlfn.XLOOKUP(tbl_CONTENT[[#This Row],[TopicID]], tbl_TOPIC[TopicID], tbl_TOPIC[Subject], "")</f>
        <v>EFT1</v>
      </c>
      <c r="D59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EFT1-T12-02-67</v>
      </c>
      <c r="E597" s="62">
        <f>ROW()</f>
        <v>597</v>
      </c>
      <c r="F597" s="22" t="s">
        <v>1051</v>
      </c>
      <c r="G597" s="22" t="str">
        <f>_xlfn.XLOOKUP(tbl_CONTENT[[#This Row],[Topic]], tbl_TOPIC[Topic], tbl_TOPIC[TopicID], "")</f>
        <v>EFT1-1-02</v>
      </c>
      <c r="H597" s="62" cm="1">
        <f t="array" ref="H597">SUM((tbl_CONTENT[[#This Row],[TopicID]]=INDEX(tbl_CONTENT[TopicID],1):tbl_CONTENT[[#This Row],[TopicID]])*1)</f>
        <v>67</v>
      </c>
      <c r="I597" s="62" t="str">
        <f>_xlfn.XLOOKUP(tbl_CONTENT[[#This Row],[Topic]], tbl_TOPIC[Topic], tbl_TOPIC[TopicIndex], "")</f>
        <v>02</v>
      </c>
      <c r="J597" s="22" t="s">
        <v>596</v>
      </c>
      <c r="K597" s="22" t="s">
        <v>986</v>
      </c>
      <c r="L597" s="22" t="s">
        <v>152</v>
      </c>
      <c r="R597" s="62"/>
      <c r="S597" s="35">
        <f>IFERROR(
 (1.907*EXP(1)^(-0.5*tbl_CONTENT[[#This Row],[Layer]])) *
 ((tbl_CONTENT[[#This Row],[RelInt]]-1)^(2.5)*4^(1-2.5)+1) +
 ((tbl_CONTENT[[#This Row],[Comp]]-1)^(2.5)*4^(1-2.5)+1)*(0.5*((tbl_CONTENT[[#This Row],[RelInt]]-1)/4)^(2.5)+1),
 0
)</f>
        <v>0</v>
      </c>
      <c r="T597" s="35">
        <f>IFERROR(
 (1.907*EXP(1)^(-0.5*VALUE(tbl_CONTENT[[#This Row],[Layer]]))) *
 ((VALUE(tbl_CONTENT[[#This Row],[RelId]])-1)^(2.5)*4^(1-2.5)+1) +
 ((VALUE(tbl_CONTENT[[#This Row],[Comp]])-1)^(2.5)*4^(1-2.5)+1)*(0.5*((VALUE(tbl_CONTENT[[#This Row],[RelId]])-1)/4)^(2.5)+1),
 0
)</f>
        <v>0</v>
      </c>
      <c r="V597" s="62"/>
      <c r="W597" s="22" t="str">
        <f>IFERROR(
  IF(_xlfn.XLOOKUP(tbl_CONTENT[[#This Row],[Topic]], tbl_TOPIC[Topic], tbl_TOPIC[ParentTopic])="", "",
       _xlfn.XLOOKUP(tbl_CONTENT[[#This Row],[Topic]], tbl_TOPIC[Topic], tbl_TOPIC[ParentTopic])),
  ""
)</f>
        <v/>
      </c>
      <c r="X597" s="22" t="str">
        <f>IFERROR(
  IF(_xlfn.XLOOKUP(tbl_CONTENT[[#This Row],[Topic]], tbl_TOPIC[Topic], tbl_TOPIC[TopicPath])="", "",
       _xlfn.XLOOKUP(tbl_CONTENT[[#This Row],[Topic]], tbl_TOPIC[Topic], tbl_TOPIC[TopicPath])),
  ""
)</f>
        <v>Faserbündel</v>
      </c>
    </row>
    <row r="598" spans="3:24" ht="34" x14ac:dyDescent="0.2">
      <c r="C598" s="62" t="str">
        <f>_xlfn.XLOOKUP(tbl_CONTENT[[#This Row],[TopicID]], tbl_TOPIC[TopicID], tbl_TOPIC[Subject], "")</f>
        <v>EFT1</v>
      </c>
      <c r="D59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EFT1-T12-02-68</v>
      </c>
      <c r="E598" s="62">
        <f>ROW()</f>
        <v>598</v>
      </c>
      <c r="F598" s="22" t="s">
        <v>1051</v>
      </c>
      <c r="G598" s="22" t="str">
        <f>_xlfn.XLOOKUP(tbl_CONTENT[[#This Row],[Topic]], tbl_TOPIC[Topic], tbl_TOPIC[TopicID], "")</f>
        <v>EFT1-1-02</v>
      </c>
      <c r="H598" s="62" cm="1">
        <f t="array" ref="H598">SUM((tbl_CONTENT[[#This Row],[TopicID]]=INDEX(tbl_CONTENT[TopicID],1):tbl_CONTENT[[#This Row],[TopicID]])*1)</f>
        <v>68</v>
      </c>
      <c r="I598" s="62" t="str">
        <f>_xlfn.XLOOKUP(tbl_CONTENT[[#This Row],[Topic]], tbl_TOPIC[Topic], tbl_TOPIC[TopicIndex], "")</f>
        <v>02</v>
      </c>
      <c r="J598" s="22" t="s">
        <v>596</v>
      </c>
      <c r="K598" s="22" t="s">
        <v>987</v>
      </c>
      <c r="L598" s="22" t="s">
        <v>152</v>
      </c>
      <c r="R598" s="62"/>
      <c r="S598" s="35">
        <f>IFERROR(
 (1.907*EXP(1)^(-0.5*tbl_CONTENT[[#This Row],[Layer]])) *
 ((tbl_CONTENT[[#This Row],[RelInt]]-1)^(2.5)*4^(1-2.5)+1) +
 ((tbl_CONTENT[[#This Row],[Comp]]-1)^(2.5)*4^(1-2.5)+1)*(0.5*((tbl_CONTENT[[#This Row],[RelInt]]-1)/4)^(2.5)+1),
 0
)</f>
        <v>0</v>
      </c>
      <c r="T598" s="35">
        <f>IFERROR(
 (1.907*EXP(1)^(-0.5*VALUE(tbl_CONTENT[[#This Row],[Layer]]))) *
 ((VALUE(tbl_CONTENT[[#This Row],[RelId]])-1)^(2.5)*4^(1-2.5)+1) +
 ((VALUE(tbl_CONTENT[[#This Row],[Comp]])-1)^(2.5)*4^(1-2.5)+1)*(0.5*((VALUE(tbl_CONTENT[[#This Row],[RelId]])-1)/4)^(2.5)+1),
 0
)</f>
        <v>0</v>
      </c>
      <c r="V598" s="62"/>
      <c r="W598" s="22" t="str">
        <f>IFERROR(
  IF(_xlfn.XLOOKUP(tbl_CONTENT[[#This Row],[Topic]], tbl_TOPIC[Topic], tbl_TOPIC[ParentTopic])="", "",
       _xlfn.XLOOKUP(tbl_CONTENT[[#This Row],[Topic]], tbl_TOPIC[Topic], tbl_TOPIC[ParentTopic])),
  ""
)</f>
        <v/>
      </c>
      <c r="X598" s="22" t="str">
        <f>IFERROR(
  IF(_xlfn.XLOOKUP(tbl_CONTENT[[#This Row],[Topic]], tbl_TOPIC[Topic], tbl_TOPIC[TopicPath])="", "",
       _xlfn.XLOOKUP(tbl_CONTENT[[#This Row],[Topic]], tbl_TOPIC[Topic], tbl_TOPIC[TopicPath])),
  ""
)</f>
        <v>Faserbündel</v>
      </c>
    </row>
  </sheetData>
  <phoneticPr fontId="10" type="noConversion"/>
  <dataValidations count="4">
    <dataValidation type="list" allowBlank="1" showInputMessage="1" showErrorMessage="1" sqref="H4:J4 G4:G598" xr:uid="{99959776-3C3F-014E-8D7E-B3739F841B94}">
      <formula1>Subject</formula1>
    </dataValidation>
    <dataValidation type="list" allowBlank="1" showInputMessage="1" showErrorMessage="1" sqref="K4" xr:uid="{32751D35-04BC-7D40-B2E5-6D2945315EA3}">
      <formula1>Content</formula1>
    </dataValidation>
    <dataValidation type="list" allowBlank="1" showInputMessage="1" showErrorMessage="1" sqref="L4:L598" xr:uid="{B3B49F51-2762-534B-BDA0-D657AADA8175}">
      <formula1>ContentTyp</formula1>
    </dataValidation>
    <dataValidation type="list" allowBlank="1" showInputMessage="1" showErrorMessage="1" sqref="J5:J598" xr:uid="{EBD97793-C8EC-0546-8061-96FD98154921}">
      <formula1>AlleTopics</formula1>
    </dataValidation>
  </dataValidations>
  <pageMargins left="0.7" right="0.7" top="0.78740157499999996" bottom="0.78740157499999996" header="0.3" footer="0.3"/>
  <ignoredErrors>
    <ignoredError sqref="C217"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B226-F5F2-ED48-B29A-B47DAE9AD018}">
  <dimension ref="A1:V595"/>
  <sheetViews>
    <sheetView tabSelected="1" workbookViewId="0">
      <selection activeCell="F28" sqref="F28"/>
    </sheetView>
    <sheetView workbookViewId="1"/>
  </sheetViews>
  <sheetFormatPr baseColWidth="10" defaultRowHeight="16" x14ac:dyDescent="0.2"/>
  <cols>
    <col min="1" max="1" width="9.83203125" bestFit="1" customWidth="1"/>
    <col min="2" max="2" width="14.6640625" bestFit="1" customWidth="1"/>
    <col min="3" max="3" width="11.5" bestFit="1" customWidth="1"/>
    <col min="4" max="4" width="7.6640625" bestFit="1" customWidth="1"/>
    <col min="5" max="5" width="10.1640625" bestFit="1" customWidth="1"/>
    <col min="6" max="6" width="14.83203125" bestFit="1" customWidth="1"/>
    <col min="7" max="7" width="12.33203125" bestFit="1" customWidth="1"/>
    <col min="8" max="8" width="68.33203125" bestFit="1" customWidth="1"/>
    <col min="9" max="9" width="80.6640625" bestFit="1" customWidth="1"/>
    <col min="10" max="10" width="7.6640625" bestFit="1" customWidth="1"/>
    <col min="11" max="11" width="11.1640625" bestFit="1" customWidth="1"/>
    <col min="12" max="12" width="8.1640625" bestFit="1" customWidth="1"/>
    <col min="13" max="13" width="8.6640625" bestFit="1" customWidth="1"/>
    <col min="14" max="14" width="8.5" bestFit="1" customWidth="1"/>
    <col min="15" max="15" width="7.83203125" bestFit="1" customWidth="1"/>
    <col min="16" max="16" width="7.6640625" bestFit="1" customWidth="1"/>
    <col min="17" max="18" width="12.1640625" bestFit="1" customWidth="1"/>
    <col min="19" max="19" width="11.6640625" bestFit="1" customWidth="1"/>
    <col min="20" max="20" width="45" bestFit="1" customWidth="1"/>
    <col min="21" max="21" width="31.83203125" bestFit="1" customWidth="1"/>
    <col min="22" max="22" width="80.6640625" customWidth="1"/>
    <col min="23" max="23" width="80.6640625" bestFit="1" customWidth="1"/>
  </cols>
  <sheetData>
    <row r="1" spans="1:22" x14ac:dyDescent="0.2">
      <c r="A1" t="s">
        <v>6</v>
      </c>
      <c r="B1" t="s">
        <v>157</v>
      </c>
      <c r="C1" t="s">
        <v>1668</v>
      </c>
      <c r="D1" t="s">
        <v>1053</v>
      </c>
      <c r="E1" t="s">
        <v>155</v>
      </c>
      <c r="F1" t="s">
        <v>159</v>
      </c>
      <c r="G1" t="s">
        <v>1052</v>
      </c>
      <c r="H1" t="s">
        <v>93</v>
      </c>
      <c r="I1" t="s">
        <v>142</v>
      </c>
      <c r="J1" t="s">
        <v>143</v>
      </c>
      <c r="K1" t="s">
        <v>144</v>
      </c>
      <c r="L1" t="s">
        <v>145</v>
      </c>
      <c r="M1" t="s">
        <v>160</v>
      </c>
      <c r="N1" t="s">
        <v>161</v>
      </c>
      <c r="O1" t="s">
        <v>162</v>
      </c>
      <c r="P1" t="s">
        <v>163</v>
      </c>
      <c r="Q1" t="s">
        <v>164</v>
      </c>
      <c r="R1" t="s">
        <v>165</v>
      </c>
      <c r="S1" t="s">
        <v>154</v>
      </c>
      <c r="T1" t="s">
        <v>166</v>
      </c>
      <c r="U1" t="s">
        <v>94</v>
      </c>
      <c r="V1" t="s">
        <v>95</v>
      </c>
    </row>
    <row r="2" spans="1:22" x14ac:dyDescent="0.2">
      <c r="A2" t="s">
        <v>880</v>
      </c>
      <c r="B2" t="s">
        <v>1078</v>
      </c>
      <c r="C2">
        <v>468</v>
      </c>
      <c r="D2" t="s">
        <v>1051</v>
      </c>
      <c r="E2" t="s">
        <v>959</v>
      </c>
      <c r="F2">
        <v>1</v>
      </c>
      <c r="G2" t="s">
        <v>1054</v>
      </c>
      <c r="H2" t="s">
        <v>832</v>
      </c>
      <c r="I2" t="s">
        <v>833</v>
      </c>
      <c r="J2" t="s">
        <v>152</v>
      </c>
      <c r="K2">
        <v>1</v>
      </c>
      <c r="Q2">
        <v>0</v>
      </c>
      <c r="R2">
        <v>0</v>
      </c>
      <c r="U2" s="61" t="s">
        <v>831</v>
      </c>
      <c r="V2" t="s">
        <v>979</v>
      </c>
    </row>
    <row r="3" spans="1:22" x14ac:dyDescent="0.2">
      <c r="A3" t="s">
        <v>880</v>
      </c>
      <c r="B3" t="s">
        <v>1079</v>
      </c>
      <c r="C3">
        <v>469</v>
      </c>
      <c r="D3" t="s">
        <v>1051</v>
      </c>
      <c r="E3" t="s">
        <v>959</v>
      </c>
      <c r="F3">
        <v>2</v>
      </c>
      <c r="G3" t="s">
        <v>1054</v>
      </c>
      <c r="H3" t="s">
        <v>832</v>
      </c>
      <c r="I3" t="s">
        <v>843</v>
      </c>
      <c r="J3" t="s">
        <v>152</v>
      </c>
      <c r="Q3">
        <v>0</v>
      </c>
      <c r="R3">
        <v>0</v>
      </c>
      <c r="U3" s="61" t="s">
        <v>831</v>
      </c>
      <c r="V3" t="s">
        <v>979</v>
      </c>
    </row>
    <row r="4" spans="1:22" x14ac:dyDescent="0.2">
      <c r="A4" t="s">
        <v>880</v>
      </c>
      <c r="B4" t="s">
        <v>1080</v>
      </c>
      <c r="C4">
        <v>470</v>
      </c>
      <c r="D4" t="s">
        <v>1051</v>
      </c>
      <c r="E4" t="s">
        <v>959</v>
      </c>
      <c r="F4">
        <v>3</v>
      </c>
      <c r="G4" t="s">
        <v>1054</v>
      </c>
      <c r="H4" t="s">
        <v>832</v>
      </c>
      <c r="I4" t="s">
        <v>834</v>
      </c>
      <c r="J4" t="s">
        <v>152</v>
      </c>
      <c r="K4">
        <v>1</v>
      </c>
      <c r="Q4">
        <v>0</v>
      </c>
      <c r="R4">
        <v>0</v>
      </c>
      <c r="U4" s="61" t="s">
        <v>831</v>
      </c>
      <c r="V4" t="s">
        <v>979</v>
      </c>
    </row>
    <row r="5" spans="1:22" x14ac:dyDescent="0.2">
      <c r="A5" t="s">
        <v>880</v>
      </c>
      <c r="B5" t="s">
        <v>1081</v>
      </c>
      <c r="C5">
        <v>471</v>
      </c>
      <c r="D5" t="s">
        <v>1051</v>
      </c>
      <c r="E5" t="s">
        <v>959</v>
      </c>
      <c r="F5">
        <v>4</v>
      </c>
      <c r="G5" t="s">
        <v>1054</v>
      </c>
      <c r="H5" t="s">
        <v>832</v>
      </c>
      <c r="I5" t="s">
        <v>835</v>
      </c>
      <c r="J5" t="s">
        <v>179</v>
      </c>
      <c r="Q5">
        <v>0</v>
      </c>
      <c r="R5">
        <v>0</v>
      </c>
      <c r="U5" s="61" t="s">
        <v>831</v>
      </c>
      <c r="V5" t="s">
        <v>979</v>
      </c>
    </row>
    <row r="6" spans="1:22" x14ac:dyDescent="0.2">
      <c r="A6" t="s">
        <v>880</v>
      </c>
      <c r="B6" t="s">
        <v>1082</v>
      </c>
      <c r="C6">
        <v>472</v>
      </c>
      <c r="D6" t="s">
        <v>1051</v>
      </c>
      <c r="E6" t="s">
        <v>959</v>
      </c>
      <c r="F6">
        <v>5</v>
      </c>
      <c r="G6" t="s">
        <v>1054</v>
      </c>
      <c r="H6" t="s">
        <v>832</v>
      </c>
      <c r="I6" t="s">
        <v>1006</v>
      </c>
      <c r="J6" t="s">
        <v>179</v>
      </c>
      <c r="Q6">
        <v>0</v>
      </c>
      <c r="R6">
        <v>0</v>
      </c>
      <c r="U6" s="61" t="s">
        <v>831</v>
      </c>
      <c r="V6" t="s">
        <v>979</v>
      </c>
    </row>
    <row r="7" spans="1:22" x14ac:dyDescent="0.2">
      <c r="A7" t="s">
        <v>880</v>
      </c>
      <c r="B7" t="s">
        <v>1083</v>
      </c>
      <c r="C7">
        <v>473</v>
      </c>
      <c r="D7" t="s">
        <v>1051</v>
      </c>
      <c r="E7" t="s">
        <v>959</v>
      </c>
      <c r="F7">
        <v>6</v>
      </c>
      <c r="G7" t="s">
        <v>1054</v>
      </c>
      <c r="H7" t="s">
        <v>832</v>
      </c>
      <c r="I7" t="s">
        <v>836</v>
      </c>
      <c r="J7" t="s">
        <v>179</v>
      </c>
      <c r="Q7">
        <v>0</v>
      </c>
      <c r="R7">
        <v>0</v>
      </c>
      <c r="U7" s="61" t="s">
        <v>831</v>
      </c>
      <c r="V7" t="s">
        <v>979</v>
      </c>
    </row>
    <row r="8" spans="1:22" x14ac:dyDescent="0.2">
      <c r="A8" t="s">
        <v>880</v>
      </c>
      <c r="B8" t="s">
        <v>1084</v>
      </c>
      <c r="C8">
        <v>474</v>
      </c>
      <c r="D8" t="s">
        <v>1051</v>
      </c>
      <c r="E8" t="s">
        <v>959</v>
      </c>
      <c r="F8">
        <v>7</v>
      </c>
      <c r="G8" t="s">
        <v>1054</v>
      </c>
      <c r="H8" t="s">
        <v>832</v>
      </c>
      <c r="I8" t="s">
        <v>849</v>
      </c>
      <c r="J8" t="s">
        <v>179</v>
      </c>
      <c r="Q8">
        <v>0</v>
      </c>
      <c r="R8">
        <v>0</v>
      </c>
      <c r="U8" s="61" t="s">
        <v>831</v>
      </c>
      <c r="V8" t="s">
        <v>979</v>
      </c>
    </row>
    <row r="9" spans="1:22" x14ac:dyDescent="0.2">
      <c r="A9" t="s">
        <v>880</v>
      </c>
      <c r="B9" t="s">
        <v>1085</v>
      </c>
      <c r="C9">
        <v>475</v>
      </c>
      <c r="D9" t="s">
        <v>1051</v>
      </c>
      <c r="E9" t="s">
        <v>959</v>
      </c>
      <c r="F9">
        <v>8</v>
      </c>
      <c r="G9" t="s">
        <v>1054</v>
      </c>
      <c r="H9" t="s">
        <v>832</v>
      </c>
      <c r="I9" t="s">
        <v>1007</v>
      </c>
      <c r="J9" t="s">
        <v>179</v>
      </c>
      <c r="Q9">
        <v>0</v>
      </c>
      <c r="R9">
        <v>0</v>
      </c>
      <c r="U9" s="61" t="s">
        <v>831</v>
      </c>
      <c r="V9" t="s">
        <v>979</v>
      </c>
    </row>
    <row r="10" spans="1:22" x14ac:dyDescent="0.2">
      <c r="A10" t="s">
        <v>880</v>
      </c>
      <c r="B10" t="s">
        <v>1086</v>
      </c>
      <c r="C10">
        <v>476</v>
      </c>
      <c r="D10" t="s">
        <v>1051</v>
      </c>
      <c r="E10" t="s">
        <v>959</v>
      </c>
      <c r="F10">
        <v>9</v>
      </c>
      <c r="G10" t="s">
        <v>1054</v>
      </c>
      <c r="H10" t="s">
        <v>832</v>
      </c>
      <c r="I10" t="s">
        <v>837</v>
      </c>
      <c r="J10" t="s">
        <v>179</v>
      </c>
      <c r="Q10">
        <v>0</v>
      </c>
      <c r="R10">
        <v>0</v>
      </c>
      <c r="U10" s="61" t="s">
        <v>831</v>
      </c>
      <c r="V10" t="s">
        <v>979</v>
      </c>
    </row>
    <row r="11" spans="1:22" x14ac:dyDescent="0.2">
      <c r="A11" t="s">
        <v>880</v>
      </c>
      <c r="B11" t="s">
        <v>1087</v>
      </c>
      <c r="C11">
        <v>477</v>
      </c>
      <c r="D11" t="s">
        <v>1051</v>
      </c>
      <c r="E11" t="s">
        <v>959</v>
      </c>
      <c r="F11">
        <v>10</v>
      </c>
      <c r="G11" t="s">
        <v>1054</v>
      </c>
      <c r="H11" t="s">
        <v>832</v>
      </c>
      <c r="I11" t="s">
        <v>838</v>
      </c>
      <c r="J11" t="s">
        <v>179</v>
      </c>
      <c r="Q11">
        <v>0</v>
      </c>
      <c r="R11">
        <v>0</v>
      </c>
      <c r="U11" s="61" t="s">
        <v>831</v>
      </c>
      <c r="V11" t="s">
        <v>979</v>
      </c>
    </row>
    <row r="12" spans="1:22" x14ac:dyDescent="0.2">
      <c r="A12" t="s">
        <v>880</v>
      </c>
      <c r="B12" t="s">
        <v>1088</v>
      </c>
      <c r="C12">
        <v>478</v>
      </c>
      <c r="D12" t="s">
        <v>1051</v>
      </c>
      <c r="E12" t="s">
        <v>959</v>
      </c>
      <c r="F12">
        <v>11</v>
      </c>
      <c r="G12" t="s">
        <v>1054</v>
      </c>
      <c r="H12" t="s">
        <v>832</v>
      </c>
      <c r="I12" t="s">
        <v>839</v>
      </c>
      <c r="J12" t="s">
        <v>179</v>
      </c>
      <c r="Q12">
        <v>0</v>
      </c>
      <c r="R12">
        <v>0</v>
      </c>
      <c r="U12" s="61" t="s">
        <v>831</v>
      </c>
      <c r="V12" t="s">
        <v>979</v>
      </c>
    </row>
    <row r="13" spans="1:22" x14ac:dyDescent="0.2">
      <c r="A13" t="s">
        <v>880</v>
      </c>
      <c r="B13" t="s">
        <v>1089</v>
      </c>
      <c r="C13">
        <v>479</v>
      </c>
      <c r="D13" t="s">
        <v>1051</v>
      </c>
      <c r="E13" t="s">
        <v>959</v>
      </c>
      <c r="F13">
        <v>12</v>
      </c>
      <c r="G13" t="s">
        <v>1054</v>
      </c>
      <c r="H13" t="s">
        <v>832</v>
      </c>
      <c r="I13" t="s">
        <v>840</v>
      </c>
      <c r="J13" t="s">
        <v>179</v>
      </c>
      <c r="Q13">
        <v>0</v>
      </c>
      <c r="R13">
        <v>0</v>
      </c>
      <c r="U13" s="61" t="s">
        <v>831</v>
      </c>
      <c r="V13" t="s">
        <v>979</v>
      </c>
    </row>
    <row r="14" spans="1:22" x14ac:dyDescent="0.2">
      <c r="A14" t="s">
        <v>880</v>
      </c>
      <c r="B14" t="s">
        <v>1090</v>
      </c>
      <c r="C14">
        <v>480</v>
      </c>
      <c r="D14" t="s">
        <v>1051</v>
      </c>
      <c r="E14" t="s">
        <v>959</v>
      </c>
      <c r="F14">
        <v>13</v>
      </c>
      <c r="G14" t="s">
        <v>1054</v>
      </c>
      <c r="H14" t="s">
        <v>832</v>
      </c>
      <c r="I14" t="s">
        <v>841</v>
      </c>
      <c r="J14" t="s">
        <v>147</v>
      </c>
      <c r="Q14">
        <v>0</v>
      </c>
      <c r="R14">
        <v>0</v>
      </c>
      <c r="U14" s="61" t="s">
        <v>831</v>
      </c>
      <c r="V14" t="s">
        <v>979</v>
      </c>
    </row>
    <row r="15" spans="1:22" x14ac:dyDescent="0.2">
      <c r="A15" t="s">
        <v>880</v>
      </c>
      <c r="B15" t="s">
        <v>1091</v>
      </c>
      <c r="C15">
        <v>481</v>
      </c>
      <c r="D15" t="s">
        <v>1051</v>
      </c>
      <c r="E15" t="s">
        <v>959</v>
      </c>
      <c r="F15">
        <v>14</v>
      </c>
      <c r="G15" t="s">
        <v>1054</v>
      </c>
      <c r="H15" t="s">
        <v>832</v>
      </c>
      <c r="I15" t="s">
        <v>842</v>
      </c>
      <c r="J15" t="s">
        <v>149</v>
      </c>
      <c r="Q15">
        <v>0</v>
      </c>
      <c r="R15">
        <v>0</v>
      </c>
      <c r="U15" s="61" t="s">
        <v>831</v>
      </c>
      <c r="V15" t="s">
        <v>979</v>
      </c>
    </row>
    <row r="16" spans="1:22" x14ac:dyDescent="0.2">
      <c r="A16" t="s">
        <v>880</v>
      </c>
      <c r="B16" t="s">
        <v>1092</v>
      </c>
      <c r="C16">
        <v>482</v>
      </c>
      <c r="D16" t="s">
        <v>1051</v>
      </c>
      <c r="E16" t="s">
        <v>959</v>
      </c>
      <c r="F16">
        <v>15</v>
      </c>
      <c r="G16" t="s">
        <v>1054</v>
      </c>
      <c r="H16" t="s">
        <v>832</v>
      </c>
      <c r="I16" t="s">
        <v>1008</v>
      </c>
      <c r="J16" t="s">
        <v>149</v>
      </c>
      <c r="Q16">
        <v>0</v>
      </c>
      <c r="R16">
        <v>0</v>
      </c>
      <c r="U16" s="61" t="s">
        <v>831</v>
      </c>
      <c r="V16" t="s">
        <v>979</v>
      </c>
    </row>
    <row r="17" spans="1:22" x14ac:dyDescent="0.2">
      <c r="A17" t="s">
        <v>880</v>
      </c>
      <c r="B17" t="s">
        <v>1093</v>
      </c>
      <c r="C17">
        <v>483</v>
      </c>
      <c r="D17" t="s">
        <v>1051</v>
      </c>
      <c r="E17" t="s">
        <v>959</v>
      </c>
      <c r="F17">
        <v>16</v>
      </c>
      <c r="G17" t="s">
        <v>1054</v>
      </c>
      <c r="H17" t="s">
        <v>832</v>
      </c>
      <c r="I17" t="s">
        <v>844</v>
      </c>
      <c r="J17" t="s">
        <v>152</v>
      </c>
      <c r="K17">
        <v>1</v>
      </c>
      <c r="Q17">
        <v>0</v>
      </c>
      <c r="R17">
        <v>0</v>
      </c>
      <c r="U17" s="61" t="s">
        <v>831</v>
      </c>
      <c r="V17" t="s">
        <v>979</v>
      </c>
    </row>
    <row r="18" spans="1:22" x14ac:dyDescent="0.2">
      <c r="A18" t="s">
        <v>880</v>
      </c>
      <c r="B18" t="s">
        <v>1094</v>
      </c>
      <c r="C18">
        <v>484</v>
      </c>
      <c r="D18" t="s">
        <v>1051</v>
      </c>
      <c r="E18" t="s">
        <v>959</v>
      </c>
      <c r="F18">
        <v>17</v>
      </c>
      <c r="G18" t="s">
        <v>1054</v>
      </c>
      <c r="H18" t="s">
        <v>832</v>
      </c>
      <c r="I18" t="s">
        <v>845</v>
      </c>
      <c r="J18" t="s">
        <v>147</v>
      </c>
      <c r="Q18">
        <v>0</v>
      </c>
      <c r="R18">
        <v>0</v>
      </c>
      <c r="U18" s="61" t="s">
        <v>831</v>
      </c>
      <c r="V18" t="s">
        <v>979</v>
      </c>
    </row>
    <row r="19" spans="1:22" x14ac:dyDescent="0.2">
      <c r="A19" t="s">
        <v>880</v>
      </c>
      <c r="B19" t="s">
        <v>1095</v>
      </c>
      <c r="C19">
        <v>485</v>
      </c>
      <c r="D19" t="s">
        <v>1051</v>
      </c>
      <c r="E19" t="s">
        <v>959</v>
      </c>
      <c r="F19">
        <v>18</v>
      </c>
      <c r="G19" t="s">
        <v>1054</v>
      </c>
      <c r="H19" t="s">
        <v>832</v>
      </c>
      <c r="I19" t="s">
        <v>846</v>
      </c>
      <c r="J19" t="s">
        <v>179</v>
      </c>
      <c r="Q19">
        <v>0</v>
      </c>
      <c r="R19">
        <v>0</v>
      </c>
      <c r="U19" s="61" t="s">
        <v>831</v>
      </c>
      <c r="V19" t="s">
        <v>979</v>
      </c>
    </row>
    <row r="20" spans="1:22" x14ac:dyDescent="0.2">
      <c r="A20" t="s">
        <v>880</v>
      </c>
      <c r="B20" t="s">
        <v>1096</v>
      </c>
      <c r="C20">
        <v>486</v>
      </c>
      <c r="D20" t="s">
        <v>1051</v>
      </c>
      <c r="E20" t="s">
        <v>959</v>
      </c>
      <c r="F20">
        <v>19</v>
      </c>
      <c r="G20" t="s">
        <v>1054</v>
      </c>
      <c r="H20" t="s">
        <v>832</v>
      </c>
      <c r="I20" t="s">
        <v>847</v>
      </c>
      <c r="J20" t="s">
        <v>179</v>
      </c>
      <c r="Q20">
        <v>0</v>
      </c>
      <c r="R20">
        <v>0</v>
      </c>
      <c r="U20" s="61" t="s">
        <v>831</v>
      </c>
      <c r="V20" t="s">
        <v>979</v>
      </c>
    </row>
    <row r="21" spans="1:22" x14ac:dyDescent="0.2">
      <c r="A21" t="s">
        <v>880</v>
      </c>
      <c r="B21" t="s">
        <v>1097</v>
      </c>
      <c r="C21">
        <v>487</v>
      </c>
      <c r="D21" t="s">
        <v>1051</v>
      </c>
      <c r="E21" t="s">
        <v>959</v>
      </c>
      <c r="F21">
        <v>20</v>
      </c>
      <c r="G21" t="s">
        <v>1054</v>
      </c>
      <c r="H21" t="s">
        <v>832</v>
      </c>
      <c r="I21" t="s">
        <v>848</v>
      </c>
      <c r="J21" t="s">
        <v>179</v>
      </c>
      <c r="Q21">
        <v>0</v>
      </c>
      <c r="R21">
        <v>0</v>
      </c>
      <c r="U21" s="61" t="s">
        <v>831</v>
      </c>
      <c r="V21" t="s">
        <v>979</v>
      </c>
    </row>
    <row r="22" spans="1:22" x14ac:dyDescent="0.2">
      <c r="A22" t="s">
        <v>880</v>
      </c>
      <c r="B22" t="s">
        <v>1098</v>
      </c>
      <c r="C22">
        <v>488</v>
      </c>
      <c r="D22" t="s">
        <v>1051</v>
      </c>
      <c r="E22" t="s">
        <v>959</v>
      </c>
      <c r="F22">
        <v>21</v>
      </c>
      <c r="G22" t="s">
        <v>1054</v>
      </c>
      <c r="H22" t="s">
        <v>832</v>
      </c>
      <c r="I22" t="s">
        <v>853</v>
      </c>
      <c r="J22" t="s">
        <v>152</v>
      </c>
      <c r="K22">
        <v>1</v>
      </c>
      <c r="Q22">
        <v>0</v>
      </c>
      <c r="R22">
        <v>0</v>
      </c>
      <c r="U22" s="61" t="s">
        <v>831</v>
      </c>
      <c r="V22" t="s">
        <v>979</v>
      </c>
    </row>
    <row r="23" spans="1:22" x14ac:dyDescent="0.2">
      <c r="A23" t="s">
        <v>880</v>
      </c>
      <c r="B23" t="s">
        <v>1099</v>
      </c>
      <c r="C23">
        <v>489</v>
      </c>
      <c r="D23" t="s">
        <v>1051</v>
      </c>
      <c r="E23" t="s">
        <v>959</v>
      </c>
      <c r="F23">
        <v>22</v>
      </c>
      <c r="G23" t="s">
        <v>1054</v>
      </c>
      <c r="H23" t="s">
        <v>832</v>
      </c>
      <c r="I23" t="s">
        <v>852</v>
      </c>
      <c r="J23" t="s">
        <v>152</v>
      </c>
      <c r="K23">
        <v>1</v>
      </c>
      <c r="Q23">
        <v>0</v>
      </c>
      <c r="R23">
        <v>0</v>
      </c>
      <c r="U23" s="61" t="s">
        <v>831</v>
      </c>
      <c r="V23" t="s">
        <v>979</v>
      </c>
    </row>
    <row r="24" spans="1:22" x14ac:dyDescent="0.2">
      <c r="A24" t="s">
        <v>880</v>
      </c>
      <c r="B24" t="s">
        <v>1100</v>
      </c>
      <c r="C24">
        <v>490</v>
      </c>
      <c r="D24" t="s">
        <v>1051</v>
      </c>
      <c r="E24" t="s">
        <v>959</v>
      </c>
      <c r="F24">
        <v>23</v>
      </c>
      <c r="G24" t="s">
        <v>1054</v>
      </c>
      <c r="H24" t="s">
        <v>832</v>
      </c>
      <c r="I24" t="s">
        <v>854</v>
      </c>
      <c r="J24" t="s">
        <v>179</v>
      </c>
      <c r="Q24">
        <v>0</v>
      </c>
      <c r="R24">
        <v>0</v>
      </c>
      <c r="U24" s="61" t="s">
        <v>831</v>
      </c>
      <c r="V24" t="s">
        <v>979</v>
      </c>
    </row>
    <row r="25" spans="1:22" x14ac:dyDescent="0.2">
      <c r="A25" t="s">
        <v>880</v>
      </c>
      <c r="B25" t="s">
        <v>1101</v>
      </c>
      <c r="C25">
        <v>491</v>
      </c>
      <c r="D25" t="s">
        <v>1051</v>
      </c>
      <c r="E25" t="s">
        <v>959</v>
      </c>
      <c r="F25">
        <v>24</v>
      </c>
      <c r="G25" t="s">
        <v>1054</v>
      </c>
      <c r="H25" t="s">
        <v>832</v>
      </c>
      <c r="I25" t="s">
        <v>871</v>
      </c>
      <c r="J25" t="s">
        <v>152</v>
      </c>
      <c r="Q25">
        <v>0</v>
      </c>
      <c r="R25">
        <v>0</v>
      </c>
      <c r="U25" s="61" t="s">
        <v>831</v>
      </c>
      <c r="V25" t="s">
        <v>979</v>
      </c>
    </row>
    <row r="26" spans="1:22" x14ac:dyDescent="0.2">
      <c r="A26" t="s">
        <v>880</v>
      </c>
      <c r="B26" t="s">
        <v>1102</v>
      </c>
      <c r="C26">
        <v>492</v>
      </c>
      <c r="D26" t="s">
        <v>1051</v>
      </c>
      <c r="E26" t="s">
        <v>959</v>
      </c>
      <c r="F26">
        <v>25</v>
      </c>
      <c r="G26" t="s">
        <v>1054</v>
      </c>
      <c r="H26" t="s">
        <v>832</v>
      </c>
      <c r="I26" t="s">
        <v>872</v>
      </c>
      <c r="J26" t="s">
        <v>151</v>
      </c>
      <c r="Q26">
        <v>0</v>
      </c>
      <c r="R26">
        <v>0</v>
      </c>
      <c r="U26" s="61" t="s">
        <v>831</v>
      </c>
      <c r="V26" t="s">
        <v>979</v>
      </c>
    </row>
    <row r="27" spans="1:22" x14ac:dyDescent="0.2">
      <c r="A27" t="s">
        <v>880</v>
      </c>
      <c r="B27" t="s">
        <v>1103</v>
      </c>
      <c r="C27">
        <v>493</v>
      </c>
      <c r="D27" t="s">
        <v>1051</v>
      </c>
      <c r="E27" t="s">
        <v>959</v>
      </c>
      <c r="F27">
        <v>26</v>
      </c>
      <c r="G27" t="s">
        <v>1054</v>
      </c>
      <c r="H27" t="s">
        <v>832</v>
      </c>
      <c r="I27" t="s">
        <v>873</v>
      </c>
      <c r="J27" t="s">
        <v>179</v>
      </c>
      <c r="Q27">
        <v>0</v>
      </c>
      <c r="R27">
        <v>0</v>
      </c>
      <c r="U27" s="61" t="s">
        <v>831</v>
      </c>
      <c r="V27" t="s">
        <v>979</v>
      </c>
    </row>
    <row r="28" spans="1:22" x14ac:dyDescent="0.2">
      <c r="A28" t="s">
        <v>880</v>
      </c>
      <c r="B28" t="s">
        <v>1104</v>
      </c>
      <c r="C28">
        <v>494</v>
      </c>
      <c r="D28" t="s">
        <v>1051</v>
      </c>
      <c r="E28" t="s">
        <v>959</v>
      </c>
      <c r="F28">
        <v>27</v>
      </c>
      <c r="G28" t="s">
        <v>1054</v>
      </c>
      <c r="H28" t="s">
        <v>832</v>
      </c>
      <c r="I28" t="s">
        <v>874</v>
      </c>
      <c r="J28" t="s">
        <v>179</v>
      </c>
      <c r="Q28">
        <v>0</v>
      </c>
      <c r="R28">
        <v>0</v>
      </c>
      <c r="U28" s="61" t="s">
        <v>831</v>
      </c>
      <c r="V28" t="s">
        <v>979</v>
      </c>
    </row>
    <row r="29" spans="1:22" x14ac:dyDescent="0.2">
      <c r="A29" t="s">
        <v>880</v>
      </c>
      <c r="B29" t="s">
        <v>1105</v>
      </c>
      <c r="C29">
        <v>495</v>
      </c>
      <c r="D29" t="s">
        <v>1051</v>
      </c>
      <c r="E29" t="s">
        <v>959</v>
      </c>
      <c r="F29">
        <v>28</v>
      </c>
      <c r="G29" t="s">
        <v>1054</v>
      </c>
      <c r="H29" t="s">
        <v>832</v>
      </c>
      <c r="I29" t="s">
        <v>875</v>
      </c>
      <c r="J29" t="s">
        <v>179</v>
      </c>
      <c r="Q29">
        <v>0</v>
      </c>
      <c r="R29">
        <v>0</v>
      </c>
      <c r="U29" s="61" t="s">
        <v>831</v>
      </c>
      <c r="V29" t="s">
        <v>979</v>
      </c>
    </row>
    <row r="30" spans="1:22" x14ac:dyDescent="0.2">
      <c r="A30" t="s">
        <v>880</v>
      </c>
      <c r="B30" t="s">
        <v>1106</v>
      </c>
      <c r="C30">
        <v>502</v>
      </c>
      <c r="D30" t="s">
        <v>1051</v>
      </c>
      <c r="E30" t="s">
        <v>960</v>
      </c>
      <c r="F30">
        <v>3</v>
      </c>
      <c r="G30" t="s">
        <v>1055</v>
      </c>
      <c r="H30" t="s">
        <v>851</v>
      </c>
      <c r="I30" t="s">
        <v>856</v>
      </c>
      <c r="J30" t="s">
        <v>147</v>
      </c>
      <c r="K30">
        <v>1</v>
      </c>
      <c r="Q30">
        <v>0</v>
      </c>
      <c r="R30">
        <v>0</v>
      </c>
      <c r="U30" s="61" t="s">
        <v>831</v>
      </c>
      <c r="V30" t="s">
        <v>980</v>
      </c>
    </row>
    <row r="31" spans="1:22" x14ac:dyDescent="0.2">
      <c r="A31" t="s">
        <v>880</v>
      </c>
      <c r="B31" t="s">
        <v>1107</v>
      </c>
      <c r="C31">
        <v>503</v>
      </c>
      <c r="D31" t="s">
        <v>1051</v>
      </c>
      <c r="E31" t="s">
        <v>960</v>
      </c>
      <c r="F31">
        <v>4</v>
      </c>
      <c r="G31" t="s">
        <v>1055</v>
      </c>
      <c r="H31" t="s">
        <v>851</v>
      </c>
      <c r="I31" t="s">
        <v>857</v>
      </c>
      <c r="J31" t="s">
        <v>147</v>
      </c>
      <c r="K31">
        <v>1</v>
      </c>
      <c r="Q31">
        <v>0</v>
      </c>
      <c r="R31">
        <v>0</v>
      </c>
      <c r="U31" s="61" t="s">
        <v>831</v>
      </c>
      <c r="V31" t="s">
        <v>980</v>
      </c>
    </row>
    <row r="32" spans="1:22" x14ac:dyDescent="0.2">
      <c r="A32" t="s">
        <v>880</v>
      </c>
      <c r="B32" t="s">
        <v>1108</v>
      </c>
      <c r="C32">
        <v>504</v>
      </c>
      <c r="D32" t="s">
        <v>1051</v>
      </c>
      <c r="E32" t="s">
        <v>960</v>
      </c>
      <c r="F32">
        <v>5</v>
      </c>
      <c r="G32" t="s">
        <v>1055</v>
      </c>
      <c r="H32" t="s">
        <v>851</v>
      </c>
      <c r="I32" t="s">
        <v>858</v>
      </c>
      <c r="J32" t="s">
        <v>147</v>
      </c>
      <c r="K32">
        <v>1</v>
      </c>
      <c r="Q32">
        <v>0</v>
      </c>
      <c r="R32">
        <v>0</v>
      </c>
      <c r="U32" s="61" t="s">
        <v>831</v>
      </c>
      <c r="V32" t="s">
        <v>980</v>
      </c>
    </row>
    <row r="33" spans="1:22" x14ac:dyDescent="0.2">
      <c r="A33" t="s">
        <v>880</v>
      </c>
      <c r="B33" t="s">
        <v>1109</v>
      </c>
      <c r="C33">
        <v>505</v>
      </c>
      <c r="D33" t="s">
        <v>1051</v>
      </c>
      <c r="E33" t="s">
        <v>960</v>
      </c>
      <c r="F33">
        <v>6</v>
      </c>
      <c r="G33" t="s">
        <v>1055</v>
      </c>
      <c r="H33" t="s">
        <v>851</v>
      </c>
      <c r="I33" t="s">
        <v>859</v>
      </c>
      <c r="J33" t="s">
        <v>147</v>
      </c>
      <c r="K33">
        <v>1</v>
      </c>
      <c r="Q33">
        <v>0</v>
      </c>
      <c r="R33">
        <v>0</v>
      </c>
      <c r="U33" s="61" t="s">
        <v>831</v>
      </c>
      <c r="V33" t="s">
        <v>980</v>
      </c>
    </row>
    <row r="34" spans="1:22" x14ac:dyDescent="0.2">
      <c r="A34" t="s">
        <v>880</v>
      </c>
      <c r="B34" t="s">
        <v>1110</v>
      </c>
      <c r="C34">
        <v>506</v>
      </c>
      <c r="D34" t="s">
        <v>1051</v>
      </c>
      <c r="E34" t="s">
        <v>960</v>
      </c>
      <c r="F34">
        <v>7</v>
      </c>
      <c r="G34" t="s">
        <v>1055</v>
      </c>
      <c r="H34" t="s">
        <v>851</v>
      </c>
      <c r="I34" t="s">
        <v>860</v>
      </c>
      <c r="J34" t="s">
        <v>151</v>
      </c>
      <c r="K34">
        <v>1</v>
      </c>
      <c r="Q34">
        <v>0</v>
      </c>
      <c r="R34">
        <v>0</v>
      </c>
      <c r="U34" s="61" t="s">
        <v>831</v>
      </c>
      <c r="V34" t="s">
        <v>980</v>
      </c>
    </row>
    <row r="35" spans="1:22" x14ac:dyDescent="0.2">
      <c r="A35" t="s">
        <v>880</v>
      </c>
      <c r="B35" t="s">
        <v>1111</v>
      </c>
      <c r="C35">
        <v>507</v>
      </c>
      <c r="D35" t="s">
        <v>1051</v>
      </c>
      <c r="E35" t="s">
        <v>960</v>
      </c>
      <c r="F35">
        <v>8</v>
      </c>
      <c r="G35" t="s">
        <v>1055</v>
      </c>
      <c r="H35" t="s">
        <v>851</v>
      </c>
      <c r="I35" t="s">
        <v>861</v>
      </c>
      <c r="J35" t="s">
        <v>179</v>
      </c>
      <c r="Q35">
        <v>0</v>
      </c>
      <c r="R35">
        <v>0</v>
      </c>
      <c r="U35" s="61" t="s">
        <v>831</v>
      </c>
      <c r="V35" t="s">
        <v>980</v>
      </c>
    </row>
    <row r="36" spans="1:22" x14ac:dyDescent="0.2">
      <c r="A36" t="s">
        <v>880</v>
      </c>
      <c r="B36" t="s">
        <v>1112</v>
      </c>
      <c r="C36">
        <v>508</v>
      </c>
      <c r="D36" t="s">
        <v>1051</v>
      </c>
      <c r="E36" t="s">
        <v>960</v>
      </c>
      <c r="F36">
        <v>9</v>
      </c>
      <c r="G36" t="s">
        <v>1055</v>
      </c>
      <c r="H36" t="s">
        <v>851</v>
      </c>
      <c r="I36" t="s">
        <v>1009</v>
      </c>
      <c r="J36" t="s">
        <v>179</v>
      </c>
      <c r="Q36">
        <v>0</v>
      </c>
      <c r="R36">
        <v>0</v>
      </c>
      <c r="U36" s="61" t="s">
        <v>831</v>
      </c>
      <c r="V36" t="s">
        <v>980</v>
      </c>
    </row>
    <row r="37" spans="1:22" x14ac:dyDescent="0.2">
      <c r="A37" t="s">
        <v>880</v>
      </c>
      <c r="B37" t="s">
        <v>1113</v>
      </c>
      <c r="C37">
        <v>509</v>
      </c>
      <c r="D37" t="s">
        <v>1051</v>
      </c>
      <c r="E37" t="s">
        <v>960</v>
      </c>
      <c r="F37">
        <v>10</v>
      </c>
      <c r="G37" t="s">
        <v>1055</v>
      </c>
      <c r="H37" t="s">
        <v>851</v>
      </c>
      <c r="I37" t="s">
        <v>862</v>
      </c>
      <c r="J37" t="s">
        <v>152</v>
      </c>
      <c r="K37">
        <v>1</v>
      </c>
      <c r="Q37">
        <v>0</v>
      </c>
      <c r="R37">
        <v>0</v>
      </c>
      <c r="U37" s="61" t="s">
        <v>831</v>
      </c>
      <c r="V37" t="s">
        <v>980</v>
      </c>
    </row>
    <row r="38" spans="1:22" x14ac:dyDescent="0.2">
      <c r="A38" t="s">
        <v>880</v>
      </c>
      <c r="B38" t="s">
        <v>1114</v>
      </c>
      <c r="C38">
        <v>510</v>
      </c>
      <c r="D38" t="s">
        <v>1051</v>
      </c>
      <c r="E38" t="s">
        <v>960</v>
      </c>
      <c r="F38">
        <v>11</v>
      </c>
      <c r="G38" t="s">
        <v>1055</v>
      </c>
      <c r="H38" t="s">
        <v>851</v>
      </c>
      <c r="I38" t="s">
        <v>863</v>
      </c>
      <c r="J38" t="s">
        <v>149</v>
      </c>
      <c r="K38">
        <v>1</v>
      </c>
      <c r="Q38">
        <v>0</v>
      </c>
      <c r="R38">
        <v>0</v>
      </c>
      <c r="U38" s="61" t="s">
        <v>831</v>
      </c>
      <c r="V38" t="s">
        <v>980</v>
      </c>
    </row>
    <row r="39" spans="1:22" x14ac:dyDescent="0.2">
      <c r="A39" t="s">
        <v>880</v>
      </c>
      <c r="B39" t="s">
        <v>1115</v>
      </c>
      <c r="C39">
        <v>511</v>
      </c>
      <c r="D39" t="s">
        <v>1051</v>
      </c>
      <c r="E39" t="s">
        <v>960</v>
      </c>
      <c r="F39">
        <v>12</v>
      </c>
      <c r="G39" t="s">
        <v>1055</v>
      </c>
      <c r="H39" t="s">
        <v>851</v>
      </c>
      <c r="I39" t="s">
        <v>864</v>
      </c>
      <c r="J39" t="s">
        <v>147</v>
      </c>
      <c r="K39">
        <v>1</v>
      </c>
      <c r="Q39">
        <v>0</v>
      </c>
      <c r="R39">
        <v>0</v>
      </c>
      <c r="U39" s="61" t="s">
        <v>831</v>
      </c>
      <c r="V39" t="s">
        <v>980</v>
      </c>
    </row>
    <row r="40" spans="1:22" x14ac:dyDescent="0.2">
      <c r="A40" t="s">
        <v>880</v>
      </c>
      <c r="B40" t="s">
        <v>1116</v>
      </c>
      <c r="C40">
        <v>512</v>
      </c>
      <c r="D40" t="s">
        <v>1051</v>
      </c>
      <c r="E40" t="s">
        <v>960</v>
      </c>
      <c r="F40">
        <v>13</v>
      </c>
      <c r="G40" t="s">
        <v>1055</v>
      </c>
      <c r="H40" t="s">
        <v>851</v>
      </c>
      <c r="I40" t="s">
        <v>870</v>
      </c>
      <c r="J40" t="s">
        <v>147</v>
      </c>
      <c r="K40">
        <v>1</v>
      </c>
      <c r="Q40">
        <v>0</v>
      </c>
      <c r="R40">
        <v>0</v>
      </c>
      <c r="U40" s="61" t="s">
        <v>831</v>
      </c>
      <c r="V40" t="s">
        <v>980</v>
      </c>
    </row>
    <row r="41" spans="1:22" x14ac:dyDescent="0.2">
      <c r="A41" t="s">
        <v>880</v>
      </c>
      <c r="B41" t="s">
        <v>1117</v>
      </c>
      <c r="C41">
        <v>513</v>
      </c>
      <c r="D41" t="s">
        <v>1051</v>
      </c>
      <c r="E41" t="s">
        <v>960</v>
      </c>
      <c r="F41">
        <v>14</v>
      </c>
      <c r="G41" t="s">
        <v>1055</v>
      </c>
      <c r="H41" t="s">
        <v>851</v>
      </c>
      <c r="I41" t="s">
        <v>865</v>
      </c>
      <c r="J41" t="s">
        <v>149</v>
      </c>
      <c r="Q41">
        <v>0</v>
      </c>
      <c r="R41">
        <v>0</v>
      </c>
      <c r="U41" s="61" t="s">
        <v>831</v>
      </c>
      <c r="V41" t="s">
        <v>980</v>
      </c>
    </row>
    <row r="42" spans="1:22" x14ac:dyDescent="0.2">
      <c r="A42" t="s">
        <v>880</v>
      </c>
      <c r="B42" t="s">
        <v>1118</v>
      </c>
      <c r="C42">
        <v>514</v>
      </c>
      <c r="D42" t="s">
        <v>1051</v>
      </c>
      <c r="E42" t="s">
        <v>960</v>
      </c>
      <c r="F42">
        <v>15</v>
      </c>
      <c r="G42" t="s">
        <v>1055</v>
      </c>
      <c r="H42" t="s">
        <v>851</v>
      </c>
      <c r="I42" t="s">
        <v>866</v>
      </c>
      <c r="J42" t="s">
        <v>152</v>
      </c>
      <c r="Q42">
        <v>0</v>
      </c>
      <c r="R42">
        <v>0</v>
      </c>
      <c r="U42" s="61" t="s">
        <v>831</v>
      </c>
      <c r="V42" t="s">
        <v>980</v>
      </c>
    </row>
    <row r="43" spans="1:22" x14ac:dyDescent="0.2">
      <c r="A43" t="s">
        <v>880</v>
      </c>
      <c r="B43" t="s">
        <v>1119</v>
      </c>
      <c r="C43">
        <v>515</v>
      </c>
      <c r="D43" t="s">
        <v>1051</v>
      </c>
      <c r="E43" t="s">
        <v>960</v>
      </c>
      <c r="F43">
        <v>16</v>
      </c>
      <c r="G43" t="s">
        <v>1055</v>
      </c>
      <c r="H43" t="s">
        <v>851</v>
      </c>
      <c r="I43" t="s">
        <v>867</v>
      </c>
      <c r="J43" t="s">
        <v>179</v>
      </c>
      <c r="Q43">
        <v>0</v>
      </c>
      <c r="R43">
        <v>0</v>
      </c>
      <c r="U43" s="61" t="s">
        <v>831</v>
      </c>
      <c r="V43" t="s">
        <v>980</v>
      </c>
    </row>
    <row r="44" spans="1:22" x14ac:dyDescent="0.2">
      <c r="A44" t="s">
        <v>880</v>
      </c>
      <c r="B44" t="s">
        <v>1120</v>
      </c>
      <c r="C44">
        <v>516</v>
      </c>
      <c r="D44" t="s">
        <v>1051</v>
      </c>
      <c r="E44" t="s">
        <v>960</v>
      </c>
      <c r="F44">
        <v>17</v>
      </c>
      <c r="G44" t="s">
        <v>1055</v>
      </c>
      <c r="H44" t="s">
        <v>851</v>
      </c>
      <c r="I44" t="s">
        <v>868</v>
      </c>
      <c r="J44" t="s">
        <v>151</v>
      </c>
      <c r="Q44">
        <v>0</v>
      </c>
      <c r="R44">
        <v>0</v>
      </c>
      <c r="U44" s="61" t="s">
        <v>831</v>
      </c>
      <c r="V44" t="s">
        <v>980</v>
      </c>
    </row>
    <row r="45" spans="1:22" x14ac:dyDescent="0.2">
      <c r="A45" t="s">
        <v>880</v>
      </c>
      <c r="B45" t="s">
        <v>1121</v>
      </c>
      <c r="C45">
        <v>517</v>
      </c>
      <c r="D45" t="s">
        <v>1051</v>
      </c>
      <c r="E45" t="s">
        <v>960</v>
      </c>
      <c r="F45">
        <v>18</v>
      </c>
      <c r="G45" t="s">
        <v>1055</v>
      </c>
      <c r="H45" t="s">
        <v>851</v>
      </c>
      <c r="I45" t="s">
        <v>869</v>
      </c>
      <c r="J45" t="s">
        <v>151</v>
      </c>
      <c r="Q45">
        <v>0</v>
      </c>
      <c r="R45">
        <v>0</v>
      </c>
      <c r="U45" s="61" t="s">
        <v>831</v>
      </c>
      <c r="V45" t="s">
        <v>980</v>
      </c>
    </row>
    <row r="46" spans="1:22" x14ac:dyDescent="0.2">
      <c r="A46" t="s">
        <v>880</v>
      </c>
      <c r="B46" t="s">
        <v>1122</v>
      </c>
      <c r="C46">
        <v>518</v>
      </c>
      <c r="D46" t="s">
        <v>1051</v>
      </c>
      <c r="E46" t="s">
        <v>961</v>
      </c>
      <c r="F46">
        <v>1</v>
      </c>
      <c r="G46" t="s">
        <v>1056</v>
      </c>
      <c r="H46" t="s">
        <v>879</v>
      </c>
      <c r="I46" t="s">
        <v>881</v>
      </c>
      <c r="J46" t="s">
        <v>147</v>
      </c>
      <c r="Q46">
        <v>0</v>
      </c>
      <c r="R46">
        <v>0</v>
      </c>
      <c r="U46" s="61" t="s">
        <v>831</v>
      </c>
      <c r="V46" t="s">
        <v>981</v>
      </c>
    </row>
    <row r="47" spans="1:22" x14ac:dyDescent="0.2">
      <c r="A47" t="s">
        <v>880</v>
      </c>
      <c r="B47" t="s">
        <v>1123</v>
      </c>
      <c r="C47">
        <v>519</v>
      </c>
      <c r="D47" t="s">
        <v>1051</v>
      </c>
      <c r="E47" t="s">
        <v>961</v>
      </c>
      <c r="F47">
        <v>2</v>
      </c>
      <c r="G47" t="s">
        <v>1056</v>
      </c>
      <c r="H47" t="s">
        <v>879</v>
      </c>
      <c r="I47" t="s">
        <v>882</v>
      </c>
      <c r="J47" t="s">
        <v>152</v>
      </c>
      <c r="K47">
        <v>1</v>
      </c>
      <c r="Q47">
        <v>0</v>
      </c>
      <c r="R47">
        <v>0</v>
      </c>
      <c r="U47" s="61" t="s">
        <v>831</v>
      </c>
      <c r="V47" t="s">
        <v>981</v>
      </c>
    </row>
    <row r="48" spans="1:22" x14ac:dyDescent="0.2">
      <c r="A48" t="s">
        <v>880</v>
      </c>
      <c r="B48" t="s">
        <v>1124</v>
      </c>
      <c r="C48">
        <v>520</v>
      </c>
      <c r="D48" t="s">
        <v>1051</v>
      </c>
      <c r="E48" t="s">
        <v>961</v>
      </c>
      <c r="F48">
        <v>3</v>
      </c>
      <c r="G48" t="s">
        <v>1056</v>
      </c>
      <c r="H48" t="s">
        <v>879</v>
      </c>
      <c r="I48" t="s">
        <v>883</v>
      </c>
      <c r="J48" t="s">
        <v>149</v>
      </c>
      <c r="K48">
        <v>1</v>
      </c>
      <c r="Q48">
        <v>0</v>
      </c>
      <c r="R48">
        <v>0</v>
      </c>
      <c r="U48" s="61" t="s">
        <v>831</v>
      </c>
      <c r="V48" t="s">
        <v>981</v>
      </c>
    </row>
    <row r="49" spans="1:22" x14ac:dyDescent="0.2">
      <c r="A49" t="s">
        <v>880</v>
      </c>
      <c r="B49" t="s">
        <v>1125</v>
      </c>
      <c r="C49">
        <v>521</v>
      </c>
      <c r="D49" t="s">
        <v>1051</v>
      </c>
      <c r="E49" t="s">
        <v>961</v>
      </c>
      <c r="F49">
        <v>4</v>
      </c>
      <c r="G49" t="s">
        <v>1056</v>
      </c>
      <c r="H49" t="s">
        <v>879</v>
      </c>
      <c r="I49" t="s">
        <v>1010</v>
      </c>
      <c r="J49" t="s">
        <v>179</v>
      </c>
      <c r="Q49">
        <v>0</v>
      </c>
      <c r="R49">
        <v>0</v>
      </c>
      <c r="U49" s="61" t="s">
        <v>831</v>
      </c>
      <c r="V49" t="s">
        <v>981</v>
      </c>
    </row>
    <row r="50" spans="1:22" x14ac:dyDescent="0.2">
      <c r="A50" t="s">
        <v>880</v>
      </c>
      <c r="B50" t="s">
        <v>1126</v>
      </c>
      <c r="C50">
        <v>522</v>
      </c>
      <c r="D50" t="s">
        <v>1051</v>
      </c>
      <c r="E50" t="s">
        <v>961</v>
      </c>
      <c r="F50">
        <v>5</v>
      </c>
      <c r="G50" t="s">
        <v>1056</v>
      </c>
      <c r="H50" t="s">
        <v>879</v>
      </c>
      <c r="I50" t="s">
        <v>884</v>
      </c>
      <c r="J50" t="s">
        <v>151</v>
      </c>
      <c r="Q50">
        <v>0</v>
      </c>
      <c r="R50">
        <v>0</v>
      </c>
      <c r="U50" s="61" t="s">
        <v>831</v>
      </c>
      <c r="V50" t="s">
        <v>981</v>
      </c>
    </row>
    <row r="51" spans="1:22" x14ac:dyDescent="0.2">
      <c r="A51" t="s">
        <v>880</v>
      </c>
      <c r="B51" t="s">
        <v>1127</v>
      </c>
      <c r="C51">
        <v>523</v>
      </c>
      <c r="D51" t="s">
        <v>1051</v>
      </c>
      <c r="E51" t="s">
        <v>961</v>
      </c>
      <c r="F51">
        <v>6</v>
      </c>
      <c r="G51" t="s">
        <v>1056</v>
      </c>
      <c r="H51" t="s">
        <v>879</v>
      </c>
      <c r="I51" t="s">
        <v>1011</v>
      </c>
      <c r="J51" t="s">
        <v>151</v>
      </c>
      <c r="Q51">
        <v>0</v>
      </c>
      <c r="R51">
        <v>0</v>
      </c>
      <c r="U51" s="61" t="s">
        <v>831</v>
      </c>
      <c r="V51" t="s">
        <v>981</v>
      </c>
    </row>
    <row r="52" spans="1:22" x14ac:dyDescent="0.2">
      <c r="A52" t="s">
        <v>880</v>
      </c>
      <c r="B52" t="s">
        <v>1128</v>
      </c>
      <c r="C52">
        <v>524</v>
      </c>
      <c r="D52" t="s">
        <v>1051</v>
      </c>
      <c r="E52" t="s">
        <v>961</v>
      </c>
      <c r="F52">
        <v>7</v>
      </c>
      <c r="G52" t="s">
        <v>1056</v>
      </c>
      <c r="H52" t="s">
        <v>879</v>
      </c>
      <c r="I52" t="s">
        <v>885</v>
      </c>
      <c r="J52" t="s">
        <v>152</v>
      </c>
      <c r="K52">
        <v>1</v>
      </c>
      <c r="Q52">
        <v>0</v>
      </c>
      <c r="R52">
        <v>0</v>
      </c>
      <c r="U52" s="61" t="s">
        <v>831</v>
      </c>
      <c r="V52" t="s">
        <v>981</v>
      </c>
    </row>
    <row r="53" spans="1:22" x14ac:dyDescent="0.2">
      <c r="A53" t="s">
        <v>880</v>
      </c>
      <c r="B53" t="s">
        <v>1129</v>
      </c>
      <c r="C53">
        <v>525</v>
      </c>
      <c r="D53" t="s">
        <v>1051</v>
      </c>
      <c r="E53" t="s">
        <v>961</v>
      </c>
      <c r="F53">
        <v>8</v>
      </c>
      <c r="G53" t="s">
        <v>1056</v>
      </c>
      <c r="H53" t="s">
        <v>879</v>
      </c>
      <c r="I53" t="s">
        <v>886</v>
      </c>
      <c r="J53" t="s">
        <v>147</v>
      </c>
      <c r="Q53">
        <v>0</v>
      </c>
      <c r="R53">
        <v>0</v>
      </c>
      <c r="U53" s="61" t="s">
        <v>831</v>
      </c>
      <c r="V53" t="s">
        <v>981</v>
      </c>
    </row>
    <row r="54" spans="1:22" x14ac:dyDescent="0.2">
      <c r="A54" t="s">
        <v>880</v>
      </c>
      <c r="B54" t="s">
        <v>1130</v>
      </c>
      <c r="C54">
        <v>526</v>
      </c>
      <c r="D54" t="s">
        <v>1051</v>
      </c>
      <c r="E54" t="s">
        <v>961</v>
      </c>
      <c r="F54">
        <v>9</v>
      </c>
      <c r="G54" t="s">
        <v>1056</v>
      </c>
      <c r="H54" t="s">
        <v>879</v>
      </c>
      <c r="I54" t="s">
        <v>887</v>
      </c>
      <c r="J54" t="s">
        <v>149</v>
      </c>
      <c r="Q54">
        <v>0</v>
      </c>
      <c r="R54">
        <v>0</v>
      </c>
      <c r="U54" s="61" t="s">
        <v>831</v>
      </c>
      <c r="V54" t="s">
        <v>981</v>
      </c>
    </row>
    <row r="55" spans="1:22" x14ac:dyDescent="0.2">
      <c r="A55" t="s">
        <v>880</v>
      </c>
      <c r="B55" t="s">
        <v>1131</v>
      </c>
      <c r="C55">
        <v>527</v>
      </c>
      <c r="D55" t="s">
        <v>1051</v>
      </c>
      <c r="E55" t="s">
        <v>961</v>
      </c>
      <c r="F55">
        <v>10</v>
      </c>
      <c r="G55" t="s">
        <v>1056</v>
      </c>
      <c r="H55" t="s">
        <v>879</v>
      </c>
      <c r="I55" t="s">
        <v>888</v>
      </c>
      <c r="J55" t="s">
        <v>152</v>
      </c>
      <c r="Q55">
        <v>0</v>
      </c>
      <c r="R55">
        <v>0</v>
      </c>
      <c r="U55" s="61" t="s">
        <v>831</v>
      </c>
      <c r="V55" t="s">
        <v>981</v>
      </c>
    </row>
    <row r="56" spans="1:22" x14ac:dyDescent="0.2">
      <c r="A56" t="s">
        <v>880</v>
      </c>
      <c r="B56" t="s">
        <v>1132</v>
      </c>
      <c r="C56">
        <v>528</v>
      </c>
      <c r="D56" t="s">
        <v>1051</v>
      </c>
      <c r="E56" t="s">
        <v>961</v>
      </c>
      <c r="F56">
        <v>11</v>
      </c>
      <c r="G56" t="s">
        <v>1056</v>
      </c>
      <c r="H56" t="s">
        <v>879</v>
      </c>
      <c r="I56" t="s">
        <v>1012</v>
      </c>
      <c r="J56" t="s">
        <v>179</v>
      </c>
      <c r="Q56">
        <v>0</v>
      </c>
      <c r="R56">
        <v>0</v>
      </c>
      <c r="U56" s="61" t="s">
        <v>831</v>
      </c>
      <c r="V56" t="s">
        <v>981</v>
      </c>
    </row>
    <row r="57" spans="1:22" x14ac:dyDescent="0.2">
      <c r="A57" t="s">
        <v>880</v>
      </c>
      <c r="B57" t="s">
        <v>1133</v>
      </c>
      <c r="C57">
        <v>529</v>
      </c>
      <c r="D57" t="s">
        <v>1051</v>
      </c>
      <c r="E57" t="s">
        <v>961</v>
      </c>
      <c r="F57">
        <v>12</v>
      </c>
      <c r="G57" t="s">
        <v>1056</v>
      </c>
      <c r="H57" t="s">
        <v>879</v>
      </c>
      <c r="I57" t="s">
        <v>1013</v>
      </c>
      <c r="J57" t="s">
        <v>179</v>
      </c>
      <c r="Q57">
        <v>0</v>
      </c>
      <c r="R57">
        <v>0</v>
      </c>
      <c r="U57" s="61" t="s">
        <v>831</v>
      </c>
      <c r="V57" t="s">
        <v>981</v>
      </c>
    </row>
    <row r="58" spans="1:22" x14ac:dyDescent="0.2">
      <c r="A58" t="s">
        <v>880</v>
      </c>
      <c r="B58" t="s">
        <v>1134</v>
      </c>
      <c r="C58">
        <v>530</v>
      </c>
      <c r="D58" t="s">
        <v>1051</v>
      </c>
      <c r="E58" t="s">
        <v>961</v>
      </c>
      <c r="F58">
        <v>13</v>
      </c>
      <c r="G58" t="s">
        <v>1056</v>
      </c>
      <c r="H58" t="s">
        <v>879</v>
      </c>
      <c r="I58" t="s">
        <v>1014</v>
      </c>
      <c r="J58" t="s">
        <v>179</v>
      </c>
      <c r="Q58">
        <v>0</v>
      </c>
      <c r="R58">
        <v>0</v>
      </c>
      <c r="U58" s="61" t="s">
        <v>831</v>
      </c>
      <c r="V58" t="s">
        <v>981</v>
      </c>
    </row>
    <row r="59" spans="1:22" x14ac:dyDescent="0.2">
      <c r="A59" t="s">
        <v>880</v>
      </c>
      <c r="B59" t="s">
        <v>1135</v>
      </c>
      <c r="C59">
        <v>531</v>
      </c>
      <c r="D59" t="s">
        <v>1051</v>
      </c>
      <c r="E59" t="s">
        <v>961</v>
      </c>
      <c r="F59">
        <v>14</v>
      </c>
      <c r="G59" t="s">
        <v>1056</v>
      </c>
      <c r="H59" t="s">
        <v>879</v>
      </c>
      <c r="I59" t="s">
        <v>889</v>
      </c>
      <c r="J59" t="s">
        <v>149</v>
      </c>
      <c r="Q59">
        <v>0</v>
      </c>
      <c r="R59">
        <v>0</v>
      </c>
      <c r="U59" s="61" t="s">
        <v>831</v>
      </c>
      <c r="V59" t="s">
        <v>981</v>
      </c>
    </row>
    <row r="60" spans="1:22" x14ac:dyDescent="0.2">
      <c r="A60" t="s">
        <v>880</v>
      </c>
      <c r="B60" t="s">
        <v>1136</v>
      </c>
      <c r="C60">
        <v>532</v>
      </c>
      <c r="D60" t="s">
        <v>1051</v>
      </c>
      <c r="E60" t="s">
        <v>961</v>
      </c>
      <c r="F60">
        <v>15</v>
      </c>
      <c r="G60" t="s">
        <v>1056</v>
      </c>
      <c r="H60" t="s">
        <v>879</v>
      </c>
      <c r="I60" t="s">
        <v>890</v>
      </c>
      <c r="J60" t="s">
        <v>151</v>
      </c>
      <c r="K60">
        <v>1</v>
      </c>
      <c r="Q60">
        <v>0</v>
      </c>
      <c r="R60">
        <v>0</v>
      </c>
      <c r="U60" s="61" t="s">
        <v>831</v>
      </c>
      <c r="V60" t="s">
        <v>981</v>
      </c>
    </row>
    <row r="61" spans="1:22" x14ac:dyDescent="0.2">
      <c r="A61" t="s">
        <v>880</v>
      </c>
      <c r="B61" t="s">
        <v>1137</v>
      </c>
      <c r="C61">
        <v>533</v>
      </c>
      <c r="D61" t="s">
        <v>1051</v>
      </c>
      <c r="E61" t="s">
        <v>961</v>
      </c>
      <c r="F61">
        <v>16</v>
      </c>
      <c r="G61" t="s">
        <v>1056</v>
      </c>
      <c r="H61" t="s">
        <v>879</v>
      </c>
      <c r="I61" t="s">
        <v>891</v>
      </c>
      <c r="J61" t="s">
        <v>148</v>
      </c>
      <c r="Q61">
        <v>0</v>
      </c>
      <c r="R61">
        <v>0</v>
      </c>
      <c r="U61" s="61" t="s">
        <v>831</v>
      </c>
      <c r="V61" t="s">
        <v>981</v>
      </c>
    </row>
    <row r="62" spans="1:22" x14ac:dyDescent="0.2">
      <c r="A62" t="s">
        <v>880</v>
      </c>
      <c r="B62" t="s">
        <v>1138</v>
      </c>
      <c r="C62">
        <v>534</v>
      </c>
      <c r="D62" t="s">
        <v>1051</v>
      </c>
      <c r="E62" t="s">
        <v>961</v>
      </c>
      <c r="F62">
        <v>17</v>
      </c>
      <c r="G62" t="s">
        <v>1056</v>
      </c>
      <c r="H62" t="s">
        <v>879</v>
      </c>
      <c r="I62" t="s">
        <v>892</v>
      </c>
      <c r="J62" t="s">
        <v>152</v>
      </c>
      <c r="K62">
        <v>1</v>
      </c>
      <c r="Q62">
        <v>0</v>
      </c>
      <c r="R62">
        <v>0</v>
      </c>
      <c r="U62" s="61" t="s">
        <v>831</v>
      </c>
      <c r="V62" t="s">
        <v>981</v>
      </c>
    </row>
    <row r="63" spans="1:22" x14ac:dyDescent="0.2">
      <c r="A63" t="s">
        <v>880</v>
      </c>
      <c r="B63" t="s">
        <v>1139</v>
      </c>
      <c r="C63">
        <v>535</v>
      </c>
      <c r="D63" t="s">
        <v>1051</v>
      </c>
      <c r="E63" t="s">
        <v>961</v>
      </c>
      <c r="F63">
        <v>18</v>
      </c>
      <c r="G63" t="s">
        <v>1056</v>
      </c>
      <c r="H63" t="s">
        <v>879</v>
      </c>
      <c r="I63" t="s">
        <v>893</v>
      </c>
      <c r="J63" t="s">
        <v>151</v>
      </c>
      <c r="Q63">
        <v>0</v>
      </c>
      <c r="R63">
        <v>0</v>
      </c>
      <c r="U63" s="61" t="s">
        <v>831</v>
      </c>
      <c r="V63" t="s">
        <v>981</v>
      </c>
    </row>
    <row r="64" spans="1:22" x14ac:dyDescent="0.2">
      <c r="A64" t="s">
        <v>880</v>
      </c>
      <c r="B64" t="s">
        <v>1140</v>
      </c>
      <c r="C64">
        <v>536</v>
      </c>
      <c r="D64" t="s">
        <v>1051</v>
      </c>
      <c r="E64" t="s">
        <v>961</v>
      </c>
      <c r="F64">
        <v>19</v>
      </c>
      <c r="G64" t="s">
        <v>1056</v>
      </c>
      <c r="H64" t="s">
        <v>879</v>
      </c>
      <c r="I64" t="s">
        <v>894</v>
      </c>
      <c r="J64" t="s">
        <v>147</v>
      </c>
      <c r="Q64">
        <v>0</v>
      </c>
      <c r="R64">
        <v>0</v>
      </c>
      <c r="U64" s="61" t="s">
        <v>831</v>
      </c>
      <c r="V64" t="s">
        <v>981</v>
      </c>
    </row>
    <row r="65" spans="1:22" x14ac:dyDescent="0.2">
      <c r="A65" t="s">
        <v>880</v>
      </c>
      <c r="B65" t="s">
        <v>1141</v>
      </c>
      <c r="C65">
        <v>537</v>
      </c>
      <c r="D65" t="s">
        <v>1051</v>
      </c>
      <c r="E65" t="s">
        <v>961</v>
      </c>
      <c r="F65">
        <v>20</v>
      </c>
      <c r="G65" t="s">
        <v>1056</v>
      </c>
      <c r="H65" t="s">
        <v>879</v>
      </c>
      <c r="I65" t="s">
        <v>895</v>
      </c>
      <c r="J65" t="s">
        <v>151</v>
      </c>
      <c r="Q65">
        <v>0</v>
      </c>
      <c r="R65">
        <v>0</v>
      </c>
      <c r="U65" s="61" t="s">
        <v>831</v>
      </c>
      <c r="V65" t="s">
        <v>981</v>
      </c>
    </row>
    <row r="66" spans="1:22" x14ac:dyDescent="0.2">
      <c r="A66" t="s">
        <v>880</v>
      </c>
      <c r="B66" t="s">
        <v>1142</v>
      </c>
      <c r="C66">
        <v>538</v>
      </c>
      <c r="D66" t="s">
        <v>1051</v>
      </c>
      <c r="E66" t="s">
        <v>961</v>
      </c>
      <c r="F66">
        <v>21</v>
      </c>
      <c r="G66" t="s">
        <v>1056</v>
      </c>
      <c r="H66" t="s">
        <v>879</v>
      </c>
      <c r="I66" t="s">
        <v>896</v>
      </c>
      <c r="J66" t="s">
        <v>151</v>
      </c>
      <c r="Q66">
        <v>0</v>
      </c>
      <c r="R66">
        <v>0</v>
      </c>
      <c r="U66" s="61" t="s">
        <v>831</v>
      </c>
      <c r="V66" t="s">
        <v>981</v>
      </c>
    </row>
    <row r="67" spans="1:22" x14ac:dyDescent="0.2">
      <c r="A67" t="s">
        <v>880</v>
      </c>
      <c r="B67" t="s">
        <v>1143</v>
      </c>
      <c r="C67">
        <v>539</v>
      </c>
      <c r="D67" t="s">
        <v>1051</v>
      </c>
      <c r="E67" t="s">
        <v>961</v>
      </c>
      <c r="F67">
        <v>22</v>
      </c>
      <c r="G67" t="s">
        <v>1056</v>
      </c>
      <c r="H67" t="s">
        <v>879</v>
      </c>
      <c r="I67" t="s">
        <v>897</v>
      </c>
      <c r="J67" t="s">
        <v>151</v>
      </c>
      <c r="K67">
        <v>1</v>
      </c>
      <c r="Q67">
        <v>0</v>
      </c>
      <c r="R67">
        <v>0</v>
      </c>
      <c r="U67" s="61" t="s">
        <v>831</v>
      </c>
      <c r="V67" t="s">
        <v>981</v>
      </c>
    </row>
    <row r="68" spans="1:22" x14ac:dyDescent="0.2">
      <c r="A68" t="s">
        <v>880</v>
      </c>
      <c r="B68" t="s">
        <v>1144</v>
      </c>
      <c r="C68">
        <v>540</v>
      </c>
      <c r="D68" t="s">
        <v>1051</v>
      </c>
      <c r="E68" t="s">
        <v>961</v>
      </c>
      <c r="F68">
        <v>23</v>
      </c>
      <c r="G68" t="s">
        <v>1056</v>
      </c>
      <c r="H68" t="s">
        <v>879</v>
      </c>
      <c r="I68" t="s">
        <v>1016</v>
      </c>
      <c r="J68" t="s">
        <v>147</v>
      </c>
      <c r="Q68">
        <v>0</v>
      </c>
      <c r="R68">
        <v>0</v>
      </c>
      <c r="U68" s="61" t="s">
        <v>831</v>
      </c>
      <c r="V68" t="s">
        <v>981</v>
      </c>
    </row>
    <row r="69" spans="1:22" x14ac:dyDescent="0.2">
      <c r="A69" t="s">
        <v>880</v>
      </c>
      <c r="B69" t="s">
        <v>1145</v>
      </c>
      <c r="C69">
        <v>541</v>
      </c>
      <c r="D69" t="s">
        <v>1051</v>
      </c>
      <c r="E69" t="s">
        <v>961</v>
      </c>
      <c r="F69">
        <v>24</v>
      </c>
      <c r="G69" t="s">
        <v>1056</v>
      </c>
      <c r="H69" t="s">
        <v>879</v>
      </c>
      <c r="I69" t="s">
        <v>1015</v>
      </c>
      <c r="J69" t="s">
        <v>179</v>
      </c>
      <c r="Q69">
        <v>0</v>
      </c>
      <c r="R69">
        <v>0</v>
      </c>
      <c r="U69" s="61" t="s">
        <v>831</v>
      </c>
      <c r="V69" t="s">
        <v>981</v>
      </c>
    </row>
    <row r="70" spans="1:22" x14ac:dyDescent="0.2">
      <c r="A70" t="s">
        <v>880</v>
      </c>
      <c r="B70" t="s">
        <v>1146</v>
      </c>
      <c r="C70">
        <v>542</v>
      </c>
      <c r="D70" t="s">
        <v>1051</v>
      </c>
      <c r="E70" t="s">
        <v>961</v>
      </c>
      <c r="F70">
        <v>25</v>
      </c>
      <c r="G70" t="s">
        <v>1056</v>
      </c>
      <c r="H70" t="s">
        <v>879</v>
      </c>
      <c r="I70" t="s">
        <v>898</v>
      </c>
      <c r="J70" t="s">
        <v>151</v>
      </c>
      <c r="Q70">
        <v>0</v>
      </c>
      <c r="R70">
        <v>0</v>
      </c>
      <c r="U70" s="61" t="s">
        <v>831</v>
      </c>
      <c r="V70" t="s">
        <v>981</v>
      </c>
    </row>
    <row r="71" spans="1:22" x14ac:dyDescent="0.2">
      <c r="A71" t="s">
        <v>880</v>
      </c>
      <c r="B71" t="s">
        <v>1147</v>
      </c>
      <c r="C71">
        <v>543</v>
      </c>
      <c r="D71" t="s">
        <v>1051</v>
      </c>
      <c r="E71" t="s">
        <v>961</v>
      </c>
      <c r="F71">
        <v>26</v>
      </c>
      <c r="G71" t="s">
        <v>1056</v>
      </c>
      <c r="H71" t="s">
        <v>879</v>
      </c>
      <c r="I71" t="s">
        <v>899</v>
      </c>
      <c r="J71" t="s">
        <v>151</v>
      </c>
      <c r="Q71">
        <v>0</v>
      </c>
      <c r="R71">
        <v>0</v>
      </c>
      <c r="U71" s="61" t="s">
        <v>831</v>
      </c>
      <c r="V71" t="s">
        <v>981</v>
      </c>
    </row>
    <row r="72" spans="1:22" x14ac:dyDescent="0.2">
      <c r="A72" t="s">
        <v>880</v>
      </c>
      <c r="B72" t="s">
        <v>1148</v>
      </c>
      <c r="C72">
        <v>570</v>
      </c>
      <c r="D72" t="s">
        <v>1051</v>
      </c>
      <c r="E72" t="s">
        <v>962</v>
      </c>
      <c r="F72">
        <v>1</v>
      </c>
      <c r="G72" t="s">
        <v>1057</v>
      </c>
      <c r="H72" t="s">
        <v>936</v>
      </c>
      <c r="I72" t="s">
        <v>937</v>
      </c>
      <c r="J72" t="s">
        <v>152</v>
      </c>
      <c r="Q72">
        <v>0</v>
      </c>
      <c r="R72">
        <v>0</v>
      </c>
      <c r="U72" s="61" t="s">
        <v>935</v>
      </c>
      <c r="V72" t="s">
        <v>982</v>
      </c>
    </row>
    <row r="73" spans="1:22" x14ac:dyDescent="0.2">
      <c r="A73" t="s">
        <v>880</v>
      </c>
      <c r="B73" t="s">
        <v>1149</v>
      </c>
      <c r="C73">
        <v>571</v>
      </c>
      <c r="D73" t="s">
        <v>1051</v>
      </c>
      <c r="E73" t="s">
        <v>962</v>
      </c>
      <c r="F73">
        <v>2</v>
      </c>
      <c r="G73" t="s">
        <v>1057</v>
      </c>
      <c r="H73" t="s">
        <v>936</v>
      </c>
      <c r="I73" t="s">
        <v>938</v>
      </c>
      <c r="J73" t="s">
        <v>152</v>
      </c>
      <c r="Q73">
        <v>0</v>
      </c>
      <c r="R73">
        <v>0</v>
      </c>
      <c r="U73" s="61" t="s">
        <v>935</v>
      </c>
      <c r="V73" t="s">
        <v>982</v>
      </c>
    </row>
    <row r="74" spans="1:22" x14ac:dyDescent="0.2">
      <c r="A74" t="s">
        <v>880</v>
      </c>
      <c r="B74" t="s">
        <v>1150</v>
      </c>
      <c r="C74">
        <v>572</v>
      </c>
      <c r="D74" t="s">
        <v>1051</v>
      </c>
      <c r="E74" t="s">
        <v>962</v>
      </c>
      <c r="F74">
        <v>3</v>
      </c>
      <c r="G74" t="s">
        <v>1057</v>
      </c>
      <c r="H74" t="s">
        <v>936</v>
      </c>
      <c r="I74" t="s">
        <v>939</v>
      </c>
      <c r="J74" t="s">
        <v>152</v>
      </c>
      <c r="Q74">
        <v>0</v>
      </c>
      <c r="R74">
        <v>0</v>
      </c>
      <c r="U74" s="61" t="s">
        <v>935</v>
      </c>
      <c r="V74" t="s">
        <v>982</v>
      </c>
    </row>
    <row r="75" spans="1:22" x14ac:dyDescent="0.2">
      <c r="A75" t="s">
        <v>880</v>
      </c>
      <c r="B75" t="s">
        <v>1151</v>
      </c>
      <c r="C75">
        <v>573</v>
      </c>
      <c r="D75" t="s">
        <v>1051</v>
      </c>
      <c r="E75" t="s">
        <v>962</v>
      </c>
      <c r="F75">
        <v>4</v>
      </c>
      <c r="G75" t="s">
        <v>1057</v>
      </c>
      <c r="H75" t="s">
        <v>936</v>
      </c>
      <c r="I75" t="s">
        <v>940</v>
      </c>
      <c r="J75" t="s">
        <v>152</v>
      </c>
      <c r="Q75">
        <v>0</v>
      </c>
      <c r="R75">
        <v>0</v>
      </c>
      <c r="U75" s="61" t="s">
        <v>935</v>
      </c>
      <c r="V75" t="s">
        <v>982</v>
      </c>
    </row>
    <row r="76" spans="1:22" x14ac:dyDescent="0.2">
      <c r="A76" t="s">
        <v>880</v>
      </c>
      <c r="B76" t="s">
        <v>1152</v>
      </c>
      <c r="C76">
        <v>574</v>
      </c>
      <c r="D76" t="s">
        <v>1051</v>
      </c>
      <c r="E76" t="s">
        <v>962</v>
      </c>
      <c r="F76">
        <v>5</v>
      </c>
      <c r="G76" t="s">
        <v>1057</v>
      </c>
      <c r="H76" t="s">
        <v>936</v>
      </c>
      <c r="I76" t="s">
        <v>941</v>
      </c>
      <c r="J76" t="s">
        <v>152</v>
      </c>
      <c r="Q76">
        <v>0</v>
      </c>
      <c r="R76">
        <v>0</v>
      </c>
      <c r="U76" s="61" t="s">
        <v>935</v>
      </c>
      <c r="V76" t="s">
        <v>982</v>
      </c>
    </row>
    <row r="77" spans="1:22" x14ac:dyDescent="0.2">
      <c r="A77" t="s">
        <v>880</v>
      </c>
      <c r="B77" t="s">
        <v>1153</v>
      </c>
      <c r="C77">
        <v>575</v>
      </c>
      <c r="D77" t="s">
        <v>1051</v>
      </c>
      <c r="E77" t="s">
        <v>962</v>
      </c>
      <c r="F77">
        <v>6</v>
      </c>
      <c r="G77" t="s">
        <v>1057</v>
      </c>
      <c r="H77" t="s">
        <v>936</v>
      </c>
      <c r="I77" t="s">
        <v>942</v>
      </c>
      <c r="J77" t="s">
        <v>152</v>
      </c>
      <c r="Q77">
        <v>0</v>
      </c>
      <c r="R77">
        <v>0</v>
      </c>
      <c r="U77" s="61" t="s">
        <v>935</v>
      </c>
      <c r="V77" t="s">
        <v>982</v>
      </c>
    </row>
    <row r="78" spans="1:22" x14ac:dyDescent="0.2">
      <c r="A78" t="s">
        <v>880</v>
      </c>
      <c r="B78" t="s">
        <v>1154</v>
      </c>
      <c r="C78">
        <v>576</v>
      </c>
      <c r="D78" t="s">
        <v>1051</v>
      </c>
      <c r="E78" t="s">
        <v>962</v>
      </c>
      <c r="F78">
        <v>7</v>
      </c>
      <c r="G78" t="s">
        <v>1057</v>
      </c>
      <c r="H78" t="s">
        <v>936</v>
      </c>
      <c r="I78" t="s">
        <v>943</v>
      </c>
      <c r="J78" t="s">
        <v>152</v>
      </c>
      <c r="Q78">
        <v>0</v>
      </c>
      <c r="R78">
        <v>0</v>
      </c>
      <c r="U78" s="61" t="s">
        <v>935</v>
      </c>
      <c r="V78" t="s">
        <v>982</v>
      </c>
    </row>
    <row r="79" spans="1:22" x14ac:dyDescent="0.2">
      <c r="A79" t="s">
        <v>880</v>
      </c>
      <c r="B79" t="s">
        <v>1155</v>
      </c>
      <c r="C79">
        <v>577</v>
      </c>
      <c r="D79" t="s">
        <v>1051</v>
      </c>
      <c r="E79" t="s">
        <v>962</v>
      </c>
      <c r="F79">
        <v>8</v>
      </c>
      <c r="G79" t="s">
        <v>1057</v>
      </c>
      <c r="H79" t="s">
        <v>936</v>
      </c>
      <c r="I79" t="s">
        <v>944</v>
      </c>
      <c r="J79" t="s">
        <v>152</v>
      </c>
      <c r="Q79">
        <v>0</v>
      </c>
      <c r="R79">
        <v>0</v>
      </c>
      <c r="U79" s="61" t="s">
        <v>935</v>
      </c>
      <c r="V79" t="s">
        <v>982</v>
      </c>
    </row>
    <row r="80" spans="1:22" x14ac:dyDescent="0.2">
      <c r="A80" t="s">
        <v>880</v>
      </c>
      <c r="B80" t="s">
        <v>1156</v>
      </c>
      <c r="C80">
        <v>578</v>
      </c>
      <c r="D80" t="s">
        <v>1051</v>
      </c>
      <c r="E80" t="s">
        <v>962</v>
      </c>
      <c r="F80">
        <v>9</v>
      </c>
      <c r="G80" t="s">
        <v>1057</v>
      </c>
      <c r="H80" t="s">
        <v>936</v>
      </c>
      <c r="I80" t="s">
        <v>945</v>
      </c>
      <c r="J80" t="s">
        <v>152</v>
      </c>
      <c r="Q80">
        <v>0</v>
      </c>
      <c r="R80">
        <v>0</v>
      </c>
      <c r="U80" s="61" t="s">
        <v>935</v>
      </c>
      <c r="V80" t="s">
        <v>982</v>
      </c>
    </row>
    <row r="81" spans="1:22" x14ac:dyDescent="0.2">
      <c r="A81" t="s">
        <v>880</v>
      </c>
      <c r="B81" t="s">
        <v>1157</v>
      </c>
      <c r="C81">
        <v>579</v>
      </c>
      <c r="D81" t="s">
        <v>1051</v>
      </c>
      <c r="E81" t="s">
        <v>962</v>
      </c>
      <c r="F81">
        <v>10</v>
      </c>
      <c r="G81" t="s">
        <v>1057</v>
      </c>
      <c r="H81" t="s">
        <v>936</v>
      </c>
      <c r="I81" t="s">
        <v>946</v>
      </c>
      <c r="J81" t="s">
        <v>152</v>
      </c>
      <c r="Q81">
        <v>0</v>
      </c>
      <c r="R81">
        <v>0</v>
      </c>
      <c r="U81" s="61" t="s">
        <v>935</v>
      </c>
      <c r="V81" t="s">
        <v>982</v>
      </c>
    </row>
    <row r="82" spans="1:22" x14ac:dyDescent="0.2">
      <c r="A82" t="s">
        <v>880</v>
      </c>
      <c r="B82" t="s">
        <v>1158</v>
      </c>
      <c r="C82">
        <v>580</v>
      </c>
      <c r="D82" t="s">
        <v>1051</v>
      </c>
      <c r="E82" t="s">
        <v>962</v>
      </c>
      <c r="F82">
        <v>11</v>
      </c>
      <c r="G82" t="s">
        <v>1057</v>
      </c>
      <c r="H82" t="s">
        <v>936</v>
      </c>
      <c r="I82" t="s">
        <v>947</v>
      </c>
      <c r="J82" t="s">
        <v>179</v>
      </c>
      <c r="Q82">
        <v>0</v>
      </c>
      <c r="R82">
        <v>0</v>
      </c>
      <c r="U82" s="61" t="s">
        <v>935</v>
      </c>
      <c r="V82" t="s">
        <v>982</v>
      </c>
    </row>
    <row r="83" spans="1:22" x14ac:dyDescent="0.2">
      <c r="A83" t="s">
        <v>880</v>
      </c>
      <c r="B83" t="s">
        <v>1159</v>
      </c>
      <c r="C83">
        <v>581</v>
      </c>
      <c r="D83" t="s">
        <v>1051</v>
      </c>
      <c r="E83" t="s">
        <v>962</v>
      </c>
      <c r="F83">
        <v>12</v>
      </c>
      <c r="G83" t="s">
        <v>1057</v>
      </c>
      <c r="H83" t="s">
        <v>936</v>
      </c>
      <c r="I83" t="s">
        <v>1028</v>
      </c>
      <c r="J83" t="s">
        <v>179</v>
      </c>
      <c r="Q83">
        <v>0</v>
      </c>
      <c r="R83">
        <v>0</v>
      </c>
      <c r="U83" s="61" t="s">
        <v>935</v>
      </c>
      <c r="V83" t="s">
        <v>982</v>
      </c>
    </row>
    <row r="84" spans="1:22" x14ac:dyDescent="0.2">
      <c r="A84" t="s">
        <v>880</v>
      </c>
      <c r="B84" t="s">
        <v>1160</v>
      </c>
      <c r="C84">
        <v>582</v>
      </c>
      <c r="D84" t="s">
        <v>1051</v>
      </c>
      <c r="E84" t="s">
        <v>962</v>
      </c>
      <c r="F84">
        <v>13</v>
      </c>
      <c r="G84" t="s">
        <v>1057</v>
      </c>
      <c r="H84" t="s">
        <v>936</v>
      </c>
      <c r="I84" t="s">
        <v>948</v>
      </c>
      <c r="J84" t="s">
        <v>179</v>
      </c>
      <c r="Q84">
        <v>0</v>
      </c>
      <c r="R84">
        <v>0</v>
      </c>
      <c r="U84" s="61" t="s">
        <v>935</v>
      </c>
      <c r="V84" t="s">
        <v>982</v>
      </c>
    </row>
    <row r="85" spans="1:22" x14ac:dyDescent="0.2">
      <c r="A85" t="s">
        <v>880</v>
      </c>
      <c r="B85" t="s">
        <v>1161</v>
      </c>
      <c r="C85">
        <v>583</v>
      </c>
      <c r="D85" t="s">
        <v>1051</v>
      </c>
      <c r="E85" t="s">
        <v>962</v>
      </c>
      <c r="F85">
        <v>14</v>
      </c>
      <c r="G85" t="s">
        <v>1057</v>
      </c>
      <c r="H85" t="s">
        <v>936</v>
      </c>
      <c r="I85" t="s">
        <v>949</v>
      </c>
      <c r="J85" t="s">
        <v>179</v>
      </c>
      <c r="Q85">
        <v>0</v>
      </c>
      <c r="R85">
        <v>0</v>
      </c>
      <c r="U85" s="61" t="s">
        <v>935</v>
      </c>
      <c r="V85" t="s">
        <v>982</v>
      </c>
    </row>
    <row r="86" spans="1:22" x14ac:dyDescent="0.2">
      <c r="A86" t="s">
        <v>880</v>
      </c>
      <c r="B86" t="s">
        <v>1162</v>
      </c>
      <c r="C86">
        <v>584</v>
      </c>
      <c r="D86" t="s">
        <v>1051</v>
      </c>
      <c r="E86" t="s">
        <v>962</v>
      </c>
      <c r="F86">
        <v>15</v>
      </c>
      <c r="G86" t="s">
        <v>1057</v>
      </c>
      <c r="H86" t="s">
        <v>936</v>
      </c>
      <c r="I86" t="s">
        <v>950</v>
      </c>
      <c r="J86" t="s">
        <v>179</v>
      </c>
      <c r="Q86">
        <v>0</v>
      </c>
      <c r="R86">
        <v>0</v>
      </c>
      <c r="U86" s="61" t="s">
        <v>935</v>
      </c>
      <c r="V86" t="s">
        <v>982</v>
      </c>
    </row>
    <row r="87" spans="1:22" x14ac:dyDescent="0.2">
      <c r="A87" t="s">
        <v>880</v>
      </c>
      <c r="B87" t="s">
        <v>1163</v>
      </c>
      <c r="C87">
        <v>585</v>
      </c>
      <c r="D87" t="s">
        <v>1051</v>
      </c>
      <c r="E87" t="s">
        <v>962</v>
      </c>
      <c r="F87">
        <v>16</v>
      </c>
      <c r="G87" t="s">
        <v>1057</v>
      </c>
      <c r="H87" t="s">
        <v>936</v>
      </c>
      <c r="I87" t="s">
        <v>951</v>
      </c>
      <c r="J87" t="s">
        <v>179</v>
      </c>
      <c r="Q87">
        <v>0</v>
      </c>
      <c r="R87">
        <v>0</v>
      </c>
      <c r="U87" s="61" t="s">
        <v>935</v>
      </c>
      <c r="V87" t="s">
        <v>982</v>
      </c>
    </row>
    <row r="88" spans="1:22" x14ac:dyDescent="0.2">
      <c r="A88" t="s">
        <v>880</v>
      </c>
      <c r="B88" t="s">
        <v>1164</v>
      </c>
      <c r="C88">
        <v>586</v>
      </c>
      <c r="D88" t="s">
        <v>1051</v>
      </c>
      <c r="E88" t="s">
        <v>962</v>
      </c>
      <c r="F88">
        <v>17</v>
      </c>
      <c r="G88" t="s">
        <v>1057</v>
      </c>
      <c r="H88" t="s">
        <v>936</v>
      </c>
      <c r="I88" t="s">
        <v>1029</v>
      </c>
      <c r="J88" t="s">
        <v>179</v>
      </c>
      <c r="Q88">
        <v>0</v>
      </c>
      <c r="R88">
        <v>0</v>
      </c>
      <c r="U88" s="61" t="s">
        <v>935</v>
      </c>
      <c r="V88" t="s">
        <v>982</v>
      </c>
    </row>
    <row r="89" spans="1:22" x14ac:dyDescent="0.2">
      <c r="A89" t="s">
        <v>880</v>
      </c>
      <c r="B89" t="s">
        <v>1165</v>
      </c>
      <c r="C89">
        <v>587</v>
      </c>
      <c r="D89" t="s">
        <v>1051</v>
      </c>
      <c r="E89" t="s">
        <v>962</v>
      </c>
      <c r="F89">
        <v>18</v>
      </c>
      <c r="G89" t="s">
        <v>1057</v>
      </c>
      <c r="H89" t="s">
        <v>936</v>
      </c>
      <c r="I89" t="s">
        <v>1030</v>
      </c>
      <c r="J89" t="s">
        <v>179</v>
      </c>
      <c r="Q89">
        <v>0</v>
      </c>
      <c r="R89">
        <v>0</v>
      </c>
      <c r="U89" s="61" t="s">
        <v>935</v>
      </c>
      <c r="V89" t="s">
        <v>982</v>
      </c>
    </row>
    <row r="90" spans="1:22" x14ac:dyDescent="0.2">
      <c r="A90" t="s">
        <v>880</v>
      </c>
      <c r="B90" t="s">
        <v>1166</v>
      </c>
      <c r="C90">
        <v>588</v>
      </c>
      <c r="D90" t="s">
        <v>1051</v>
      </c>
      <c r="E90" t="s">
        <v>962</v>
      </c>
      <c r="F90">
        <v>19</v>
      </c>
      <c r="G90" t="s">
        <v>1057</v>
      </c>
      <c r="H90" t="s">
        <v>936</v>
      </c>
      <c r="I90" t="s">
        <v>952</v>
      </c>
      <c r="J90" t="s">
        <v>179</v>
      </c>
      <c r="Q90">
        <v>0</v>
      </c>
      <c r="R90">
        <v>0</v>
      </c>
      <c r="U90" s="61" t="s">
        <v>935</v>
      </c>
      <c r="V90" t="s">
        <v>982</v>
      </c>
    </row>
    <row r="91" spans="1:22" x14ac:dyDescent="0.2">
      <c r="A91" t="s">
        <v>880</v>
      </c>
      <c r="B91" t="s">
        <v>1167</v>
      </c>
      <c r="C91">
        <v>589</v>
      </c>
      <c r="D91" t="s">
        <v>1051</v>
      </c>
      <c r="E91" t="s">
        <v>962</v>
      </c>
      <c r="F91">
        <v>20</v>
      </c>
      <c r="G91" t="s">
        <v>1057</v>
      </c>
      <c r="H91" t="s">
        <v>936</v>
      </c>
      <c r="I91" t="s">
        <v>1031</v>
      </c>
      <c r="J91" t="s">
        <v>179</v>
      </c>
      <c r="Q91">
        <v>0</v>
      </c>
      <c r="R91">
        <v>0</v>
      </c>
      <c r="U91" s="61" t="s">
        <v>935</v>
      </c>
      <c r="V91" t="s">
        <v>982</v>
      </c>
    </row>
    <row r="92" spans="1:22" x14ac:dyDescent="0.2">
      <c r="A92" t="s">
        <v>880</v>
      </c>
      <c r="B92" t="s">
        <v>1168</v>
      </c>
      <c r="C92">
        <v>590</v>
      </c>
      <c r="D92" t="s">
        <v>1051</v>
      </c>
      <c r="E92" t="s">
        <v>962</v>
      </c>
      <c r="F92">
        <v>21</v>
      </c>
      <c r="G92" t="s">
        <v>1057</v>
      </c>
      <c r="H92" t="s">
        <v>936</v>
      </c>
      <c r="I92" t="s">
        <v>953</v>
      </c>
      <c r="J92" t="s">
        <v>179</v>
      </c>
      <c r="Q92">
        <v>0</v>
      </c>
      <c r="R92">
        <v>0</v>
      </c>
      <c r="U92" s="61" t="s">
        <v>935</v>
      </c>
      <c r="V92" t="s">
        <v>982</v>
      </c>
    </row>
    <row r="93" spans="1:22" x14ac:dyDescent="0.2">
      <c r="A93" t="s">
        <v>880</v>
      </c>
      <c r="B93" t="s">
        <v>1169</v>
      </c>
      <c r="C93">
        <v>591</v>
      </c>
      <c r="D93" t="s">
        <v>1051</v>
      </c>
      <c r="E93" t="s">
        <v>962</v>
      </c>
      <c r="F93">
        <v>22</v>
      </c>
      <c r="G93" t="s">
        <v>1057</v>
      </c>
      <c r="H93" t="s">
        <v>936</v>
      </c>
      <c r="I93" t="s">
        <v>954</v>
      </c>
      <c r="J93" t="s">
        <v>179</v>
      </c>
      <c r="Q93">
        <v>0</v>
      </c>
      <c r="R93">
        <v>0</v>
      </c>
      <c r="U93" s="61" t="s">
        <v>935</v>
      </c>
      <c r="V93" t="s">
        <v>982</v>
      </c>
    </row>
    <row r="94" spans="1:22" x14ac:dyDescent="0.2">
      <c r="A94" t="s">
        <v>880</v>
      </c>
      <c r="B94" t="s">
        <v>1170</v>
      </c>
      <c r="C94">
        <v>592</v>
      </c>
      <c r="D94" t="s">
        <v>1051</v>
      </c>
      <c r="E94" t="s">
        <v>962</v>
      </c>
      <c r="F94">
        <v>23</v>
      </c>
      <c r="G94" t="s">
        <v>1057</v>
      </c>
      <c r="H94" t="s">
        <v>936</v>
      </c>
      <c r="I94" t="s">
        <v>1032</v>
      </c>
      <c r="J94" t="s">
        <v>179</v>
      </c>
      <c r="Q94">
        <v>0</v>
      </c>
      <c r="R94">
        <v>0</v>
      </c>
      <c r="U94" s="61" t="s">
        <v>935</v>
      </c>
      <c r="V94" t="s">
        <v>982</v>
      </c>
    </row>
    <row r="95" spans="1:22" x14ac:dyDescent="0.2">
      <c r="A95" t="s">
        <v>880</v>
      </c>
      <c r="B95" t="s">
        <v>1669</v>
      </c>
      <c r="C95">
        <v>496</v>
      </c>
      <c r="D95" t="s">
        <v>1665</v>
      </c>
      <c r="E95" t="s">
        <v>959</v>
      </c>
      <c r="F95">
        <v>29</v>
      </c>
      <c r="G95" t="s">
        <v>1054</v>
      </c>
      <c r="H95" t="s">
        <v>832</v>
      </c>
      <c r="I95" t="s">
        <v>876</v>
      </c>
      <c r="J95" t="s">
        <v>151</v>
      </c>
      <c r="Q95">
        <v>0</v>
      </c>
      <c r="R95">
        <v>0</v>
      </c>
      <c r="U95" s="61" t="s">
        <v>831</v>
      </c>
      <c r="V95" t="s">
        <v>979</v>
      </c>
    </row>
    <row r="96" spans="1:22" x14ac:dyDescent="0.2">
      <c r="A96" t="s">
        <v>880</v>
      </c>
      <c r="B96" t="s">
        <v>1670</v>
      </c>
      <c r="C96">
        <v>497</v>
      </c>
      <c r="D96" t="s">
        <v>1665</v>
      </c>
      <c r="E96" t="s">
        <v>959</v>
      </c>
      <c r="F96">
        <v>30</v>
      </c>
      <c r="G96" t="s">
        <v>1054</v>
      </c>
      <c r="H96" t="s">
        <v>832</v>
      </c>
      <c r="I96" t="s">
        <v>1050</v>
      </c>
      <c r="J96" t="s">
        <v>152</v>
      </c>
      <c r="Q96">
        <v>0</v>
      </c>
      <c r="R96">
        <v>0</v>
      </c>
      <c r="U96" s="61" t="s">
        <v>831</v>
      </c>
      <c r="V96" t="s">
        <v>979</v>
      </c>
    </row>
    <row r="97" spans="1:22" x14ac:dyDescent="0.2">
      <c r="A97" t="s">
        <v>880</v>
      </c>
      <c r="B97" t="s">
        <v>1671</v>
      </c>
      <c r="C97">
        <v>498</v>
      </c>
      <c r="D97" t="s">
        <v>1665</v>
      </c>
      <c r="E97" t="s">
        <v>959</v>
      </c>
      <c r="F97">
        <v>31</v>
      </c>
      <c r="G97" t="s">
        <v>1054</v>
      </c>
      <c r="H97" t="s">
        <v>832</v>
      </c>
      <c r="I97" t="s">
        <v>877</v>
      </c>
      <c r="J97" t="s">
        <v>152</v>
      </c>
      <c r="Q97">
        <v>0</v>
      </c>
      <c r="R97">
        <v>0</v>
      </c>
      <c r="U97" s="61" t="s">
        <v>831</v>
      </c>
      <c r="V97" t="s">
        <v>979</v>
      </c>
    </row>
    <row r="98" spans="1:22" x14ac:dyDescent="0.2">
      <c r="A98" t="s">
        <v>880</v>
      </c>
      <c r="B98" t="s">
        <v>1672</v>
      </c>
      <c r="C98">
        <v>499</v>
      </c>
      <c r="D98" t="s">
        <v>1665</v>
      </c>
      <c r="E98" t="s">
        <v>959</v>
      </c>
      <c r="F98">
        <v>32</v>
      </c>
      <c r="G98" t="s">
        <v>1054</v>
      </c>
      <c r="H98" t="s">
        <v>832</v>
      </c>
      <c r="I98" t="s">
        <v>878</v>
      </c>
      <c r="J98" t="s">
        <v>179</v>
      </c>
      <c r="Q98">
        <v>0</v>
      </c>
      <c r="R98">
        <v>0</v>
      </c>
      <c r="U98" s="61" t="s">
        <v>831</v>
      </c>
      <c r="V98" t="s">
        <v>979</v>
      </c>
    </row>
    <row r="99" spans="1:22" x14ac:dyDescent="0.2">
      <c r="A99" t="s">
        <v>880</v>
      </c>
      <c r="B99" t="s">
        <v>1666</v>
      </c>
      <c r="C99">
        <v>500</v>
      </c>
      <c r="D99" t="s">
        <v>1665</v>
      </c>
      <c r="E99" t="s">
        <v>960</v>
      </c>
      <c r="F99">
        <v>1</v>
      </c>
      <c r="G99" t="s">
        <v>1055</v>
      </c>
      <c r="H99" t="s">
        <v>851</v>
      </c>
      <c r="I99" t="s">
        <v>850</v>
      </c>
      <c r="J99" t="s">
        <v>152</v>
      </c>
      <c r="K99">
        <v>1</v>
      </c>
      <c r="Q99">
        <v>0</v>
      </c>
      <c r="R99">
        <v>0</v>
      </c>
      <c r="U99" s="61" t="s">
        <v>831</v>
      </c>
      <c r="V99" t="s">
        <v>980</v>
      </c>
    </row>
    <row r="100" spans="1:22" x14ac:dyDescent="0.2">
      <c r="A100" t="s">
        <v>880</v>
      </c>
      <c r="B100" t="s">
        <v>1667</v>
      </c>
      <c r="C100">
        <v>501</v>
      </c>
      <c r="D100" t="s">
        <v>1665</v>
      </c>
      <c r="E100" t="s">
        <v>960</v>
      </c>
      <c r="F100">
        <v>2</v>
      </c>
      <c r="G100" t="s">
        <v>1055</v>
      </c>
      <c r="H100" t="s">
        <v>851</v>
      </c>
      <c r="I100" t="s">
        <v>855</v>
      </c>
      <c r="J100" t="s">
        <v>152</v>
      </c>
      <c r="K100">
        <v>1</v>
      </c>
      <c r="Q100">
        <v>0</v>
      </c>
      <c r="R100">
        <v>0</v>
      </c>
      <c r="U100" s="61" t="s">
        <v>831</v>
      </c>
      <c r="V100" t="s">
        <v>980</v>
      </c>
    </row>
    <row r="101" spans="1:22" x14ac:dyDescent="0.2">
      <c r="A101" t="s">
        <v>453</v>
      </c>
      <c r="B101" t="s">
        <v>1171</v>
      </c>
      <c r="C101">
        <v>231</v>
      </c>
      <c r="D101" t="s">
        <v>1051</v>
      </c>
      <c r="E101" t="s">
        <v>779</v>
      </c>
      <c r="F101">
        <v>1</v>
      </c>
      <c r="G101" t="s">
        <v>1058</v>
      </c>
      <c r="H101" t="s">
        <v>460</v>
      </c>
      <c r="I101" t="s">
        <v>464</v>
      </c>
      <c r="J101" t="s">
        <v>380</v>
      </c>
      <c r="Q101">
        <v>0</v>
      </c>
      <c r="R101">
        <v>0</v>
      </c>
      <c r="U101" s="61" t="s">
        <v>958</v>
      </c>
      <c r="V101" t="s">
        <v>460</v>
      </c>
    </row>
    <row r="102" spans="1:22" x14ac:dyDescent="0.2">
      <c r="A102" t="s">
        <v>453</v>
      </c>
      <c r="B102" t="s">
        <v>1172</v>
      </c>
      <c r="C102">
        <v>232</v>
      </c>
      <c r="D102" t="s">
        <v>1051</v>
      </c>
      <c r="E102" t="s">
        <v>779</v>
      </c>
      <c r="F102">
        <v>2</v>
      </c>
      <c r="G102" t="s">
        <v>1058</v>
      </c>
      <c r="H102" t="s">
        <v>460</v>
      </c>
      <c r="I102" t="s">
        <v>465</v>
      </c>
      <c r="J102" t="s">
        <v>380</v>
      </c>
      <c r="Q102">
        <v>0</v>
      </c>
      <c r="R102">
        <v>0</v>
      </c>
      <c r="U102" s="61" t="s">
        <v>958</v>
      </c>
      <c r="V102" t="s">
        <v>460</v>
      </c>
    </row>
    <row r="103" spans="1:22" x14ac:dyDescent="0.2">
      <c r="A103" t="s">
        <v>453</v>
      </c>
      <c r="B103" t="s">
        <v>1173</v>
      </c>
      <c r="C103">
        <v>233</v>
      </c>
      <c r="D103" t="s">
        <v>1051</v>
      </c>
      <c r="E103" t="s">
        <v>780</v>
      </c>
      <c r="F103">
        <v>1</v>
      </c>
      <c r="G103" t="s">
        <v>1059</v>
      </c>
      <c r="H103" t="s">
        <v>461</v>
      </c>
      <c r="I103" t="s">
        <v>466</v>
      </c>
      <c r="J103" t="s">
        <v>380</v>
      </c>
      <c r="K103">
        <v>1</v>
      </c>
      <c r="Q103">
        <v>0</v>
      </c>
      <c r="R103">
        <v>0</v>
      </c>
      <c r="U103" s="61" t="s">
        <v>460</v>
      </c>
      <c r="V103" t="s">
        <v>743</v>
      </c>
    </row>
    <row r="104" spans="1:22" x14ac:dyDescent="0.2">
      <c r="A104" t="s">
        <v>453</v>
      </c>
      <c r="B104" t="s">
        <v>1174</v>
      </c>
      <c r="C104">
        <v>234</v>
      </c>
      <c r="D104" t="s">
        <v>1051</v>
      </c>
      <c r="E104" t="s">
        <v>780</v>
      </c>
      <c r="F104">
        <v>2</v>
      </c>
      <c r="G104" t="s">
        <v>1059</v>
      </c>
      <c r="H104" t="s">
        <v>461</v>
      </c>
      <c r="I104" t="s">
        <v>467</v>
      </c>
      <c r="J104" t="s">
        <v>152</v>
      </c>
      <c r="K104">
        <v>1</v>
      </c>
      <c r="Q104">
        <v>0</v>
      </c>
      <c r="R104">
        <v>0</v>
      </c>
      <c r="U104" s="61" t="s">
        <v>460</v>
      </c>
      <c r="V104" t="s">
        <v>743</v>
      </c>
    </row>
    <row r="105" spans="1:22" x14ac:dyDescent="0.2">
      <c r="A105" t="s">
        <v>453</v>
      </c>
      <c r="B105" t="s">
        <v>1175</v>
      </c>
      <c r="C105">
        <v>235</v>
      </c>
      <c r="D105" t="s">
        <v>1051</v>
      </c>
      <c r="E105" t="s">
        <v>780</v>
      </c>
      <c r="F105">
        <v>3</v>
      </c>
      <c r="G105" t="s">
        <v>1059</v>
      </c>
      <c r="H105" t="s">
        <v>461</v>
      </c>
      <c r="I105" t="s">
        <v>468</v>
      </c>
      <c r="J105" t="s">
        <v>152</v>
      </c>
      <c r="K105">
        <v>1</v>
      </c>
      <c r="Q105">
        <v>0</v>
      </c>
      <c r="R105">
        <v>0</v>
      </c>
      <c r="T105" t="s">
        <v>495</v>
      </c>
      <c r="U105" s="61" t="s">
        <v>460</v>
      </c>
      <c r="V105" t="s">
        <v>743</v>
      </c>
    </row>
    <row r="106" spans="1:22" x14ac:dyDescent="0.2">
      <c r="A106" t="s">
        <v>453</v>
      </c>
      <c r="B106" t="s">
        <v>1176</v>
      </c>
      <c r="C106">
        <v>236</v>
      </c>
      <c r="D106" t="s">
        <v>1051</v>
      </c>
      <c r="E106" t="s">
        <v>780</v>
      </c>
      <c r="F106">
        <v>4</v>
      </c>
      <c r="G106" t="s">
        <v>1059</v>
      </c>
      <c r="H106" t="s">
        <v>461</v>
      </c>
      <c r="I106" t="s">
        <v>469</v>
      </c>
      <c r="J106" t="s">
        <v>380</v>
      </c>
      <c r="Q106">
        <v>0</v>
      </c>
      <c r="R106">
        <v>0</v>
      </c>
      <c r="U106" s="61" t="s">
        <v>460</v>
      </c>
      <c r="V106" t="s">
        <v>743</v>
      </c>
    </row>
    <row r="107" spans="1:22" x14ac:dyDescent="0.2">
      <c r="A107" t="s">
        <v>453</v>
      </c>
      <c r="B107" t="s">
        <v>1177</v>
      </c>
      <c r="C107">
        <v>237</v>
      </c>
      <c r="D107" t="s">
        <v>1051</v>
      </c>
      <c r="E107" t="s">
        <v>780</v>
      </c>
      <c r="F107">
        <v>5</v>
      </c>
      <c r="G107" t="s">
        <v>1059</v>
      </c>
      <c r="H107" t="s">
        <v>461</v>
      </c>
      <c r="I107" t="s">
        <v>1043</v>
      </c>
      <c r="J107" t="s">
        <v>380</v>
      </c>
      <c r="K107">
        <v>1</v>
      </c>
      <c r="Q107">
        <v>0</v>
      </c>
      <c r="R107">
        <v>0</v>
      </c>
      <c r="U107" s="61" t="s">
        <v>460</v>
      </c>
      <c r="V107" t="s">
        <v>743</v>
      </c>
    </row>
    <row r="108" spans="1:22" x14ac:dyDescent="0.2">
      <c r="A108" t="s">
        <v>453</v>
      </c>
      <c r="B108" t="s">
        <v>1178</v>
      </c>
      <c r="C108">
        <v>238</v>
      </c>
      <c r="D108" t="s">
        <v>1051</v>
      </c>
      <c r="E108" t="s">
        <v>780</v>
      </c>
      <c r="F108">
        <v>6</v>
      </c>
      <c r="G108" t="s">
        <v>1059</v>
      </c>
      <c r="H108" t="s">
        <v>461</v>
      </c>
      <c r="I108" t="s">
        <v>470</v>
      </c>
      <c r="J108" t="s">
        <v>380</v>
      </c>
      <c r="Q108">
        <v>0</v>
      </c>
      <c r="R108">
        <v>0</v>
      </c>
      <c r="U108" s="61" t="s">
        <v>460</v>
      </c>
      <c r="V108" t="s">
        <v>743</v>
      </c>
    </row>
    <row r="109" spans="1:22" x14ac:dyDescent="0.2">
      <c r="A109" t="s">
        <v>453</v>
      </c>
      <c r="B109" t="s">
        <v>1179</v>
      </c>
      <c r="C109">
        <v>239</v>
      </c>
      <c r="D109" t="s">
        <v>1051</v>
      </c>
      <c r="E109" t="s">
        <v>780</v>
      </c>
      <c r="F109">
        <v>7</v>
      </c>
      <c r="G109" t="s">
        <v>1059</v>
      </c>
      <c r="H109" t="s">
        <v>461</v>
      </c>
      <c r="I109" t="s">
        <v>471</v>
      </c>
      <c r="J109" t="s">
        <v>179</v>
      </c>
      <c r="Q109">
        <v>0</v>
      </c>
      <c r="R109">
        <v>0</v>
      </c>
      <c r="U109" s="61" t="s">
        <v>460</v>
      </c>
      <c r="V109" t="s">
        <v>743</v>
      </c>
    </row>
    <row r="110" spans="1:22" x14ac:dyDescent="0.2">
      <c r="A110" t="s">
        <v>453</v>
      </c>
      <c r="B110" t="s">
        <v>1180</v>
      </c>
      <c r="C110">
        <v>240</v>
      </c>
      <c r="D110" t="s">
        <v>1051</v>
      </c>
      <c r="E110" t="s">
        <v>780</v>
      </c>
      <c r="F110">
        <v>8</v>
      </c>
      <c r="G110" t="s">
        <v>1059</v>
      </c>
      <c r="H110" t="s">
        <v>461</v>
      </c>
      <c r="I110" t="s">
        <v>472</v>
      </c>
      <c r="J110" t="s">
        <v>147</v>
      </c>
      <c r="Q110">
        <v>0</v>
      </c>
      <c r="R110">
        <v>0</v>
      </c>
      <c r="U110" s="61" t="s">
        <v>460</v>
      </c>
      <c r="V110" t="s">
        <v>743</v>
      </c>
    </row>
    <row r="111" spans="1:22" x14ac:dyDescent="0.2">
      <c r="A111" t="s">
        <v>453</v>
      </c>
      <c r="B111" t="s">
        <v>1181</v>
      </c>
      <c r="C111">
        <v>241</v>
      </c>
      <c r="D111" t="s">
        <v>1051</v>
      </c>
      <c r="E111" t="s">
        <v>781</v>
      </c>
      <c r="F111">
        <v>1</v>
      </c>
      <c r="G111" t="s">
        <v>1054</v>
      </c>
      <c r="H111" t="s">
        <v>462</v>
      </c>
      <c r="I111" t="s">
        <v>473</v>
      </c>
      <c r="J111" t="s">
        <v>147</v>
      </c>
      <c r="K111">
        <v>1</v>
      </c>
      <c r="Q111">
        <v>0</v>
      </c>
      <c r="R111">
        <v>0</v>
      </c>
      <c r="U111" s="61" t="s">
        <v>460</v>
      </c>
      <c r="V111" t="s">
        <v>744</v>
      </c>
    </row>
    <row r="112" spans="1:22" x14ac:dyDescent="0.2">
      <c r="A112" t="s">
        <v>453</v>
      </c>
      <c r="B112" t="s">
        <v>1182</v>
      </c>
      <c r="C112">
        <v>242</v>
      </c>
      <c r="D112" t="s">
        <v>1051</v>
      </c>
      <c r="E112" t="s">
        <v>781</v>
      </c>
      <c r="F112">
        <v>2</v>
      </c>
      <c r="G112" t="s">
        <v>1054</v>
      </c>
      <c r="H112" t="s">
        <v>462</v>
      </c>
      <c r="I112" t="s">
        <v>474</v>
      </c>
      <c r="J112" t="s">
        <v>179</v>
      </c>
      <c r="K112">
        <v>1</v>
      </c>
      <c r="Q112">
        <v>0</v>
      </c>
      <c r="R112">
        <v>0</v>
      </c>
      <c r="U112" s="61" t="s">
        <v>460</v>
      </c>
      <c r="V112" t="s">
        <v>744</v>
      </c>
    </row>
    <row r="113" spans="1:22" x14ac:dyDescent="0.2">
      <c r="A113" t="s">
        <v>453</v>
      </c>
      <c r="B113" t="s">
        <v>1183</v>
      </c>
      <c r="C113">
        <v>243</v>
      </c>
      <c r="D113" t="s">
        <v>1051</v>
      </c>
      <c r="E113" t="s">
        <v>781</v>
      </c>
      <c r="F113">
        <v>3</v>
      </c>
      <c r="G113" t="s">
        <v>1054</v>
      </c>
      <c r="H113" t="s">
        <v>462</v>
      </c>
      <c r="I113" t="s">
        <v>1044</v>
      </c>
      <c r="J113" t="s">
        <v>380</v>
      </c>
      <c r="K113">
        <v>1</v>
      </c>
      <c r="Q113">
        <v>0</v>
      </c>
      <c r="R113">
        <v>0</v>
      </c>
      <c r="U113" s="61" t="s">
        <v>460</v>
      </c>
      <c r="V113" t="s">
        <v>744</v>
      </c>
    </row>
    <row r="114" spans="1:22" x14ac:dyDescent="0.2">
      <c r="A114" t="s">
        <v>453</v>
      </c>
      <c r="B114" t="s">
        <v>1184</v>
      </c>
      <c r="C114">
        <v>244</v>
      </c>
      <c r="D114" t="s">
        <v>1051</v>
      </c>
      <c r="E114" t="s">
        <v>781</v>
      </c>
      <c r="F114">
        <v>4</v>
      </c>
      <c r="G114" t="s">
        <v>1054</v>
      </c>
      <c r="H114" t="s">
        <v>462</v>
      </c>
      <c r="I114" t="s">
        <v>479</v>
      </c>
      <c r="J114" t="s">
        <v>380</v>
      </c>
      <c r="K114">
        <v>1</v>
      </c>
      <c r="Q114">
        <v>0</v>
      </c>
      <c r="R114">
        <v>0</v>
      </c>
      <c r="U114" s="61" t="s">
        <v>460</v>
      </c>
      <c r="V114" t="s">
        <v>744</v>
      </c>
    </row>
    <row r="115" spans="1:22" x14ac:dyDescent="0.2">
      <c r="A115" t="s">
        <v>453</v>
      </c>
      <c r="B115" t="s">
        <v>1185</v>
      </c>
      <c r="C115">
        <v>245</v>
      </c>
      <c r="D115" t="s">
        <v>1051</v>
      </c>
      <c r="E115" t="s">
        <v>781</v>
      </c>
      <c r="F115">
        <v>5</v>
      </c>
      <c r="G115" t="s">
        <v>1054</v>
      </c>
      <c r="H115" t="s">
        <v>462</v>
      </c>
      <c r="I115" t="s">
        <v>475</v>
      </c>
      <c r="J115" t="s">
        <v>151</v>
      </c>
      <c r="K115">
        <v>1</v>
      </c>
      <c r="Q115">
        <v>0</v>
      </c>
      <c r="R115">
        <v>0</v>
      </c>
      <c r="U115" s="61" t="s">
        <v>460</v>
      </c>
      <c r="V115" t="s">
        <v>744</v>
      </c>
    </row>
    <row r="116" spans="1:22" x14ac:dyDescent="0.2">
      <c r="A116" t="s">
        <v>453</v>
      </c>
      <c r="B116" t="s">
        <v>1186</v>
      </c>
      <c r="C116">
        <v>246</v>
      </c>
      <c r="D116" t="s">
        <v>1051</v>
      </c>
      <c r="E116" t="s">
        <v>781</v>
      </c>
      <c r="F116">
        <v>6</v>
      </c>
      <c r="G116" t="s">
        <v>1054</v>
      </c>
      <c r="H116" t="s">
        <v>462</v>
      </c>
      <c r="I116" t="s">
        <v>476</v>
      </c>
      <c r="J116" t="s">
        <v>151</v>
      </c>
      <c r="Q116">
        <v>0</v>
      </c>
      <c r="R116">
        <v>0</v>
      </c>
      <c r="U116" s="61" t="s">
        <v>460</v>
      </c>
      <c r="V116" t="s">
        <v>744</v>
      </c>
    </row>
    <row r="117" spans="1:22" x14ac:dyDescent="0.2">
      <c r="A117" t="s">
        <v>453</v>
      </c>
      <c r="B117" t="s">
        <v>1187</v>
      </c>
      <c r="C117">
        <v>247</v>
      </c>
      <c r="D117" t="s">
        <v>1051</v>
      </c>
      <c r="E117" t="s">
        <v>781</v>
      </c>
      <c r="F117">
        <v>7</v>
      </c>
      <c r="G117" t="s">
        <v>1054</v>
      </c>
      <c r="H117" t="s">
        <v>462</v>
      </c>
      <c r="I117" t="s">
        <v>477</v>
      </c>
      <c r="J117" t="s">
        <v>380</v>
      </c>
      <c r="K117">
        <v>1</v>
      </c>
      <c r="Q117">
        <v>0</v>
      </c>
      <c r="R117">
        <v>0</v>
      </c>
      <c r="U117" s="61" t="s">
        <v>460</v>
      </c>
      <c r="V117" t="s">
        <v>744</v>
      </c>
    </row>
    <row r="118" spans="1:22" x14ac:dyDescent="0.2">
      <c r="A118" t="s">
        <v>453</v>
      </c>
      <c r="B118" t="s">
        <v>1188</v>
      </c>
      <c r="C118">
        <v>248</v>
      </c>
      <c r="D118" t="s">
        <v>1051</v>
      </c>
      <c r="E118" t="s">
        <v>781</v>
      </c>
      <c r="F118">
        <v>8</v>
      </c>
      <c r="G118" t="s">
        <v>1054</v>
      </c>
      <c r="H118" t="s">
        <v>462</v>
      </c>
      <c r="I118" t="s">
        <v>478</v>
      </c>
      <c r="J118" t="s">
        <v>151</v>
      </c>
      <c r="K118">
        <v>1</v>
      </c>
      <c r="Q118">
        <v>0</v>
      </c>
      <c r="R118">
        <v>0</v>
      </c>
      <c r="U118" s="61" t="s">
        <v>460</v>
      </c>
      <c r="V118" t="s">
        <v>744</v>
      </c>
    </row>
    <row r="119" spans="1:22" x14ac:dyDescent="0.2">
      <c r="A119" t="s">
        <v>453</v>
      </c>
      <c r="B119" t="s">
        <v>1189</v>
      </c>
      <c r="C119">
        <v>249</v>
      </c>
      <c r="D119" t="s">
        <v>1051</v>
      </c>
      <c r="E119" t="s">
        <v>781</v>
      </c>
      <c r="F119">
        <v>9</v>
      </c>
      <c r="G119" t="s">
        <v>1054</v>
      </c>
      <c r="H119" t="s">
        <v>462</v>
      </c>
      <c r="I119" t="s">
        <v>480</v>
      </c>
      <c r="J119" t="s">
        <v>179</v>
      </c>
      <c r="Q119">
        <v>0</v>
      </c>
      <c r="R119">
        <v>0</v>
      </c>
      <c r="U119" s="61" t="s">
        <v>460</v>
      </c>
      <c r="V119" t="s">
        <v>744</v>
      </c>
    </row>
    <row r="120" spans="1:22" x14ac:dyDescent="0.2">
      <c r="A120" t="s">
        <v>453</v>
      </c>
      <c r="B120" t="s">
        <v>1190</v>
      </c>
      <c r="C120">
        <v>250</v>
      </c>
      <c r="D120" t="s">
        <v>1051</v>
      </c>
      <c r="E120" t="s">
        <v>781</v>
      </c>
      <c r="F120">
        <v>10</v>
      </c>
      <c r="G120" t="s">
        <v>1054</v>
      </c>
      <c r="H120" t="s">
        <v>462</v>
      </c>
      <c r="I120" t="s">
        <v>481</v>
      </c>
      <c r="J120" t="s">
        <v>147</v>
      </c>
      <c r="Q120">
        <v>0</v>
      </c>
      <c r="R120">
        <v>0</v>
      </c>
      <c r="U120" s="61" t="s">
        <v>460</v>
      </c>
      <c r="V120" t="s">
        <v>744</v>
      </c>
    </row>
    <row r="121" spans="1:22" x14ac:dyDescent="0.2">
      <c r="A121" t="s">
        <v>453</v>
      </c>
      <c r="B121" t="s">
        <v>1191</v>
      </c>
      <c r="C121">
        <v>251</v>
      </c>
      <c r="D121" t="s">
        <v>1051</v>
      </c>
      <c r="E121" t="s">
        <v>782</v>
      </c>
      <c r="F121">
        <v>1</v>
      </c>
      <c r="G121" t="s">
        <v>1055</v>
      </c>
      <c r="H121" t="s">
        <v>463</v>
      </c>
      <c r="Q121">
        <v>0</v>
      </c>
      <c r="R121">
        <v>0</v>
      </c>
      <c r="U121" s="61" t="s">
        <v>460</v>
      </c>
      <c r="V121" t="s">
        <v>745</v>
      </c>
    </row>
    <row r="122" spans="1:22" x14ac:dyDescent="0.2">
      <c r="A122" t="s">
        <v>453</v>
      </c>
      <c r="B122" t="s">
        <v>1192</v>
      </c>
      <c r="C122">
        <v>441</v>
      </c>
      <c r="D122" t="s">
        <v>1051</v>
      </c>
      <c r="E122" t="s">
        <v>782</v>
      </c>
      <c r="F122">
        <v>2</v>
      </c>
      <c r="G122" t="s">
        <v>1055</v>
      </c>
      <c r="H122" t="s">
        <v>463</v>
      </c>
      <c r="I122" t="s">
        <v>799</v>
      </c>
      <c r="J122" t="s">
        <v>380</v>
      </c>
      <c r="Q122">
        <v>0</v>
      </c>
      <c r="R122">
        <v>0</v>
      </c>
      <c r="U122" s="61" t="s">
        <v>460</v>
      </c>
      <c r="V122" t="s">
        <v>745</v>
      </c>
    </row>
    <row r="123" spans="1:22" x14ac:dyDescent="0.2">
      <c r="A123" t="s">
        <v>453</v>
      </c>
      <c r="B123" t="s">
        <v>1193</v>
      </c>
      <c r="C123">
        <v>442</v>
      </c>
      <c r="D123" t="s">
        <v>1051</v>
      </c>
      <c r="E123" t="s">
        <v>782</v>
      </c>
      <c r="F123">
        <v>3</v>
      </c>
      <c r="G123" t="s">
        <v>1055</v>
      </c>
      <c r="H123" t="s">
        <v>463</v>
      </c>
      <c r="I123" t="s">
        <v>800</v>
      </c>
      <c r="J123" t="s">
        <v>380</v>
      </c>
      <c r="Q123">
        <v>0</v>
      </c>
      <c r="R123">
        <v>0</v>
      </c>
      <c r="U123" s="61" t="s">
        <v>460</v>
      </c>
      <c r="V123" t="s">
        <v>745</v>
      </c>
    </row>
    <row r="124" spans="1:22" x14ac:dyDescent="0.2">
      <c r="A124" t="s">
        <v>453</v>
      </c>
      <c r="B124" t="s">
        <v>1194</v>
      </c>
      <c r="C124">
        <v>443</v>
      </c>
      <c r="D124" t="s">
        <v>1051</v>
      </c>
      <c r="E124" t="s">
        <v>782</v>
      </c>
      <c r="F124">
        <v>4</v>
      </c>
      <c r="G124" t="s">
        <v>1055</v>
      </c>
      <c r="H124" t="s">
        <v>463</v>
      </c>
      <c r="I124" t="s">
        <v>801</v>
      </c>
      <c r="J124" t="s">
        <v>380</v>
      </c>
      <c r="Q124">
        <v>0</v>
      </c>
      <c r="R124">
        <v>0</v>
      </c>
      <c r="T124" t="s">
        <v>803</v>
      </c>
      <c r="U124" s="61" t="s">
        <v>460</v>
      </c>
      <c r="V124" t="s">
        <v>745</v>
      </c>
    </row>
    <row r="125" spans="1:22" x14ac:dyDescent="0.2">
      <c r="A125" t="s">
        <v>453</v>
      </c>
      <c r="B125" t="s">
        <v>1195</v>
      </c>
      <c r="C125">
        <v>444</v>
      </c>
      <c r="D125" t="s">
        <v>1051</v>
      </c>
      <c r="E125" t="s">
        <v>782</v>
      </c>
      <c r="F125">
        <v>5</v>
      </c>
      <c r="G125" t="s">
        <v>1055</v>
      </c>
      <c r="H125" t="s">
        <v>463</v>
      </c>
      <c r="I125" t="s">
        <v>802</v>
      </c>
      <c r="J125" t="s">
        <v>151</v>
      </c>
      <c r="Q125">
        <v>0</v>
      </c>
      <c r="R125">
        <v>0</v>
      </c>
      <c r="U125" s="61" t="s">
        <v>460</v>
      </c>
      <c r="V125" t="s">
        <v>745</v>
      </c>
    </row>
    <row r="126" spans="1:22" x14ac:dyDescent="0.2">
      <c r="A126" t="s">
        <v>453</v>
      </c>
      <c r="B126" t="s">
        <v>1196</v>
      </c>
      <c r="C126">
        <v>445</v>
      </c>
      <c r="D126" t="s">
        <v>1051</v>
      </c>
      <c r="E126" t="s">
        <v>782</v>
      </c>
      <c r="F126">
        <v>6</v>
      </c>
      <c r="G126" t="s">
        <v>1055</v>
      </c>
      <c r="H126" t="s">
        <v>463</v>
      </c>
      <c r="I126" t="s">
        <v>804</v>
      </c>
      <c r="J126" t="s">
        <v>380</v>
      </c>
      <c r="Q126">
        <v>0</v>
      </c>
      <c r="R126">
        <v>0</v>
      </c>
      <c r="U126" s="61" t="s">
        <v>460</v>
      </c>
      <c r="V126" t="s">
        <v>745</v>
      </c>
    </row>
    <row r="127" spans="1:22" x14ac:dyDescent="0.2">
      <c r="A127" t="s">
        <v>453</v>
      </c>
      <c r="B127" t="s">
        <v>1197</v>
      </c>
      <c r="C127">
        <v>446</v>
      </c>
      <c r="D127" t="s">
        <v>1051</v>
      </c>
      <c r="E127" t="s">
        <v>782</v>
      </c>
      <c r="F127">
        <v>7</v>
      </c>
      <c r="G127" t="s">
        <v>1055</v>
      </c>
      <c r="H127" t="s">
        <v>463</v>
      </c>
      <c r="I127" t="s">
        <v>805</v>
      </c>
      <c r="J127" t="s">
        <v>380</v>
      </c>
      <c r="Q127">
        <v>0</v>
      </c>
      <c r="R127">
        <v>0</v>
      </c>
      <c r="U127" s="61" t="s">
        <v>460</v>
      </c>
      <c r="V127" t="s">
        <v>745</v>
      </c>
    </row>
    <row r="128" spans="1:22" x14ac:dyDescent="0.2">
      <c r="A128" t="s">
        <v>453</v>
      </c>
      <c r="B128" t="s">
        <v>1198</v>
      </c>
      <c r="C128">
        <v>447</v>
      </c>
      <c r="D128" t="s">
        <v>1051</v>
      </c>
      <c r="E128" t="s">
        <v>782</v>
      </c>
      <c r="F128">
        <v>8</v>
      </c>
      <c r="G128" t="s">
        <v>1055</v>
      </c>
      <c r="H128" t="s">
        <v>463</v>
      </c>
      <c r="I128" t="s">
        <v>806</v>
      </c>
      <c r="J128" t="s">
        <v>151</v>
      </c>
      <c r="Q128">
        <v>0</v>
      </c>
      <c r="R128">
        <v>0</v>
      </c>
      <c r="U128" s="61" t="s">
        <v>460</v>
      </c>
      <c r="V128" t="s">
        <v>745</v>
      </c>
    </row>
    <row r="129" spans="1:22" x14ac:dyDescent="0.2">
      <c r="A129" t="s">
        <v>453</v>
      </c>
      <c r="B129" t="s">
        <v>1199</v>
      </c>
      <c r="C129">
        <v>448</v>
      </c>
      <c r="D129" t="s">
        <v>1051</v>
      </c>
      <c r="E129" t="s">
        <v>782</v>
      </c>
      <c r="F129">
        <v>9</v>
      </c>
      <c r="G129" t="s">
        <v>1055</v>
      </c>
      <c r="H129" t="s">
        <v>463</v>
      </c>
      <c r="I129" t="s">
        <v>807</v>
      </c>
      <c r="J129" t="s">
        <v>380</v>
      </c>
      <c r="Q129">
        <v>0</v>
      </c>
      <c r="R129">
        <v>0</v>
      </c>
      <c r="U129" s="61" t="s">
        <v>460</v>
      </c>
      <c r="V129" t="s">
        <v>745</v>
      </c>
    </row>
    <row r="130" spans="1:22" x14ac:dyDescent="0.2">
      <c r="A130" t="s">
        <v>453</v>
      </c>
      <c r="B130" t="s">
        <v>1200</v>
      </c>
      <c r="C130">
        <v>449</v>
      </c>
      <c r="D130" t="s">
        <v>1051</v>
      </c>
      <c r="E130" t="s">
        <v>782</v>
      </c>
      <c r="F130">
        <v>10</v>
      </c>
      <c r="G130" t="s">
        <v>1055</v>
      </c>
      <c r="H130" t="s">
        <v>463</v>
      </c>
      <c r="I130" t="s">
        <v>808</v>
      </c>
      <c r="J130" t="s">
        <v>380</v>
      </c>
      <c r="Q130">
        <v>0</v>
      </c>
      <c r="R130">
        <v>0</v>
      </c>
      <c r="U130" s="61" t="s">
        <v>460</v>
      </c>
      <c r="V130" t="s">
        <v>745</v>
      </c>
    </row>
    <row r="131" spans="1:22" x14ac:dyDescent="0.2">
      <c r="A131" t="s">
        <v>453</v>
      </c>
      <c r="B131" t="s">
        <v>1201</v>
      </c>
      <c r="C131">
        <v>252</v>
      </c>
      <c r="D131" t="s">
        <v>1051</v>
      </c>
      <c r="E131" t="s">
        <v>783</v>
      </c>
      <c r="F131">
        <v>1</v>
      </c>
      <c r="G131" t="s">
        <v>1056</v>
      </c>
      <c r="H131" t="s">
        <v>482</v>
      </c>
      <c r="I131" t="s">
        <v>483</v>
      </c>
      <c r="J131" t="s">
        <v>380</v>
      </c>
      <c r="K131">
        <v>1</v>
      </c>
      <c r="Q131">
        <v>0</v>
      </c>
      <c r="R131">
        <v>0</v>
      </c>
      <c r="U131" s="61" t="s">
        <v>958</v>
      </c>
      <c r="V131" t="s">
        <v>482</v>
      </c>
    </row>
    <row r="132" spans="1:22" x14ac:dyDescent="0.2">
      <c r="A132" t="s">
        <v>453</v>
      </c>
      <c r="B132" t="s">
        <v>1202</v>
      </c>
      <c r="C132">
        <v>253</v>
      </c>
      <c r="D132" t="s">
        <v>1051</v>
      </c>
      <c r="E132" t="s">
        <v>783</v>
      </c>
      <c r="F132">
        <v>2</v>
      </c>
      <c r="G132" t="s">
        <v>1056</v>
      </c>
      <c r="H132" t="s">
        <v>482</v>
      </c>
      <c r="I132" t="s">
        <v>484</v>
      </c>
      <c r="J132" t="s">
        <v>380</v>
      </c>
      <c r="K132">
        <v>1</v>
      </c>
      <c r="Q132">
        <v>0</v>
      </c>
      <c r="R132">
        <v>0</v>
      </c>
      <c r="U132" s="61" t="s">
        <v>958</v>
      </c>
      <c r="V132" t="s">
        <v>482</v>
      </c>
    </row>
    <row r="133" spans="1:22" x14ac:dyDescent="0.2">
      <c r="A133" t="s">
        <v>453</v>
      </c>
      <c r="B133" t="s">
        <v>1203</v>
      </c>
      <c r="C133">
        <v>254</v>
      </c>
      <c r="D133" t="s">
        <v>1051</v>
      </c>
      <c r="E133" t="s">
        <v>783</v>
      </c>
      <c r="F133">
        <v>3</v>
      </c>
      <c r="G133" t="s">
        <v>1056</v>
      </c>
      <c r="H133" t="s">
        <v>482</v>
      </c>
      <c r="I133" t="s">
        <v>485</v>
      </c>
      <c r="J133" t="s">
        <v>152</v>
      </c>
      <c r="K133">
        <v>1</v>
      </c>
      <c r="Q133">
        <v>0</v>
      </c>
      <c r="R133">
        <v>0</v>
      </c>
      <c r="U133" s="61" t="s">
        <v>958</v>
      </c>
      <c r="V133" t="s">
        <v>482</v>
      </c>
    </row>
    <row r="134" spans="1:22" x14ac:dyDescent="0.2">
      <c r="A134" t="s">
        <v>453</v>
      </c>
      <c r="B134" t="s">
        <v>1204</v>
      </c>
      <c r="C134">
        <v>255</v>
      </c>
      <c r="D134" t="s">
        <v>1051</v>
      </c>
      <c r="E134" t="s">
        <v>783</v>
      </c>
      <c r="F134">
        <v>4</v>
      </c>
      <c r="G134" t="s">
        <v>1056</v>
      </c>
      <c r="H134" t="s">
        <v>482</v>
      </c>
      <c r="I134" t="s">
        <v>486</v>
      </c>
      <c r="J134" t="s">
        <v>152</v>
      </c>
      <c r="K134">
        <v>1</v>
      </c>
      <c r="Q134">
        <v>0</v>
      </c>
      <c r="R134">
        <v>0</v>
      </c>
      <c r="U134" s="61" t="s">
        <v>958</v>
      </c>
      <c r="V134" t="s">
        <v>482</v>
      </c>
    </row>
    <row r="135" spans="1:22" x14ac:dyDescent="0.2">
      <c r="A135" t="s">
        <v>453</v>
      </c>
      <c r="B135" t="s">
        <v>1205</v>
      </c>
      <c r="C135">
        <v>256</v>
      </c>
      <c r="D135" t="s">
        <v>1051</v>
      </c>
      <c r="E135" t="s">
        <v>783</v>
      </c>
      <c r="F135">
        <v>5</v>
      </c>
      <c r="G135" t="s">
        <v>1056</v>
      </c>
      <c r="H135" t="s">
        <v>482</v>
      </c>
      <c r="I135" t="s">
        <v>487</v>
      </c>
      <c r="J135" t="s">
        <v>380</v>
      </c>
      <c r="K135">
        <v>1</v>
      </c>
      <c r="Q135">
        <v>0</v>
      </c>
      <c r="R135">
        <v>0</v>
      </c>
      <c r="U135" s="61" t="s">
        <v>958</v>
      </c>
      <c r="V135" t="s">
        <v>482</v>
      </c>
    </row>
    <row r="136" spans="1:22" x14ac:dyDescent="0.2">
      <c r="A136" t="s">
        <v>453</v>
      </c>
      <c r="B136" t="s">
        <v>1206</v>
      </c>
      <c r="C136">
        <v>257</v>
      </c>
      <c r="D136" t="s">
        <v>1051</v>
      </c>
      <c r="E136" t="s">
        <v>783</v>
      </c>
      <c r="F136">
        <v>6</v>
      </c>
      <c r="G136" t="s">
        <v>1056</v>
      </c>
      <c r="H136" t="s">
        <v>482</v>
      </c>
      <c r="I136" t="s">
        <v>488</v>
      </c>
      <c r="J136" t="s">
        <v>380</v>
      </c>
      <c r="K136">
        <v>1</v>
      </c>
      <c r="Q136">
        <v>0</v>
      </c>
      <c r="R136">
        <v>0</v>
      </c>
      <c r="U136" s="61" t="s">
        <v>958</v>
      </c>
      <c r="V136" t="s">
        <v>482</v>
      </c>
    </row>
    <row r="137" spans="1:22" x14ac:dyDescent="0.2">
      <c r="A137" t="s">
        <v>453</v>
      </c>
      <c r="B137" t="s">
        <v>1207</v>
      </c>
      <c r="C137">
        <v>258</v>
      </c>
      <c r="D137" t="s">
        <v>1051</v>
      </c>
      <c r="E137" t="s">
        <v>784</v>
      </c>
      <c r="F137">
        <v>1</v>
      </c>
      <c r="G137" t="s">
        <v>1057</v>
      </c>
      <c r="H137" t="s">
        <v>490</v>
      </c>
      <c r="I137" t="s">
        <v>491</v>
      </c>
      <c r="J137" t="s">
        <v>492</v>
      </c>
      <c r="Q137">
        <v>0</v>
      </c>
      <c r="R137">
        <v>0</v>
      </c>
      <c r="U137" s="61" t="s">
        <v>489</v>
      </c>
      <c r="V137" t="s">
        <v>746</v>
      </c>
    </row>
    <row r="138" spans="1:22" x14ac:dyDescent="0.2">
      <c r="A138" t="s">
        <v>453</v>
      </c>
      <c r="B138" t="s">
        <v>1208</v>
      </c>
      <c r="C138">
        <v>259</v>
      </c>
      <c r="D138" t="s">
        <v>1051</v>
      </c>
      <c r="E138" t="s">
        <v>784</v>
      </c>
      <c r="F138">
        <v>2</v>
      </c>
      <c r="G138" t="s">
        <v>1057</v>
      </c>
      <c r="H138" t="s">
        <v>490</v>
      </c>
      <c r="I138" t="s">
        <v>493</v>
      </c>
      <c r="J138" t="s">
        <v>492</v>
      </c>
      <c r="Q138">
        <v>0</v>
      </c>
      <c r="R138">
        <v>0</v>
      </c>
      <c r="U138" s="61" t="s">
        <v>489</v>
      </c>
      <c r="V138" t="s">
        <v>746</v>
      </c>
    </row>
    <row r="139" spans="1:22" x14ac:dyDescent="0.2">
      <c r="A139" t="s">
        <v>453</v>
      </c>
      <c r="B139" t="s">
        <v>1209</v>
      </c>
      <c r="C139">
        <v>260</v>
      </c>
      <c r="D139" t="s">
        <v>1051</v>
      </c>
      <c r="E139" t="s">
        <v>784</v>
      </c>
      <c r="F139">
        <v>3</v>
      </c>
      <c r="G139" t="s">
        <v>1057</v>
      </c>
      <c r="H139" t="s">
        <v>490</v>
      </c>
      <c r="I139" t="s">
        <v>991</v>
      </c>
      <c r="J139" t="s">
        <v>492</v>
      </c>
      <c r="Q139">
        <v>0</v>
      </c>
      <c r="R139">
        <v>0</v>
      </c>
      <c r="U139" s="61" t="s">
        <v>489</v>
      </c>
      <c r="V139" t="s">
        <v>746</v>
      </c>
    </row>
    <row r="140" spans="1:22" x14ac:dyDescent="0.2">
      <c r="A140" t="s">
        <v>453</v>
      </c>
      <c r="B140" t="s">
        <v>1210</v>
      </c>
      <c r="C140">
        <v>261</v>
      </c>
      <c r="D140" t="s">
        <v>1051</v>
      </c>
      <c r="E140" t="s">
        <v>784</v>
      </c>
      <c r="F140">
        <v>4</v>
      </c>
      <c r="G140" t="s">
        <v>1057</v>
      </c>
      <c r="H140" t="s">
        <v>490</v>
      </c>
      <c r="I140" t="s">
        <v>494</v>
      </c>
      <c r="J140" t="s">
        <v>492</v>
      </c>
      <c r="Q140">
        <v>0</v>
      </c>
      <c r="R140">
        <v>0</v>
      </c>
      <c r="U140" s="61" t="s">
        <v>489</v>
      </c>
      <c r="V140" t="s">
        <v>746</v>
      </c>
    </row>
    <row r="141" spans="1:22" x14ac:dyDescent="0.2">
      <c r="A141" t="s">
        <v>20</v>
      </c>
      <c r="B141" t="s">
        <v>1211</v>
      </c>
      <c r="C141">
        <v>347</v>
      </c>
      <c r="D141" t="s">
        <v>1051</v>
      </c>
      <c r="E141" t="s">
        <v>785</v>
      </c>
      <c r="F141">
        <v>1</v>
      </c>
      <c r="G141" t="s">
        <v>1059</v>
      </c>
      <c r="H141" t="s">
        <v>596</v>
      </c>
      <c r="I141" t="s">
        <v>604</v>
      </c>
      <c r="J141" t="s">
        <v>152</v>
      </c>
      <c r="Q141">
        <v>0</v>
      </c>
      <c r="R141">
        <v>0</v>
      </c>
      <c r="U141" s="61" t="s">
        <v>958</v>
      </c>
      <c r="V141" t="s">
        <v>596</v>
      </c>
    </row>
    <row r="142" spans="1:22" x14ac:dyDescent="0.2">
      <c r="A142" t="s">
        <v>20</v>
      </c>
      <c r="B142" t="s">
        <v>1212</v>
      </c>
      <c r="C142">
        <v>348</v>
      </c>
      <c r="D142" t="s">
        <v>1051</v>
      </c>
      <c r="E142" t="s">
        <v>785</v>
      </c>
      <c r="F142">
        <v>2</v>
      </c>
      <c r="G142" t="s">
        <v>1059</v>
      </c>
      <c r="H142" t="s">
        <v>596</v>
      </c>
      <c r="I142" t="s">
        <v>605</v>
      </c>
      <c r="J142" t="s">
        <v>152</v>
      </c>
      <c r="Q142">
        <v>0</v>
      </c>
      <c r="R142">
        <v>0</v>
      </c>
      <c r="U142" s="61" t="s">
        <v>958</v>
      </c>
      <c r="V142" t="s">
        <v>596</v>
      </c>
    </row>
    <row r="143" spans="1:22" x14ac:dyDescent="0.2">
      <c r="A143" t="s">
        <v>20</v>
      </c>
      <c r="B143" t="s">
        <v>1213</v>
      </c>
      <c r="C143">
        <v>349</v>
      </c>
      <c r="D143" t="s">
        <v>1051</v>
      </c>
      <c r="E143" t="s">
        <v>785</v>
      </c>
      <c r="F143">
        <v>3</v>
      </c>
      <c r="G143" t="s">
        <v>1059</v>
      </c>
      <c r="H143" t="s">
        <v>596</v>
      </c>
      <c r="I143" t="s">
        <v>606</v>
      </c>
      <c r="J143" t="s">
        <v>179</v>
      </c>
      <c r="Q143">
        <v>0</v>
      </c>
      <c r="R143">
        <v>0</v>
      </c>
      <c r="U143" s="61" t="s">
        <v>958</v>
      </c>
      <c r="V143" t="s">
        <v>596</v>
      </c>
    </row>
    <row r="144" spans="1:22" x14ac:dyDescent="0.2">
      <c r="A144" t="s">
        <v>20</v>
      </c>
      <c r="B144" t="s">
        <v>1214</v>
      </c>
      <c r="C144">
        <v>350</v>
      </c>
      <c r="D144" t="s">
        <v>1051</v>
      </c>
      <c r="E144" t="s">
        <v>785</v>
      </c>
      <c r="F144">
        <v>4</v>
      </c>
      <c r="G144" t="s">
        <v>1059</v>
      </c>
      <c r="H144" t="s">
        <v>596</v>
      </c>
      <c r="I144" t="s">
        <v>607</v>
      </c>
      <c r="J144" t="s">
        <v>179</v>
      </c>
      <c r="Q144">
        <v>0</v>
      </c>
      <c r="R144">
        <v>0</v>
      </c>
      <c r="U144" s="61" t="s">
        <v>958</v>
      </c>
      <c r="V144" t="s">
        <v>596</v>
      </c>
    </row>
    <row r="145" spans="1:22" x14ac:dyDescent="0.2">
      <c r="A145" t="s">
        <v>20</v>
      </c>
      <c r="B145" t="s">
        <v>1215</v>
      </c>
      <c r="C145">
        <v>351</v>
      </c>
      <c r="D145" t="s">
        <v>1051</v>
      </c>
      <c r="E145" t="s">
        <v>785</v>
      </c>
      <c r="F145">
        <v>5</v>
      </c>
      <c r="G145" t="s">
        <v>1059</v>
      </c>
      <c r="H145" t="s">
        <v>596</v>
      </c>
      <c r="I145" t="s">
        <v>994</v>
      </c>
      <c r="J145" t="s">
        <v>179</v>
      </c>
      <c r="Q145">
        <v>0</v>
      </c>
      <c r="R145">
        <v>0</v>
      </c>
      <c r="U145" s="61" t="s">
        <v>958</v>
      </c>
      <c r="V145" t="s">
        <v>596</v>
      </c>
    </row>
    <row r="146" spans="1:22" x14ac:dyDescent="0.2">
      <c r="A146" t="s">
        <v>20</v>
      </c>
      <c r="B146" t="s">
        <v>1216</v>
      </c>
      <c r="C146">
        <v>352</v>
      </c>
      <c r="D146" t="s">
        <v>1051</v>
      </c>
      <c r="E146" t="s">
        <v>785</v>
      </c>
      <c r="F146">
        <v>6</v>
      </c>
      <c r="G146" t="s">
        <v>1059</v>
      </c>
      <c r="H146" t="s">
        <v>596</v>
      </c>
      <c r="I146" t="s">
        <v>995</v>
      </c>
      <c r="J146" t="s">
        <v>179</v>
      </c>
      <c r="Q146">
        <v>0</v>
      </c>
      <c r="R146">
        <v>0</v>
      </c>
      <c r="U146" s="61" t="s">
        <v>958</v>
      </c>
      <c r="V146" t="s">
        <v>596</v>
      </c>
    </row>
    <row r="147" spans="1:22" x14ac:dyDescent="0.2">
      <c r="A147" t="s">
        <v>20</v>
      </c>
      <c r="B147" t="s">
        <v>1217</v>
      </c>
      <c r="C147">
        <v>353</v>
      </c>
      <c r="D147" t="s">
        <v>1051</v>
      </c>
      <c r="E147" t="s">
        <v>785</v>
      </c>
      <c r="F147">
        <v>7</v>
      </c>
      <c r="G147" t="s">
        <v>1059</v>
      </c>
      <c r="H147" t="s">
        <v>596</v>
      </c>
      <c r="I147" t="s">
        <v>608</v>
      </c>
      <c r="J147" t="s">
        <v>152</v>
      </c>
      <c r="Q147">
        <v>0</v>
      </c>
      <c r="R147">
        <v>0</v>
      </c>
      <c r="U147" s="61" t="s">
        <v>958</v>
      </c>
      <c r="V147" t="s">
        <v>596</v>
      </c>
    </row>
    <row r="148" spans="1:22" x14ac:dyDescent="0.2">
      <c r="A148" t="s">
        <v>20</v>
      </c>
      <c r="B148" t="s">
        <v>1218</v>
      </c>
      <c r="C148">
        <v>354</v>
      </c>
      <c r="D148" t="s">
        <v>1051</v>
      </c>
      <c r="E148" t="s">
        <v>785</v>
      </c>
      <c r="F148">
        <v>8</v>
      </c>
      <c r="G148" t="s">
        <v>1059</v>
      </c>
      <c r="H148" t="s">
        <v>596</v>
      </c>
      <c r="I148" t="s">
        <v>609</v>
      </c>
      <c r="J148" t="s">
        <v>152</v>
      </c>
      <c r="Q148">
        <v>0</v>
      </c>
      <c r="R148">
        <v>0</v>
      </c>
      <c r="U148" s="61" t="s">
        <v>958</v>
      </c>
      <c r="V148" t="s">
        <v>596</v>
      </c>
    </row>
    <row r="149" spans="1:22" x14ac:dyDescent="0.2">
      <c r="A149" t="s">
        <v>20</v>
      </c>
      <c r="B149" t="s">
        <v>1219</v>
      </c>
      <c r="C149">
        <v>355</v>
      </c>
      <c r="D149" t="s">
        <v>1051</v>
      </c>
      <c r="E149" t="s">
        <v>785</v>
      </c>
      <c r="F149">
        <v>9</v>
      </c>
      <c r="G149" t="s">
        <v>1059</v>
      </c>
      <c r="H149" t="s">
        <v>596</v>
      </c>
      <c r="I149" t="s">
        <v>610</v>
      </c>
      <c r="J149" t="s">
        <v>152</v>
      </c>
      <c r="Q149">
        <v>0</v>
      </c>
      <c r="R149">
        <v>0</v>
      </c>
      <c r="U149" s="61" t="s">
        <v>958</v>
      </c>
      <c r="V149" t="s">
        <v>596</v>
      </c>
    </row>
    <row r="150" spans="1:22" x14ac:dyDescent="0.2">
      <c r="A150" t="s">
        <v>20</v>
      </c>
      <c r="B150" t="s">
        <v>1220</v>
      </c>
      <c r="C150">
        <v>356</v>
      </c>
      <c r="D150" t="s">
        <v>1051</v>
      </c>
      <c r="E150" t="s">
        <v>785</v>
      </c>
      <c r="F150">
        <v>10</v>
      </c>
      <c r="G150" t="s">
        <v>1059</v>
      </c>
      <c r="H150" t="s">
        <v>596</v>
      </c>
      <c r="I150" t="s">
        <v>611</v>
      </c>
      <c r="J150" t="s">
        <v>152</v>
      </c>
      <c r="Q150">
        <v>0</v>
      </c>
      <c r="R150">
        <v>0</v>
      </c>
      <c r="U150" s="61" t="s">
        <v>958</v>
      </c>
      <c r="V150" t="s">
        <v>596</v>
      </c>
    </row>
    <row r="151" spans="1:22" x14ac:dyDescent="0.2">
      <c r="A151" t="s">
        <v>20</v>
      </c>
      <c r="B151" t="s">
        <v>1221</v>
      </c>
      <c r="C151">
        <v>357</v>
      </c>
      <c r="D151" t="s">
        <v>1051</v>
      </c>
      <c r="E151" t="s">
        <v>785</v>
      </c>
      <c r="F151">
        <v>11</v>
      </c>
      <c r="G151" t="s">
        <v>1059</v>
      </c>
      <c r="H151" t="s">
        <v>596</v>
      </c>
      <c r="I151" t="s">
        <v>612</v>
      </c>
      <c r="J151" t="s">
        <v>152</v>
      </c>
      <c r="Q151">
        <v>0</v>
      </c>
      <c r="R151">
        <v>0</v>
      </c>
      <c r="U151" s="61" t="s">
        <v>958</v>
      </c>
      <c r="V151" t="s">
        <v>596</v>
      </c>
    </row>
    <row r="152" spans="1:22" x14ac:dyDescent="0.2">
      <c r="A152" t="s">
        <v>20</v>
      </c>
      <c r="B152" t="s">
        <v>1222</v>
      </c>
      <c r="C152">
        <v>358</v>
      </c>
      <c r="D152" t="s">
        <v>1051</v>
      </c>
      <c r="E152" t="s">
        <v>785</v>
      </c>
      <c r="F152">
        <v>12</v>
      </c>
      <c r="G152" t="s">
        <v>1059</v>
      </c>
      <c r="H152" t="s">
        <v>596</v>
      </c>
      <c r="I152" t="s">
        <v>613</v>
      </c>
      <c r="J152" t="s">
        <v>152</v>
      </c>
      <c r="Q152">
        <v>0</v>
      </c>
      <c r="R152">
        <v>0</v>
      </c>
      <c r="U152" s="61" t="s">
        <v>958</v>
      </c>
      <c r="V152" t="s">
        <v>596</v>
      </c>
    </row>
    <row r="153" spans="1:22" x14ac:dyDescent="0.2">
      <c r="A153" t="s">
        <v>20</v>
      </c>
      <c r="B153" t="s">
        <v>1223</v>
      </c>
      <c r="C153">
        <v>359</v>
      </c>
      <c r="D153" t="s">
        <v>1051</v>
      </c>
      <c r="E153" t="s">
        <v>785</v>
      </c>
      <c r="F153">
        <v>13</v>
      </c>
      <c r="G153" t="s">
        <v>1059</v>
      </c>
      <c r="H153" t="s">
        <v>596</v>
      </c>
      <c r="I153" t="s">
        <v>614</v>
      </c>
      <c r="J153" t="s">
        <v>152</v>
      </c>
      <c r="Q153">
        <v>0</v>
      </c>
      <c r="R153">
        <v>0</v>
      </c>
      <c r="U153" s="61" t="s">
        <v>958</v>
      </c>
      <c r="V153" t="s">
        <v>596</v>
      </c>
    </row>
    <row r="154" spans="1:22" x14ac:dyDescent="0.2">
      <c r="A154" t="s">
        <v>20</v>
      </c>
      <c r="B154" t="s">
        <v>1224</v>
      </c>
      <c r="C154">
        <v>360</v>
      </c>
      <c r="D154" t="s">
        <v>1051</v>
      </c>
      <c r="E154" t="s">
        <v>785</v>
      </c>
      <c r="F154">
        <v>14</v>
      </c>
      <c r="G154" t="s">
        <v>1059</v>
      </c>
      <c r="H154" t="s">
        <v>596</v>
      </c>
      <c r="I154" t="s">
        <v>615</v>
      </c>
      <c r="J154" t="s">
        <v>152</v>
      </c>
      <c r="Q154">
        <v>0</v>
      </c>
      <c r="R154">
        <v>0</v>
      </c>
      <c r="U154" s="61" t="s">
        <v>958</v>
      </c>
      <c r="V154" t="s">
        <v>596</v>
      </c>
    </row>
    <row r="155" spans="1:22" x14ac:dyDescent="0.2">
      <c r="A155" t="s">
        <v>20</v>
      </c>
      <c r="B155" t="s">
        <v>1225</v>
      </c>
      <c r="C155">
        <v>361</v>
      </c>
      <c r="D155" t="s">
        <v>1051</v>
      </c>
      <c r="E155" t="s">
        <v>785</v>
      </c>
      <c r="F155">
        <v>15</v>
      </c>
      <c r="G155" t="s">
        <v>1059</v>
      </c>
      <c r="H155" t="s">
        <v>596</v>
      </c>
      <c r="I155" t="s">
        <v>616</v>
      </c>
      <c r="J155" t="s">
        <v>147</v>
      </c>
      <c r="Q155">
        <v>0</v>
      </c>
      <c r="R155">
        <v>0</v>
      </c>
      <c r="U155" s="61" t="s">
        <v>958</v>
      </c>
      <c r="V155" t="s">
        <v>596</v>
      </c>
    </row>
    <row r="156" spans="1:22" x14ac:dyDescent="0.2">
      <c r="A156" t="s">
        <v>20</v>
      </c>
      <c r="B156" t="s">
        <v>1226</v>
      </c>
      <c r="C156">
        <v>362</v>
      </c>
      <c r="D156" t="s">
        <v>1051</v>
      </c>
      <c r="E156" t="s">
        <v>785</v>
      </c>
      <c r="F156">
        <v>16</v>
      </c>
      <c r="G156" t="s">
        <v>1059</v>
      </c>
      <c r="H156" t="s">
        <v>596</v>
      </c>
      <c r="I156" t="s">
        <v>617</v>
      </c>
      <c r="J156" t="s">
        <v>152</v>
      </c>
      <c r="Q156">
        <v>0</v>
      </c>
      <c r="R156">
        <v>0</v>
      </c>
      <c r="U156" s="61" t="s">
        <v>958</v>
      </c>
      <c r="V156" t="s">
        <v>596</v>
      </c>
    </row>
    <row r="157" spans="1:22" x14ac:dyDescent="0.2">
      <c r="A157" t="s">
        <v>20</v>
      </c>
      <c r="B157" t="s">
        <v>1227</v>
      </c>
      <c r="C157">
        <v>363</v>
      </c>
      <c r="D157" t="s">
        <v>1051</v>
      </c>
      <c r="E157" t="s">
        <v>785</v>
      </c>
      <c r="F157">
        <v>17</v>
      </c>
      <c r="G157" t="s">
        <v>1059</v>
      </c>
      <c r="H157" t="s">
        <v>596</v>
      </c>
      <c r="I157" t="s">
        <v>618</v>
      </c>
      <c r="J157" t="s">
        <v>152</v>
      </c>
      <c r="Q157">
        <v>0</v>
      </c>
      <c r="R157">
        <v>0</v>
      </c>
      <c r="U157" s="61" t="s">
        <v>958</v>
      </c>
      <c r="V157" t="s">
        <v>596</v>
      </c>
    </row>
    <row r="158" spans="1:22" x14ac:dyDescent="0.2">
      <c r="A158" t="s">
        <v>20</v>
      </c>
      <c r="B158" t="s">
        <v>1228</v>
      </c>
      <c r="C158">
        <v>364</v>
      </c>
      <c r="D158" t="s">
        <v>1051</v>
      </c>
      <c r="E158" t="s">
        <v>785</v>
      </c>
      <c r="F158">
        <v>18</v>
      </c>
      <c r="G158" t="s">
        <v>1059</v>
      </c>
      <c r="H158" t="s">
        <v>596</v>
      </c>
      <c r="I158" t="s">
        <v>619</v>
      </c>
      <c r="J158" t="s">
        <v>179</v>
      </c>
      <c r="Q158">
        <v>0</v>
      </c>
      <c r="R158">
        <v>0</v>
      </c>
      <c r="U158" s="61" t="s">
        <v>958</v>
      </c>
      <c r="V158" t="s">
        <v>596</v>
      </c>
    </row>
    <row r="159" spans="1:22" x14ac:dyDescent="0.2">
      <c r="A159" t="s">
        <v>20</v>
      </c>
      <c r="B159" t="s">
        <v>1229</v>
      </c>
      <c r="C159">
        <v>365</v>
      </c>
      <c r="D159" t="s">
        <v>1051</v>
      </c>
      <c r="E159" t="s">
        <v>785</v>
      </c>
      <c r="F159">
        <v>19</v>
      </c>
      <c r="G159" t="s">
        <v>1059</v>
      </c>
      <c r="H159" t="s">
        <v>596</v>
      </c>
      <c r="I159" t="s">
        <v>620</v>
      </c>
      <c r="J159" t="s">
        <v>179</v>
      </c>
      <c r="Q159">
        <v>0</v>
      </c>
      <c r="R159">
        <v>0</v>
      </c>
      <c r="U159" s="61" t="s">
        <v>958</v>
      </c>
      <c r="V159" t="s">
        <v>596</v>
      </c>
    </row>
    <row r="160" spans="1:22" x14ac:dyDescent="0.2">
      <c r="A160" t="s">
        <v>20</v>
      </c>
      <c r="B160" t="s">
        <v>1230</v>
      </c>
      <c r="C160">
        <v>366</v>
      </c>
      <c r="D160" t="s">
        <v>1051</v>
      </c>
      <c r="E160" t="s">
        <v>785</v>
      </c>
      <c r="F160">
        <v>20</v>
      </c>
      <c r="G160" t="s">
        <v>1059</v>
      </c>
      <c r="H160" t="s">
        <v>596</v>
      </c>
      <c r="I160" t="s">
        <v>996</v>
      </c>
      <c r="J160" t="s">
        <v>179</v>
      </c>
      <c r="Q160">
        <v>0</v>
      </c>
      <c r="R160">
        <v>0</v>
      </c>
      <c r="U160" s="61" t="s">
        <v>958</v>
      </c>
      <c r="V160" t="s">
        <v>596</v>
      </c>
    </row>
    <row r="161" spans="1:22" x14ac:dyDescent="0.2">
      <c r="A161" t="s">
        <v>20</v>
      </c>
      <c r="B161" t="s">
        <v>1231</v>
      </c>
      <c r="C161">
        <v>367</v>
      </c>
      <c r="D161" t="s">
        <v>1051</v>
      </c>
      <c r="E161" t="s">
        <v>785</v>
      </c>
      <c r="F161">
        <v>21</v>
      </c>
      <c r="G161" t="s">
        <v>1059</v>
      </c>
      <c r="H161" t="s">
        <v>596</v>
      </c>
      <c r="I161" t="s">
        <v>621</v>
      </c>
      <c r="J161" t="s">
        <v>179</v>
      </c>
      <c r="Q161">
        <v>0</v>
      </c>
      <c r="R161">
        <v>0</v>
      </c>
      <c r="U161" s="61" t="s">
        <v>958</v>
      </c>
      <c r="V161" t="s">
        <v>596</v>
      </c>
    </row>
    <row r="162" spans="1:22" x14ac:dyDescent="0.2">
      <c r="A162" t="s">
        <v>20</v>
      </c>
      <c r="B162" t="s">
        <v>1232</v>
      </c>
      <c r="C162">
        <v>368</v>
      </c>
      <c r="D162" t="s">
        <v>1051</v>
      </c>
      <c r="E162" t="s">
        <v>785</v>
      </c>
      <c r="F162">
        <v>22</v>
      </c>
      <c r="G162" t="s">
        <v>1059</v>
      </c>
      <c r="H162" t="s">
        <v>596</v>
      </c>
      <c r="I162" t="s">
        <v>997</v>
      </c>
      <c r="J162" t="s">
        <v>179</v>
      </c>
      <c r="Q162">
        <v>0</v>
      </c>
      <c r="R162">
        <v>0</v>
      </c>
      <c r="U162" s="61" t="s">
        <v>958</v>
      </c>
      <c r="V162" t="s">
        <v>596</v>
      </c>
    </row>
    <row r="163" spans="1:22" x14ac:dyDescent="0.2">
      <c r="A163" t="s">
        <v>20</v>
      </c>
      <c r="B163" t="s">
        <v>1233</v>
      </c>
      <c r="C163">
        <v>369</v>
      </c>
      <c r="D163" t="s">
        <v>1051</v>
      </c>
      <c r="E163" t="s">
        <v>785</v>
      </c>
      <c r="F163">
        <v>23</v>
      </c>
      <c r="G163" t="s">
        <v>1059</v>
      </c>
      <c r="H163" t="s">
        <v>596</v>
      </c>
      <c r="I163" t="s">
        <v>622</v>
      </c>
      <c r="J163" t="s">
        <v>147</v>
      </c>
      <c r="Q163">
        <v>0</v>
      </c>
      <c r="R163">
        <v>0</v>
      </c>
      <c r="U163" s="61" t="s">
        <v>958</v>
      </c>
      <c r="V163" t="s">
        <v>596</v>
      </c>
    </row>
    <row r="164" spans="1:22" x14ac:dyDescent="0.2">
      <c r="A164" t="s">
        <v>20</v>
      </c>
      <c r="B164" t="s">
        <v>1234</v>
      </c>
      <c r="C164">
        <v>370</v>
      </c>
      <c r="D164" t="s">
        <v>1051</v>
      </c>
      <c r="E164" t="s">
        <v>785</v>
      </c>
      <c r="F164">
        <v>24</v>
      </c>
      <c r="G164" t="s">
        <v>1059</v>
      </c>
      <c r="H164" t="s">
        <v>596</v>
      </c>
      <c r="I164" t="s">
        <v>623</v>
      </c>
      <c r="J164" t="s">
        <v>147</v>
      </c>
      <c r="Q164">
        <v>0</v>
      </c>
      <c r="R164">
        <v>0</v>
      </c>
      <c r="U164" s="61" t="s">
        <v>958</v>
      </c>
      <c r="V164" t="s">
        <v>596</v>
      </c>
    </row>
    <row r="165" spans="1:22" x14ac:dyDescent="0.2">
      <c r="A165" t="s">
        <v>20</v>
      </c>
      <c r="B165" t="s">
        <v>1235</v>
      </c>
      <c r="C165">
        <v>371</v>
      </c>
      <c r="D165" t="s">
        <v>1051</v>
      </c>
      <c r="E165" t="s">
        <v>785</v>
      </c>
      <c r="F165">
        <v>25</v>
      </c>
      <c r="G165" t="s">
        <v>1059</v>
      </c>
      <c r="H165" t="s">
        <v>596</v>
      </c>
      <c r="I165" t="s">
        <v>624</v>
      </c>
      <c r="J165" t="s">
        <v>147</v>
      </c>
      <c r="Q165">
        <v>0</v>
      </c>
      <c r="R165">
        <v>0</v>
      </c>
      <c r="U165" s="61" t="s">
        <v>958</v>
      </c>
      <c r="V165" t="s">
        <v>596</v>
      </c>
    </row>
    <row r="166" spans="1:22" x14ac:dyDescent="0.2">
      <c r="A166" t="s">
        <v>20</v>
      </c>
      <c r="B166" t="s">
        <v>1236</v>
      </c>
      <c r="C166">
        <v>372</v>
      </c>
      <c r="D166" t="s">
        <v>1051</v>
      </c>
      <c r="E166" t="s">
        <v>785</v>
      </c>
      <c r="F166">
        <v>26</v>
      </c>
      <c r="G166" t="s">
        <v>1059</v>
      </c>
      <c r="H166" t="s">
        <v>596</v>
      </c>
      <c r="I166" t="s">
        <v>625</v>
      </c>
      <c r="J166" t="s">
        <v>147</v>
      </c>
      <c r="Q166">
        <v>0</v>
      </c>
      <c r="R166">
        <v>0</v>
      </c>
      <c r="U166" s="61" t="s">
        <v>958</v>
      </c>
      <c r="V166" t="s">
        <v>596</v>
      </c>
    </row>
    <row r="167" spans="1:22" x14ac:dyDescent="0.2">
      <c r="A167" t="s">
        <v>20</v>
      </c>
      <c r="B167" t="s">
        <v>1237</v>
      </c>
      <c r="C167">
        <v>373</v>
      </c>
      <c r="D167" t="s">
        <v>1051</v>
      </c>
      <c r="E167" t="s">
        <v>785</v>
      </c>
      <c r="F167">
        <v>27</v>
      </c>
      <c r="G167" t="s">
        <v>1059</v>
      </c>
      <c r="H167" t="s">
        <v>596</v>
      </c>
      <c r="I167" t="s">
        <v>626</v>
      </c>
      <c r="J167" t="s">
        <v>147</v>
      </c>
      <c r="Q167">
        <v>0</v>
      </c>
      <c r="R167">
        <v>0</v>
      </c>
      <c r="U167" s="61" t="s">
        <v>958</v>
      </c>
      <c r="V167" t="s">
        <v>596</v>
      </c>
    </row>
    <row r="168" spans="1:22" x14ac:dyDescent="0.2">
      <c r="A168" t="s">
        <v>20</v>
      </c>
      <c r="B168" t="s">
        <v>1238</v>
      </c>
      <c r="C168">
        <v>374</v>
      </c>
      <c r="D168" t="s">
        <v>1051</v>
      </c>
      <c r="E168" t="s">
        <v>785</v>
      </c>
      <c r="F168">
        <v>28</v>
      </c>
      <c r="G168" t="s">
        <v>1059</v>
      </c>
      <c r="H168" t="s">
        <v>596</v>
      </c>
      <c r="I168" t="s">
        <v>998</v>
      </c>
      <c r="J168" t="s">
        <v>151</v>
      </c>
      <c r="Q168">
        <v>0</v>
      </c>
      <c r="R168">
        <v>0</v>
      </c>
      <c r="U168" s="61" t="s">
        <v>958</v>
      </c>
      <c r="V168" t="s">
        <v>596</v>
      </c>
    </row>
    <row r="169" spans="1:22" x14ac:dyDescent="0.2">
      <c r="A169" t="s">
        <v>20</v>
      </c>
      <c r="B169" t="s">
        <v>1239</v>
      </c>
      <c r="C169">
        <v>375</v>
      </c>
      <c r="D169" t="s">
        <v>1051</v>
      </c>
      <c r="E169" t="s">
        <v>785</v>
      </c>
      <c r="F169">
        <v>29</v>
      </c>
      <c r="G169" t="s">
        <v>1059</v>
      </c>
      <c r="H169" t="s">
        <v>596</v>
      </c>
      <c r="I169" t="s">
        <v>627</v>
      </c>
      <c r="J169" t="s">
        <v>179</v>
      </c>
      <c r="Q169">
        <v>0</v>
      </c>
      <c r="R169">
        <v>0</v>
      </c>
      <c r="U169" s="61" t="s">
        <v>958</v>
      </c>
      <c r="V169" t="s">
        <v>596</v>
      </c>
    </row>
    <row r="170" spans="1:22" x14ac:dyDescent="0.2">
      <c r="A170" t="s">
        <v>20</v>
      </c>
      <c r="B170" t="s">
        <v>1240</v>
      </c>
      <c r="C170">
        <v>376</v>
      </c>
      <c r="D170" t="s">
        <v>1051</v>
      </c>
      <c r="E170" t="s">
        <v>785</v>
      </c>
      <c r="F170">
        <v>30</v>
      </c>
      <c r="G170" t="s">
        <v>1059</v>
      </c>
      <c r="H170" t="s">
        <v>596</v>
      </c>
      <c r="I170" t="s">
        <v>628</v>
      </c>
      <c r="J170" t="s">
        <v>179</v>
      </c>
      <c r="Q170">
        <v>0</v>
      </c>
      <c r="R170">
        <v>0</v>
      </c>
      <c r="U170" s="61" t="s">
        <v>958</v>
      </c>
      <c r="V170" t="s">
        <v>596</v>
      </c>
    </row>
    <row r="171" spans="1:22" x14ac:dyDescent="0.2">
      <c r="A171" t="s">
        <v>20</v>
      </c>
      <c r="B171" t="s">
        <v>1241</v>
      </c>
      <c r="C171">
        <v>377</v>
      </c>
      <c r="D171" t="s">
        <v>1051</v>
      </c>
      <c r="E171" t="s">
        <v>785</v>
      </c>
      <c r="F171">
        <v>31</v>
      </c>
      <c r="G171" t="s">
        <v>1059</v>
      </c>
      <c r="H171" t="s">
        <v>596</v>
      </c>
      <c r="I171" t="s">
        <v>999</v>
      </c>
      <c r="J171" t="s">
        <v>179</v>
      </c>
      <c r="Q171">
        <v>0</v>
      </c>
      <c r="R171">
        <v>0</v>
      </c>
      <c r="U171" s="61" t="s">
        <v>958</v>
      </c>
      <c r="V171" t="s">
        <v>596</v>
      </c>
    </row>
    <row r="172" spans="1:22" x14ac:dyDescent="0.2">
      <c r="A172" t="s">
        <v>20</v>
      </c>
      <c r="B172" t="s">
        <v>1242</v>
      </c>
      <c r="C172">
        <v>378</v>
      </c>
      <c r="D172" t="s">
        <v>1051</v>
      </c>
      <c r="E172" t="s">
        <v>785</v>
      </c>
      <c r="F172">
        <v>32</v>
      </c>
      <c r="G172" t="s">
        <v>1059</v>
      </c>
      <c r="H172" t="s">
        <v>596</v>
      </c>
      <c r="I172" t="s">
        <v>629</v>
      </c>
      <c r="J172" t="s">
        <v>148</v>
      </c>
      <c r="Q172">
        <v>0</v>
      </c>
      <c r="R172">
        <v>0</v>
      </c>
      <c r="U172" s="61" t="s">
        <v>958</v>
      </c>
      <c r="V172" t="s">
        <v>596</v>
      </c>
    </row>
    <row r="173" spans="1:22" x14ac:dyDescent="0.2">
      <c r="A173" t="s">
        <v>20</v>
      </c>
      <c r="B173" t="s">
        <v>1243</v>
      </c>
      <c r="C173">
        <v>379</v>
      </c>
      <c r="D173" t="s">
        <v>1051</v>
      </c>
      <c r="E173" t="s">
        <v>785</v>
      </c>
      <c r="F173">
        <v>33</v>
      </c>
      <c r="G173" t="s">
        <v>1059</v>
      </c>
      <c r="H173" t="s">
        <v>596</v>
      </c>
      <c r="I173" t="s">
        <v>630</v>
      </c>
      <c r="J173" t="s">
        <v>179</v>
      </c>
      <c r="Q173">
        <v>0</v>
      </c>
      <c r="R173">
        <v>0</v>
      </c>
      <c r="U173" s="61" t="s">
        <v>958</v>
      </c>
      <c r="V173" t="s">
        <v>596</v>
      </c>
    </row>
    <row r="174" spans="1:22" x14ac:dyDescent="0.2">
      <c r="A174" t="s">
        <v>20</v>
      </c>
      <c r="B174" t="s">
        <v>1244</v>
      </c>
      <c r="C174">
        <v>380</v>
      </c>
      <c r="D174" t="s">
        <v>1051</v>
      </c>
      <c r="E174" t="s">
        <v>785</v>
      </c>
      <c r="F174">
        <v>34</v>
      </c>
      <c r="G174" t="s">
        <v>1059</v>
      </c>
      <c r="H174" t="s">
        <v>596</v>
      </c>
      <c r="I174" t="s">
        <v>631</v>
      </c>
      <c r="J174" t="s">
        <v>179</v>
      </c>
      <c r="Q174">
        <v>0</v>
      </c>
      <c r="R174">
        <v>0</v>
      </c>
      <c r="U174" s="61" t="s">
        <v>958</v>
      </c>
      <c r="V174" t="s">
        <v>596</v>
      </c>
    </row>
    <row r="175" spans="1:22" x14ac:dyDescent="0.2">
      <c r="A175" t="s">
        <v>20</v>
      </c>
      <c r="B175" t="s">
        <v>1245</v>
      </c>
      <c r="C175">
        <v>381</v>
      </c>
      <c r="D175" t="s">
        <v>1051</v>
      </c>
      <c r="E175" t="s">
        <v>785</v>
      </c>
      <c r="F175">
        <v>35</v>
      </c>
      <c r="G175" t="s">
        <v>1059</v>
      </c>
      <c r="H175" t="s">
        <v>596</v>
      </c>
      <c r="I175" t="s">
        <v>632</v>
      </c>
      <c r="J175" t="s">
        <v>179</v>
      </c>
      <c r="Q175">
        <v>0</v>
      </c>
      <c r="R175">
        <v>0</v>
      </c>
      <c r="U175" s="61" t="s">
        <v>958</v>
      </c>
      <c r="V175" t="s">
        <v>596</v>
      </c>
    </row>
    <row r="176" spans="1:22" x14ac:dyDescent="0.2">
      <c r="A176" t="s">
        <v>20</v>
      </c>
      <c r="B176" t="s">
        <v>1246</v>
      </c>
      <c r="C176">
        <v>382</v>
      </c>
      <c r="D176" t="s">
        <v>1051</v>
      </c>
      <c r="E176" t="s">
        <v>785</v>
      </c>
      <c r="F176">
        <v>36</v>
      </c>
      <c r="G176" t="s">
        <v>1059</v>
      </c>
      <c r="H176" t="s">
        <v>596</v>
      </c>
      <c r="I176" t="s">
        <v>633</v>
      </c>
      <c r="J176" t="s">
        <v>179</v>
      </c>
      <c r="Q176">
        <v>0</v>
      </c>
      <c r="R176">
        <v>0</v>
      </c>
      <c r="U176" s="61" t="s">
        <v>958</v>
      </c>
      <c r="V176" t="s">
        <v>596</v>
      </c>
    </row>
    <row r="177" spans="1:22" x14ac:dyDescent="0.2">
      <c r="A177" t="s">
        <v>20</v>
      </c>
      <c r="B177" t="s">
        <v>1247</v>
      </c>
      <c r="C177">
        <v>383</v>
      </c>
      <c r="D177" t="s">
        <v>1051</v>
      </c>
      <c r="E177" t="s">
        <v>785</v>
      </c>
      <c r="F177">
        <v>37</v>
      </c>
      <c r="G177" t="s">
        <v>1059</v>
      </c>
      <c r="H177" t="s">
        <v>596</v>
      </c>
      <c r="I177" t="s">
        <v>1000</v>
      </c>
      <c r="J177" t="s">
        <v>152</v>
      </c>
      <c r="Q177">
        <v>0</v>
      </c>
      <c r="R177">
        <v>0</v>
      </c>
      <c r="U177" s="61" t="s">
        <v>958</v>
      </c>
      <c r="V177" t="s">
        <v>596</v>
      </c>
    </row>
    <row r="178" spans="1:22" x14ac:dyDescent="0.2">
      <c r="A178" t="s">
        <v>20</v>
      </c>
      <c r="B178" t="s">
        <v>1248</v>
      </c>
      <c r="C178">
        <v>384</v>
      </c>
      <c r="D178" t="s">
        <v>1051</v>
      </c>
      <c r="E178" t="s">
        <v>785</v>
      </c>
      <c r="F178">
        <v>38</v>
      </c>
      <c r="G178" t="s">
        <v>1059</v>
      </c>
      <c r="H178" t="s">
        <v>596</v>
      </c>
      <c r="I178" t="s">
        <v>634</v>
      </c>
      <c r="J178" t="s">
        <v>179</v>
      </c>
      <c r="Q178">
        <v>0</v>
      </c>
      <c r="R178">
        <v>0</v>
      </c>
      <c r="U178" s="61" t="s">
        <v>958</v>
      </c>
      <c r="V178" t="s">
        <v>596</v>
      </c>
    </row>
    <row r="179" spans="1:22" x14ac:dyDescent="0.2">
      <c r="A179" t="s">
        <v>20</v>
      </c>
      <c r="B179" t="s">
        <v>1249</v>
      </c>
      <c r="C179">
        <v>385</v>
      </c>
      <c r="D179" t="s">
        <v>1051</v>
      </c>
      <c r="E179" t="s">
        <v>785</v>
      </c>
      <c r="F179">
        <v>39</v>
      </c>
      <c r="G179" t="s">
        <v>1059</v>
      </c>
      <c r="H179" t="s">
        <v>596</v>
      </c>
      <c r="I179" t="s">
        <v>1001</v>
      </c>
      <c r="J179" t="s">
        <v>179</v>
      </c>
      <c r="Q179">
        <v>0</v>
      </c>
      <c r="R179">
        <v>0</v>
      </c>
      <c r="U179" s="61" t="s">
        <v>958</v>
      </c>
      <c r="V179" t="s">
        <v>596</v>
      </c>
    </row>
    <row r="180" spans="1:22" x14ac:dyDescent="0.2">
      <c r="A180" t="s">
        <v>20</v>
      </c>
      <c r="B180" t="s">
        <v>1250</v>
      </c>
      <c r="C180">
        <v>386</v>
      </c>
      <c r="D180" t="s">
        <v>1051</v>
      </c>
      <c r="E180" t="s">
        <v>785</v>
      </c>
      <c r="F180">
        <v>40</v>
      </c>
      <c r="G180" t="s">
        <v>1059</v>
      </c>
      <c r="H180" t="s">
        <v>596</v>
      </c>
      <c r="I180" t="s">
        <v>635</v>
      </c>
      <c r="J180" t="s">
        <v>152</v>
      </c>
      <c r="Q180">
        <v>0</v>
      </c>
      <c r="R180">
        <v>0</v>
      </c>
      <c r="U180" s="61" t="s">
        <v>958</v>
      </c>
      <c r="V180" t="s">
        <v>596</v>
      </c>
    </row>
    <row r="181" spans="1:22" x14ac:dyDescent="0.2">
      <c r="A181" t="s">
        <v>20</v>
      </c>
      <c r="B181" t="s">
        <v>1251</v>
      </c>
      <c r="C181">
        <v>387</v>
      </c>
      <c r="D181" t="s">
        <v>1051</v>
      </c>
      <c r="E181" t="s">
        <v>785</v>
      </c>
      <c r="F181">
        <v>41</v>
      </c>
      <c r="G181" t="s">
        <v>1059</v>
      </c>
      <c r="H181" t="s">
        <v>596</v>
      </c>
      <c r="I181" t="s">
        <v>1002</v>
      </c>
      <c r="J181" t="s">
        <v>179</v>
      </c>
      <c r="Q181">
        <v>0</v>
      </c>
      <c r="R181">
        <v>0</v>
      </c>
      <c r="U181" s="61" t="s">
        <v>958</v>
      </c>
      <c r="V181" t="s">
        <v>596</v>
      </c>
    </row>
    <row r="182" spans="1:22" x14ac:dyDescent="0.2">
      <c r="A182" t="s">
        <v>20</v>
      </c>
      <c r="B182" t="s">
        <v>1252</v>
      </c>
      <c r="C182">
        <v>388</v>
      </c>
      <c r="D182" t="s">
        <v>1051</v>
      </c>
      <c r="E182" t="s">
        <v>785</v>
      </c>
      <c r="F182">
        <v>42</v>
      </c>
      <c r="G182" t="s">
        <v>1059</v>
      </c>
      <c r="H182" t="s">
        <v>596</v>
      </c>
      <c r="I182" t="s">
        <v>636</v>
      </c>
      <c r="Q182">
        <v>0</v>
      </c>
      <c r="R182">
        <v>0</v>
      </c>
      <c r="U182" s="61" t="s">
        <v>958</v>
      </c>
      <c r="V182" t="s">
        <v>596</v>
      </c>
    </row>
    <row r="183" spans="1:22" x14ac:dyDescent="0.2">
      <c r="A183" t="s">
        <v>20</v>
      </c>
      <c r="B183" t="s">
        <v>1253</v>
      </c>
      <c r="C183">
        <v>389</v>
      </c>
      <c r="D183" t="s">
        <v>1051</v>
      </c>
      <c r="E183" t="s">
        <v>785</v>
      </c>
      <c r="F183">
        <v>43</v>
      </c>
      <c r="G183" t="s">
        <v>1059</v>
      </c>
      <c r="H183" t="s">
        <v>596</v>
      </c>
      <c r="I183" t="s">
        <v>637</v>
      </c>
      <c r="J183" t="s">
        <v>152</v>
      </c>
      <c r="Q183">
        <v>0</v>
      </c>
      <c r="R183">
        <v>0</v>
      </c>
      <c r="U183" s="61" t="s">
        <v>958</v>
      </c>
      <c r="V183" t="s">
        <v>596</v>
      </c>
    </row>
    <row r="184" spans="1:22" x14ac:dyDescent="0.2">
      <c r="A184" t="s">
        <v>20</v>
      </c>
      <c r="B184" t="s">
        <v>1254</v>
      </c>
      <c r="C184">
        <v>390</v>
      </c>
      <c r="D184" t="s">
        <v>1051</v>
      </c>
      <c r="E184" t="s">
        <v>785</v>
      </c>
      <c r="F184">
        <v>44</v>
      </c>
      <c r="G184" t="s">
        <v>1059</v>
      </c>
      <c r="H184" t="s">
        <v>596</v>
      </c>
      <c r="I184" t="s">
        <v>638</v>
      </c>
      <c r="J184" t="s">
        <v>152</v>
      </c>
      <c r="Q184">
        <v>0</v>
      </c>
      <c r="R184">
        <v>0</v>
      </c>
      <c r="U184" s="61" t="s">
        <v>958</v>
      </c>
      <c r="V184" t="s">
        <v>596</v>
      </c>
    </row>
    <row r="185" spans="1:22" x14ac:dyDescent="0.2">
      <c r="A185" t="s">
        <v>20</v>
      </c>
      <c r="B185" t="s">
        <v>1255</v>
      </c>
      <c r="C185">
        <v>391</v>
      </c>
      <c r="D185" t="s">
        <v>1051</v>
      </c>
      <c r="E185" t="s">
        <v>785</v>
      </c>
      <c r="F185">
        <v>45</v>
      </c>
      <c r="G185" t="s">
        <v>1059</v>
      </c>
      <c r="H185" t="s">
        <v>596</v>
      </c>
      <c r="I185" t="s">
        <v>640</v>
      </c>
      <c r="J185" t="s">
        <v>152</v>
      </c>
      <c r="Q185">
        <v>0</v>
      </c>
      <c r="R185">
        <v>0</v>
      </c>
      <c r="U185" s="61" t="s">
        <v>958</v>
      </c>
      <c r="V185" t="s">
        <v>596</v>
      </c>
    </row>
    <row r="186" spans="1:22" x14ac:dyDescent="0.2">
      <c r="A186" t="s">
        <v>20</v>
      </c>
      <c r="B186" t="s">
        <v>1256</v>
      </c>
      <c r="C186">
        <v>392</v>
      </c>
      <c r="D186" t="s">
        <v>1051</v>
      </c>
      <c r="E186" t="s">
        <v>785</v>
      </c>
      <c r="F186">
        <v>46</v>
      </c>
      <c r="G186" t="s">
        <v>1059</v>
      </c>
      <c r="H186" t="s">
        <v>596</v>
      </c>
      <c r="I186" t="s">
        <v>639</v>
      </c>
      <c r="J186" t="s">
        <v>152</v>
      </c>
      <c r="Q186">
        <v>0</v>
      </c>
      <c r="R186">
        <v>0</v>
      </c>
      <c r="U186" s="61" t="s">
        <v>958</v>
      </c>
      <c r="V186" t="s">
        <v>596</v>
      </c>
    </row>
    <row r="187" spans="1:22" x14ac:dyDescent="0.2">
      <c r="A187" t="s">
        <v>20</v>
      </c>
      <c r="B187" t="s">
        <v>1257</v>
      </c>
      <c r="C187">
        <v>393</v>
      </c>
      <c r="D187" t="s">
        <v>1051</v>
      </c>
      <c r="E187" t="s">
        <v>785</v>
      </c>
      <c r="F187">
        <v>47</v>
      </c>
      <c r="G187" t="s">
        <v>1059</v>
      </c>
      <c r="H187" t="s">
        <v>596</v>
      </c>
      <c r="I187" t="s">
        <v>1048</v>
      </c>
      <c r="J187" t="s">
        <v>179</v>
      </c>
      <c r="Q187">
        <v>0</v>
      </c>
      <c r="R187">
        <v>0</v>
      </c>
      <c r="U187" s="61" t="s">
        <v>958</v>
      </c>
      <c r="V187" t="s">
        <v>596</v>
      </c>
    </row>
    <row r="188" spans="1:22" x14ac:dyDescent="0.2">
      <c r="A188" t="s">
        <v>20</v>
      </c>
      <c r="B188" t="s">
        <v>1258</v>
      </c>
      <c r="C188">
        <v>394</v>
      </c>
      <c r="D188" t="s">
        <v>1051</v>
      </c>
      <c r="E188" t="s">
        <v>785</v>
      </c>
      <c r="F188">
        <v>48</v>
      </c>
      <c r="G188" t="s">
        <v>1059</v>
      </c>
      <c r="H188" t="s">
        <v>596</v>
      </c>
      <c r="I188" t="s">
        <v>641</v>
      </c>
      <c r="J188" t="s">
        <v>152</v>
      </c>
      <c r="Q188">
        <v>0</v>
      </c>
      <c r="R188">
        <v>0</v>
      </c>
      <c r="U188" s="61" t="s">
        <v>958</v>
      </c>
      <c r="V188" t="s">
        <v>596</v>
      </c>
    </row>
    <row r="189" spans="1:22" x14ac:dyDescent="0.2">
      <c r="A189" t="s">
        <v>20</v>
      </c>
      <c r="B189" t="s">
        <v>1259</v>
      </c>
      <c r="C189">
        <v>395</v>
      </c>
      <c r="D189" t="s">
        <v>1051</v>
      </c>
      <c r="E189" t="s">
        <v>785</v>
      </c>
      <c r="F189">
        <v>49</v>
      </c>
      <c r="G189" t="s">
        <v>1059</v>
      </c>
      <c r="H189" t="s">
        <v>596</v>
      </c>
      <c r="I189" t="s">
        <v>1049</v>
      </c>
      <c r="J189" t="s">
        <v>151</v>
      </c>
      <c r="Q189">
        <v>0</v>
      </c>
      <c r="R189">
        <v>0</v>
      </c>
      <c r="U189" s="61" t="s">
        <v>958</v>
      </c>
      <c r="V189" t="s">
        <v>596</v>
      </c>
    </row>
    <row r="190" spans="1:22" x14ac:dyDescent="0.2">
      <c r="A190" t="s">
        <v>20</v>
      </c>
      <c r="B190" t="s">
        <v>1260</v>
      </c>
      <c r="C190">
        <v>396</v>
      </c>
      <c r="D190" t="s">
        <v>1051</v>
      </c>
      <c r="E190" t="s">
        <v>785</v>
      </c>
      <c r="F190">
        <v>50</v>
      </c>
      <c r="G190" t="s">
        <v>1059</v>
      </c>
      <c r="H190" t="s">
        <v>596</v>
      </c>
      <c r="I190" t="s">
        <v>642</v>
      </c>
      <c r="J190" t="s">
        <v>179</v>
      </c>
      <c r="Q190">
        <v>0</v>
      </c>
      <c r="R190">
        <v>0</v>
      </c>
      <c r="U190" s="61" t="s">
        <v>958</v>
      </c>
      <c r="V190" t="s">
        <v>596</v>
      </c>
    </row>
    <row r="191" spans="1:22" x14ac:dyDescent="0.2">
      <c r="A191" t="s">
        <v>20</v>
      </c>
      <c r="B191" t="s">
        <v>1261</v>
      </c>
      <c r="C191">
        <v>397</v>
      </c>
      <c r="D191" t="s">
        <v>1051</v>
      </c>
      <c r="E191" t="s">
        <v>785</v>
      </c>
      <c r="F191">
        <v>51</v>
      </c>
      <c r="G191" t="s">
        <v>1059</v>
      </c>
      <c r="H191" t="s">
        <v>596</v>
      </c>
      <c r="I191" t="s">
        <v>643</v>
      </c>
      <c r="J191" t="s">
        <v>179</v>
      </c>
      <c r="Q191">
        <v>0</v>
      </c>
      <c r="R191">
        <v>0</v>
      </c>
      <c r="U191" s="61" t="s">
        <v>958</v>
      </c>
      <c r="V191" t="s">
        <v>596</v>
      </c>
    </row>
    <row r="192" spans="1:22" x14ac:dyDescent="0.2">
      <c r="A192" t="s">
        <v>20</v>
      </c>
      <c r="B192" t="s">
        <v>1262</v>
      </c>
      <c r="C192">
        <v>398</v>
      </c>
      <c r="D192" t="s">
        <v>1051</v>
      </c>
      <c r="E192" t="s">
        <v>785</v>
      </c>
      <c r="F192">
        <v>52</v>
      </c>
      <c r="G192" t="s">
        <v>1059</v>
      </c>
      <c r="H192" t="s">
        <v>596</v>
      </c>
      <c r="I192" t="s">
        <v>644</v>
      </c>
      <c r="J192" t="s">
        <v>147</v>
      </c>
      <c r="Q192">
        <v>0</v>
      </c>
      <c r="R192">
        <v>0</v>
      </c>
      <c r="U192" s="61" t="s">
        <v>958</v>
      </c>
      <c r="V192" t="s">
        <v>596</v>
      </c>
    </row>
    <row r="193" spans="1:22" x14ac:dyDescent="0.2">
      <c r="A193" t="s">
        <v>20</v>
      </c>
      <c r="B193" t="s">
        <v>1263</v>
      </c>
      <c r="C193">
        <v>399</v>
      </c>
      <c r="D193" t="s">
        <v>1051</v>
      </c>
      <c r="E193" t="s">
        <v>785</v>
      </c>
      <c r="F193">
        <v>53</v>
      </c>
      <c r="G193" t="s">
        <v>1059</v>
      </c>
      <c r="H193" t="s">
        <v>596</v>
      </c>
      <c r="I193" t="s">
        <v>645</v>
      </c>
      <c r="J193" t="s">
        <v>148</v>
      </c>
      <c r="Q193">
        <v>0</v>
      </c>
      <c r="R193">
        <v>0</v>
      </c>
      <c r="U193" s="61" t="s">
        <v>958</v>
      </c>
      <c r="V193" t="s">
        <v>596</v>
      </c>
    </row>
    <row r="194" spans="1:22" x14ac:dyDescent="0.2">
      <c r="A194" t="s">
        <v>20</v>
      </c>
      <c r="B194" t="s">
        <v>1264</v>
      </c>
      <c r="C194">
        <v>400</v>
      </c>
      <c r="D194" t="s">
        <v>1051</v>
      </c>
      <c r="E194" t="s">
        <v>785</v>
      </c>
      <c r="F194">
        <v>54</v>
      </c>
      <c r="G194" t="s">
        <v>1059</v>
      </c>
      <c r="H194" t="s">
        <v>596</v>
      </c>
      <c r="I194" t="s">
        <v>646</v>
      </c>
      <c r="J194" t="s">
        <v>152</v>
      </c>
      <c r="Q194">
        <v>0</v>
      </c>
      <c r="R194">
        <v>0</v>
      </c>
      <c r="U194" s="61" t="s">
        <v>958</v>
      </c>
      <c r="V194" t="s">
        <v>596</v>
      </c>
    </row>
    <row r="195" spans="1:22" x14ac:dyDescent="0.2">
      <c r="A195" t="s">
        <v>20</v>
      </c>
      <c r="B195" t="s">
        <v>1265</v>
      </c>
      <c r="C195">
        <v>401</v>
      </c>
      <c r="D195" t="s">
        <v>1051</v>
      </c>
      <c r="E195" t="s">
        <v>785</v>
      </c>
      <c r="F195">
        <v>55</v>
      </c>
      <c r="G195" t="s">
        <v>1059</v>
      </c>
      <c r="H195" t="s">
        <v>596</v>
      </c>
      <c r="I195" t="s">
        <v>647</v>
      </c>
      <c r="J195" t="s">
        <v>152</v>
      </c>
      <c r="Q195">
        <v>0</v>
      </c>
      <c r="R195">
        <v>0</v>
      </c>
      <c r="U195" s="61" t="s">
        <v>958</v>
      </c>
      <c r="V195" t="s">
        <v>596</v>
      </c>
    </row>
    <row r="196" spans="1:22" x14ac:dyDescent="0.2">
      <c r="A196" t="s">
        <v>20</v>
      </c>
      <c r="B196" t="s">
        <v>1266</v>
      </c>
      <c r="C196">
        <v>402</v>
      </c>
      <c r="D196" t="s">
        <v>1051</v>
      </c>
      <c r="E196" t="s">
        <v>785</v>
      </c>
      <c r="F196">
        <v>56</v>
      </c>
      <c r="G196" t="s">
        <v>1059</v>
      </c>
      <c r="H196" t="s">
        <v>596</v>
      </c>
      <c r="I196" t="s">
        <v>648</v>
      </c>
      <c r="J196" t="s">
        <v>147</v>
      </c>
      <c r="Q196">
        <v>0</v>
      </c>
      <c r="R196">
        <v>0</v>
      </c>
      <c r="U196" s="61" t="s">
        <v>958</v>
      </c>
      <c r="V196" t="s">
        <v>596</v>
      </c>
    </row>
    <row r="197" spans="1:22" x14ac:dyDescent="0.2">
      <c r="A197" t="s">
        <v>20</v>
      </c>
      <c r="B197" t="s">
        <v>1267</v>
      </c>
      <c r="C197">
        <v>403</v>
      </c>
      <c r="D197" t="s">
        <v>1051</v>
      </c>
      <c r="E197" t="s">
        <v>785</v>
      </c>
      <c r="F197">
        <v>57</v>
      </c>
      <c r="G197" t="s">
        <v>1059</v>
      </c>
      <c r="H197" t="s">
        <v>596</v>
      </c>
      <c r="I197" t="s">
        <v>649</v>
      </c>
      <c r="J197" t="s">
        <v>147</v>
      </c>
      <c r="Q197">
        <v>0</v>
      </c>
      <c r="R197">
        <v>0</v>
      </c>
      <c r="U197" s="61" t="s">
        <v>958</v>
      </c>
      <c r="V197" t="s">
        <v>596</v>
      </c>
    </row>
    <row r="198" spans="1:22" x14ac:dyDescent="0.2">
      <c r="A198" t="s">
        <v>20</v>
      </c>
      <c r="B198" t="s">
        <v>1268</v>
      </c>
      <c r="C198">
        <v>404</v>
      </c>
      <c r="D198" t="s">
        <v>1051</v>
      </c>
      <c r="E198" t="s">
        <v>785</v>
      </c>
      <c r="F198">
        <v>58</v>
      </c>
      <c r="G198" t="s">
        <v>1059</v>
      </c>
      <c r="H198" t="s">
        <v>596</v>
      </c>
      <c r="I198" t="s">
        <v>650</v>
      </c>
      <c r="J198" t="s">
        <v>147</v>
      </c>
      <c r="Q198">
        <v>0</v>
      </c>
      <c r="R198">
        <v>0</v>
      </c>
      <c r="U198" s="61" t="s">
        <v>958</v>
      </c>
      <c r="V198" t="s">
        <v>596</v>
      </c>
    </row>
    <row r="199" spans="1:22" x14ac:dyDescent="0.2">
      <c r="A199" t="s">
        <v>20</v>
      </c>
      <c r="B199" t="s">
        <v>1269</v>
      </c>
      <c r="C199">
        <v>405</v>
      </c>
      <c r="D199" t="s">
        <v>1051</v>
      </c>
      <c r="E199" t="s">
        <v>785</v>
      </c>
      <c r="F199">
        <v>59</v>
      </c>
      <c r="G199" t="s">
        <v>1059</v>
      </c>
      <c r="H199" t="s">
        <v>596</v>
      </c>
      <c r="I199" t="s">
        <v>651</v>
      </c>
      <c r="J199" t="s">
        <v>147</v>
      </c>
      <c r="Q199">
        <v>0</v>
      </c>
      <c r="R199">
        <v>0</v>
      </c>
      <c r="U199" s="61" t="s">
        <v>958</v>
      </c>
      <c r="V199" t="s">
        <v>596</v>
      </c>
    </row>
    <row r="200" spans="1:22" x14ac:dyDescent="0.2">
      <c r="A200" t="s">
        <v>20</v>
      </c>
      <c r="B200" t="s">
        <v>1270</v>
      </c>
      <c r="C200">
        <v>406</v>
      </c>
      <c r="D200" t="s">
        <v>1051</v>
      </c>
      <c r="E200" t="s">
        <v>785</v>
      </c>
      <c r="F200">
        <v>60</v>
      </c>
      <c r="G200" t="s">
        <v>1059</v>
      </c>
      <c r="H200" t="s">
        <v>596</v>
      </c>
      <c r="I200" t="s">
        <v>652</v>
      </c>
      <c r="J200" t="s">
        <v>147</v>
      </c>
      <c r="Q200">
        <v>0</v>
      </c>
      <c r="R200">
        <v>0</v>
      </c>
      <c r="U200" s="61" t="s">
        <v>958</v>
      </c>
      <c r="V200" t="s">
        <v>596</v>
      </c>
    </row>
    <row r="201" spans="1:22" x14ac:dyDescent="0.2">
      <c r="A201" t="s">
        <v>20</v>
      </c>
      <c r="B201" t="s">
        <v>1271</v>
      </c>
      <c r="C201">
        <v>407</v>
      </c>
      <c r="D201" t="s">
        <v>1051</v>
      </c>
      <c r="E201" t="s">
        <v>785</v>
      </c>
      <c r="F201">
        <v>61</v>
      </c>
      <c r="G201" t="s">
        <v>1059</v>
      </c>
      <c r="H201" t="s">
        <v>596</v>
      </c>
      <c r="I201" t="s">
        <v>653</v>
      </c>
      <c r="J201" t="s">
        <v>151</v>
      </c>
      <c r="Q201">
        <v>0</v>
      </c>
      <c r="R201">
        <v>0</v>
      </c>
      <c r="U201" s="61" t="s">
        <v>958</v>
      </c>
      <c r="V201" t="s">
        <v>596</v>
      </c>
    </row>
    <row r="202" spans="1:22" x14ac:dyDescent="0.2">
      <c r="A202" t="s">
        <v>20</v>
      </c>
      <c r="B202" t="s">
        <v>1272</v>
      </c>
      <c r="C202">
        <v>408</v>
      </c>
      <c r="D202" t="s">
        <v>1051</v>
      </c>
      <c r="E202" t="s">
        <v>785</v>
      </c>
      <c r="F202">
        <v>62</v>
      </c>
      <c r="G202" t="s">
        <v>1059</v>
      </c>
      <c r="H202" t="s">
        <v>596</v>
      </c>
      <c r="I202" t="s">
        <v>654</v>
      </c>
      <c r="J202" t="s">
        <v>148</v>
      </c>
      <c r="Q202">
        <v>0</v>
      </c>
      <c r="R202">
        <v>0</v>
      </c>
      <c r="U202" s="61" t="s">
        <v>958</v>
      </c>
      <c r="V202" t="s">
        <v>596</v>
      </c>
    </row>
    <row r="203" spans="1:22" x14ac:dyDescent="0.2">
      <c r="A203" t="s">
        <v>20</v>
      </c>
      <c r="B203" t="s">
        <v>1273</v>
      </c>
      <c r="C203">
        <v>409</v>
      </c>
      <c r="D203" t="s">
        <v>1051</v>
      </c>
      <c r="E203" t="s">
        <v>785</v>
      </c>
      <c r="F203">
        <v>63</v>
      </c>
      <c r="G203" t="s">
        <v>1059</v>
      </c>
      <c r="H203" t="s">
        <v>596</v>
      </c>
      <c r="I203" t="s">
        <v>655</v>
      </c>
      <c r="J203" t="s">
        <v>152</v>
      </c>
      <c r="Q203">
        <v>0</v>
      </c>
      <c r="R203">
        <v>0</v>
      </c>
      <c r="U203" s="61" t="s">
        <v>958</v>
      </c>
      <c r="V203" t="s">
        <v>596</v>
      </c>
    </row>
    <row r="204" spans="1:22" x14ac:dyDescent="0.2">
      <c r="A204" t="s">
        <v>20</v>
      </c>
      <c r="B204" t="s">
        <v>1274</v>
      </c>
      <c r="C204">
        <v>410</v>
      </c>
      <c r="D204" t="s">
        <v>1051</v>
      </c>
      <c r="E204" t="s">
        <v>785</v>
      </c>
      <c r="F204">
        <v>64</v>
      </c>
      <c r="G204" t="s">
        <v>1059</v>
      </c>
      <c r="H204" t="s">
        <v>596</v>
      </c>
      <c r="I204" t="s">
        <v>656</v>
      </c>
      <c r="J204" t="s">
        <v>179</v>
      </c>
      <c r="Q204">
        <v>0</v>
      </c>
      <c r="R204">
        <v>0</v>
      </c>
      <c r="U204" s="61" t="s">
        <v>958</v>
      </c>
      <c r="V204" t="s">
        <v>596</v>
      </c>
    </row>
    <row r="205" spans="1:22" x14ac:dyDescent="0.2">
      <c r="A205" t="s">
        <v>20</v>
      </c>
      <c r="B205" t="s">
        <v>1275</v>
      </c>
      <c r="C205">
        <v>411</v>
      </c>
      <c r="D205" t="s">
        <v>1051</v>
      </c>
      <c r="E205" t="s">
        <v>785</v>
      </c>
      <c r="F205">
        <v>65</v>
      </c>
      <c r="G205" t="s">
        <v>1059</v>
      </c>
      <c r="H205" t="s">
        <v>596</v>
      </c>
      <c r="I205" t="s">
        <v>657</v>
      </c>
      <c r="J205" t="s">
        <v>151</v>
      </c>
      <c r="Q205">
        <v>0</v>
      </c>
      <c r="R205">
        <v>0</v>
      </c>
      <c r="U205" s="61" t="s">
        <v>958</v>
      </c>
      <c r="V205" t="s">
        <v>596</v>
      </c>
    </row>
    <row r="206" spans="1:22" x14ac:dyDescent="0.2">
      <c r="A206" t="s">
        <v>20</v>
      </c>
      <c r="B206" t="s">
        <v>1276</v>
      </c>
      <c r="C206">
        <v>596</v>
      </c>
      <c r="D206" t="s">
        <v>1051</v>
      </c>
      <c r="E206" t="s">
        <v>785</v>
      </c>
      <c r="F206">
        <v>66</v>
      </c>
      <c r="G206" t="s">
        <v>1059</v>
      </c>
      <c r="H206" t="s">
        <v>596</v>
      </c>
      <c r="I206" t="s">
        <v>985</v>
      </c>
      <c r="J206" t="s">
        <v>152</v>
      </c>
      <c r="Q206">
        <v>0</v>
      </c>
      <c r="R206">
        <v>0</v>
      </c>
      <c r="U206" s="61" t="s">
        <v>958</v>
      </c>
      <c r="V206" t="s">
        <v>596</v>
      </c>
    </row>
    <row r="207" spans="1:22" x14ac:dyDescent="0.2">
      <c r="A207" t="s">
        <v>20</v>
      </c>
      <c r="B207" t="s">
        <v>1277</v>
      </c>
      <c r="C207">
        <v>597</v>
      </c>
      <c r="D207" t="s">
        <v>1051</v>
      </c>
      <c r="E207" t="s">
        <v>785</v>
      </c>
      <c r="F207">
        <v>67</v>
      </c>
      <c r="G207" t="s">
        <v>1059</v>
      </c>
      <c r="H207" t="s">
        <v>596</v>
      </c>
      <c r="I207" t="s">
        <v>986</v>
      </c>
      <c r="J207" t="s">
        <v>152</v>
      </c>
      <c r="Q207">
        <v>0</v>
      </c>
      <c r="R207">
        <v>0</v>
      </c>
      <c r="U207" s="61" t="s">
        <v>958</v>
      </c>
      <c r="V207" t="s">
        <v>596</v>
      </c>
    </row>
    <row r="208" spans="1:22" x14ac:dyDescent="0.2">
      <c r="A208" t="s">
        <v>20</v>
      </c>
      <c r="B208" t="s">
        <v>1278</v>
      </c>
      <c r="C208">
        <v>598</v>
      </c>
      <c r="D208" t="s">
        <v>1051</v>
      </c>
      <c r="E208" t="s">
        <v>785</v>
      </c>
      <c r="F208">
        <v>68</v>
      </c>
      <c r="G208" t="s">
        <v>1059</v>
      </c>
      <c r="H208" t="s">
        <v>596</v>
      </c>
      <c r="I208" t="s">
        <v>987</v>
      </c>
      <c r="J208" t="s">
        <v>152</v>
      </c>
      <c r="Q208">
        <v>0</v>
      </c>
      <c r="R208">
        <v>0</v>
      </c>
      <c r="U208" s="61" t="s">
        <v>958</v>
      </c>
      <c r="V208" t="s">
        <v>596</v>
      </c>
    </row>
    <row r="209" spans="1:22" x14ac:dyDescent="0.2">
      <c r="A209" t="s">
        <v>106</v>
      </c>
      <c r="B209" t="s">
        <v>1279</v>
      </c>
      <c r="C209">
        <v>146</v>
      </c>
      <c r="D209" t="s">
        <v>1051</v>
      </c>
      <c r="E209" t="s">
        <v>786</v>
      </c>
      <c r="F209">
        <v>1</v>
      </c>
      <c r="G209" t="s">
        <v>1059</v>
      </c>
      <c r="H209" t="s">
        <v>331</v>
      </c>
      <c r="I209" t="s">
        <v>350</v>
      </c>
      <c r="J209" t="s">
        <v>152</v>
      </c>
      <c r="K209">
        <v>1</v>
      </c>
      <c r="Q209">
        <v>0</v>
      </c>
      <c r="R209">
        <v>0</v>
      </c>
      <c r="U209" s="61" t="s">
        <v>329</v>
      </c>
      <c r="V209" t="s">
        <v>697</v>
      </c>
    </row>
    <row r="210" spans="1:22" x14ac:dyDescent="0.2">
      <c r="A210" t="s">
        <v>106</v>
      </c>
      <c r="B210" t="s">
        <v>1280</v>
      </c>
      <c r="C210">
        <v>147</v>
      </c>
      <c r="D210" t="s">
        <v>1051</v>
      </c>
      <c r="E210" t="s">
        <v>786</v>
      </c>
      <c r="F210">
        <v>2</v>
      </c>
      <c r="G210" t="s">
        <v>1059</v>
      </c>
      <c r="H210" t="s">
        <v>331</v>
      </c>
      <c r="I210" t="s">
        <v>334</v>
      </c>
      <c r="J210" t="s">
        <v>152</v>
      </c>
      <c r="Q210">
        <v>0</v>
      </c>
      <c r="R210">
        <v>0</v>
      </c>
      <c r="U210" s="61" t="s">
        <v>329</v>
      </c>
      <c r="V210" t="s">
        <v>697</v>
      </c>
    </row>
    <row r="211" spans="1:22" x14ac:dyDescent="0.2">
      <c r="A211" t="s">
        <v>106</v>
      </c>
      <c r="B211" t="s">
        <v>1281</v>
      </c>
      <c r="C211">
        <v>148</v>
      </c>
      <c r="D211" t="s">
        <v>1051</v>
      </c>
      <c r="E211" t="s">
        <v>786</v>
      </c>
      <c r="F211">
        <v>3</v>
      </c>
      <c r="G211" t="s">
        <v>1059</v>
      </c>
      <c r="H211" t="s">
        <v>331</v>
      </c>
      <c r="I211" t="s">
        <v>335</v>
      </c>
      <c r="J211" t="s">
        <v>152</v>
      </c>
      <c r="K211">
        <v>1</v>
      </c>
      <c r="Q211">
        <v>0</v>
      </c>
      <c r="R211">
        <v>0</v>
      </c>
      <c r="U211" s="61" t="s">
        <v>329</v>
      </c>
      <c r="V211" t="s">
        <v>697</v>
      </c>
    </row>
    <row r="212" spans="1:22" x14ac:dyDescent="0.2">
      <c r="A212" t="s">
        <v>106</v>
      </c>
      <c r="B212" t="s">
        <v>1282</v>
      </c>
      <c r="C212">
        <v>149</v>
      </c>
      <c r="D212" t="s">
        <v>1051</v>
      </c>
      <c r="E212" t="s">
        <v>786</v>
      </c>
      <c r="F212">
        <v>4</v>
      </c>
      <c r="G212" t="s">
        <v>1059</v>
      </c>
      <c r="H212" t="s">
        <v>331</v>
      </c>
      <c r="I212" t="s">
        <v>336</v>
      </c>
      <c r="J212" t="s">
        <v>152</v>
      </c>
      <c r="Q212">
        <v>0</v>
      </c>
      <c r="R212">
        <v>0</v>
      </c>
      <c r="U212" s="61" t="s">
        <v>329</v>
      </c>
      <c r="V212" t="s">
        <v>697</v>
      </c>
    </row>
    <row r="213" spans="1:22" x14ac:dyDescent="0.2">
      <c r="A213" t="s">
        <v>106</v>
      </c>
      <c r="B213" t="s">
        <v>1283</v>
      </c>
      <c r="C213">
        <v>150</v>
      </c>
      <c r="D213" t="s">
        <v>1051</v>
      </c>
      <c r="E213" t="s">
        <v>786</v>
      </c>
      <c r="F213">
        <v>5</v>
      </c>
      <c r="G213" t="s">
        <v>1059</v>
      </c>
      <c r="H213" t="s">
        <v>331</v>
      </c>
      <c r="I213" t="s">
        <v>337</v>
      </c>
      <c r="J213" t="s">
        <v>152</v>
      </c>
      <c r="Q213">
        <v>0</v>
      </c>
      <c r="R213">
        <v>0</v>
      </c>
      <c r="U213" s="61" t="s">
        <v>329</v>
      </c>
      <c r="V213" t="s">
        <v>697</v>
      </c>
    </row>
    <row r="214" spans="1:22" x14ac:dyDescent="0.2">
      <c r="A214" t="s">
        <v>106</v>
      </c>
      <c r="B214" t="s">
        <v>1284</v>
      </c>
      <c r="C214">
        <v>151</v>
      </c>
      <c r="D214" t="s">
        <v>1051</v>
      </c>
      <c r="E214" t="s">
        <v>786</v>
      </c>
      <c r="F214">
        <v>6</v>
      </c>
      <c r="G214" t="s">
        <v>1059</v>
      </c>
      <c r="H214" t="s">
        <v>331</v>
      </c>
      <c r="I214" t="s">
        <v>338</v>
      </c>
      <c r="J214" t="s">
        <v>152</v>
      </c>
      <c r="Q214">
        <v>0</v>
      </c>
      <c r="R214">
        <v>0</v>
      </c>
      <c r="U214" s="61" t="s">
        <v>329</v>
      </c>
      <c r="V214" t="s">
        <v>697</v>
      </c>
    </row>
    <row r="215" spans="1:22" x14ac:dyDescent="0.2">
      <c r="A215" t="s">
        <v>106</v>
      </c>
      <c r="B215" t="s">
        <v>1285</v>
      </c>
      <c r="C215">
        <v>152</v>
      </c>
      <c r="D215" t="s">
        <v>1051</v>
      </c>
      <c r="E215" t="s">
        <v>786</v>
      </c>
      <c r="F215">
        <v>7</v>
      </c>
      <c r="G215" t="s">
        <v>1059</v>
      </c>
      <c r="H215" t="s">
        <v>331</v>
      </c>
      <c r="I215" t="s">
        <v>339</v>
      </c>
      <c r="J215" t="s">
        <v>152</v>
      </c>
      <c r="K215">
        <v>1</v>
      </c>
      <c r="Q215">
        <v>0</v>
      </c>
      <c r="R215">
        <v>0</v>
      </c>
      <c r="U215" s="61" t="s">
        <v>329</v>
      </c>
      <c r="V215" t="s">
        <v>697</v>
      </c>
    </row>
    <row r="216" spans="1:22" x14ac:dyDescent="0.2">
      <c r="A216" t="s">
        <v>106</v>
      </c>
      <c r="B216" t="s">
        <v>1286</v>
      </c>
      <c r="C216">
        <v>153</v>
      </c>
      <c r="D216" t="s">
        <v>1051</v>
      </c>
      <c r="E216" t="s">
        <v>786</v>
      </c>
      <c r="F216">
        <v>8</v>
      </c>
      <c r="G216" t="s">
        <v>1059</v>
      </c>
      <c r="H216" t="s">
        <v>331</v>
      </c>
      <c r="I216" t="s">
        <v>341</v>
      </c>
      <c r="J216" t="s">
        <v>152</v>
      </c>
      <c r="K216">
        <v>1</v>
      </c>
      <c r="Q216">
        <v>0</v>
      </c>
      <c r="R216">
        <v>0</v>
      </c>
      <c r="U216" s="61" t="s">
        <v>329</v>
      </c>
      <c r="V216" t="s">
        <v>697</v>
      </c>
    </row>
    <row r="217" spans="1:22" x14ac:dyDescent="0.2">
      <c r="A217" t="s">
        <v>106</v>
      </c>
      <c r="B217" t="s">
        <v>1287</v>
      </c>
      <c r="C217">
        <v>154</v>
      </c>
      <c r="D217" t="s">
        <v>1051</v>
      </c>
      <c r="E217" t="s">
        <v>786</v>
      </c>
      <c r="F217">
        <v>9</v>
      </c>
      <c r="G217" t="s">
        <v>1059</v>
      </c>
      <c r="H217" t="s">
        <v>331</v>
      </c>
      <c r="I217" t="s">
        <v>340</v>
      </c>
      <c r="J217" t="s">
        <v>152</v>
      </c>
      <c r="K217">
        <v>1</v>
      </c>
      <c r="Q217">
        <v>0</v>
      </c>
      <c r="R217">
        <v>0</v>
      </c>
      <c r="U217" s="61" t="s">
        <v>329</v>
      </c>
      <c r="V217" t="s">
        <v>697</v>
      </c>
    </row>
    <row r="218" spans="1:22" x14ac:dyDescent="0.2">
      <c r="A218" t="s">
        <v>106</v>
      </c>
      <c r="B218" t="s">
        <v>1288</v>
      </c>
      <c r="C218">
        <v>155</v>
      </c>
      <c r="D218" t="s">
        <v>1051</v>
      </c>
      <c r="E218" t="s">
        <v>786</v>
      </c>
      <c r="F218">
        <v>10</v>
      </c>
      <c r="G218" t="s">
        <v>1059</v>
      </c>
      <c r="H218" t="s">
        <v>331</v>
      </c>
      <c r="I218" t="s">
        <v>342</v>
      </c>
      <c r="J218" t="s">
        <v>152</v>
      </c>
      <c r="K218">
        <v>1</v>
      </c>
      <c r="Q218">
        <v>0</v>
      </c>
      <c r="R218">
        <v>0</v>
      </c>
      <c r="U218" s="61" t="s">
        <v>329</v>
      </c>
      <c r="V218" t="s">
        <v>697</v>
      </c>
    </row>
    <row r="219" spans="1:22" x14ac:dyDescent="0.2">
      <c r="A219" t="s">
        <v>106</v>
      </c>
      <c r="B219" t="s">
        <v>1289</v>
      </c>
      <c r="C219">
        <v>156</v>
      </c>
      <c r="D219" t="s">
        <v>1051</v>
      </c>
      <c r="E219" t="s">
        <v>786</v>
      </c>
      <c r="F219">
        <v>11</v>
      </c>
      <c r="G219" t="s">
        <v>1059</v>
      </c>
      <c r="H219" t="s">
        <v>331</v>
      </c>
      <c r="I219" t="s">
        <v>343</v>
      </c>
      <c r="J219" t="s">
        <v>152</v>
      </c>
      <c r="K219">
        <v>1</v>
      </c>
      <c r="Q219">
        <v>0</v>
      </c>
      <c r="R219">
        <v>0</v>
      </c>
      <c r="U219" s="61" t="s">
        <v>329</v>
      </c>
      <c r="V219" t="s">
        <v>697</v>
      </c>
    </row>
    <row r="220" spans="1:22" x14ac:dyDescent="0.2">
      <c r="A220" t="s">
        <v>106</v>
      </c>
      <c r="B220" t="s">
        <v>1290</v>
      </c>
      <c r="C220">
        <v>450</v>
      </c>
      <c r="D220" t="s">
        <v>1051</v>
      </c>
      <c r="E220" t="s">
        <v>786</v>
      </c>
      <c r="F220">
        <v>12</v>
      </c>
      <c r="G220" t="s">
        <v>1059</v>
      </c>
      <c r="H220" t="s">
        <v>331</v>
      </c>
      <c r="I220" t="s">
        <v>810</v>
      </c>
      <c r="J220" t="s">
        <v>152</v>
      </c>
      <c r="K220">
        <v>1</v>
      </c>
      <c r="Q220">
        <v>0</v>
      </c>
      <c r="R220">
        <v>0</v>
      </c>
      <c r="U220" s="61" t="s">
        <v>329</v>
      </c>
      <c r="V220" t="s">
        <v>697</v>
      </c>
    </row>
    <row r="221" spans="1:22" x14ac:dyDescent="0.2">
      <c r="A221" t="s">
        <v>106</v>
      </c>
      <c r="B221" t="s">
        <v>1291</v>
      </c>
      <c r="C221">
        <v>451</v>
      </c>
      <c r="D221" t="s">
        <v>1051</v>
      </c>
      <c r="E221" t="s">
        <v>786</v>
      </c>
      <c r="F221">
        <v>13</v>
      </c>
      <c r="G221" t="s">
        <v>1059</v>
      </c>
      <c r="H221" t="s">
        <v>331</v>
      </c>
      <c r="I221" t="s">
        <v>811</v>
      </c>
      <c r="J221" t="s">
        <v>152</v>
      </c>
      <c r="K221">
        <v>1</v>
      </c>
      <c r="Q221">
        <v>0</v>
      </c>
      <c r="R221">
        <v>0</v>
      </c>
      <c r="U221" s="61" t="s">
        <v>329</v>
      </c>
      <c r="V221" t="s">
        <v>697</v>
      </c>
    </row>
    <row r="222" spans="1:22" x14ac:dyDescent="0.2">
      <c r="A222" t="s">
        <v>106</v>
      </c>
      <c r="B222" t="s">
        <v>1292</v>
      </c>
      <c r="C222">
        <v>452</v>
      </c>
      <c r="D222" t="s">
        <v>1051</v>
      </c>
      <c r="E222" t="s">
        <v>786</v>
      </c>
      <c r="F222">
        <v>14</v>
      </c>
      <c r="G222" t="s">
        <v>1059</v>
      </c>
      <c r="H222" t="s">
        <v>331</v>
      </c>
      <c r="I222" t="s">
        <v>812</v>
      </c>
      <c r="J222" t="s">
        <v>152</v>
      </c>
      <c r="K222">
        <v>1</v>
      </c>
      <c r="Q222">
        <v>0</v>
      </c>
      <c r="R222">
        <v>0</v>
      </c>
      <c r="U222" s="61" t="s">
        <v>329</v>
      </c>
      <c r="V222" t="s">
        <v>697</v>
      </c>
    </row>
    <row r="223" spans="1:22" x14ac:dyDescent="0.2">
      <c r="A223" t="s">
        <v>106</v>
      </c>
      <c r="B223" t="s">
        <v>1293</v>
      </c>
      <c r="C223">
        <v>453</v>
      </c>
      <c r="D223" t="s">
        <v>1051</v>
      </c>
      <c r="E223" t="s">
        <v>786</v>
      </c>
      <c r="F223">
        <v>15</v>
      </c>
      <c r="G223" t="s">
        <v>1059</v>
      </c>
      <c r="H223" t="s">
        <v>331</v>
      </c>
      <c r="I223" t="s">
        <v>813</v>
      </c>
      <c r="J223" t="s">
        <v>152</v>
      </c>
      <c r="K223">
        <v>1</v>
      </c>
      <c r="Q223">
        <v>0</v>
      </c>
      <c r="R223">
        <v>0</v>
      </c>
      <c r="U223" s="61" t="s">
        <v>329</v>
      </c>
      <c r="V223" t="s">
        <v>697</v>
      </c>
    </row>
    <row r="224" spans="1:22" x14ac:dyDescent="0.2">
      <c r="A224" t="s">
        <v>106</v>
      </c>
      <c r="B224" t="s">
        <v>1294</v>
      </c>
      <c r="C224">
        <v>454</v>
      </c>
      <c r="D224" t="s">
        <v>1051</v>
      </c>
      <c r="E224" t="s">
        <v>786</v>
      </c>
      <c r="F224">
        <v>16</v>
      </c>
      <c r="G224" t="s">
        <v>1059</v>
      </c>
      <c r="H224" t="s">
        <v>331</v>
      </c>
      <c r="I224" t="s">
        <v>814</v>
      </c>
      <c r="J224" t="s">
        <v>179</v>
      </c>
      <c r="K224">
        <v>1</v>
      </c>
      <c r="Q224">
        <v>0</v>
      </c>
      <c r="R224">
        <v>0</v>
      </c>
      <c r="U224" s="61" t="s">
        <v>329</v>
      </c>
      <c r="V224" t="s">
        <v>697</v>
      </c>
    </row>
    <row r="225" spans="1:22" x14ac:dyDescent="0.2">
      <c r="A225" t="s">
        <v>106</v>
      </c>
      <c r="B225" t="s">
        <v>1295</v>
      </c>
      <c r="C225">
        <v>455</v>
      </c>
      <c r="D225" t="s">
        <v>1051</v>
      </c>
      <c r="E225" t="s">
        <v>786</v>
      </c>
      <c r="F225">
        <v>17</v>
      </c>
      <c r="G225" t="s">
        <v>1059</v>
      </c>
      <c r="H225" t="s">
        <v>331</v>
      </c>
      <c r="I225" t="s">
        <v>816</v>
      </c>
      <c r="J225" t="s">
        <v>179</v>
      </c>
      <c r="K225">
        <v>1</v>
      </c>
      <c r="Q225">
        <v>0</v>
      </c>
      <c r="R225">
        <v>0</v>
      </c>
      <c r="U225" s="61" t="s">
        <v>329</v>
      </c>
      <c r="V225" t="s">
        <v>697</v>
      </c>
    </row>
    <row r="226" spans="1:22" x14ac:dyDescent="0.2">
      <c r="A226" t="s">
        <v>106</v>
      </c>
      <c r="B226" t="s">
        <v>1296</v>
      </c>
      <c r="C226">
        <v>456</v>
      </c>
      <c r="D226" t="s">
        <v>1051</v>
      </c>
      <c r="E226" t="s">
        <v>786</v>
      </c>
      <c r="F226">
        <v>18</v>
      </c>
      <c r="G226" t="s">
        <v>1059</v>
      </c>
      <c r="H226" t="s">
        <v>331</v>
      </c>
      <c r="I226" t="s">
        <v>815</v>
      </c>
      <c r="J226" t="s">
        <v>179</v>
      </c>
      <c r="K226">
        <v>1</v>
      </c>
      <c r="Q226">
        <v>0</v>
      </c>
      <c r="R226">
        <v>0</v>
      </c>
      <c r="U226" s="61" t="s">
        <v>329</v>
      </c>
      <c r="V226" t="s">
        <v>697</v>
      </c>
    </row>
    <row r="227" spans="1:22" x14ac:dyDescent="0.2">
      <c r="A227" t="s">
        <v>106</v>
      </c>
      <c r="B227" t="s">
        <v>1297</v>
      </c>
      <c r="C227">
        <v>457</v>
      </c>
      <c r="D227" t="s">
        <v>1051</v>
      </c>
      <c r="E227" t="s">
        <v>786</v>
      </c>
      <c r="F227">
        <v>19</v>
      </c>
      <c r="G227" t="s">
        <v>1059</v>
      </c>
      <c r="H227" t="s">
        <v>331</v>
      </c>
      <c r="I227" t="s">
        <v>817</v>
      </c>
      <c r="J227" t="s">
        <v>152</v>
      </c>
      <c r="K227">
        <v>1</v>
      </c>
      <c r="Q227">
        <v>0</v>
      </c>
      <c r="R227">
        <v>0</v>
      </c>
      <c r="U227" s="61" t="s">
        <v>329</v>
      </c>
      <c r="V227" t="s">
        <v>697</v>
      </c>
    </row>
    <row r="228" spans="1:22" x14ac:dyDescent="0.2">
      <c r="A228" t="s">
        <v>106</v>
      </c>
      <c r="B228" t="s">
        <v>1298</v>
      </c>
      <c r="C228">
        <v>458</v>
      </c>
      <c r="D228" t="s">
        <v>1051</v>
      </c>
      <c r="E228" t="s">
        <v>786</v>
      </c>
      <c r="F228">
        <v>20</v>
      </c>
      <c r="G228" t="s">
        <v>1059</v>
      </c>
      <c r="H228" t="s">
        <v>331</v>
      </c>
      <c r="I228" t="s">
        <v>819</v>
      </c>
      <c r="J228" t="s">
        <v>152</v>
      </c>
      <c r="K228">
        <v>1</v>
      </c>
      <c r="Q228">
        <v>0</v>
      </c>
      <c r="R228">
        <v>0</v>
      </c>
      <c r="U228" s="61" t="s">
        <v>329</v>
      </c>
      <c r="V228" t="s">
        <v>697</v>
      </c>
    </row>
    <row r="229" spans="1:22" x14ac:dyDescent="0.2">
      <c r="A229" t="s">
        <v>106</v>
      </c>
      <c r="B229" t="s">
        <v>1299</v>
      </c>
      <c r="C229">
        <v>459</v>
      </c>
      <c r="D229" t="s">
        <v>1051</v>
      </c>
      <c r="E229" t="s">
        <v>786</v>
      </c>
      <c r="F229">
        <v>21</v>
      </c>
      <c r="G229" t="s">
        <v>1059</v>
      </c>
      <c r="H229" t="s">
        <v>331</v>
      </c>
      <c r="I229" t="s">
        <v>818</v>
      </c>
      <c r="J229" t="s">
        <v>152</v>
      </c>
      <c r="K229">
        <v>1</v>
      </c>
      <c r="Q229">
        <v>0</v>
      </c>
      <c r="R229">
        <v>0</v>
      </c>
      <c r="U229" s="61" t="s">
        <v>329</v>
      </c>
      <c r="V229" t="s">
        <v>697</v>
      </c>
    </row>
    <row r="230" spans="1:22" x14ac:dyDescent="0.2">
      <c r="A230" t="s">
        <v>106</v>
      </c>
      <c r="B230" t="s">
        <v>1300</v>
      </c>
      <c r="C230">
        <v>460</v>
      </c>
      <c r="D230" t="s">
        <v>1051</v>
      </c>
      <c r="E230" t="s">
        <v>786</v>
      </c>
      <c r="F230">
        <v>22</v>
      </c>
      <c r="G230" t="s">
        <v>1059</v>
      </c>
      <c r="H230" t="s">
        <v>331</v>
      </c>
      <c r="I230" t="s">
        <v>820</v>
      </c>
      <c r="J230" t="s">
        <v>179</v>
      </c>
      <c r="K230">
        <v>1</v>
      </c>
      <c r="Q230">
        <v>0</v>
      </c>
      <c r="R230">
        <v>0</v>
      </c>
      <c r="U230" s="61" t="s">
        <v>329</v>
      </c>
      <c r="V230" t="s">
        <v>697</v>
      </c>
    </row>
    <row r="231" spans="1:22" x14ac:dyDescent="0.2">
      <c r="A231" t="s">
        <v>106</v>
      </c>
      <c r="B231" t="s">
        <v>1301</v>
      </c>
      <c r="C231">
        <v>461</v>
      </c>
      <c r="D231" t="s">
        <v>1051</v>
      </c>
      <c r="E231" t="s">
        <v>786</v>
      </c>
      <c r="F231">
        <v>23</v>
      </c>
      <c r="G231" t="s">
        <v>1059</v>
      </c>
      <c r="H231" t="s">
        <v>331</v>
      </c>
      <c r="I231" t="s">
        <v>823</v>
      </c>
      <c r="J231" t="s">
        <v>380</v>
      </c>
      <c r="K231">
        <v>1</v>
      </c>
      <c r="Q231">
        <v>0</v>
      </c>
      <c r="R231">
        <v>0</v>
      </c>
      <c r="U231" s="61" t="s">
        <v>329</v>
      </c>
      <c r="V231" t="s">
        <v>697</v>
      </c>
    </row>
    <row r="232" spans="1:22" x14ac:dyDescent="0.2">
      <c r="A232" t="s">
        <v>106</v>
      </c>
      <c r="B232" t="s">
        <v>1302</v>
      </c>
      <c r="C232">
        <v>569</v>
      </c>
      <c r="D232" t="s">
        <v>1051</v>
      </c>
      <c r="E232" t="s">
        <v>786</v>
      </c>
      <c r="F232">
        <v>24</v>
      </c>
      <c r="G232" t="s">
        <v>1059</v>
      </c>
      <c r="H232" t="s">
        <v>331</v>
      </c>
      <c r="I232" t="s">
        <v>934</v>
      </c>
      <c r="J232" t="s">
        <v>380</v>
      </c>
      <c r="K232">
        <v>1</v>
      </c>
      <c r="Q232">
        <v>0</v>
      </c>
      <c r="R232">
        <v>0</v>
      </c>
      <c r="U232" s="61" t="s">
        <v>329</v>
      </c>
      <c r="V232" t="s">
        <v>697</v>
      </c>
    </row>
    <row r="233" spans="1:22" x14ac:dyDescent="0.2">
      <c r="A233" t="s">
        <v>106</v>
      </c>
      <c r="B233" t="s">
        <v>1303</v>
      </c>
      <c r="C233">
        <v>157</v>
      </c>
      <c r="D233" t="s">
        <v>1051</v>
      </c>
      <c r="E233" t="s">
        <v>787</v>
      </c>
      <c r="F233">
        <v>1</v>
      </c>
      <c r="G233" t="s">
        <v>1054</v>
      </c>
      <c r="H233" t="s">
        <v>328</v>
      </c>
      <c r="I233" t="s">
        <v>344</v>
      </c>
      <c r="J233" t="s">
        <v>152</v>
      </c>
      <c r="Q233">
        <v>0</v>
      </c>
      <c r="R233">
        <v>0</v>
      </c>
      <c r="U233" s="61" t="s">
        <v>329</v>
      </c>
      <c r="V233" t="s">
        <v>696</v>
      </c>
    </row>
    <row r="234" spans="1:22" x14ac:dyDescent="0.2">
      <c r="A234" t="s">
        <v>106</v>
      </c>
      <c r="B234" t="s">
        <v>1304</v>
      </c>
      <c r="C234">
        <v>158</v>
      </c>
      <c r="D234" t="s">
        <v>1051</v>
      </c>
      <c r="E234" t="s">
        <v>787</v>
      </c>
      <c r="F234">
        <v>2</v>
      </c>
      <c r="G234" t="s">
        <v>1054</v>
      </c>
      <c r="H234" t="s">
        <v>328</v>
      </c>
      <c r="I234" t="s">
        <v>346</v>
      </c>
      <c r="J234" t="s">
        <v>152</v>
      </c>
      <c r="Q234">
        <v>0</v>
      </c>
      <c r="R234">
        <v>0</v>
      </c>
      <c r="U234" s="61" t="s">
        <v>329</v>
      </c>
      <c r="V234" t="s">
        <v>696</v>
      </c>
    </row>
    <row r="235" spans="1:22" x14ac:dyDescent="0.2">
      <c r="A235" t="s">
        <v>106</v>
      </c>
      <c r="B235" t="s">
        <v>1305</v>
      </c>
      <c r="C235">
        <v>159</v>
      </c>
      <c r="D235" t="s">
        <v>1051</v>
      </c>
      <c r="E235" t="s">
        <v>787</v>
      </c>
      <c r="F235">
        <v>3</v>
      </c>
      <c r="G235" t="s">
        <v>1054</v>
      </c>
      <c r="H235" t="s">
        <v>328</v>
      </c>
      <c r="I235" t="s">
        <v>347</v>
      </c>
      <c r="J235" t="s">
        <v>152</v>
      </c>
      <c r="Q235">
        <v>0</v>
      </c>
      <c r="R235">
        <v>0</v>
      </c>
      <c r="U235" s="61" t="s">
        <v>329</v>
      </c>
      <c r="V235" t="s">
        <v>696</v>
      </c>
    </row>
    <row r="236" spans="1:22" x14ac:dyDescent="0.2">
      <c r="A236" t="s">
        <v>106</v>
      </c>
      <c r="B236" t="s">
        <v>1306</v>
      </c>
      <c r="C236">
        <v>160</v>
      </c>
      <c r="D236" t="s">
        <v>1051</v>
      </c>
      <c r="E236" t="s">
        <v>787</v>
      </c>
      <c r="F236">
        <v>4</v>
      </c>
      <c r="G236" t="s">
        <v>1054</v>
      </c>
      <c r="H236" t="s">
        <v>328</v>
      </c>
      <c r="I236" t="s">
        <v>348</v>
      </c>
      <c r="J236" t="s">
        <v>152</v>
      </c>
      <c r="Q236">
        <v>0</v>
      </c>
      <c r="R236">
        <v>0</v>
      </c>
      <c r="U236" s="61" t="s">
        <v>329</v>
      </c>
      <c r="V236" t="s">
        <v>696</v>
      </c>
    </row>
    <row r="237" spans="1:22" x14ac:dyDescent="0.2">
      <c r="A237" t="s">
        <v>106</v>
      </c>
      <c r="B237" t="s">
        <v>1307</v>
      </c>
      <c r="C237">
        <v>161</v>
      </c>
      <c r="D237" t="s">
        <v>1051</v>
      </c>
      <c r="E237" t="s">
        <v>787</v>
      </c>
      <c r="F237">
        <v>5</v>
      </c>
      <c r="G237" t="s">
        <v>1054</v>
      </c>
      <c r="H237" t="s">
        <v>328</v>
      </c>
      <c r="I237" t="s">
        <v>349</v>
      </c>
      <c r="J237" t="s">
        <v>152</v>
      </c>
      <c r="Q237">
        <v>0</v>
      </c>
      <c r="R237">
        <v>0</v>
      </c>
      <c r="U237" s="61" t="s">
        <v>329</v>
      </c>
      <c r="V237" t="s">
        <v>696</v>
      </c>
    </row>
    <row r="238" spans="1:22" x14ac:dyDescent="0.2">
      <c r="A238" t="s">
        <v>106</v>
      </c>
      <c r="B238" t="s">
        <v>1308</v>
      </c>
      <c r="C238">
        <v>162</v>
      </c>
      <c r="D238" t="s">
        <v>1051</v>
      </c>
      <c r="E238" t="s">
        <v>788</v>
      </c>
      <c r="F238">
        <v>1</v>
      </c>
      <c r="G238" t="s">
        <v>1060</v>
      </c>
      <c r="H238" t="s">
        <v>332</v>
      </c>
      <c r="I238" t="s">
        <v>351</v>
      </c>
      <c r="J238" t="s">
        <v>147</v>
      </c>
      <c r="Q238">
        <v>0</v>
      </c>
      <c r="R238">
        <v>0</v>
      </c>
      <c r="U238" s="61" t="s">
        <v>330</v>
      </c>
      <c r="V238" t="s">
        <v>699</v>
      </c>
    </row>
    <row r="239" spans="1:22" x14ac:dyDescent="0.2">
      <c r="A239" t="s">
        <v>106</v>
      </c>
      <c r="B239" t="s">
        <v>1309</v>
      </c>
      <c r="C239">
        <v>163</v>
      </c>
      <c r="D239" t="s">
        <v>1051</v>
      </c>
      <c r="E239" t="s">
        <v>788</v>
      </c>
      <c r="F239">
        <v>2</v>
      </c>
      <c r="G239" t="s">
        <v>1060</v>
      </c>
      <c r="H239" t="s">
        <v>332</v>
      </c>
      <c r="I239" t="s">
        <v>352</v>
      </c>
      <c r="J239" t="s">
        <v>152</v>
      </c>
      <c r="K239">
        <v>1</v>
      </c>
      <c r="Q239">
        <v>0</v>
      </c>
      <c r="R239">
        <v>0</v>
      </c>
      <c r="U239" s="61" t="s">
        <v>330</v>
      </c>
      <c r="V239" t="s">
        <v>699</v>
      </c>
    </row>
    <row r="240" spans="1:22" x14ac:dyDescent="0.2">
      <c r="A240" t="s">
        <v>106</v>
      </c>
      <c r="B240" t="s">
        <v>1310</v>
      </c>
      <c r="C240">
        <v>164</v>
      </c>
      <c r="D240" t="s">
        <v>1051</v>
      </c>
      <c r="E240" t="s">
        <v>788</v>
      </c>
      <c r="F240">
        <v>3</v>
      </c>
      <c r="G240" t="s">
        <v>1060</v>
      </c>
      <c r="H240" t="s">
        <v>332</v>
      </c>
      <c r="I240" t="s">
        <v>353</v>
      </c>
      <c r="J240" t="s">
        <v>150</v>
      </c>
      <c r="K240">
        <v>1</v>
      </c>
      <c r="Q240">
        <v>0</v>
      </c>
      <c r="R240">
        <v>0</v>
      </c>
      <c r="U240" s="61" t="s">
        <v>330</v>
      </c>
      <c r="V240" t="s">
        <v>699</v>
      </c>
    </row>
    <row r="241" spans="1:22" x14ac:dyDescent="0.2">
      <c r="A241" t="s">
        <v>106</v>
      </c>
      <c r="B241" t="s">
        <v>1311</v>
      </c>
      <c r="C241">
        <v>165</v>
      </c>
      <c r="D241" t="s">
        <v>1051</v>
      </c>
      <c r="E241" t="s">
        <v>788</v>
      </c>
      <c r="F241">
        <v>4</v>
      </c>
      <c r="G241" t="s">
        <v>1060</v>
      </c>
      <c r="H241" t="s">
        <v>332</v>
      </c>
      <c r="I241" t="s">
        <v>354</v>
      </c>
      <c r="J241" t="s">
        <v>148</v>
      </c>
      <c r="K241">
        <v>1</v>
      </c>
      <c r="Q241">
        <v>0</v>
      </c>
      <c r="R241">
        <v>0</v>
      </c>
      <c r="U241" s="61" t="s">
        <v>330</v>
      </c>
      <c r="V241" t="s">
        <v>699</v>
      </c>
    </row>
    <row r="242" spans="1:22" x14ac:dyDescent="0.2">
      <c r="A242" t="s">
        <v>106</v>
      </c>
      <c r="B242" t="s">
        <v>1312</v>
      </c>
      <c r="C242">
        <v>166</v>
      </c>
      <c r="D242" t="s">
        <v>1051</v>
      </c>
      <c r="E242" t="s">
        <v>788</v>
      </c>
      <c r="F242">
        <v>5</v>
      </c>
      <c r="G242" t="s">
        <v>1060</v>
      </c>
      <c r="H242" t="s">
        <v>332</v>
      </c>
      <c r="I242" t="s">
        <v>355</v>
      </c>
      <c r="J242" t="s">
        <v>150</v>
      </c>
      <c r="K242">
        <v>1</v>
      </c>
      <c r="Q242">
        <v>0</v>
      </c>
      <c r="R242">
        <v>0</v>
      </c>
      <c r="U242" s="61" t="s">
        <v>330</v>
      </c>
      <c r="V242" t="s">
        <v>699</v>
      </c>
    </row>
    <row r="243" spans="1:22" x14ac:dyDescent="0.2">
      <c r="A243" t="s">
        <v>106</v>
      </c>
      <c r="B243" t="s">
        <v>1313</v>
      </c>
      <c r="C243">
        <v>167</v>
      </c>
      <c r="D243" t="s">
        <v>1051</v>
      </c>
      <c r="E243" t="s">
        <v>788</v>
      </c>
      <c r="F243">
        <v>6</v>
      </c>
      <c r="G243" t="s">
        <v>1060</v>
      </c>
      <c r="H243" t="s">
        <v>332</v>
      </c>
      <c r="I243" t="s">
        <v>356</v>
      </c>
      <c r="J243" t="s">
        <v>148</v>
      </c>
      <c r="K243">
        <v>1</v>
      </c>
      <c r="Q243">
        <v>0</v>
      </c>
      <c r="R243">
        <v>0</v>
      </c>
      <c r="U243" s="61" t="s">
        <v>330</v>
      </c>
      <c r="V243" t="s">
        <v>699</v>
      </c>
    </row>
    <row r="244" spans="1:22" x14ac:dyDescent="0.2">
      <c r="A244" t="s">
        <v>106</v>
      </c>
      <c r="B244" t="s">
        <v>1314</v>
      </c>
      <c r="C244">
        <v>168</v>
      </c>
      <c r="D244" t="s">
        <v>1051</v>
      </c>
      <c r="E244" t="s">
        <v>789</v>
      </c>
      <c r="F244">
        <v>1</v>
      </c>
      <c r="G244" t="s">
        <v>1057</v>
      </c>
      <c r="H244" t="s">
        <v>333</v>
      </c>
      <c r="I244" t="s">
        <v>357</v>
      </c>
      <c r="J244" t="s">
        <v>147</v>
      </c>
      <c r="Q244">
        <v>0</v>
      </c>
      <c r="R244">
        <v>0</v>
      </c>
      <c r="U244" s="61" t="s">
        <v>330</v>
      </c>
      <c r="V244" t="s">
        <v>700</v>
      </c>
    </row>
    <row r="245" spans="1:22" x14ac:dyDescent="0.2">
      <c r="A245" t="s">
        <v>106</v>
      </c>
      <c r="B245" t="s">
        <v>1315</v>
      </c>
      <c r="C245">
        <v>169</v>
      </c>
      <c r="D245" t="s">
        <v>1051</v>
      </c>
      <c r="E245" t="s">
        <v>789</v>
      </c>
      <c r="F245">
        <v>2</v>
      </c>
      <c r="G245" t="s">
        <v>1057</v>
      </c>
      <c r="H245" t="s">
        <v>333</v>
      </c>
      <c r="I245" t="s">
        <v>358</v>
      </c>
      <c r="J245" t="s">
        <v>149</v>
      </c>
      <c r="K245">
        <v>1</v>
      </c>
      <c r="Q245">
        <v>0</v>
      </c>
      <c r="R245">
        <v>0</v>
      </c>
      <c r="U245" s="61" t="s">
        <v>330</v>
      </c>
      <c r="V245" t="s">
        <v>700</v>
      </c>
    </row>
    <row r="246" spans="1:22" x14ac:dyDescent="0.2">
      <c r="A246" t="s">
        <v>106</v>
      </c>
      <c r="B246" t="s">
        <v>1316</v>
      </c>
      <c r="C246">
        <v>170</v>
      </c>
      <c r="D246" t="s">
        <v>1051</v>
      </c>
      <c r="E246" t="s">
        <v>789</v>
      </c>
      <c r="F246">
        <v>3</v>
      </c>
      <c r="G246" t="s">
        <v>1057</v>
      </c>
      <c r="H246" t="s">
        <v>333</v>
      </c>
      <c r="I246" t="s">
        <v>360</v>
      </c>
      <c r="J246" t="s">
        <v>150</v>
      </c>
      <c r="K246">
        <v>1</v>
      </c>
      <c r="Q246">
        <v>0</v>
      </c>
      <c r="R246">
        <v>0</v>
      </c>
      <c r="U246" s="61" t="s">
        <v>330</v>
      </c>
      <c r="V246" t="s">
        <v>700</v>
      </c>
    </row>
    <row r="247" spans="1:22" x14ac:dyDescent="0.2">
      <c r="A247" t="s">
        <v>106</v>
      </c>
      <c r="B247" t="s">
        <v>1317</v>
      </c>
      <c r="C247">
        <v>171</v>
      </c>
      <c r="D247" t="s">
        <v>1051</v>
      </c>
      <c r="E247" t="s">
        <v>789</v>
      </c>
      <c r="F247">
        <v>4</v>
      </c>
      <c r="G247" t="s">
        <v>1057</v>
      </c>
      <c r="H247" t="s">
        <v>333</v>
      </c>
      <c r="I247" t="s">
        <v>359</v>
      </c>
      <c r="J247" t="s">
        <v>150</v>
      </c>
      <c r="K247">
        <v>1</v>
      </c>
      <c r="Q247">
        <v>0</v>
      </c>
      <c r="R247">
        <v>0</v>
      </c>
      <c r="U247" s="61" t="s">
        <v>330</v>
      </c>
      <c r="V247" t="s">
        <v>700</v>
      </c>
    </row>
    <row r="248" spans="1:22" x14ac:dyDescent="0.2">
      <c r="A248" t="s">
        <v>106</v>
      </c>
      <c r="B248" t="s">
        <v>1318</v>
      </c>
      <c r="C248">
        <v>340</v>
      </c>
      <c r="D248" t="s">
        <v>1051</v>
      </c>
      <c r="E248" t="s">
        <v>790</v>
      </c>
      <c r="F248">
        <v>1</v>
      </c>
      <c r="G248" t="s">
        <v>1061</v>
      </c>
      <c r="H248" t="s">
        <v>456</v>
      </c>
      <c r="I248" t="s">
        <v>586</v>
      </c>
      <c r="J248" t="s">
        <v>149</v>
      </c>
      <c r="K248">
        <v>1</v>
      </c>
      <c r="Q248">
        <v>0</v>
      </c>
      <c r="R248">
        <v>0</v>
      </c>
      <c r="U248" s="61" t="s">
        <v>330</v>
      </c>
      <c r="V248" t="s">
        <v>701</v>
      </c>
    </row>
    <row r="249" spans="1:22" x14ac:dyDescent="0.2">
      <c r="A249" t="s">
        <v>106</v>
      </c>
      <c r="B249" t="s">
        <v>1319</v>
      </c>
      <c r="C249">
        <v>341</v>
      </c>
      <c r="D249" t="s">
        <v>1051</v>
      </c>
      <c r="E249" t="s">
        <v>790</v>
      </c>
      <c r="F249">
        <v>2</v>
      </c>
      <c r="G249" t="s">
        <v>1061</v>
      </c>
      <c r="H249" t="s">
        <v>456</v>
      </c>
      <c r="I249" t="s">
        <v>589</v>
      </c>
      <c r="J249" t="s">
        <v>149</v>
      </c>
      <c r="K249">
        <v>1</v>
      </c>
      <c r="Q249">
        <v>0</v>
      </c>
      <c r="R249">
        <v>0</v>
      </c>
      <c r="U249" s="61" t="s">
        <v>330</v>
      </c>
      <c r="V249" t="s">
        <v>701</v>
      </c>
    </row>
    <row r="250" spans="1:22" x14ac:dyDescent="0.2">
      <c r="A250" t="s">
        <v>106</v>
      </c>
      <c r="B250" t="s">
        <v>1320</v>
      </c>
      <c r="C250">
        <v>342</v>
      </c>
      <c r="D250" t="s">
        <v>1051</v>
      </c>
      <c r="E250" t="s">
        <v>790</v>
      </c>
      <c r="F250">
        <v>3</v>
      </c>
      <c r="G250" t="s">
        <v>1061</v>
      </c>
      <c r="H250" t="s">
        <v>456</v>
      </c>
      <c r="I250" t="s">
        <v>587</v>
      </c>
      <c r="J250" t="s">
        <v>152</v>
      </c>
      <c r="K250">
        <v>1</v>
      </c>
      <c r="Q250">
        <v>0</v>
      </c>
      <c r="R250">
        <v>0</v>
      </c>
      <c r="U250" s="61" t="s">
        <v>330</v>
      </c>
      <c r="V250" t="s">
        <v>701</v>
      </c>
    </row>
    <row r="251" spans="1:22" x14ac:dyDescent="0.2">
      <c r="A251" t="s">
        <v>106</v>
      </c>
      <c r="B251" t="s">
        <v>1321</v>
      </c>
      <c r="C251">
        <v>343</v>
      </c>
      <c r="D251" t="s">
        <v>1051</v>
      </c>
      <c r="E251" t="s">
        <v>790</v>
      </c>
      <c r="F251">
        <v>4</v>
      </c>
      <c r="G251" t="s">
        <v>1061</v>
      </c>
      <c r="H251" t="s">
        <v>456</v>
      </c>
      <c r="I251" t="s">
        <v>588</v>
      </c>
      <c r="J251" t="s">
        <v>148</v>
      </c>
      <c r="K251">
        <v>1</v>
      </c>
      <c r="Q251">
        <v>0</v>
      </c>
      <c r="R251">
        <v>0</v>
      </c>
      <c r="U251" s="61" t="s">
        <v>330</v>
      </c>
      <c r="V251" t="s">
        <v>701</v>
      </c>
    </row>
    <row r="252" spans="1:22" x14ac:dyDescent="0.2">
      <c r="A252" t="s">
        <v>106</v>
      </c>
      <c r="B252" t="s">
        <v>1322</v>
      </c>
      <c r="C252">
        <v>462</v>
      </c>
      <c r="D252" t="s">
        <v>1051</v>
      </c>
      <c r="E252" t="s">
        <v>963</v>
      </c>
      <c r="F252">
        <v>1</v>
      </c>
      <c r="G252" t="s">
        <v>1062</v>
      </c>
      <c r="H252" t="s">
        <v>457</v>
      </c>
      <c r="I252" t="s">
        <v>821</v>
      </c>
      <c r="J252" t="s">
        <v>150</v>
      </c>
      <c r="K252">
        <v>1</v>
      </c>
      <c r="Q252">
        <v>0</v>
      </c>
      <c r="R252">
        <v>0</v>
      </c>
      <c r="U252" s="61" t="s">
        <v>330</v>
      </c>
      <c r="V252" t="s">
        <v>702</v>
      </c>
    </row>
    <row r="253" spans="1:22" x14ac:dyDescent="0.2">
      <c r="A253" t="s">
        <v>106</v>
      </c>
      <c r="B253" t="s">
        <v>1323</v>
      </c>
      <c r="C253">
        <v>463</v>
      </c>
      <c r="D253" t="s">
        <v>1051</v>
      </c>
      <c r="E253" t="s">
        <v>963</v>
      </c>
      <c r="F253">
        <v>2</v>
      </c>
      <c r="G253" t="s">
        <v>1062</v>
      </c>
      <c r="H253" t="s">
        <v>457</v>
      </c>
      <c r="I253" t="s">
        <v>822</v>
      </c>
      <c r="J253" t="s">
        <v>150</v>
      </c>
      <c r="K253">
        <v>1</v>
      </c>
      <c r="Q253">
        <v>0</v>
      </c>
      <c r="R253">
        <v>0</v>
      </c>
      <c r="U253" s="61" t="s">
        <v>330</v>
      </c>
      <c r="V253" t="s">
        <v>702</v>
      </c>
    </row>
    <row r="254" spans="1:22" x14ac:dyDescent="0.2">
      <c r="A254" t="s">
        <v>119</v>
      </c>
      <c r="B254" t="s">
        <v>1324</v>
      </c>
      <c r="C254">
        <v>16</v>
      </c>
      <c r="D254" t="s">
        <v>1051</v>
      </c>
      <c r="E254" t="s">
        <v>319</v>
      </c>
      <c r="F254">
        <v>1</v>
      </c>
      <c r="G254" t="s">
        <v>1058</v>
      </c>
      <c r="H254" t="s">
        <v>158</v>
      </c>
      <c r="I254" t="s">
        <v>186</v>
      </c>
      <c r="J254" t="s">
        <v>152</v>
      </c>
      <c r="K254">
        <v>1</v>
      </c>
      <c r="L254">
        <v>1</v>
      </c>
      <c r="M254">
        <v>2</v>
      </c>
      <c r="N254">
        <v>5</v>
      </c>
      <c r="O254">
        <v>5</v>
      </c>
      <c r="Q254">
        <v>7.4707698403599609</v>
      </c>
      <c r="R254">
        <v>7.4707698403599609</v>
      </c>
      <c r="U254" s="61" t="s">
        <v>958</v>
      </c>
      <c r="V254" t="s">
        <v>158</v>
      </c>
    </row>
    <row r="255" spans="1:22" x14ac:dyDescent="0.2">
      <c r="A255" t="s">
        <v>119</v>
      </c>
      <c r="B255" t="s">
        <v>1325</v>
      </c>
      <c r="C255">
        <v>17</v>
      </c>
      <c r="D255" t="s">
        <v>1051</v>
      </c>
      <c r="E255" t="s">
        <v>319</v>
      </c>
      <c r="F255">
        <v>2</v>
      </c>
      <c r="G255" t="s">
        <v>1058</v>
      </c>
      <c r="H255" t="s">
        <v>158</v>
      </c>
      <c r="I255" t="s">
        <v>178</v>
      </c>
      <c r="J255" t="s">
        <v>179</v>
      </c>
      <c r="K255">
        <v>1</v>
      </c>
      <c r="L255">
        <v>1</v>
      </c>
      <c r="M255">
        <v>2</v>
      </c>
      <c r="N255">
        <v>4</v>
      </c>
      <c r="O255">
        <v>5</v>
      </c>
      <c r="Q255">
        <v>4.8094761878996088</v>
      </c>
      <c r="R255">
        <v>7.4707698403599609</v>
      </c>
      <c r="U255" s="61" t="s">
        <v>958</v>
      </c>
      <c r="V255" t="s">
        <v>158</v>
      </c>
    </row>
    <row r="256" spans="1:22" x14ac:dyDescent="0.2">
      <c r="A256" t="s">
        <v>119</v>
      </c>
      <c r="B256" t="s">
        <v>1326</v>
      </c>
      <c r="C256">
        <v>18</v>
      </c>
      <c r="D256" t="s">
        <v>1051</v>
      </c>
      <c r="E256" t="s">
        <v>319</v>
      </c>
      <c r="F256">
        <v>3</v>
      </c>
      <c r="G256" t="s">
        <v>1058</v>
      </c>
      <c r="H256" t="s">
        <v>158</v>
      </c>
      <c r="I256" t="s">
        <v>185</v>
      </c>
      <c r="J256" t="s">
        <v>152</v>
      </c>
      <c r="K256">
        <v>1</v>
      </c>
      <c r="L256">
        <v>2</v>
      </c>
      <c r="M256">
        <v>2</v>
      </c>
      <c r="N256">
        <v>4</v>
      </c>
      <c r="O256">
        <v>5</v>
      </c>
      <c r="Q256">
        <v>3.4675646088337704</v>
      </c>
      <c r="R256">
        <v>5.1952304715697029</v>
      </c>
      <c r="U256" s="61" t="s">
        <v>958</v>
      </c>
      <c r="V256" t="s">
        <v>158</v>
      </c>
    </row>
    <row r="257" spans="1:22" x14ac:dyDescent="0.2">
      <c r="A257" t="s">
        <v>119</v>
      </c>
      <c r="B257" t="s">
        <v>1327</v>
      </c>
      <c r="C257">
        <v>19</v>
      </c>
      <c r="D257" t="s">
        <v>1051</v>
      </c>
      <c r="E257" t="s">
        <v>319</v>
      </c>
      <c r="F257">
        <v>4</v>
      </c>
      <c r="G257" t="s">
        <v>1058</v>
      </c>
      <c r="H257" t="s">
        <v>158</v>
      </c>
      <c r="I257" t="s">
        <v>184</v>
      </c>
      <c r="J257" t="s">
        <v>152</v>
      </c>
      <c r="K257">
        <v>1</v>
      </c>
      <c r="L257">
        <v>2</v>
      </c>
      <c r="M257">
        <v>2</v>
      </c>
      <c r="N257">
        <v>4</v>
      </c>
      <c r="O257">
        <v>5</v>
      </c>
      <c r="Q257">
        <v>3.4675646088337704</v>
      </c>
      <c r="R257">
        <v>5.1952304715697029</v>
      </c>
      <c r="U257" s="61" t="s">
        <v>958</v>
      </c>
      <c r="V257" t="s">
        <v>158</v>
      </c>
    </row>
    <row r="258" spans="1:22" x14ac:dyDescent="0.2">
      <c r="A258" t="s">
        <v>119</v>
      </c>
      <c r="B258" t="s">
        <v>1328</v>
      </c>
      <c r="C258">
        <v>20</v>
      </c>
      <c r="D258" t="s">
        <v>1051</v>
      </c>
      <c r="E258" t="s">
        <v>319</v>
      </c>
      <c r="F258">
        <v>5</v>
      </c>
      <c r="G258" t="s">
        <v>1058</v>
      </c>
      <c r="H258" t="s">
        <v>158</v>
      </c>
      <c r="I258" t="s">
        <v>180</v>
      </c>
      <c r="J258" t="s">
        <v>179</v>
      </c>
      <c r="K258">
        <v>1</v>
      </c>
      <c r="L258">
        <v>3</v>
      </c>
      <c r="M258">
        <v>2</v>
      </c>
      <c r="N258">
        <v>3</v>
      </c>
      <c r="O258">
        <v>5</v>
      </c>
      <c r="Q258">
        <v>1.9508265581762823</v>
      </c>
      <c r="R258">
        <v>3.8150460770152788</v>
      </c>
      <c r="U258" s="61" t="s">
        <v>958</v>
      </c>
      <c r="V258" t="s">
        <v>158</v>
      </c>
    </row>
    <row r="259" spans="1:22" x14ac:dyDescent="0.2">
      <c r="A259" t="s">
        <v>119</v>
      </c>
      <c r="B259" t="s">
        <v>1329</v>
      </c>
      <c r="C259">
        <v>21</v>
      </c>
      <c r="D259" t="s">
        <v>1051</v>
      </c>
      <c r="E259" t="s">
        <v>319</v>
      </c>
      <c r="F259">
        <v>6</v>
      </c>
      <c r="G259" t="s">
        <v>1058</v>
      </c>
      <c r="H259" t="s">
        <v>158</v>
      </c>
      <c r="I259" t="s">
        <v>181</v>
      </c>
      <c r="J259" t="s">
        <v>152</v>
      </c>
      <c r="K259">
        <v>1</v>
      </c>
      <c r="L259">
        <v>1</v>
      </c>
      <c r="M259">
        <v>3</v>
      </c>
      <c r="N259">
        <v>5</v>
      </c>
      <c r="O259">
        <v>5</v>
      </c>
      <c r="Q259">
        <v>8.3439300121397828</v>
      </c>
      <c r="R259">
        <v>8.3439300121397828</v>
      </c>
      <c r="U259" s="61" t="s">
        <v>958</v>
      </c>
      <c r="V259" t="s">
        <v>158</v>
      </c>
    </row>
    <row r="260" spans="1:22" x14ac:dyDescent="0.2">
      <c r="A260" t="s">
        <v>119</v>
      </c>
      <c r="B260" t="s">
        <v>1330</v>
      </c>
      <c r="C260">
        <v>22</v>
      </c>
      <c r="D260" t="s">
        <v>1051</v>
      </c>
      <c r="E260" t="s">
        <v>319</v>
      </c>
      <c r="F260">
        <v>7</v>
      </c>
      <c r="G260" t="s">
        <v>1058</v>
      </c>
      <c r="H260" t="s">
        <v>158</v>
      </c>
      <c r="I260" t="s">
        <v>182</v>
      </c>
      <c r="J260" t="s">
        <v>179</v>
      </c>
      <c r="K260">
        <v>1</v>
      </c>
      <c r="L260">
        <v>2</v>
      </c>
      <c r="M260">
        <v>4</v>
      </c>
      <c r="N260">
        <v>4</v>
      </c>
      <c r="O260">
        <v>5</v>
      </c>
      <c r="Q260">
        <v>5.7352849367469618</v>
      </c>
      <c r="R260">
        <v>7.9305662093421851</v>
      </c>
      <c r="U260" s="61" t="s">
        <v>958</v>
      </c>
      <c r="V260" t="s">
        <v>158</v>
      </c>
    </row>
    <row r="261" spans="1:22" x14ac:dyDescent="0.2">
      <c r="A261" t="s">
        <v>119</v>
      </c>
      <c r="B261" t="s">
        <v>1331</v>
      </c>
      <c r="C261">
        <v>23</v>
      </c>
      <c r="D261" t="s">
        <v>1051</v>
      </c>
      <c r="E261" t="s">
        <v>319</v>
      </c>
      <c r="F261">
        <v>8</v>
      </c>
      <c r="G261" t="s">
        <v>1058</v>
      </c>
      <c r="H261" t="s">
        <v>158</v>
      </c>
      <c r="I261" t="s">
        <v>183</v>
      </c>
      <c r="J261" t="s">
        <v>152</v>
      </c>
      <c r="K261">
        <v>1</v>
      </c>
      <c r="L261">
        <v>1</v>
      </c>
      <c r="M261">
        <v>2</v>
      </c>
      <c r="N261">
        <v>5</v>
      </c>
      <c r="O261">
        <v>5</v>
      </c>
      <c r="Q261">
        <v>7.4707698403599609</v>
      </c>
      <c r="R261">
        <v>7.4707698403599609</v>
      </c>
      <c r="U261" s="61" t="s">
        <v>958</v>
      </c>
      <c r="V261" t="s">
        <v>158</v>
      </c>
    </row>
    <row r="262" spans="1:22" x14ac:dyDescent="0.2">
      <c r="A262" t="s">
        <v>119</v>
      </c>
      <c r="B262" t="s">
        <v>1332</v>
      </c>
      <c r="C262">
        <v>24</v>
      </c>
      <c r="D262" t="s">
        <v>1051</v>
      </c>
      <c r="E262" t="s">
        <v>319</v>
      </c>
      <c r="F262">
        <v>9</v>
      </c>
      <c r="G262" t="s">
        <v>1058</v>
      </c>
      <c r="H262" t="s">
        <v>158</v>
      </c>
      <c r="I262" t="s">
        <v>187</v>
      </c>
      <c r="J262" t="s">
        <v>152</v>
      </c>
      <c r="K262">
        <v>1</v>
      </c>
      <c r="L262">
        <v>1</v>
      </c>
      <c r="M262">
        <v>2</v>
      </c>
      <c r="N262">
        <v>5</v>
      </c>
      <c r="O262">
        <v>5</v>
      </c>
      <c r="Q262">
        <v>7.4707698403599609</v>
      </c>
      <c r="R262">
        <v>7.4707698403599609</v>
      </c>
      <c r="U262" s="61" t="s">
        <v>958</v>
      </c>
      <c r="V262" t="s">
        <v>158</v>
      </c>
    </row>
    <row r="263" spans="1:22" x14ac:dyDescent="0.2">
      <c r="A263" t="s">
        <v>119</v>
      </c>
      <c r="B263" t="s">
        <v>1333</v>
      </c>
      <c r="C263">
        <v>25</v>
      </c>
      <c r="D263" t="s">
        <v>1051</v>
      </c>
      <c r="E263" t="s">
        <v>319</v>
      </c>
      <c r="F263">
        <v>10</v>
      </c>
      <c r="G263" t="s">
        <v>1058</v>
      </c>
      <c r="H263" t="s">
        <v>158</v>
      </c>
      <c r="I263" t="s">
        <v>188</v>
      </c>
      <c r="J263" t="s">
        <v>152</v>
      </c>
      <c r="K263">
        <v>1</v>
      </c>
      <c r="L263">
        <v>2</v>
      </c>
      <c r="M263">
        <v>2</v>
      </c>
      <c r="N263">
        <v>4</v>
      </c>
      <c r="O263">
        <v>5</v>
      </c>
      <c r="Q263">
        <v>3.4675646088337704</v>
      </c>
      <c r="R263">
        <v>5.1952304715697029</v>
      </c>
      <c r="U263" s="61" t="s">
        <v>958</v>
      </c>
      <c r="V263" t="s">
        <v>158</v>
      </c>
    </row>
    <row r="264" spans="1:22" x14ac:dyDescent="0.2">
      <c r="A264" t="s">
        <v>119</v>
      </c>
      <c r="B264" t="s">
        <v>1334</v>
      </c>
      <c r="C264">
        <v>26</v>
      </c>
      <c r="D264" t="s">
        <v>1051</v>
      </c>
      <c r="E264" t="s">
        <v>319</v>
      </c>
      <c r="F264">
        <v>11</v>
      </c>
      <c r="G264" t="s">
        <v>1058</v>
      </c>
      <c r="H264" t="s">
        <v>158</v>
      </c>
      <c r="I264" t="s">
        <v>189</v>
      </c>
      <c r="J264" t="s">
        <v>152</v>
      </c>
      <c r="K264">
        <v>1</v>
      </c>
      <c r="L264">
        <v>2</v>
      </c>
      <c r="M264">
        <v>2</v>
      </c>
      <c r="N264">
        <v>4</v>
      </c>
      <c r="O264">
        <v>5</v>
      </c>
      <c r="Q264">
        <v>3.4675646088337704</v>
      </c>
      <c r="R264">
        <v>5.1952304715697029</v>
      </c>
      <c r="U264" s="61" t="s">
        <v>958</v>
      </c>
      <c r="V264" t="s">
        <v>158</v>
      </c>
    </row>
    <row r="265" spans="1:22" x14ac:dyDescent="0.2">
      <c r="A265" t="s">
        <v>119</v>
      </c>
      <c r="B265" t="s">
        <v>1335</v>
      </c>
      <c r="C265">
        <v>27</v>
      </c>
      <c r="D265" t="s">
        <v>1051</v>
      </c>
      <c r="E265" t="s">
        <v>319</v>
      </c>
      <c r="F265">
        <v>12</v>
      </c>
      <c r="G265" t="s">
        <v>1058</v>
      </c>
      <c r="H265" t="s">
        <v>158</v>
      </c>
      <c r="I265" t="s">
        <v>190</v>
      </c>
      <c r="J265" t="s">
        <v>152</v>
      </c>
      <c r="K265">
        <v>1</v>
      </c>
      <c r="L265">
        <v>2</v>
      </c>
      <c r="M265">
        <v>2</v>
      </c>
      <c r="N265">
        <v>4</v>
      </c>
      <c r="O265">
        <v>5</v>
      </c>
      <c r="Q265">
        <v>3.4675646088337704</v>
      </c>
      <c r="R265">
        <v>5.1952304715697029</v>
      </c>
      <c r="U265" s="61" t="s">
        <v>958</v>
      </c>
      <c r="V265" t="s">
        <v>158</v>
      </c>
    </row>
    <row r="266" spans="1:22" x14ac:dyDescent="0.2">
      <c r="A266" t="s">
        <v>119</v>
      </c>
      <c r="B266" t="s">
        <v>1336</v>
      </c>
      <c r="C266">
        <v>28</v>
      </c>
      <c r="D266" t="s">
        <v>1051</v>
      </c>
      <c r="E266" t="s">
        <v>319</v>
      </c>
      <c r="F266">
        <v>13</v>
      </c>
      <c r="G266" t="s">
        <v>1058</v>
      </c>
      <c r="H266" t="s">
        <v>158</v>
      </c>
      <c r="I266" t="s">
        <v>191</v>
      </c>
      <c r="J266" t="s">
        <v>152</v>
      </c>
      <c r="K266">
        <v>1</v>
      </c>
      <c r="L266">
        <v>1</v>
      </c>
      <c r="M266">
        <v>2</v>
      </c>
      <c r="N266">
        <v>5</v>
      </c>
      <c r="O266">
        <v>5</v>
      </c>
      <c r="Q266">
        <v>7.4707698403599609</v>
      </c>
      <c r="R266">
        <v>7.4707698403599609</v>
      </c>
      <c r="U266" s="61" t="s">
        <v>958</v>
      </c>
      <c r="V266" t="s">
        <v>158</v>
      </c>
    </row>
    <row r="267" spans="1:22" x14ac:dyDescent="0.2">
      <c r="A267" t="s">
        <v>119</v>
      </c>
      <c r="B267" t="s">
        <v>1337</v>
      </c>
      <c r="C267">
        <v>29</v>
      </c>
      <c r="D267" t="s">
        <v>1051</v>
      </c>
      <c r="E267" t="s">
        <v>319</v>
      </c>
      <c r="F267">
        <v>14</v>
      </c>
      <c r="G267" t="s">
        <v>1058</v>
      </c>
      <c r="H267" t="s">
        <v>158</v>
      </c>
      <c r="I267" t="s">
        <v>192</v>
      </c>
      <c r="J267" t="s">
        <v>152</v>
      </c>
      <c r="K267">
        <v>1</v>
      </c>
      <c r="L267">
        <v>1</v>
      </c>
      <c r="M267">
        <v>3</v>
      </c>
      <c r="N267">
        <v>2</v>
      </c>
      <c r="O267">
        <v>5</v>
      </c>
      <c r="Q267">
        <v>3.0350160387235787</v>
      </c>
      <c r="R267">
        <v>8.3439300121397828</v>
      </c>
      <c r="U267" s="61" t="s">
        <v>958</v>
      </c>
      <c r="V267" t="s">
        <v>158</v>
      </c>
    </row>
    <row r="268" spans="1:22" x14ac:dyDescent="0.2">
      <c r="A268" t="s">
        <v>119</v>
      </c>
      <c r="B268" t="s">
        <v>1338</v>
      </c>
      <c r="C268">
        <v>30</v>
      </c>
      <c r="D268" t="s">
        <v>1051</v>
      </c>
      <c r="E268" t="s">
        <v>319</v>
      </c>
      <c r="F268">
        <v>15</v>
      </c>
      <c r="G268" t="s">
        <v>1058</v>
      </c>
      <c r="H268" t="s">
        <v>158</v>
      </c>
      <c r="I268" t="s">
        <v>193</v>
      </c>
      <c r="J268" t="s">
        <v>152</v>
      </c>
      <c r="K268">
        <v>1</v>
      </c>
      <c r="L268">
        <v>2</v>
      </c>
      <c r="M268">
        <v>2</v>
      </c>
      <c r="N268">
        <v>4</v>
      </c>
      <c r="O268">
        <v>5</v>
      </c>
      <c r="Q268">
        <v>3.4675646088337704</v>
      </c>
      <c r="R268">
        <v>5.1952304715697029</v>
      </c>
      <c r="U268" s="61" t="s">
        <v>958</v>
      </c>
      <c r="V268" t="s">
        <v>158</v>
      </c>
    </row>
    <row r="269" spans="1:22" x14ac:dyDescent="0.2">
      <c r="A269" t="s">
        <v>119</v>
      </c>
      <c r="B269" t="s">
        <v>1339</v>
      </c>
      <c r="C269">
        <v>31</v>
      </c>
      <c r="D269" t="s">
        <v>1051</v>
      </c>
      <c r="E269" t="s">
        <v>319</v>
      </c>
      <c r="F269">
        <v>16</v>
      </c>
      <c r="G269" t="s">
        <v>1058</v>
      </c>
      <c r="H269" t="s">
        <v>158</v>
      </c>
      <c r="I269" t="s">
        <v>194</v>
      </c>
      <c r="J269" t="s">
        <v>152</v>
      </c>
      <c r="K269">
        <v>1</v>
      </c>
      <c r="L269">
        <v>1</v>
      </c>
      <c r="M269">
        <v>3</v>
      </c>
      <c r="N269">
        <v>5</v>
      </c>
      <c r="O269">
        <v>5</v>
      </c>
      <c r="Q269">
        <v>8.3439300121397828</v>
      </c>
      <c r="R269">
        <v>8.3439300121397828</v>
      </c>
      <c r="U269" s="61" t="s">
        <v>958</v>
      </c>
      <c r="V269" t="s">
        <v>158</v>
      </c>
    </row>
    <row r="270" spans="1:22" x14ac:dyDescent="0.2">
      <c r="A270" t="s">
        <v>119</v>
      </c>
      <c r="B270" t="s">
        <v>1340</v>
      </c>
      <c r="C270">
        <v>32</v>
      </c>
      <c r="D270" t="s">
        <v>1051</v>
      </c>
      <c r="E270" t="s">
        <v>319</v>
      </c>
      <c r="F270">
        <v>17</v>
      </c>
      <c r="G270" t="s">
        <v>1058</v>
      </c>
      <c r="H270" t="s">
        <v>158</v>
      </c>
      <c r="I270" t="s">
        <v>195</v>
      </c>
      <c r="J270" t="s">
        <v>152</v>
      </c>
      <c r="K270">
        <v>1</v>
      </c>
      <c r="L270">
        <v>2</v>
      </c>
      <c r="M270">
        <v>2</v>
      </c>
      <c r="N270">
        <v>4</v>
      </c>
      <c r="O270">
        <v>5</v>
      </c>
      <c r="Q270">
        <v>3.4675646088337704</v>
      </c>
      <c r="R270">
        <v>5.1952304715697029</v>
      </c>
      <c r="U270" s="61" t="s">
        <v>958</v>
      </c>
      <c r="V270" t="s">
        <v>158</v>
      </c>
    </row>
    <row r="271" spans="1:22" x14ac:dyDescent="0.2">
      <c r="A271" t="s">
        <v>119</v>
      </c>
      <c r="B271" t="s">
        <v>1341</v>
      </c>
      <c r="C271">
        <v>33</v>
      </c>
      <c r="D271" t="s">
        <v>1051</v>
      </c>
      <c r="E271" t="s">
        <v>319</v>
      </c>
      <c r="F271">
        <v>18</v>
      </c>
      <c r="G271" t="s">
        <v>1058</v>
      </c>
      <c r="H271" t="s">
        <v>158</v>
      </c>
      <c r="I271" t="s">
        <v>196</v>
      </c>
      <c r="J271" t="s">
        <v>152</v>
      </c>
      <c r="K271">
        <v>1</v>
      </c>
      <c r="L271">
        <v>2</v>
      </c>
      <c r="M271">
        <v>2</v>
      </c>
      <c r="N271">
        <v>4</v>
      </c>
      <c r="O271">
        <v>5</v>
      </c>
      <c r="Q271">
        <v>3.4675646088337704</v>
      </c>
      <c r="R271">
        <v>5.1952304715697029</v>
      </c>
      <c r="U271" s="61" t="s">
        <v>958</v>
      </c>
      <c r="V271" t="s">
        <v>158</v>
      </c>
    </row>
    <row r="272" spans="1:22" x14ac:dyDescent="0.2">
      <c r="A272" t="s">
        <v>119</v>
      </c>
      <c r="B272" t="s">
        <v>1342</v>
      </c>
      <c r="C272">
        <v>34</v>
      </c>
      <c r="D272" t="s">
        <v>1051</v>
      </c>
      <c r="E272" t="s">
        <v>319</v>
      </c>
      <c r="F272">
        <v>19</v>
      </c>
      <c r="G272" t="s">
        <v>1058</v>
      </c>
      <c r="H272" t="s">
        <v>158</v>
      </c>
      <c r="I272" t="s">
        <v>197</v>
      </c>
      <c r="J272" t="s">
        <v>152</v>
      </c>
      <c r="K272">
        <v>1</v>
      </c>
      <c r="L272">
        <v>1</v>
      </c>
      <c r="M272">
        <v>3</v>
      </c>
      <c r="N272">
        <v>5</v>
      </c>
      <c r="O272">
        <v>5</v>
      </c>
      <c r="Q272">
        <v>8.3439300121397828</v>
      </c>
      <c r="R272">
        <v>8.3439300121397828</v>
      </c>
      <c r="U272" s="61" t="s">
        <v>958</v>
      </c>
      <c r="V272" t="s">
        <v>158</v>
      </c>
    </row>
    <row r="273" spans="1:22" x14ac:dyDescent="0.2">
      <c r="A273" t="s">
        <v>119</v>
      </c>
      <c r="B273" t="s">
        <v>1343</v>
      </c>
      <c r="C273">
        <v>35</v>
      </c>
      <c r="D273" t="s">
        <v>1051</v>
      </c>
      <c r="E273" t="s">
        <v>319</v>
      </c>
      <c r="F273">
        <v>20</v>
      </c>
      <c r="G273" t="s">
        <v>1058</v>
      </c>
      <c r="H273" t="s">
        <v>158</v>
      </c>
      <c r="I273" t="s">
        <v>198</v>
      </c>
      <c r="J273" t="s">
        <v>179</v>
      </c>
      <c r="K273">
        <v>1</v>
      </c>
      <c r="L273">
        <v>2</v>
      </c>
      <c r="M273">
        <v>3</v>
      </c>
      <c r="N273">
        <v>5</v>
      </c>
      <c r="O273">
        <v>5</v>
      </c>
      <c r="Q273">
        <v>6.0683906433495247</v>
      </c>
      <c r="R273">
        <v>6.0683906433495247</v>
      </c>
      <c r="U273" s="61" t="s">
        <v>958</v>
      </c>
      <c r="V273" t="s">
        <v>158</v>
      </c>
    </row>
    <row r="274" spans="1:22" x14ac:dyDescent="0.2">
      <c r="A274" t="s">
        <v>119</v>
      </c>
      <c r="B274" t="s">
        <v>1344</v>
      </c>
      <c r="C274">
        <v>36</v>
      </c>
      <c r="D274" t="s">
        <v>1051</v>
      </c>
      <c r="E274" t="s">
        <v>319</v>
      </c>
      <c r="F274">
        <v>21</v>
      </c>
      <c r="G274" t="s">
        <v>1058</v>
      </c>
      <c r="H274" t="s">
        <v>158</v>
      </c>
      <c r="I274" t="s">
        <v>199</v>
      </c>
      <c r="J274" t="s">
        <v>152</v>
      </c>
      <c r="K274">
        <v>1</v>
      </c>
      <c r="L274">
        <v>1</v>
      </c>
      <c r="M274">
        <v>2</v>
      </c>
      <c r="N274">
        <v>5</v>
      </c>
      <c r="O274">
        <v>5</v>
      </c>
      <c r="Q274">
        <v>7.4707698403599609</v>
      </c>
      <c r="R274">
        <v>7.4707698403599609</v>
      </c>
      <c r="U274" s="61" t="s">
        <v>958</v>
      </c>
      <c r="V274" t="s">
        <v>158</v>
      </c>
    </row>
    <row r="275" spans="1:22" x14ac:dyDescent="0.2">
      <c r="A275" t="s">
        <v>119</v>
      </c>
      <c r="B275" t="s">
        <v>1345</v>
      </c>
      <c r="C275">
        <v>100</v>
      </c>
      <c r="D275" t="s">
        <v>1051</v>
      </c>
      <c r="E275" t="s">
        <v>319</v>
      </c>
      <c r="F275">
        <v>22</v>
      </c>
      <c r="G275" t="s">
        <v>1058</v>
      </c>
      <c r="H275" t="s">
        <v>158</v>
      </c>
      <c r="I275" t="s">
        <v>272</v>
      </c>
      <c r="J275" t="s">
        <v>271</v>
      </c>
      <c r="Q275">
        <v>0</v>
      </c>
      <c r="R275">
        <v>0</v>
      </c>
      <c r="U275" s="61" t="s">
        <v>958</v>
      </c>
      <c r="V275" t="s">
        <v>158</v>
      </c>
    </row>
    <row r="276" spans="1:22" x14ac:dyDescent="0.2">
      <c r="A276" t="s">
        <v>119</v>
      </c>
      <c r="B276" t="s">
        <v>1346</v>
      </c>
      <c r="C276">
        <v>101</v>
      </c>
      <c r="D276" t="s">
        <v>1051</v>
      </c>
      <c r="E276" t="s">
        <v>319</v>
      </c>
      <c r="F276">
        <v>23</v>
      </c>
      <c r="G276" t="s">
        <v>1058</v>
      </c>
      <c r="H276" t="s">
        <v>158</v>
      </c>
      <c r="I276" t="s">
        <v>273</v>
      </c>
      <c r="J276" t="s">
        <v>271</v>
      </c>
      <c r="Q276">
        <v>0</v>
      </c>
      <c r="R276">
        <v>0</v>
      </c>
      <c r="U276" s="61" t="s">
        <v>958</v>
      </c>
      <c r="V276" t="s">
        <v>158</v>
      </c>
    </row>
    <row r="277" spans="1:22" x14ac:dyDescent="0.2">
      <c r="A277" t="s">
        <v>119</v>
      </c>
      <c r="B277" t="s">
        <v>1347</v>
      </c>
      <c r="C277">
        <v>37</v>
      </c>
      <c r="D277" t="s">
        <v>1051</v>
      </c>
      <c r="E277" t="s">
        <v>326</v>
      </c>
      <c r="F277">
        <v>1</v>
      </c>
      <c r="G277" t="s">
        <v>1059</v>
      </c>
      <c r="H277" t="s">
        <v>132</v>
      </c>
      <c r="I277" t="s">
        <v>200</v>
      </c>
      <c r="J277" t="s">
        <v>152</v>
      </c>
      <c r="K277">
        <v>1</v>
      </c>
      <c r="L277">
        <v>1</v>
      </c>
      <c r="M277">
        <v>3</v>
      </c>
      <c r="N277">
        <v>2</v>
      </c>
      <c r="O277">
        <v>5</v>
      </c>
      <c r="Q277">
        <v>3.0350160387235787</v>
      </c>
      <c r="R277">
        <v>8.3439300121397828</v>
      </c>
      <c r="U277" s="61" t="s">
        <v>958</v>
      </c>
      <c r="V277" t="s">
        <v>132</v>
      </c>
    </row>
    <row r="278" spans="1:22" x14ac:dyDescent="0.2">
      <c r="A278" t="s">
        <v>119</v>
      </c>
      <c r="B278" t="s">
        <v>1348</v>
      </c>
      <c r="C278">
        <v>38</v>
      </c>
      <c r="D278" t="s">
        <v>1051</v>
      </c>
      <c r="E278" t="s">
        <v>326</v>
      </c>
      <c r="F278">
        <v>2</v>
      </c>
      <c r="G278" t="s">
        <v>1059</v>
      </c>
      <c r="H278" t="s">
        <v>132</v>
      </c>
      <c r="I278" t="s">
        <v>201</v>
      </c>
      <c r="J278" t="s">
        <v>152</v>
      </c>
      <c r="K278">
        <v>1</v>
      </c>
      <c r="L278">
        <v>1</v>
      </c>
      <c r="M278">
        <v>2</v>
      </c>
      <c r="N278">
        <v>5</v>
      </c>
      <c r="O278">
        <v>5</v>
      </c>
      <c r="Q278">
        <v>7.4707698403599609</v>
      </c>
      <c r="R278">
        <v>7.4707698403599609</v>
      </c>
      <c r="U278" s="61" t="s">
        <v>958</v>
      </c>
      <c r="V278" t="s">
        <v>132</v>
      </c>
    </row>
    <row r="279" spans="1:22" x14ac:dyDescent="0.2">
      <c r="A279" t="s">
        <v>119</v>
      </c>
      <c r="B279" t="s">
        <v>1349</v>
      </c>
      <c r="C279">
        <v>39</v>
      </c>
      <c r="D279" t="s">
        <v>1051</v>
      </c>
      <c r="E279" t="s">
        <v>326</v>
      </c>
      <c r="F279">
        <v>3</v>
      </c>
      <c r="G279" t="s">
        <v>1059</v>
      </c>
      <c r="H279" t="s">
        <v>132</v>
      </c>
      <c r="I279" t="s">
        <v>202</v>
      </c>
      <c r="K279">
        <v>1</v>
      </c>
      <c r="L279">
        <v>1</v>
      </c>
      <c r="M279">
        <v>2</v>
      </c>
      <c r="N279">
        <v>5</v>
      </c>
      <c r="O279">
        <v>5</v>
      </c>
      <c r="Q279">
        <v>7.4707698403599609</v>
      </c>
      <c r="R279">
        <v>7.4707698403599609</v>
      </c>
      <c r="U279" s="61" t="s">
        <v>958</v>
      </c>
      <c r="V279" t="s">
        <v>132</v>
      </c>
    </row>
    <row r="280" spans="1:22" x14ac:dyDescent="0.2">
      <c r="A280" t="s">
        <v>119</v>
      </c>
      <c r="B280" t="s">
        <v>1350</v>
      </c>
      <c r="C280">
        <v>40</v>
      </c>
      <c r="D280" t="s">
        <v>1051</v>
      </c>
      <c r="E280" t="s">
        <v>326</v>
      </c>
      <c r="F280">
        <v>4</v>
      </c>
      <c r="G280" t="s">
        <v>1059</v>
      </c>
      <c r="H280" t="s">
        <v>132</v>
      </c>
      <c r="I280" t="s">
        <v>203</v>
      </c>
      <c r="J280" t="s">
        <v>152</v>
      </c>
      <c r="K280">
        <v>1</v>
      </c>
      <c r="L280">
        <v>2</v>
      </c>
      <c r="M280">
        <v>1</v>
      </c>
      <c r="N280">
        <v>4</v>
      </c>
      <c r="O280">
        <v>5</v>
      </c>
      <c r="Q280">
        <v>3.3121184032319735</v>
      </c>
      <c r="R280">
        <v>5.0077304715697029</v>
      </c>
      <c r="U280" s="61" t="s">
        <v>958</v>
      </c>
      <c r="V280" t="s">
        <v>132</v>
      </c>
    </row>
    <row r="281" spans="1:22" x14ac:dyDescent="0.2">
      <c r="A281" t="s">
        <v>119</v>
      </c>
      <c r="B281" t="s">
        <v>1351</v>
      </c>
      <c r="C281">
        <v>41</v>
      </c>
      <c r="D281" t="s">
        <v>1051</v>
      </c>
      <c r="E281" t="s">
        <v>326</v>
      </c>
      <c r="F281">
        <v>5</v>
      </c>
      <c r="G281" t="s">
        <v>1059</v>
      </c>
      <c r="H281" t="s">
        <v>132</v>
      </c>
      <c r="I281" t="s">
        <v>204</v>
      </c>
      <c r="J281" t="s">
        <v>150</v>
      </c>
      <c r="K281">
        <v>1</v>
      </c>
      <c r="L281">
        <v>2</v>
      </c>
      <c r="M281">
        <v>3</v>
      </c>
      <c r="N281">
        <v>2</v>
      </c>
      <c r="O281">
        <v>5</v>
      </c>
      <c r="Q281">
        <v>2.5230196807457705</v>
      </c>
      <c r="R281">
        <v>6.0683906433495247</v>
      </c>
      <c r="U281" s="61" t="s">
        <v>958</v>
      </c>
      <c r="V281" t="s">
        <v>132</v>
      </c>
    </row>
    <row r="282" spans="1:22" x14ac:dyDescent="0.2">
      <c r="A282" t="s">
        <v>119</v>
      </c>
      <c r="B282" t="s">
        <v>1352</v>
      </c>
      <c r="C282">
        <v>42</v>
      </c>
      <c r="D282" t="s">
        <v>1051</v>
      </c>
      <c r="E282" t="s">
        <v>326</v>
      </c>
      <c r="F282">
        <v>6</v>
      </c>
      <c r="G282" t="s">
        <v>1059</v>
      </c>
      <c r="H282" t="s">
        <v>132</v>
      </c>
      <c r="I282" t="s">
        <v>206</v>
      </c>
      <c r="J282" t="s">
        <v>152</v>
      </c>
      <c r="K282">
        <v>1</v>
      </c>
      <c r="L282">
        <v>2</v>
      </c>
      <c r="M282">
        <v>3</v>
      </c>
      <c r="N282">
        <v>4</v>
      </c>
      <c r="O282">
        <v>5</v>
      </c>
      <c r="Q282">
        <v>4.1914549319579635</v>
      </c>
      <c r="R282">
        <v>6.0683906433495247</v>
      </c>
      <c r="U282" s="61" t="s">
        <v>958</v>
      </c>
      <c r="V282" t="s">
        <v>132</v>
      </c>
    </row>
    <row r="283" spans="1:22" x14ac:dyDescent="0.2">
      <c r="A283" t="s">
        <v>119</v>
      </c>
      <c r="B283" t="s">
        <v>1353</v>
      </c>
      <c r="C283">
        <v>43</v>
      </c>
      <c r="D283" t="s">
        <v>1051</v>
      </c>
      <c r="E283" t="s">
        <v>326</v>
      </c>
      <c r="F283">
        <v>7</v>
      </c>
      <c r="G283" t="s">
        <v>1059</v>
      </c>
      <c r="H283" t="s">
        <v>132</v>
      </c>
      <c r="I283" t="s">
        <v>205</v>
      </c>
      <c r="J283" t="s">
        <v>152</v>
      </c>
      <c r="K283">
        <v>1</v>
      </c>
      <c r="L283">
        <v>2</v>
      </c>
      <c r="M283">
        <v>3</v>
      </c>
      <c r="N283">
        <v>4</v>
      </c>
      <c r="O283">
        <v>5</v>
      </c>
      <c r="Q283">
        <v>4.1914549319579635</v>
      </c>
      <c r="R283">
        <v>6.0683906433495247</v>
      </c>
      <c r="U283" s="61" t="s">
        <v>958</v>
      </c>
      <c r="V283" t="s">
        <v>132</v>
      </c>
    </row>
    <row r="284" spans="1:22" x14ac:dyDescent="0.2">
      <c r="A284" t="s">
        <v>119</v>
      </c>
      <c r="B284" t="s">
        <v>1354</v>
      </c>
      <c r="C284">
        <v>44</v>
      </c>
      <c r="D284" t="s">
        <v>1051</v>
      </c>
      <c r="E284" t="s">
        <v>321</v>
      </c>
      <c r="F284">
        <v>1</v>
      </c>
      <c r="G284" t="s">
        <v>1055</v>
      </c>
      <c r="H284" t="s">
        <v>134</v>
      </c>
      <c r="I284" t="s">
        <v>210</v>
      </c>
      <c r="J284" t="s">
        <v>152</v>
      </c>
      <c r="K284">
        <v>1</v>
      </c>
      <c r="L284">
        <v>1</v>
      </c>
      <c r="M284">
        <v>3</v>
      </c>
      <c r="N284">
        <v>5</v>
      </c>
      <c r="O284">
        <v>5</v>
      </c>
      <c r="Q284">
        <v>8.3439300121397828</v>
      </c>
      <c r="R284">
        <v>8.3439300121397828</v>
      </c>
      <c r="U284" s="61" t="s">
        <v>958</v>
      </c>
      <c r="V284" t="s">
        <v>134</v>
      </c>
    </row>
    <row r="285" spans="1:22" x14ac:dyDescent="0.2">
      <c r="A285" t="s">
        <v>119</v>
      </c>
      <c r="B285" t="s">
        <v>1355</v>
      </c>
      <c r="C285">
        <v>45</v>
      </c>
      <c r="D285" t="s">
        <v>1051</v>
      </c>
      <c r="E285" t="s">
        <v>321</v>
      </c>
      <c r="F285">
        <v>2</v>
      </c>
      <c r="G285" t="s">
        <v>1055</v>
      </c>
      <c r="H285" t="s">
        <v>134</v>
      </c>
      <c r="I285" t="s">
        <v>211</v>
      </c>
      <c r="J285" t="s">
        <v>152</v>
      </c>
      <c r="K285">
        <v>1</v>
      </c>
      <c r="L285">
        <v>1</v>
      </c>
      <c r="M285">
        <v>3</v>
      </c>
      <c r="N285">
        <v>5</v>
      </c>
      <c r="O285">
        <v>5</v>
      </c>
      <c r="Q285">
        <v>8.3439300121397828</v>
      </c>
      <c r="R285">
        <v>8.3439300121397828</v>
      </c>
      <c r="U285" s="61" t="s">
        <v>958</v>
      </c>
      <c r="V285" t="s">
        <v>134</v>
      </c>
    </row>
    <row r="286" spans="1:22" x14ac:dyDescent="0.2">
      <c r="A286" t="s">
        <v>119</v>
      </c>
      <c r="B286" t="s">
        <v>1356</v>
      </c>
      <c r="C286">
        <v>46</v>
      </c>
      <c r="D286" t="s">
        <v>1051</v>
      </c>
      <c r="E286" t="s">
        <v>321</v>
      </c>
      <c r="F286">
        <v>3</v>
      </c>
      <c r="G286" t="s">
        <v>1055</v>
      </c>
      <c r="H286" t="s">
        <v>134</v>
      </c>
      <c r="I286" t="s">
        <v>212</v>
      </c>
      <c r="J286" t="s">
        <v>152</v>
      </c>
      <c r="K286">
        <v>1</v>
      </c>
      <c r="L286">
        <v>2</v>
      </c>
      <c r="M286">
        <v>2</v>
      </c>
      <c r="N286">
        <v>2</v>
      </c>
      <c r="O286">
        <v>4</v>
      </c>
      <c r="Q286">
        <v>1.9318174811031832</v>
      </c>
      <c r="R286">
        <v>3.4675646088337704</v>
      </c>
      <c r="U286" s="61" t="s">
        <v>958</v>
      </c>
      <c r="V286" t="s">
        <v>134</v>
      </c>
    </row>
    <row r="287" spans="1:22" x14ac:dyDescent="0.2">
      <c r="A287" t="s">
        <v>119</v>
      </c>
      <c r="B287" t="s">
        <v>1357</v>
      </c>
      <c r="C287">
        <v>47</v>
      </c>
      <c r="D287" t="s">
        <v>1051</v>
      </c>
      <c r="E287" t="s">
        <v>321</v>
      </c>
      <c r="F287">
        <v>4</v>
      </c>
      <c r="G287" t="s">
        <v>1055</v>
      </c>
      <c r="H287" t="s">
        <v>134</v>
      </c>
      <c r="I287" t="s">
        <v>213</v>
      </c>
      <c r="J287" t="s">
        <v>152</v>
      </c>
      <c r="K287">
        <v>1</v>
      </c>
      <c r="L287">
        <v>2</v>
      </c>
      <c r="M287">
        <v>4</v>
      </c>
      <c r="N287">
        <v>4</v>
      </c>
      <c r="O287">
        <v>5</v>
      </c>
      <c r="Q287">
        <v>5.7352849367469618</v>
      </c>
      <c r="R287">
        <v>7.9305662093421851</v>
      </c>
      <c r="U287" s="61" t="s">
        <v>958</v>
      </c>
      <c r="V287" t="s">
        <v>134</v>
      </c>
    </row>
    <row r="288" spans="1:22" x14ac:dyDescent="0.2">
      <c r="A288" t="s">
        <v>119</v>
      </c>
      <c r="B288" t="s">
        <v>1358</v>
      </c>
      <c r="C288">
        <v>48</v>
      </c>
      <c r="D288" t="s">
        <v>1051</v>
      </c>
      <c r="E288" t="s">
        <v>321</v>
      </c>
      <c r="F288">
        <v>5</v>
      </c>
      <c r="G288" t="s">
        <v>1055</v>
      </c>
      <c r="H288" t="s">
        <v>134</v>
      </c>
      <c r="I288" t="s">
        <v>214</v>
      </c>
      <c r="J288" t="s">
        <v>152</v>
      </c>
      <c r="K288">
        <v>1</v>
      </c>
      <c r="L288">
        <v>2</v>
      </c>
      <c r="M288">
        <v>4</v>
      </c>
      <c r="N288">
        <v>4</v>
      </c>
      <c r="O288">
        <v>5</v>
      </c>
      <c r="Q288">
        <v>5.7352849367469618</v>
      </c>
      <c r="R288">
        <v>7.9305662093421851</v>
      </c>
      <c r="U288" s="61" t="s">
        <v>958</v>
      </c>
      <c r="V288" t="s">
        <v>134</v>
      </c>
    </row>
    <row r="289" spans="1:22" x14ac:dyDescent="0.2">
      <c r="A289" t="s">
        <v>119</v>
      </c>
      <c r="B289" t="s">
        <v>1359</v>
      </c>
      <c r="C289">
        <v>49</v>
      </c>
      <c r="D289" t="s">
        <v>1051</v>
      </c>
      <c r="E289" t="s">
        <v>321</v>
      </c>
      <c r="F289">
        <v>6</v>
      </c>
      <c r="G289" t="s">
        <v>1055</v>
      </c>
      <c r="H289" t="s">
        <v>134</v>
      </c>
      <c r="I289" t="s">
        <v>215</v>
      </c>
      <c r="J289" t="s">
        <v>152</v>
      </c>
      <c r="K289">
        <v>1</v>
      </c>
      <c r="L289">
        <v>2</v>
      </c>
      <c r="M289">
        <v>3</v>
      </c>
      <c r="N289">
        <v>4</v>
      </c>
      <c r="O289">
        <v>5</v>
      </c>
      <c r="Q289">
        <v>4.1914549319579635</v>
      </c>
      <c r="R289">
        <v>6.0683906433495247</v>
      </c>
      <c r="U289" s="61" t="s">
        <v>958</v>
      </c>
      <c r="V289" t="s">
        <v>134</v>
      </c>
    </row>
    <row r="290" spans="1:22" x14ac:dyDescent="0.2">
      <c r="A290" t="s">
        <v>119</v>
      </c>
      <c r="B290" t="s">
        <v>1360</v>
      </c>
      <c r="C290">
        <v>50</v>
      </c>
      <c r="D290" t="s">
        <v>1051</v>
      </c>
      <c r="E290" t="s">
        <v>321</v>
      </c>
      <c r="F290">
        <v>7</v>
      </c>
      <c r="G290" t="s">
        <v>1055</v>
      </c>
      <c r="H290" t="s">
        <v>134</v>
      </c>
      <c r="I290" t="s">
        <v>216</v>
      </c>
      <c r="J290" t="s">
        <v>152</v>
      </c>
      <c r="K290">
        <v>1</v>
      </c>
      <c r="L290">
        <v>2</v>
      </c>
      <c r="M290">
        <v>4</v>
      </c>
      <c r="N290">
        <v>4</v>
      </c>
      <c r="O290">
        <v>5</v>
      </c>
      <c r="Q290">
        <v>5.7352849367469618</v>
      </c>
      <c r="R290">
        <v>7.9305662093421851</v>
      </c>
      <c r="U290" s="61" t="s">
        <v>958</v>
      </c>
      <c r="V290" t="s">
        <v>134</v>
      </c>
    </row>
    <row r="291" spans="1:22" x14ac:dyDescent="0.2">
      <c r="A291" t="s">
        <v>119</v>
      </c>
      <c r="B291" t="s">
        <v>1361</v>
      </c>
      <c r="C291">
        <v>51</v>
      </c>
      <c r="D291" t="s">
        <v>1051</v>
      </c>
      <c r="E291" t="s">
        <v>321</v>
      </c>
      <c r="F291">
        <v>8</v>
      </c>
      <c r="G291" t="s">
        <v>1055</v>
      </c>
      <c r="H291" t="s">
        <v>134</v>
      </c>
      <c r="I291" t="s">
        <v>217</v>
      </c>
      <c r="J291" t="s">
        <v>151</v>
      </c>
      <c r="K291">
        <v>1</v>
      </c>
      <c r="L291">
        <v>2</v>
      </c>
      <c r="M291">
        <v>2</v>
      </c>
      <c r="N291">
        <v>4</v>
      </c>
      <c r="O291">
        <v>5</v>
      </c>
      <c r="Q291">
        <v>3.4675646088337704</v>
      </c>
      <c r="R291">
        <v>5.1952304715697029</v>
      </c>
      <c r="U291" s="61" t="s">
        <v>958</v>
      </c>
      <c r="V291" t="s">
        <v>134</v>
      </c>
    </row>
    <row r="292" spans="1:22" x14ac:dyDescent="0.2">
      <c r="A292" t="s">
        <v>119</v>
      </c>
      <c r="B292" t="s">
        <v>1362</v>
      </c>
      <c r="C292">
        <v>52</v>
      </c>
      <c r="D292" t="s">
        <v>1051</v>
      </c>
      <c r="E292" t="s">
        <v>321</v>
      </c>
      <c r="F292">
        <v>9</v>
      </c>
      <c r="G292" t="s">
        <v>1055</v>
      </c>
      <c r="H292" t="s">
        <v>134</v>
      </c>
      <c r="I292" t="s">
        <v>218</v>
      </c>
      <c r="J292" t="s">
        <v>152</v>
      </c>
      <c r="K292">
        <v>1</v>
      </c>
      <c r="L292">
        <v>2</v>
      </c>
      <c r="M292">
        <v>4</v>
      </c>
      <c r="N292">
        <v>4</v>
      </c>
      <c r="O292">
        <v>5</v>
      </c>
      <c r="Q292">
        <v>5.7352849367469618</v>
      </c>
      <c r="R292">
        <v>7.9305662093421851</v>
      </c>
      <c r="U292" s="61" t="s">
        <v>958</v>
      </c>
      <c r="V292" t="s">
        <v>134</v>
      </c>
    </row>
    <row r="293" spans="1:22" x14ac:dyDescent="0.2">
      <c r="A293" t="s">
        <v>119</v>
      </c>
      <c r="B293" t="s">
        <v>1363</v>
      </c>
      <c r="C293">
        <v>53</v>
      </c>
      <c r="D293" t="s">
        <v>1051</v>
      </c>
      <c r="E293" t="s">
        <v>321</v>
      </c>
      <c r="F293">
        <v>10</v>
      </c>
      <c r="G293" t="s">
        <v>1055</v>
      </c>
      <c r="H293" t="s">
        <v>134</v>
      </c>
      <c r="I293" t="s">
        <v>219</v>
      </c>
      <c r="J293" t="s">
        <v>152</v>
      </c>
      <c r="K293">
        <v>1</v>
      </c>
      <c r="L293">
        <v>2</v>
      </c>
      <c r="M293">
        <v>3</v>
      </c>
      <c r="N293">
        <v>2</v>
      </c>
      <c r="O293">
        <v>4</v>
      </c>
      <c r="Q293">
        <v>2.5230196807457705</v>
      </c>
      <c r="R293">
        <v>4.1914549319579635</v>
      </c>
      <c r="U293" s="61" t="s">
        <v>958</v>
      </c>
      <c r="V293" t="s">
        <v>134</v>
      </c>
    </row>
    <row r="294" spans="1:22" x14ac:dyDescent="0.2">
      <c r="A294" t="s">
        <v>119</v>
      </c>
      <c r="B294" t="s">
        <v>1364</v>
      </c>
      <c r="C294">
        <v>54</v>
      </c>
      <c r="D294" t="s">
        <v>1051</v>
      </c>
      <c r="E294" t="s">
        <v>321</v>
      </c>
      <c r="F294">
        <v>11</v>
      </c>
      <c r="G294" t="s">
        <v>1055</v>
      </c>
      <c r="H294" t="s">
        <v>134</v>
      </c>
      <c r="I294" t="s">
        <v>220</v>
      </c>
      <c r="J294" t="s">
        <v>152</v>
      </c>
      <c r="K294">
        <v>1</v>
      </c>
      <c r="L294">
        <v>1</v>
      </c>
      <c r="M294">
        <v>4</v>
      </c>
      <c r="N294">
        <v>5</v>
      </c>
      <c r="O294">
        <v>5</v>
      </c>
      <c r="Q294">
        <v>10.206105578132444</v>
      </c>
      <c r="R294">
        <v>10.206105578132444</v>
      </c>
      <c r="U294" s="61" t="s">
        <v>958</v>
      </c>
      <c r="V294" t="s">
        <v>134</v>
      </c>
    </row>
    <row r="295" spans="1:22" x14ac:dyDescent="0.2">
      <c r="A295" t="s">
        <v>119</v>
      </c>
      <c r="B295" t="s">
        <v>1365</v>
      </c>
      <c r="C295">
        <v>55</v>
      </c>
      <c r="D295" t="s">
        <v>1051</v>
      </c>
      <c r="E295" t="s">
        <v>321</v>
      </c>
      <c r="F295">
        <v>12</v>
      </c>
      <c r="G295" t="s">
        <v>1055</v>
      </c>
      <c r="H295" t="s">
        <v>134</v>
      </c>
      <c r="I295" t="s">
        <v>221</v>
      </c>
      <c r="J295" t="s">
        <v>179</v>
      </c>
      <c r="K295">
        <v>1</v>
      </c>
      <c r="L295">
        <v>2</v>
      </c>
      <c r="M295">
        <v>3</v>
      </c>
      <c r="N295">
        <v>4</v>
      </c>
      <c r="O295">
        <v>5</v>
      </c>
      <c r="Q295">
        <v>4.1914549319579635</v>
      </c>
      <c r="R295">
        <v>6.0683906433495247</v>
      </c>
      <c r="U295" s="61" t="s">
        <v>958</v>
      </c>
      <c r="V295" t="s">
        <v>134</v>
      </c>
    </row>
    <row r="296" spans="1:22" x14ac:dyDescent="0.2">
      <c r="A296" t="s">
        <v>119</v>
      </c>
      <c r="B296" t="s">
        <v>1366</v>
      </c>
      <c r="C296">
        <v>56</v>
      </c>
      <c r="D296" t="s">
        <v>1051</v>
      </c>
      <c r="E296" t="s">
        <v>321</v>
      </c>
      <c r="F296">
        <v>13</v>
      </c>
      <c r="G296" t="s">
        <v>1055</v>
      </c>
      <c r="H296" t="s">
        <v>134</v>
      </c>
      <c r="I296" t="s">
        <v>222</v>
      </c>
      <c r="J296" t="s">
        <v>152</v>
      </c>
      <c r="K296">
        <v>1</v>
      </c>
      <c r="L296">
        <v>3</v>
      </c>
      <c r="M296">
        <v>3</v>
      </c>
      <c r="N296">
        <v>3</v>
      </c>
      <c r="O296">
        <v>5</v>
      </c>
      <c r="Q296">
        <v>2.5843847959067898</v>
      </c>
      <c r="R296">
        <v>4.6882062487951002</v>
      </c>
      <c r="U296" s="61" t="s">
        <v>958</v>
      </c>
      <c r="V296" t="s">
        <v>134</v>
      </c>
    </row>
    <row r="297" spans="1:22" x14ac:dyDescent="0.2">
      <c r="A297" t="s">
        <v>119</v>
      </c>
      <c r="B297" t="s">
        <v>1367</v>
      </c>
      <c r="C297">
        <v>57</v>
      </c>
      <c r="D297" t="s">
        <v>1051</v>
      </c>
      <c r="E297" t="s">
        <v>321</v>
      </c>
      <c r="F297">
        <v>14</v>
      </c>
      <c r="G297" t="s">
        <v>1055</v>
      </c>
      <c r="H297" t="s">
        <v>134</v>
      </c>
      <c r="I297" t="s">
        <v>223</v>
      </c>
      <c r="J297" t="s">
        <v>179</v>
      </c>
      <c r="K297">
        <v>1</v>
      </c>
      <c r="L297">
        <v>3</v>
      </c>
      <c r="M297">
        <v>3</v>
      </c>
      <c r="N297">
        <v>3</v>
      </c>
      <c r="O297">
        <v>4</v>
      </c>
      <c r="Q297">
        <v>2.5843847959067898</v>
      </c>
      <c r="R297">
        <v>3.3775444166311392</v>
      </c>
      <c r="U297" s="61" t="s">
        <v>958</v>
      </c>
      <c r="V297" t="s">
        <v>134</v>
      </c>
    </row>
    <row r="298" spans="1:22" x14ac:dyDescent="0.2">
      <c r="A298" t="s">
        <v>119</v>
      </c>
      <c r="B298" t="s">
        <v>1368</v>
      </c>
      <c r="C298">
        <v>58</v>
      </c>
      <c r="D298" t="s">
        <v>1051</v>
      </c>
      <c r="E298" t="s">
        <v>321</v>
      </c>
      <c r="F298">
        <v>15</v>
      </c>
      <c r="G298" t="s">
        <v>1055</v>
      </c>
      <c r="H298" t="s">
        <v>134</v>
      </c>
      <c r="I298" t="s">
        <v>224</v>
      </c>
      <c r="J298" t="s">
        <v>147</v>
      </c>
      <c r="K298">
        <v>1</v>
      </c>
      <c r="L298">
        <v>2</v>
      </c>
      <c r="M298">
        <v>3</v>
      </c>
      <c r="N298">
        <v>4</v>
      </c>
      <c r="O298">
        <v>5</v>
      </c>
      <c r="Q298">
        <v>4.1914549319579635</v>
      </c>
      <c r="R298">
        <v>6.0683906433495247</v>
      </c>
      <c r="U298" s="61" t="s">
        <v>958</v>
      </c>
      <c r="V298" t="s">
        <v>134</v>
      </c>
    </row>
    <row r="299" spans="1:22" x14ac:dyDescent="0.2">
      <c r="A299" t="s">
        <v>119</v>
      </c>
      <c r="B299" t="s">
        <v>1369</v>
      </c>
      <c r="C299">
        <v>59</v>
      </c>
      <c r="D299" t="s">
        <v>1051</v>
      </c>
      <c r="E299" t="s">
        <v>321</v>
      </c>
      <c r="F299">
        <v>16</v>
      </c>
      <c r="G299" t="s">
        <v>1055</v>
      </c>
      <c r="H299" t="s">
        <v>134</v>
      </c>
      <c r="I299" t="s">
        <v>225</v>
      </c>
      <c r="J299" t="s">
        <v>152</v>
      </c>
      <c r="K299">
        <v>1</v>
      </c>
      <c r="L299">
        <v>2</v>
      </c>
      <c r="M299">
        <v>3</v>
      </c>
      <c r="N299">
        <v>4</v>
      </c>
      <c r="O299">
        <v>5</v>
      </c>
      <c r="Q299">
        <v>4.1914549319579635</v>
      </c>
      <c r="R299">
        <v>6.0683906433495247</v>
      </c>
      <c r="U299" s="61" t="s">
        <v>958</v>
      </c>
      <c r="V299" t="s">
        <v>134</v>
      </c>
    </row>
    <row r="300" spans="1:22" x14ac:dyDescent="0.2">
      <c r="A300" t="s">
        <v>119</v>
      </c>
      <c r="B300" t="s">
        <v>1370</v>
      </c>
      <c r="C300">
        <v>60</v>
      </c>
      <c r="D300" t="s">
        <v>1051</v>
      </c>
      <c r="E300" t="s">
        <v>321</v>
      </c>
      <c r="F300">
        <v>17</v>
      </c>
      <c r="G300" t="s">
        <v>1055</v>
      </c>
      <c r="H300" t="s">
        <v>134</v>
      </c>
      <c r="I300" t="s">
        <v>226</v>
      </c>
      <c r="J300" t="s">
        <v>151</v>
      </c>
      <c r="K300">
        <v>1</v>
      </c>
      <c r="L300">
        <v>2</v>
      </c>
      <c r="M300">
        <v>2</v>
      </c>
      <c r="N300">
        <v>5</v>
      </c>
      <c r="O300">
        <v>5</v>
      </c>
      <c r="Q300">
        <v>5.1952304715697029</v>
      </c>
      <c r="R300">
        <v>5.1952304715697029</v>
      </c>
      <c r="U300" s="61" t="s">
        <v>958</v>
      </c>
      <c r="V300" t="s">
        <v>134</v>
      </c>
    </row>
    <row r="301" spans="1:22" x14ac:dyDescent="0.2">
      <c r="A301" t="s">
        <v>119</v>
      </c>
      <c r="B301" t="s">
        <v>1371</v>
      </c>
      <c r="C301">
        <v>61</v>
      </c>
      <c r="D301" t="s">
        <v>1051</v>
      </c>
      <c r="E301" t="s">
        <v>321</v>
      </c>
      <c r="F301">
        <v>18</v>
      </c>
      <c r="G301" t="s">
        <v>1055</v>
      </c>
      <c r="H301" t="s">
        <v>134</v>
      </c>
      <c r="I301" t="s">
        <v>227</v>
      </c>
      <c r="J301" t="s">
        <v>152</v>
      </c>
      <c r="K301">
        <v>0</v>
      </c>
      <c r="Q301">
        <v>0</v>
      </c>
      <c r="R301">
        <v>0</v>
      </c>
      <c r="U301" s="61" t="s">
        <v>958</v>
      </c>
      <c r="V301" t="s">
        <v>134</v>
      </c>
    </row>
    <row r="302" spans="1:22" x14ac:dyDescent="0.2">
      <c r="A302" t="s">
        <v>119</v>
      </c>
      <c r="B302" t="s">
        <v>1372</v>
      </c>
      <c r="C302">
        <v>62</v>
      </c>
      <c r="D302" t="s">
        <v>1051</v>
      </c>
      <c r="E302" t="s">
        <v>321</v>
      </c>
      <c r="F302">
        <v>19</v>
      </c>
      <c r="G302" t="s">
        <v>1055</v>
      </c>
      <c r="H302" t="s">
        <v>134</v>
      </c>
      <c r="I302" t="s">
        <v>228</v>
      </c>
      <c r="J302" t="s">
        <v>152</v>
      </c>
      <c r="K302">
        <v>0</v>
      </c>
      <c r="Q302">
        <v>0</v>
      </c>
      <c r="R302">
        <v>0</v>
      </c>
      <c r="U302" s="61" t="s">
        <v>958</v>
      </c>
      <c r="V302" t="s">
        <v>134</v>
      </c>
    </row>
    <row r="303" spans="1:22" x14ac:dyDescent="0.2">
      <c r="A303" t="s">
        <v>119</v>
      </c>
      <c r="B303" t="s">
        <v>1373</v>
      </c>
      <c r="C303">
        <v>102</v>
      </c>
      <c r="D303" t="s">
        <v>1051</v>
      </c>
      <c r="E303" t="s">
        <v>321</v>
      </c>
      <c r="F303">
        <v>20</v>
      </c>
      <c r="G303" t="s">
        <v>1055</v>
      </c>
      <c r="H303" t="s">
        <v>134</v>
      </c>
      <c r="I303" t="s">
        <v>274</v>
      </c>
      <c r="J303" t="s">
        <v>271</v>
      </c>
      <c r="Q303">
        <v>0</v>
      </c>
      <c r="R303">
        <v>0</v>
      </c>
      <c r="T303" t="s">
        <v>275</v>
      </c>
      <c r="U303" s="61" t="s">
        <v>958</v>
      </c>
      <c r="V303" t="s">
        <v>134</v>
      </c>
    </row>
    <row r="304" spans="1:22" x14ac:dyDescent="0.2">
      <c r="A304" t="s">
        <v>119</v>
      </c>
      <c r="B304" t="s">
        <v>1374</v>
      </c>
      <c r="C304">
        <v>75</v>
      </c>
      <c r="D304" t="s">
        <v>1051</v>
      </c>
      <c r="E304" t="s">
        <v>318</v>
      </c>
      <c r="F304">
        <v>1</v>
      </c>
      <c r="G304" t="s">
        <v>1056</v>
      </c>
      <c r="H304" t="s">
        <v>141</v>
      </c>
      <c r="I304" t="s">
        <v>239</v>
      </c>
      <c r="J304" t="s">
        <v>147</v>
      </c>
      <c r="K304">
        <v>1</v>
      </c>
      <c r="L304">
        <v>1</v>
      </c>
      <c r="M304">
        <v>2</v>
      </c>
      <c r="N304">
        <v>5</v>
      </c>
      <c r="O304">
        <v>5</v>
      </c>
      <c r="Q304">
        <v>7.4707698403599609</v>
      </c>
      <c r="R304">
        <v>7.4707698403599609</v>
      </c>
      <c r="U304" s="61" t="s">
        <v>958</v>
      </c>
      <c r="V304" t="s">
        <v>141</v>
      </c>
    </row>
    <row r="305" spans="1:22" x14ac:dyDescent="0.2">
      <c r="A305" t="s">
        <v>119</v>
      </c>
      <c r="B305" t="s">
        <v>1375</v>
      </c>
      <c r="C305">
        <v>76</v>
      </c>
      <c r="D305" t="s">
        <v>1051</v>
      </c>
      <c r="E305" t="s">
        <v>318</v>
      </c>
      <c r="F305">
        <v>2</v>
      </c>
      <c r="G305" t="s">
        <v>1056</v>
      </c>
      <c r="H305" t="s">
        <v>141</v>
      </c>
      <c r="I305" t="s">
        <v>240</v>
      </c>
      <c r="J305" t="s">
        <v>147</v>
      </c>
      <c r="K305">
        <v>1</v>
      </c>
      <c r="L305">
        <v>1</v>
      </c>
      <c r="M305">
        <v>2</v>
      </c>
      <c r="N305">
        <v>5</v>
      </c>
      <c r="O305">
        <v>5</v>
      </c>
      <c r="Q305">
        <v>7.4707698403599609</v>
      </c>
      <c r="R305">
        <v>7.4707698403599609</v>
      </c>
      <c r="U305" s="61" t="s">
        <v>958</v>
      </c>
      <c r="V305" t="s">
        <v>141</v>
      </c>
    </row>
    <row r="306" spans="1:22" x14ac:dyDescent="0.2">
      <c r="A306" t="s">
        <v>119</v>
      </c>
      <c r="B306" t="s">
        <v>1376</v>
      </c>
      <c r="C306">
        <v>77</v>
      </c>
      <c r="D306" t="s">
        <v>1051</v>
      </c>
      <c r="E306" t="s">
        <v>318</v>
      </c>
      <c r="F306">
        <v>3</v>
      </c>
      <c r="G306" t="s">
        <v>1056</v>
      </c>
      <c r="H306" t="s">
        <v>141</v>
      </c>
      <c r="I306" t="s">
        <v>241</v>
      </c>
      <c r="J306" t="s">
        <v>152</v>
      </c>
      <c r="K306">
        <v>1</v>
      </c>
      <c r="L306">
        <v>2</v>
      </c>
      <c r="M306">
        <v>2</v>
      </c>
      <c r="N306">
        <v>3</v>
      </c>
      <c r="O306">
        <v>4</v>
      </c>
      <c r="Q306">
        <v>2.4220509860226236</v>
      </c>
      <c r="R306">
        <v>3.4675646088337704</v>
      </c>
      <c r="U306" s="61" t="s">
        <v>958</v>
      </c>
      <c r="V306" t="s">
        <v>141</v>
      </c>
    </row>
    <row r="307" spans="1:22" x14ac:dyDescent="0.2">
      <c r="A307" t="s">
        <v>119</v>
      </c>
      <c r="B307" t="s">
        <v>1377</v>
      </c>
      <c r="C307">
        <v>78</v>
      </c>
      <c r="D307" t="s">
        <v>1051</v>
      </c>
      <c r="E307" t="s">
        <v>318</v>
      </c>
      <c r="F307">
        <v>4</v>
      </c>
      <c r="G307" t="s">
        <v>1056</v>
      </c>
      <c r="H307" t="s">
        <v>141</v>
      </c>
      <c r="I307" t="s">
        <v>242</v>
      </c>
      <c r="J307" t="s">
        <v>152</v>
      </c>
      <c r="K307">
        <v>1</v>
      </c>
      <c r="L307">
        <v>2</v>
      </c>
      <c r="M307">
        <v>1</v>
      </c>
      <c r="N307">
        <v>3</v>
      </c>
      <c r="O307">
        <v>3</v>
      </c>
      <c r="Q307">
        <v>2.2860024425665837</v>
      </c>
      <c r="R307">
        <v>2.2860024425665837</v>
      </c>
      <c r="U307" s="61" t="s">
        <v>958</v>
      </c>
      <c r="V307" t="s">
        <v>141</v>
      </c>
    </row>
    <row r="308" spans="1:22" x14ac:dyDescent="0.2">
      <c r="A308" t="s">
        <v>119</v>
      </c>
      <c r="B308" t="s">
        <v>1378</v>
      </c>
      <c r="C308">
        <v>79</v>
      </c>
      <c r="D308" t="s">
        <v>1051</v>
      </c>
      <c r="E308" t="s">
        <v>318</v>
      </c>
      <c r="F308">
        <v>5</v>
      </c>
      <c r="G308" t="s">
        <v>1056</v>
      </c>
      <c r="H308" t="s">
        <v>141</v>
      </c>
      <c r="I308" t="s">
        <v>243</v>
      </c>
      <c r="J308" t="s">
        <v>152</v>
      </c>
      <c r="K308">
        <v>1</v>
      </c>
      <c r="L308">
        <v>1</v>
      </c>
      <c r="M308">
        <v>2</v>
      </c>
      <c r="N308">
        <v>5</v>
      </c>
      <c r="O308">
        <v>5</v>
      </c>
      <c r="Q308">
        <v>7.4707698403599609</v>
      </c>
      <c r="R308">
        <v>7.4707698403599609</v>
      </c>
      <c r="U308" s="61" t="s">
        <v>958</v>
      </c>
      <c r="V308" t="s">
        <v>141</v>
      </c>
    </row>
    <row r="309" spans="1:22" x14ac:dyDescent="0.2">
      <c r="A309" t="s">
        <v>119</v>
      </c>
      <c r="B309" t="s">
        <v>1379</v>
      </c>
      <c r="C309">
        <v>80</v>
      </c>
      <c r="D309" t="s">
        <v>1051</v>
      </c>
      <c r="E309" t="s">
        <v>318</v>
      </c>
      <c r="F309">
        <v>6</v>
      </c>
      <c r="G309" t="s">
        <v>1056</v>
      </c>
      <c r="H309" t="s">
        <v>141</v>
      </c>
      <c r="I309" t="s">
        <v>244</v>
      </c>
      <c r="J309" t="s">
        <v>152</v>
      </c>
      <c r="K309">
        <v>1</v>
      </c>
      <c r="L309">
        <v>1</v>
      </c>
      <c r="M309">
        <v>3</v>
      </c>
      <c r="N309">
        <v>5</v>
      </c>
      <c r="O309">
        <v>5</v>
      </c>
      <c r="Q309">
        <v>8.3439300121397828</v>
      </c>
      <c r="R309">
        <v>8.3439300121397828</v>
      </c>
      <c r="U309" s="61" t="s">
        <v>958</v>
      </c>
      <c r="V309" t="s">
        <v>141</v>
      </c>
    </row>
    <row r="310" spans="1:22" x14ac:dyDescent="0.2">
      <c r="A310" t="s">
        <v>119</v>
      </c>
      <c r="B310" t="s">
        <v>1380</v>
      </c>
      <c r="C310">
        <v>81</v>
      </c>
      <c r="D310" t="s">
        <v>1051</v>
      </c>
      <c r="E310" t="s">
        <v>318</v>
      </c>
      <c r="F310">
        <v>7</v>
      </c>
      <c r="G310" t="s">
        <v>1056</v>
      </c>
      <c r="H310" t="s">
        <v>141</v>
      </c>
      <c r="I310" t="s">
        <v>245</v>
      </c>
      <c r="J310" t="s">
        <v>147</v>
      </c>
      <c r="K310">
        <v>1</v>
      </c>
      <c r="L310">
        <v>1</v>
      </c>
      <c r="M310">
        <v>3</v>
      </c>
      <c r="N310">
        <v>5</v>
      </c>
      <c r="O310">
        <v>5</v>
      </c>
      <c r="Q310">
        <v>8.3439300121397828</v>
      </c>
      <c r="R310">
        <v>8.3439300121397828</v>
      </c>
      <c r="U310" s="61" t="s">
        <v>958</v>
      </c>
      <c r="V310" t="s">
        <v>141</v>
      </c>
    </row>
    <row r="311" spans="1:22" x14ac:dyDescent="0.2">
      <c r="A311" t="s">
        <v>119</v>
      </c>
      <c r="B311" t="s">
        <v>1381</v>
      </c>
      <c r="C311">
        <v>82</v>
      </c>
      <c r="D311" t="s">
        <v>1051</v>
      </c>
      <c r="E311" t="s">
        <v>318</v>
      </c>
      <c r="F311">
        <v>8</v>
      </c>
      <c r="G311" t="s">
        <v>1056</v>
      </c>
      <c r="H311" t="s">
        <v>141</v>
      </c>
      <c r="I311" t="s">
        <v>246</v>
      </c>
      <c r="J311" t="s">
        <v>179</v>
      </c>
      <c r="K311">
        <v>1</v>
      </c>
      <c r="L311">
        <v>2</v>
      </c>
      <c r="M311">
        <v>3</v>
      </c>
      <c r="N311">
        <v>4</v>
      </c>
      <c r="O311">
        <v>5</v>
      </c>
      <c r="Q311">
        <v>4.1914549319579635</v>
      </c>
      <c r="R311">
        <v>6.0683906433495247</v>
      </c>
      <c r="U311" s="61" t="s">
        <v>958</v>
      </c>
      <c r="V311" t="s">
        <v>141</v>
      </c>
    </row>
    <row r="312" spans="1:22" x14ac:dyDescent="0.2">
      <c r="A312" t="s">
        <v>119</v>
      </c>
      <c r="B312" t="s">
        <v>1382</v>
      </c>
      <c r="C312">
        <v>83</v>
      </c>
      <c r="D312" t="s">
        <v>1051</v>
      </c>
      <c r="E312" t="s">
        <v>318</v>
      </c>
      <c r="F312">
        <v>9</v>
      </c>
      <c r="G312" t="s">
        <v>1056</v>
      </c>
      <c r="H312" t="s">
        <v>141</v>
      </c>
      <c r="I312" t="s">
        <v>247</v>
      </c>
      <c r="J312" t="s">
        <v>151</v>
      </c>
      <c r="K312">
        <v>1</v>
      </c>
      <c r="L312">
        <v>2</v>
      </c>
      <c r="M312">
        <v>3</v>
      </c>
      <c r="N312">
        <v>4</v>
      </c>
      <c r="O312">
        <v>5</v>
      </c>
      <c r="Q312">
        <v>4.1914549319579635</v>
      </c>
      <c r="R312">
        <v>6.0683906433495247</v>
      </c>
      <c r="U312" s="61" t="s">
        <v>958</v>
      </c>
      <c r="V312" t="s">
        <v>141</v>
      </c>
    </row>
    <row r="313" spans="1:22" x14ac:dyDescent="0.2">
      <c r="A313" t="s">
        <v>119</v>
      </c>
      <c r="B313" t="s">
        <v>1383</v>
      </c>
      <c r="C313">
        <v>84</v>
      </c>
      <c r="D313" t="s">
        <v>1051</v>
      </c>
      <c r="E313" t="s">
        <v>318</v>
      </c>
      <c r="F313">
        <v>10</v>
      </c>
      <c r="G313" t="s">
        <v>1056</v>
      </c>
      <c r="H313" t="s">
        <v>141</v>
      </c>
      <c r="I313" t="s">
        <v>248</v>
      </c>
      <c r="J313" t="s">
        <v>146</v>
      </c>
      <c r="K313">
        <v>1</v>
      </c>
      <c r="L313">
        <v>3</v>
      </c>
      <c r="M313">
        <v>4</v>
      </c>
      <c r="N313">
        <v>3</v>
      </c>
      <c r="O313">
        <v>4</v>
      </c>
      <c r="Q313">
        <v>3.9355649207746723</v>
      </c>
      <c r="R313">
        <v>4.921374421420138</v>
      </c>
      <c r="U313" s="61" t="s">
        <v>958</v>
      </c>
      <c r="V313" t="s">
        <v>141</v>
      </c>
    </row>
    <row r="314" spans="1:22" x14ac:dyDescent="0.2">
      <c r="A314" t="s">
        <v>119</v>
      </c>
      <c r="B314" t="s">
        <v>1384</v>
      </c>
      <c r="C314">
        <v>85</v>
      </c>
      <c r="D314" t="s">
        <v>1051</v>
      </c>
      <c r="E314" t="s">
        <v>318</v>
      </c>
      <c r="F314">
        <v>11</v>
      </c>
      <c r="G314" t="s">
        <v>1056</v>
      </c>
      <c r="H314" t="s">
        <v>141</v>
      </c>
      <c r="I314" t="s">
        <v>989</v>
      </c>
      <c r="J314" t="s">
        <v>150</v>
      </c>
      <c r="K314">
        <v>1</v>
      </c>
      <c r="L314">
        <v>2</v>
      </c>
      <c r="M314">
        <v>3</v>
      </c>
      <c r="N314">
        <v>4</v>
      </c>
      <c r="O314">
        <v>5</v>
      </c>
      <c r="Q314">
        <v>4.1914549319579635</v>
      </c>
      <c r="R314">
        <v>6.0683906433495247</v>
      </c>
      <c r="U314" s="61" t="s">
        <v>958</v>
      </c>
      <c r="V314" t="s">
        <v>141</v>
      </c>
    </row>
    <row r="315" spans="1:22" x14ac:dyDescent="0.2">
      <c r="A315" t="s">
        <v>119</v>
      </c>
      <c r="B315" t="s">
        <v>1385</v>
      </c>
      <c r="C315">
        <v>86</v>
      </c>
      <c r="D315" t="s">
        <v>1051</v>
      </c>
      <c r="E315" t="s">
        <v>318</v>
      </c>
      <c r="F315">
        <v>12</v>
      </c>
      <c r="G315" t="s">
        <v>1056</v>
      </c>
      <c r="H315" t="s">
        <v>141</v>
      </c>
      <c r="I315" t="s">
        <v>1036</v>
      </c>
      <c r="J315" t="s">
        <v>146</v>
      </c>
      <c r="K315">
        <v>0</v>
      </c>
      <c r="Q315">
        <v>0</v>
      </c>
      <c r="R315">
        <v>0</v>
      </c>
      <c r="U315" s="61" t="s">
        <v>958</v>
      </c>
      <c r="V315" t="s">
        <v>141</v>
      </c>
    </row>
    <row r="316" spans="1:22" x14ac:dyDescent="0.2">
      <c r="A316" t="s">
        <v>119</v>
      </c>
      <c r="B316" t="s">
        <v>1386</v>
      </c>
      <c r="C316">
        <v>87</v>
      </c>
      <c r="D316" t="s">
        <v>1051</v>
      </c>
      <c r="E316" t="s">
        <v>318</v>
      </c>
      <c r="F316">
        <v>13</v>
      </c>
      <c r="G316" t="s">
        <v>1056</v>
      </c>
      <c r="H316" t="s">
        <v>141</v>
      </c>
      <c r="I316" t="s">
        <v>253</v>
      </c>
      <c r="J316" t="s">
        <v>150</v>
      </c>
      <c r="K316">
        <v>1</v>
      </c>
      <c r="L316">
        <v>2</v>
      </c>
      <c r="M316">
        <v>3</v>
      </c>
      <c r="N316">
        <v>5</v>
      </c>
      <c r="O316">
        <v>5</v>
      </c>
      <c r="Q316">
        <v>6.0683906433495247</v>
      </c>
      <c r="R316">
        <v>6.0683906433495247</v>
      </c>
      <c r="U316" s="61" t="s">
        <v>958</v>
      </c>
      <c r="V316" t="s">
        <v>141</v>
      </c>
    </row>
    <row r="317" spans="1:22" x14ac:dyDescent="0.2">
      <c r="A317" t="s">
        <v>119</v>
      </c>
      <c r="B317" t="s">
        <v>1387</v>
      </c>
      <c r="C317">
        <v>88</v>
      </c>
      <c r="D317" t="s">
        <v>1051</v>
      </c>
      <c r="E317" t="s">
        <v>318</v>
      </c>
      <c r="F317">
        <v>14</v>
      </c>
      <c r="G317" t="s">
        <v>1056</v>
      </c>
      <c r="H317" t="s">
        <v>141</v>
      </c>
      <c r="I317" t="s">
        <v>254</v>
      </c>
      <c r="J317" t="s">
        <v>146</v>
      </c>
      <c r="K317">
        <v>0</v>
      </c>
      <c r="Q317">
        <v>0</v>
      </c>
      <c r="R317">
        <v>0</v>
      </c>
      <c r="U317" s="61" t="s">
        <v>958</v>
      </c>
      <c r="V317" t="s">
        <v>141</v>
      </c>
    </row>
    <row r="318" spans="1:22" x14ac:dyDescent="0.2">
      <c r="A318" t="s">
        <v>119</v>
      </c>
      <c r="B318" t="s">
        <v>1388</v>
      </c>
      <c r="C318">
        <v>89</v>
      </c>
      <c r="D318" t="s">
        <v>1051</v>
      </c>
      <c r="E318" t="s">
        <v>318</v>
      </c>
      <c r="F318">
        <v>15</v>
      </c>
      <c r="G318" t="s">
        <v>1056</v>
      </c>
      <c r="H318" t="s">
        <v>141</v>
      </c>
      <c r="I318" t="s">
        <v>249</v>
      </c>
      <c r="J318" t="s">
        <v>150</v>
      </c>
      <c r="K318">
        <v>1</v>
      </c>
      <c r="L318">
        <v>2</v>
      </c>
      <c r="M318">
        <v>4</v>
      </c>
      <c r="N318">
        <v>4</v>
      </c>
      <c r="O318">
        <v>5</v>
      </c>
      <c r="Q318">
        <v>5.7352849367469618</v>
      </c>
      <c r="R318">
        <v>7.9305662093421851</v>
      </c>
      <c r="U318" s="61" t="s">
        <v>958</v>
      </c>
      <c r="V318" t="s">
        <v>141</v>
      </c>
    </row>
    <row r="319" spans="1:22" x14ac:dyDescent="0.2">
      <c r="A319" t="s">
        <v>119</v>
      </c>
      <c r="B319" t="s">
        <v>1389</v>
      </c>
      <c r="C319">
        <v>90</v>
      </c>
      <c r="D319" t="s">
        <v>1051</v>
      </c>
      <c r="E319" t="s">
        <v>318</v>
      </c>
      <c r="F319">
        <v>16</v>
      </c>
      <c r="G319" t="s">
        <v>1056</v>
      </c>
      <c r="H319" t="s">
        <v>141</v>
      </c>
      <c r="I319" t="s">
        <v>250</v>
      </c>
      <c r="J319" t="s">
        <v>146</v>
      </c>
      <c r="K319">
        <v>1</v>
      </c>
      <c r="L319">
        <v>3</v>
      </c>
      <c r="M319">
        <v>4</v>
      </c>
      <c r="N319">
        <v>3</v>
      </c>
      <c r="O319">
        <v>4</v>
      </c>
      <c r="Q319">
        <v>3.9355649207746723</v>
      </c>
      <c r="R319">
        <v>4.921374421420138</v>
      </c>
      <c r="U319" s="61" t="s">
        <v>958</v>
      </c>
      <c r="V319" t="s">
        <v>141</v>
      </c>
    </row>
    <row r="320" spans="1:22" x14ac:dyDescent="0.2">
      <c r="A320" t="s">
        <v>119</v>
      </c>
      <c r="B320" t="s">
        <v>1390</v>
      </c>
      <c r="C320">
        <v>91</v>
      </c>
      <c r="D320" t="s">
        <v>1051</v>
      </c>
      <c r="E320" t="s">
        <v>318</v>
      </c>
      <c r="F320">
        <v>17</v>
      </c>
      <c r="G320" t="s">
        <v>1056</v>
      </c>
      <c r="H320" t="s">
        <v>141</v>
      </c>
      <c r="I320" t="s">
        <v>251</v>
      </c>
      <c r="J320" t="s">
        <v>152</v>
      </c>
      <c r="K320">
        <v>1</v>
      </c>
      <c r="L320">
        <v>2</v>
      </c>
      <c r="M320">
        <v>3</v>
      </c>
      <c r="N320">
        <v>3</v>
      </c>
      <c r="O320">
        <v>4</v>
      </c>
      <c r="Q320">
        <v>3.0556092237531312</v>
      </c>
      <c r="R320">
        <v>4.1914549319579635</v>
      </c>
      <c r="U320" s="61" t="s">
        <v>958</v>
      </c>
      <c r="V320" t="s">
        <v>141</v>
      </c>
    </row>
    <row r="321" spans="1:22" x14ac:dyDescent="0.2">
      <c r="A321" t="s">
        <v>119</v>
      </c>
      <c r="B321" t="s">
        <v>1391</v>
      </c>
      <c r="C321">
        <v>92</v>
      </c>
      <c r="D321" t="s">
        <v>1051</v>
      </c>
      <c r="E321" t="s">
        <v>318</v>
      </c>
      <c r="F321">
        <v>18</v>
      </c>
      <c r="G321" t="s">
        <v>1056</v>
      </c>
      <c r="H321" t="s">
        <v>141</v>
      </c>
      <c r="I321" t="s">
        <v>252</v>
      </c>
      <c r="J321" t="s">
        <v>147</v>
      </c>
      <c r="K321">
        <v>1</v>
      </c>
      <c r="L321">
        <v>2</v>
      </c>
      <c r="M321">
        <v>3</v>
      </c>
      <c r="N321">
        <v>4</v>
      </c>
      <c r="O321">
        <v>5</v>
      </c>
      <c r="Q321">
        <v>4.1914549319579635</v>
      </c>
      <c r="R321">
        <v>6.0683906433495247</v>
      </c>
      <c r="U321" s="61" t="s">
        <v>958</v>
      </c>
      <c r="V321" t="s">
        <v>141</v>
      </c>
    </row>
    <row r="322" spans="1:22" x14ac:dyDescent="0.2">
      <c r="A322" t="s">
        <v>119</v>
      </c>
      <c r="B322" t="s">
        <v>1392</v>
      </c>
      <c r="C322">
        <v>93</v>
      </c>
      <c r="D322" t="s">
        <v>1051</v>
      </c>
      <c r="E322" t="s">
        <v>318</v>
      </c>
      <c r="F322">
        <v>19</v>
      </c>
      <c r="G322" t="s">
        <v>1056</v>
      </c>
      <c r="H322" t="s">
        <v>141</v>
      </c>
      <c r="I322" t="s">
        <v>255</v>
      </c>
      <c r="J322" t="s">
        <v>152</v>
      </c>
      <c r="K322">
        <v>1</v>
      </c>
      <c r="L322">
        <v>2</v>
      </c>
      <c r="M322">
        <v>3</v>
      </c>
      <c r="N322">
        <v>4</v>
      </c>
      <c r="O322">
        <v>5</v>
      </c>
      <c r="Q322">
        <v>4.1914549319579635</v>
      </c>
      <c r="R322">
        <v>6.0683906433495247</v>
      </c>
      <c r="U322" s="61" t="s">
        <v>958</v>
      </c>
      <c r="V322" t="s">
        <v>141</v>
      </c>
    </row>
    <row r="323" spans="1:22" x14ac:dyDescent="0.2">
      <c r="A323" t="s">
        <v>119</v>
      </c>
      <c r="B323" t="s">
        <v>1393</v>
      </c>
      <c r="C323">
        <v>94</v>
      </c>
      <c r="D323" t="s">
        <v>1051</v>
      </c>
      <c r="E323" t="s">
        <v>318</v>
      </c>
      <c r="F323">
        <v>20</v>
      </c>
      <c r="G323" t="s">
        <v>1056</v>
      </c>
      <c r="H323" t="s">
        <v>141</v>
      </c>
      <c r="I323" t="s">
        <v>256</v>
      </c>
      <c r="J323" t="s">
        <v>179</v>
      </c>
      <c r="L323">
        <v>2</v>
      </c>
      <c r="M323">
        <v>3</v>
      </c>
      <c r="N323">
        <v>3</v>
      </c>
      <c r="O323">
        <v>4</v>
      </c>
      <c r="Q323">
        <v>3.0556092237531312</v>
      </c>
      <c r="R323">
        <v>4.1914549319579635</v>
      </c>
      <c r="U323" s="61" t="s">
        <v>958</v>
      </c>
      <c r="V323" t="s">
        <v>141</v>
      </c>
    </row>
    <row r="324" spans="1:22" x14ac:dyDescent="0.2">
      <c r="A324" t="s">
        <v>119</v>
      </c>
      <c r="B324" t="s">
        <v>1394</v>
      </c>
      <c r="C324">
        <v>95</v>
      </c>
      <c r="D324" t="s">
        <v>1051</v>
      </c>
      <c r="E324" t="s">
        <v>318</v>
      </c>
      <c r="F324">
        <v>21</v>
      </c>
      <c r="G324" t="s">
        <v>1056</v>
      </c>
      <c r="H324" t="s">
        <v>141</v>
      </c>
      <c r="I324" t="s">
        <v>257</v>
      </c>
      <c r="J324" t="s">
        <v>152</v>
      </c>
      <c r="L324">
        <v>2</v>
      </c>
      <c r="M324">
        <v>3</v>
      </c>
      <c r="N324">
        <v>5</v>
      </c>
      <c r="O324">
        <v>5</v>
      </c>
      <c r="Q324">
        <v>6.0683906433495247</v>
      </c>
      <c r="R324">
        <v>6.0683906433495247</v>
      </c>
      <c r="U324" s="61" t="s">
        <v>958</v>
      </c>
      <c r="V324" t="s">
        <v>141</v>
      </c>
    </row>
    <row r="325" spans="1:22" x14ac:dyDescent="0.2">
      <c r="A325" t="s">
        <v>119</v>
      </c>
      <c r="B325" t="s">
        <v>1395</v>
      </c>
      <c r="C325">
        <v>96</v>
      </c>
      <c r="D325" t="s">
        <v>1051</v>
      </c>
      <c r="E325" t="s">
        <v>318</v>
      </c>
      <c r="F325">
        <v>22</v>
      </c>
      <c r="G325" t="s">
        <v>1056</v>
      </c>
      <c r="H325" t="s">
        <v>141</v>
      </c>
      <c r="I325" t="s">
        <v>258</v>
      </c>
      <c r="J325" t="s">
        <v>151</v>
      </c>
      <c r="L325">
        <v>2</v>
      </c>
      <c r="M325">
        <v>2</v>
      </c>
      <c r="N325">
        <v>4</v>
      </c>
      <c r="O325">
        <v>5</v>
      </c>
      <c r="Q325">
        <v>3.4675646088337704</v>
      </c>
      <c r="R325">
        <v>5.1952304715697029</v>
      </c>
      <c r="U325" s="61" t="s">
        <v>958</v>
      </c>
      <c r="V325" t="s">
        <v>141</v>
      </c>
    </row>
    <row r="326" spans="1:22" x14ac:dyDescent="0.2">
      <c r="A326" t="s">
        <v>119</v>
      </c>
      <c r="B326" t="s">
        <v>1396</v>
      </c>
      <c r="C326">
        <v>97</v>
      </c>
      <c r="D326" t="s">
        <v>1051</v>
      </c>
      <c r="E326" t="s">
        <v>318</v>
      </c>
      <c r="F326">
        <v>23</v>
      </c>
      <c r="G326" t="s">
        <v>1056</v>
      </c>
      <c r="H326" t="s">
        <v>141</v>
      </c>
      <c r="I326" t="s">
        <v>259</v>
      </c>
      <c r="J326" t="s">
        <v>146</v>
      </c>
      <c r="L326">
        <v>2</v>
      </c>
      <c r="M326">
        <v>2</v>
      </c>
      <c r="N326">
        <v>4</v>
      </c>
      <c r="O326">
        <v>5</v>
      </c>
      <c r="Q326">
        <v>3.4675646088337704</v>
      </c>
      <c r="R326">
        <v>5.1952304715697029</v>
      </c>
      <c r="U326" s="61" t="s">
        <v>958</v>
      </c>
      <c r="V326" t="s">
        <v>141</v>
      </c>
    </row>
    <row r="327" spans="1:22" x14ac:dyDescent="0.2">
      <c r="A327" t="s">
        <v>119</v>
      </c>
      <c r="B327" t="s">
        <v>1397</v>
      </c>
      <c r="C327">
        <v>98</v>
      </c>
      <c r="D327" t="s">
        <v>1051</v>
      </c>
      <c r="E327" t="s">
        <v>318</v>
      </c>
      <c r="F327">
        <v>24</v>
      </c>
      <c r="G327" t="s">
        <v>1056</v>
      </c>
      <c r="H327" t="s">
        <v>141</v>
      </c>
      <c r="I327" t="s">
        <v>260</v>
      </c>
      <c r="J327" t="s">
        <v>152</v>
      </c>
      <c r="L327">
        <v>2</v>
      </c>
      <c r="M327">
        <v>3</v>
      </c>
      <c r="N327">
        <v>4</v>
      </c>
      <c r="O327">
        <v>5</v>
      </c>
      <c r="Q327">
        <v>4.1914549319579635</v>
      </c>
      <c r="R327">
        <v>6.0683906433495247</v>
      </c>
      <c r="U327" s="61" t="s">
        <v>958</v>
      </c>
      <c r="V327" t="s">
        <v>141</v>
      </c>
    </row>
    <row r="328" spans="1:22" x14ac:dyDescent="0.2">
      <c r="A328" t="s">
        <v>119</v>
      </c>
      <c r="B328" t="s">
        <v>1398</v>
      </c>
      <c r="C328">
        <v>99</v>
      </c>
      <c r="D328" t="s">
        <v>1051</v>
      </c>
      <c r="E328" t="s">
        <v>318</v>
      </c>
      <c r="F328">
        <v>25</v>
      </c>
      <c r="G328" t="s">
        <v>1056</v>
      </c>
      <c r="H328" t="s">
        <v>141</v>
      </c>
      <c r="I328" t="s">
        <v>261</v>
      </c>
      <c r="J328" t="s">
        <v>151</v>
      </c>
      <c r="L328">
        <v>2</v>
      </c>
      <c r="M328">
        <v>3</v>
      </c>
      <c r="N328">
        <v>4</v>
      </c>
      <c r="O328">
        <v>5</v>
      </c>
      <c r="Q328">
        <v>4.1914549319579635</v>
      </c>
      <c r="R328">
        <v>6.0683906433495247</v>
      </c>
      <c r="U328" s="61" t="s">
        <v>958</v>
      </c>
      <c r="V328" t="s">
        <v>141</v>
      </c>
    </row>
    <row r="329" spans="1:22" x14ac:dyDescent="0.2">
      <c r="A329" t="s">
        <v>119</v>
      </c>
      <c r="B329" t="s">
        <v>1399</v>
      </c>
      <c r="C329">
        <v>104</v>
      </c>
      <c r="D329" t="s">
        <v>1051</v>
      </c>
      <c r="E329" t="s">
        <v>318</v>
      </c>
      <c r="F329">
        <v>26</v>
      </c>
      <c r="G329" t="s">
        <v>1056</v>
      </c>
      <c r="H329" t="s">
        <v>141</v>
      </c>
      <c r="I329" t="s">
        <v>278</v>
      </c>
      <c r="J329" t="s">
        <v>271</v>
      </c>
      <c r="Q329">
        <v>0</v>
      </c>
      <c r="R329">
        <v>0</v>
      </c>
      <c r="T329" t="s">
        <v>277</v>
      </c>
      <c r="U329" s="61" t="s">
        <v>958</v>
      </c>
      <c r="V329" t="s">
        <v>141</v>
      </c>
    </row>
    <row r="330" spans="1:22" x14ac:dyDescent="0.2">
      <c r="A330" t="s">
        <v>119</v>
      </c>
      <c r="B330" t="s">
        <v>1400</v>
      </c>
      <c r="C330">
        <v>105</v>
      </c>
      <c r="D330" t="s">
        <v>1051</v>
      </c>
      <c r="E330" t="s">
        <v>318</v>
      </c>
      <c r="F330">
        <v>27</v>
      </c>
      <c r="G330" t="s">
        <v>1056</v>
      </c>
      <c r="H330" t="s">
        <v>141</v>
      </c>
      <c r="I330" t="s">
        <v>279</v>
      </c>
      <c r="J330" t="s">
        <v>271</v>
      </c>
      <c r="Q330">
        <v>0</v>
      </c>
      <c r="R330">
        <v>0</v>
      </c>
      <c r="U330" s="61" t="s">
        <v>958</v>
      </c>
      <c r="V330" t="s">
        <v>141</v>
      </c>
    </row>
    <row r="331" spans="1:22" x14ac:dyDescent="0.2">
      <c r="A331" t="s">
        <v>119</v>
      </c>
      <c r="B331" t="s">
        <v>1401</v>
      </c>
      <c r="C331">
        <v>106</v>
      </c>
      <c r="D331" t="s">
        <v>1051</v>
      </c>
      <c r="E331" t="s">
        <v>318</v>
      </c>
      <c r="F331">
        <v>28</v>
      </c>
      <c r="G331" t="s">
        <v>1056</v>
      </c>
      <c r="H331" t="s">
        <v>141</v>
      </c>
      <c r="I331" t="s">
        <v>287</v>
      </c>
      <c r="J331" t="s">
        <v>271</v>
      </c>
      <c r="Q331">
        <v>0</v>
      </c>
      <c r="R331">
        <v>0</v>
      </c>
      <c r="U331" s="61" t="s">
        <v>958</v>
      </c>
      <c r="V331" t="s">
        <v>141</v>
      </c>
    </row>
    <row r="332" spans="1:22" x14ac:dyDescent="0.2">
      <c r="A332" t="s">
        <v>119</v>
      </c>
      <c r="B332" t="s">
        <v>1402</v>
      </c>
      <c r="C332">
        <v>107</v>
      </c>
      <c r="D332" t="s">
        <v>1051</v>
      </c>
      <c r="E332" t="s">
        <v>318</v>
      </c>
      <c r="F332">
        <v>29</v>
      </c>
      <c r="G332" t="s">
        <v>1056</v>
      </c>
      <c r="H332" t="s">
        <v>141</v>
      </c>
      <c r="I332" t="s">
        <v>290</v>
      </c>
      <c r="J332" t="s">
        <v>271</v>
      </c>
      <c r="Q332">
        <v>0</v>
      </c>
      <c r="R332">
        <v>0</v>
      </c>
      <c r="U332" s="61" t="s">
        <v>958</v>
      </c>
      <c r="V332" t="s">
        <v>141</v>
      </c>
    </row>
    <row r="333" spans="1:22" x14ac:dyDescent="0.2">
      <c r="A333" t="s">
        <v>119</v>
      </c>
      <c r="B333" t="s">
        <v>1403</v>
      </c>
      <c r="C333">
        <v>63</v>
      </c>
      <c r="D333" t="s">
        <v>1051</v>
      </c>
      <c r="E333" t="s">
        <v>322</v>
      </c>
      <c r="F333">
        <v>1</v>
      </c>
      <c r="G333" t="s">
        <v>1060</v>
      </c>
      <c r="H333" t="s">
        <v>140</v>
      </c>
      <c r="I333" t="s">
        <v>229</v>
      </c>
      <c r="J333" t="s">
        <v>152</v>
      </c>
      <c r="K333">
        <v>1</v>
      </c>
      <c r="L333">
        <v>1</v>
      </c>
      <c r="M333">
        <v>3</v>
      </c>
      <c r="N333">
        <v>5</v>
      </c>
      <c r="O333">
        <v>5</v>
      </c>
      <c r="Q333">
        <v>8.3439300121397828</v>
      </c>
      <c r="R333">
        <v>8.3439300121397828</v>
      </c>
      <c r="U333" s="61" t="s">
        <v>958</v>
      </c>
      <c r="V333" t="s">
        <v>140</v>
      </c>
    </row>
    <row r="334" spans="1:22" x14ac:dyDescent="0.2">
      <c r="A334" t="s">
        <v>119</v>
      </c>
      <c r="B334" t="s">
        <v>1404</v>
      </c>
      <c r="C334">
        <v>64</v>
      </c>
      <c r="D334" t="s">
        <v>1051</v>
      </c>
      <c r="E334" t="s">
        <v>322</v>
      </c>
      <c r="F334">
        <v>2</v>
      </c>
      <c r="G334" t="s">
        <v>1060</v>
      </c>
      <c r="H334" t="s">
        <v>140</v>
      </c>
      <c r="I334" t="s">
        <v>230</v>
      </c>
      <c r="J334" t="s">
        <v>152</v>
      </c>
      <c r="K334">
        <v>1</v>
      </c>
      <c r="L334">
        <v>1</v>
      </c>
      <c r="M334">
        <v>3</v>
      </c>
      <c r="N334">
        <v>5</v>
      </c>
      <c r="O334">
        <v>5</v>
      </c>
      <c r="Q334">
        <v>8.3439300121397828</v>
      </c>
      <c r="R334">
        <v>8.3439300121397828</v>
      </c>
      <c r="U334" s="61" t="s">
        <v>958</v>
      </c>
      <c r="V334" t="s">
        <v>140</v>
      </c>
    </row>
    <row r="335" spans="1:22" x14ac:dyDescent="0.2">
      <c r="A335" t="s">
        <v>119</v>
      </c>
      <c r="B335" t="s">
        <v>1405</v>
      </c>
      <c r="C335">
        <v>65</v>
      </c>
      <c r="D335" t="s">
        <v>1051</v>
      </c>
      <c r="E335" t="s">
        <v>322</v>
      </c>
      <c r="F335">
        <v>3</v>
      </c>
      <c r="G335" t="s">
        <v>1060</v>
      </c>
      <c r="H335" t="s">
        <v>140</v>
      </c>
      <c r="I335" t="s">
        <v>231</v>
      </c>
      <c r="J335" t="s">
        <v>152</v>
      </c>
      <c r="K335">
        <v>1</v>
      </c>
      <c r="L335">
        <v>1</v>
      </c>
      <c r="M335">
        <v>3</v>
      </c>
      <c r="N335">
        <v>5</v>
      </c>
      <c r="O335">
        <v>5</v>
      </c>
      <c r="Q335">
        <v>8.3439300121397828</v>
      </c>
      <c r="R335">
        <v>8.3439300121397828</v>
      </c>
      <c r="U335" s="61" t="s">
        <v>958</v>
      </c>
      <c r="V335" t="s">
        <v>140</v>
      </c>
    </row>
    <row r="336" spans="1:22" x14ac:dyDescent="0.2">
      <c r="A336" t="s">
        <v>119</v>
      </c>
      <c r="B336" t="s">
        <v>1406</v>
      </c>
      <c r="C336">
        <v>66</v>
      </c>
      <c r="D336" t="s">
        <v>1051</v>
      </c>
      <c r="E336" t="s">
        <v>322</v>
      </c>
      <c r="F336">
        <v>4</v>
      </c>
      <c r="G336" t="s">
        <v>1060</v>
      </c>
      <c r="H336" t="s">
        <v>140</v>
      </c>
      <c r="I336" t="s">
        <v>232</v>
      </c>
      <c r="J336" t="s">
        <v>152</v>
      </c>
      <c r="K336">
        <v>1</v>
      </c>
      <c r="L336">
        <v>2</v>
      </c>
      <c r="M336">
        <v>3</v>
      </c>
      <c r="N336">
        <v>4</v>
      </c>
      <c r="O336">
        <v>5</v>
      </c>
      <c r="Q336">
        <v>4.1914549319579635</v>
      </c>
      <c r="R336">
        <v>6.0683906433495247</v>
      </c>
      <c r="U336" s="61" t="s">
        <v>958</v>
      </c>
      <c r="V336" t="s">
        <v>140</v>
      </c>
    </row>
    <row r="337" spans="1:22" x14ac:dyDescent="0.2">
      <c r="A337" t="s">
        <v>119</v>
      </c>
      <c r="B337" t="s">
        <v>1407</v>
      </c>
      <c r="C337">
        <v>67</v>
      </c>
      <c r="D337" t="s">
        <v>1051</v>
      </c>
      <c r="E337" t="s">
        <v>322</v>
      </c>
      <c r="F337">
        <v>5</v>
      </c>
      <c r="G337" t="s">
        <v>1060</v>
      </c>
      <c r="H337" t="s">
        <v>140</v>
      </c>
      <c r="I337" t="s">
        <v>233</v>
      </c>
      <c r="J337" t="s">
        <v>151</v>
      </c>
      <c r="K337">
        <v>1</v>
      </c>
      <c r="L337">
        <v>2</v>
      </c>
      <c r="M337">
        <v>2</v>
      </c>
      <c r="N337">
        <v>5</v>
      </c>
      <c r="O337">
        <v>5</v>
      </c>
      <c r="Q337">
        <v>5.1952304715697029</v>
      </c>
      <c r="R337">
        <v>5.1952304715697029</v>
      </c>
      <c r="U337" s="61" t="s">
        <v>958</v>
      </c>
      <c r="V337" t="s">
        <v>140</v>
      </c>
    </row>
    <row r="338" spans="1:22" x14ac:dyDescent="0.2">
      <c r="A338" t="s">
        <v>119</v>
      </c>
      <c r="B338" t="s">
        <v>1408</v>
      </c>
      <c r="C338">
        <v>68</v>
      </c>
      <c r="D338" t="s">
        <v>1051</v>
      </c>
      <c r="E338" t="s">
        <v>322</v>
      </c>
      <c r="F338">
        <v>6</v>
      </c>
      <c r="G338" t="s">
        <v>1060</v>
      </c>
      <c r="H338" t="s">
        <v>140</v>
      </c>
      <c r="I338" t="s">
        <v>234</v>
      </c>
      <c r="J338" t="s">
        <v>146</v>
      </c>
      <c r="K338">
        <v>1</v>
      </c>
      <c r="L338">
        <v>3</v>
      </c>
      <c r="M338">
        <v>3</v>
      </c>
      <c r="N338">
        <v>4</v>
      </c>
      <c r="O338">
        <v>5</v>
      </c>
      <c r="Q338">
        <v>3.3775444166311392</v>
      </c>
      <c r="R338">
        <v>4.6882062487951002</v>
      </c>
      <c r="U338" s="61" t="s">
        <v>958</v>
      </c>
      <c r="V338" t="s">
        <v>140</v>
      </c>
    </row>
    <row r="339" spans="1:22" x14ac:dyDescent="0.2">
      <c r="A339" t="s">
        <v>119</v>
      </c>
      <c r="B339" t="s">
        <v>1409</v>
      </c>
      <c r="C339">
        <v>69</v>
      </c>
      <c r="D339" t="s">
        <v>1051</v>
      </c>
      <c r="E339" t="s">
        <v>322</v>
      </c>
      <c r="F339">
        <v>7</v>
      </c>
      <c r="G339" t="s">
        <v>1060</v>
      </c>
      <c r="H339" t="s">
        <v>140</v>
      </c>
      <c r="I339" t="s">
        <v>235</v>
      </c>
      <c r="J339" t="s">
        <v>152</v>
      </c>
      <c r="K339">
        <v>1</v>
      </c>
      <c r="L339">
        <v>2</v>
      </c>
      <c r="M339">
        <v>2</v>
      </c>
      <c r="N339">
        <v>4</v>
      </c>
      <c r="O339">
        <v>5</v>
      </c>
      <c r="Q339">
        <v>3.4675646088337704</v>
      </c>
      <c r="R339">
        <v>5.1952304715697029</v>
      </c>
      <c r="U339" s="61" t="s">
        <v>958</v>
      </c>
      <c r="V339" t="s">
        <v>140</v>
      </c>
    </row>
    <row r="340" spans="1:22" x14ac:dyDescent="0.2">
      <c r="A340" t="s">
        <v>119</v>
      </c>
      <c r="B340" t="s">
        <v>1410</v>
      </c>
      <c r="C340">
        <v>70</v>
      </c>
      <c r="D340" t="s">
        <v>1051</v>
      </c>
      <c r="E340" t="s">
        <v>322</v>
      </c>
      <c r="F340">
        <v>8</v>
      </c>
      <c r="G340" t="s">
        <v>1060</v>
      </c>
      <c r="H340" t="s">
        <v>140</v>
      </c>
      <c r="I340" t="s">
        <v>236</v>
      </c>
      <c r="J340" t="s">
        <v>152</v>
      </c>
      <c r="K340">
        <v>1</v>
      </c>
      <c r="L340">
        <v>3</v>
      </c>
      <c r="M340">
        <v>2</v>
      </c>
      <c r="N340">
        <v>3</v>
      </c>
      <c r="O340">
        <v>4</v>
      </c>
      <c r="Q340">
        <v>1.9508265581762823</v>
      </c>
      <c r="R340">
        <v>2.6536540935069457</v>
      </c>
      <c r="U340" s="61" t="s">
        <v>958</v>
      </c>
      <c r="V340" t="s">
        <v>140</v>
      </c>
    </row>
    <row r="341" spans="1:22" x14ac:dyDescent="0.2">
      <c r="A341" t="s">
        <v>119</v>
      </c>
      <c r="B341" t="s">
        <v>1411</v>
      </c>
      <c r="C341">
        <v>71</v>
      </c>
      <c r="D341" t="s">
        <v>1051</v>
      </c>
      <c r="E341" t="s">
        <v>322</v>
      </c>
      <c r="F341">
        <v>9</v>
      </c>
      <c r="G341" t="s">
        <v>1060</v>
      </c>
      <c r="H341" t="s">
        <v>140</v>
      </c>
      <c r="I341" t="s">
        <v>237</v>
      </c>
      <c r="J341" t="s">
        <v>152</v>
      </c>
      <c r="K341">
        <v>1</v>
      </c>
      <c r="L341">
        <v>2</v>
      </c>
      <c r="M341">
        <v>3</v>
      </c>
      <c r="N341">
        <v>5</v>
      </c>
      <c r="O341">
        <v>5</v>
      </c>
      <c r="Q341">
        <v>6.0683906433495247</v>
      </c>
      <c r="R341">
        <v>6.0683906433495247</v>
      </c>
      <c r="U341" s="61" t="s">
        <v>958</v>
      </c>
      <c r="V341" t="s">
        <v>140</v>
      </c>
    </row>
    <row r="342" spans="1:22" x14ac:dyDescent="0.2">
      <c r="A342" t="s">
        <v>119</v>
      </c>
      <c r="B342" t="s">
        <v>1412</v>
      </c>
      <c r="C342">
        <v>72</v>
      </c>
      <c r="D342" t="s">
        <v>1051</v>
      </c>
      <c r="E342" t="s">
        <v>322</v>
      </c>
      <c r="F342">
        <v>10</v>
      </c>
      <c r="G342" t="s">
        <v>1060</v>
      </c>
      <c r="H342" t="s">
        <v>140</v>
      </c>
      <c r="I342" t="s">
        <v>238</v>
      </c>
      <c r="J342" t="s">
        <v>152</v>
      </c>
      <c r="K342">
        <v>1</v>
      </c>
      <c r="L342">
        <v>2</v>
      </c>
      <c r="M342">
        <v>3</v>
      </c>
      <c r="N342">
        <v>5</v>
      </c>
      <c r="O342">
        <v>5</v>
      </c>
      <c r="Q342">
        <v>6.0683906433495247</v>
      </c>
      <c r="R342">
        <v>6.0683906433495247</v>
      </c>
      <c r="U342" s="61" t="s">
        <v>958</v>
      </c>
      <c r="V342" t="s">
        <v>140</v>
      </c>
    </row>
    <row r="343" spans="1:22" x14ac:dyDescent="0.2">
      <c r="A343" t="s">
        <v>119</v>
      </c>
      <c r="B343" t="s">
        <v>1413</v>
      </c>
      <c r="C343">
        <v>73</v>
      </c>
      <c r="D343" t="s">
        <v>1051</v>
      </c>
      <c r="E343" t="s">
        <v>322</v>
      </c>
      <c r="F343">
        <v>11</v>
      </c>
      <c r="G343" t="s">
        <v>1060</v>
      </c>
      <c r="H343" t="s">
        <v>140</v>
      </c>
      <c r="I343" t="s">
        <v>288</v>
      </c>
      <c r="J343" t="s">
        <v>152</v>
      </c>
      <c r="K343">
        <v>1</v>
      </c>
      <c r="L343">
        <v>2</v>
      </c>
      <c r="M343">
        <v>2</v>
      </c>
      <c r="N343">
        <v>5</v>
      </c>
      <c r="O343">
        <v>5</v>
      </c>
      <c r="Q343">
        <v>5.1952304715697029</v>
      </c>
      <c r="R343">
        <v>5.1952304715697029</v>
      </c>
      <c r="U343" s="61" t="s">
        <v>958</v>
      </c>
      <c r="V343" t="s">
        <v>140</v>
      </c>
    </row>
    <row r="344" spans="1:22" x14ac:dyDescent="0.2">
      <c r="A344" t="s">
        <v>119</v>
      </c>
      <c r="B344" t="s">
        <v>1414</v>
      </c>
      <c r="C344">
        <v>74</v>
      </c>
      <c r="D344" t="s">
        <v>1051</v>
      </c>
      <c r="E344" t="s">
        <v>322</v>
      </c>
      <c r="F344">
        <v>12</v>
      </c>
      <c r="G344" t="s">
        <v>1060</v>
      </c>
      <c r="H344" t="s">
        <v>140</v>
      </c>
      <c r="I344" t="s">
        <v>289</v>
      </c>
      <c r="J344" t="s">
        <v>151</v>
      </c>
      <c r="K344">
        <v>1</v>
      </c>
      <c r="L344">
        <v>2</v>
      </c>
      <c r="M344">
        <v>3</v>
      </c>
      <c r="N344">
        <v>4</v>
      </c>
      <c r="O344">
        <v>5</v>
      </c>
      <c r="Q344">
        <v>4.1914549319579635</v>
      </c>
      <c r="R344">
        <v>6.0683906433495247</v>
      </c>
      <c r="U344" s="61" t="s">
        <v>958</v>
      </c>
      <c r="V344" t="s">
        <v>140</v>
      </c>
    </row>
    <row r="345" spans="1:22" x14ac:dyDescent="0.2">
      <c r="A345" t="s">
        <v>119</v>
      </c>
      <c r="B345" t="s">
        <v>1415</v>
      </c>
      <c r="C345">
        <v>103</v>
      </c>
      <c r="D345" t="s">
        <v>1051</v>
      </c>
      <c r="E345" t="s">
        <v>322</v>
      </c>
      <c r="F345">
        <v>13</v>
      </c>
      <c r="G345" t="s">
        <v>1060</v>
      </c>
      <c r="H345" t="s">
        <v>140</v>
      </c>
      <c r="I345" t="s">
        <v>276</v>
      </c>
      <c r="J345" t="s">
        <v>271</v>
      </c>
      <c r="Q345">
        <v>0</v>
      </c>
      <c r="R345">
        <v>0</v>
      </c>
      <c r="U345" s="61" t="s">
        <v>958</v>
      </c>
      <c r="V345" t="s">
        <v>140</v>
      </c>
    </row>
    <row r="346" spans="1:22" x14ac:dyDescent="0.2">
      <c r="A346" t="s">
        <v>119</v>
      </c>
      <c r="B346" t="s">
        <v>1416</v>
      </c>
      <c r="C346">
        <v>6</v>
      </c>
      <c r="D346" t="s">
        <v>1051</v>
      </c>
      <c r="E346" t="s">
        <v>325</v>
      </c>
      <c r="F346">
        <v>1</v>
      </c>
      <c r="G346" t="s">
        <v>1057</v>
      </c>
      <c r="H346" t="s">
        <v>169</v>
      </c>
      <c r="I346" t="s">
        <v>171</v>
      </c>
      <c r="J346" t="s">
        <v>149</v>
      </c>
      <c r="K346">
        <v>1</v>
      </c>
      <c r="L346">
        <v>1</v>
      </c>
      <c r="M346">
        <v>2</v>
      </c>
      <c r="N346">
        <v>5</v>
      </c>
      <c r="O346">
        <v>5</v>
      </c>
      <c r="Q346">
        <v>7.4707698403599609</v>
      </c>
      <c r="R346">
        <v>7.4707698403599609</v>
      </c>
      <c r="U346" s="61" t="s">
        <v>958</v>
      </c>
      <c r="V346" t="s">
        <v>169</v>
      </c>
    </row>
    <row r="347" spans="1:22" x14ac:dyDescent="0.2">
      <c r="A347" t="s">
        <v>119</v>
      </c>
      <c r="B347" t="s">
        <v>1417</v>
      </c>
      <c r="C347">
        <v>7</v>
      </c>
      <c r="D347" t="s">
        <v>1051</v>
      </c>
      <c r="E347" t="s">
        <v>325</v>
      </c>
      <c r="F347">
        <v>2</v>
      </c>
      <c r="G347" t="s">
        <v>1057</v>
      </c>
      <c r="H347" t="s">
        <v>169</v>
      </c>
      <c r="I347" t="s">
        <v>172</v>
      </c>
      <c r="J347" t="s">
        <v>149</v>
      </c>
      <c r="K347">
        <v>1</v>
      </c>
      <c r="L347">
        <v>1</v>
      </c>
      <c r="M347">
        <v>2</v>
      </c>
      <c r="N347">
        <v>5</v>
      </c>
      <c r="O347">
        <v>5</v>
      </c>
      <c r="Q347">
        <v>7.4707698403599609</v>
      </c>
      <c r="R347">
        <v>7.4707698403599609</v>
      </c>
      <c r="U347" s="61" t="s">
        <v>958</v>
      </c>
      <c r="V347" t="s">
        <v>169</v>
      </c>
    </row>
    <row r="348" spans="1:22" x14ac:dyDescent="0.2">
      <c r="A348" t="s">
        <v>119</v>
      </c>
      <c r="B348" t="s">
        <v>1418</v>
      </c>
      <c r="C348">
        <v>8</v>
      </c>
      <c r="D348" t="s">
        <v>1051</v>
      </c>
      <c r="E348" t="s">
        <v>325</v>
      </c>
      <c r="F348">
        <v>3</v>
      </c>
      <c r="G348" t="s">
        <v>1057</v>
      </c>
      <c r="H348" t="s">
        <v>169</v>
      </c>
      <c r="I348" t="s">
        <v>1034</v>
      </c>
      <c r="J348" t="s">
        <v>149</v>
      </c>
      <c r="K348">
        <v>1</v>
      </c>
      <c r="L348">
        <v>1</v>
      </c>
      <c r="M348">
        <v>3</v>
      </c>
      <c r="N348">
        <v>3</v>
      </c>
      <c r="O348">
        <v>3</v>
      </c>
      <c r="Q348">
        <v>3.8325269612168924</v>
      </c>
      <c r="R348">
        <v>3.8325269612168924</v>
      </c>
      <c r="U348" s="61" t="s">
        <v>958</v>
      </c>
      <c r="V348" t="s">
        <v>169</v>
      </c>
    </row>
    <row r="349" spans="1:22" x14ac:dyDescent="0.2">
      <c r="A349" t="s">
        <v>119</v>
      </c>
      <c r="B349" t="s">
        <v>1419</v>
      </c>
      <c r="C349">
        <v>9</v>
      </c>
      <c r="D349" t="s">
        <v>1051</v>
      </c>
      <c r="E349" t="s">
        <v>325</v>
      </c>
      <c r="F349">
        <v>4</v>
      </c>
      <c r="G349" t="s">
        <v>1057</v>
      </c>
      <c r="H349" t="s">
        <v>169</v>
      </c>
      <c r="I349" t="s">
        <v>173</v>
      </c>
      <c r="J349" t="s">
        <v>149</v>
      </c>
      <c r="K349">
        <v>1</v>
      </c>
      <c r="L349">
        <v>1</v>
      </c>
      <c r="M349">
        <v>3</v>
      </c>
      <c r="N349">
        <v>4</v>
      </c>
      <c r="O349">
        <v>4</v>
      </c>
      <c r="Q349">
        <v>5.5333665110238019</v>
      </c>
      <c r="R349">
        <v>5.5333665110238019</v>
      </c>
      <c r="U349" s="61" t="s">
        <v>958</v>
      </c>
      <c r="V349" t="s">
        <v>169</v>
      </c>
    </row>
    <row r="350" spans="1:22" x14ac:dyDescent="0.2">
      <c r="A350" t="s">
        <v>119</v>
      </c>
      <c r="B350" t="s">
        <v>1420</v>
      </c>
      <c r="C350">
        <v>10</v>
      </c>
      <c r="D350" t="s">
        <v>1051</v>
      </c>
      <c r="E350" t="s">
        <v>325</v>
      </c>
      <c r="F350">
        <v>5</v>
      </c>
      <c r="G350" t="s">
        <v>1057</v>
      </c>
      <c r="H350" t="s">
        <v>169</v>
      </c>
      <c r="I350" t="s">
        <v>988</v>
      </c>
      <c r="J350" t="s">
        <v>149</v>
      </c>
      <c r="K350">
        <v>1</v>
      </c>
      <c r="L350">
        <v>1</v>
      </c>
      <c r="M350">
        <v>3</v>
      </c>
      <c r="N350">
        <v>3</v>
      </c>
      <c r="O350">
        <v>3</v>
      </c>
      <c r="Q350">
        <v>3.8325269612168924</v>
      </c>
      <c r="R350">
        <v>3.8325269612168924</v>
      </c>
      <c r="U350" s="61" t="s">
        <v>958</v>
      </c>
      <c r="V350" t="s">
        <v>169</v>
      </c>
    </row>
    <row r="351" spans="1:22" x14ac:dyDescent="0.2">
      <c r="A351" t="s">
        <v>119</v>
      </c>
      <c r="B351" t="s">
        <v>1421</v>
      </c>
      <c r="C351">
        <v>11</v>
      </c>
      <c r="D351" t="s">
        <v>1051</v>
      </c>
      <c r="E351" t="s">
        <v>325</v>
      </c>
      <c r="F351">
        <v>6</v>
      </c>
      <c r="G351" t="s">
        <v>1057</v>
      </c>
      <c r="H351" t="s">
        <v>169</v>
      </c>
      <c r="I351" t="s">
        <v>1035</v>
      </c>
      <c r="J351" t="s">
        <v>149</v>
      </c>
      <c r="K351">
        <v>1</v>
      </c>
      <c r="L351">
        <v>1</v>
      </c>
      <c r="M351">
        <v>3</v>
      </c>
      <c r="N351">
        <v>4</v>
      </c>
      <c r="O351">
        <v>4</v>
      </c>
      <c r="Q351">
        <v>5.5333665110238019</v>
      </c>
      <c r="R351">
        <v>5.5333665110238019</v>
      </c>
      <c r="U351" s="61" t="s">
        <v>958</v>
      </c>
      <c r="V351" t="s">
        <v>169</v>
      </c>
    </row>
    <row r="352" spans="1:22" x14ac:dyDescent="0.2">
      <c r="A352" t="s">
        <v>119</v>
      </c>
      <c r="B352" t="s">
        <v>1422</v>
      </c>
      <c r="C352">
        <v>12</v>
      </c>
      <c r="D352" t="s">
        <v>1051</v>
      </c>
      <c r="E352" t="s">
        <v>325</v>
      </c>
      <c r="F352">
        <v>7</v>
      </c>
      <c r="G352" t="s">
        <v>1057</v>
      </c>
      <c r="H352" t="s">
        <v>169</v>
      </c>
      <c r="I352" t="s">
        <v>175</v>
      </c>
      <c r="J352" t="s">
        <v>149</v>
      </c>
      <c r="K352">
        <v>1</v>
      </c>
      <c r="L352">
        <v>2</v>
      </c>
      <c r="M352">
        <v>3</v>
      </c>
      <c r="N352">
        <v>2</v>
      </c>
      <c r="O352">
        <v>2</v>
      </c>
      <c r="Q352">
        <v>2.5230196807457705</v>
      </c>
      <c r="R352">
        <v>2.5230196807457705</v>
      </c>
      <c r="U352" s="61" t="s">
        <v>958</v>
      </c>
      <c r="V352" t="s">
        <v>169</v>
      </c>
    </row>
    <row r="353" spans="1:22" x14ac:dyDescent="0.2">
      <c r="A353" t="s">
        <v>119</v>
      </c>
      <c r="B353" t="s">
        <v>1423</v>
      </c>
      <c r="C353">
        <v>13</v>
      </c>
      <c r="D353" t="s">
        <v>1051</v>
      </c>
      <c r="E353" t="s">
        <v>325</v>
      </c>
      <c r="F353">
        <v>8</v>
      </c>
      <c r="G353" t="s">
        <v>1057</v>
      </c>
      <c r="H353" t="s">
        <v>169</v>
      </c>
      <c r="I353" t="s">
        <v>174</v>
      </c>
      <c r="J353" t="s">
        <v>149</v>
      </c>
      <c r="K353">
        <v>1</v>
      </c>
      <c r="L353">
        <v>1</v>
      </c>
      <c r="M353">
        <v>3</v>
      </c>
      <c r="N353">
        <v>4</v>
      </c>
      <c r="O353">
        <v>4</v>
      </c>
      <c r="Q353">
        <v>5.5333665110238019</v>
      </c>
      <c r="R353">
        <v>5.5333665110238019</v>
      </c>
      <c r="U353" s="61" t="s">
        <v>958</v>
      </c>
      <c r="V353" t="s">
        <v>169</v>
      </c>
    </row>
    <row r="354" spans="1:22" x14ac:dyDescent="0.2">
      <c r="A354" t="s">
        <v>119</v>
      </c>
      <c r="B354" t="s">
        <v>1424</v>
      </c>
      <c r="C354">
        <v>14</v>
      </c>
      <c r="D354" t="s">
        <v>1051</v>
      </c>
      <c r="E354" t="s">
        <v>262</v>
      </c>
      <c r="F354">
        <v>1</v>
      </c>
      <c r="G354" t="s">
        <v>1063</v>
      </c>
      <c r="H354" t="s">
        <v>121</v>
      </c>
      <c r="I354" t="s">
        <v>176</v>
      </c>
      <c r="J354" t="s">
        <v>152</v>
      </c>
      <c r="K354">
        <v>1</v>
      </c>
      <c r="L354">
        <v>1</v>
      </c>
      <c r="M354">
        <v>3</v>
      </c>
      <c r="N354">
        <v>5</v>
      </c>
      <c r="O354">
        <v>5</v>
      </c>
      <c r="Q354">
        <v>8.3439300121397828</v>
      </c>
      <c r="R354">
        <v>8.3439300121397828</v>
      </c>
      <c r="U354" s="61" t="s">
        <v>958</v>
      </c>
      <c r="V354" t="s">
        <v>121</v>
      </c>
    </row>
    <row r="355" spans="1:22" x14ac:dyDescent="0.2">
      <c r="A355" t="s">
        <v>119</v>
      </c>
      <c r="B355" t="s">
        <v>1425</v>
      </c>
      <c r="C355">
        <v>15</v>
      </c>
      <c r="D355" t="s">
        <v>1051</v>
      </c>
      <c r="E355" t="s">
        <v>262</v>
      </c>
      <c r="F355">
        <v>2</v>
      </c>
      <c r="G355" t="s">
        <v>1063</v>
      </c>
      <c r="H355" t="s">
        <v>121</v>
      </c>
      <c r="I355" t="s">
        <v>177</v>
      </c>
      <c r="J355" t="s">
        <v>149</v>
      </c>
      <c r="K355">
        <v>1</v>
      </c>
      <c r="L355">
        <v>1</v>
      </c>
      <c r="M355">
        <v>3</v>
      </c>
      <c r="N355">
        <v>5</v>
      </c>
      <c r="O355">
        <v>5</v>
      </c>
      <c r="Q355">
        <v>8.3439300121397828</v>
      </c>
      <c r="R355">
        <v>8.3439300121397828</v>
      </c>
      <c r="U355" s="61" t="s">
        <v>958</v>
      </c>
      <c r="V355" t="s">
        <v>121</v>
      </c>
    </row>
    <row r="356" spans="1:22" x14ac:dyDescent="0.2">
      <c r="A356" t="s">
        <v>119</v>
      </c>
      <c r="B356" t="s">
        <v>1064</v>
      </c>
      <c r="C356">
        <v>5</v>
      </c>
      <c r="D356" t="s">
        <v>1051</v>
      </c>
      <c r="E356" t="s">
        <v>263</v>
      </c>
      <c r="F356">
        <v>1</v>
      </c>
      <c r="G356" t="s">
        <v>1065</v>
      </c>
      <c r="H356" t="s">
        <v>123</v>
      </c>
      <c r="I356" t="s">
        <v>168</v>
      </c>
      <c r="J356" t="s">
        <v>152</v>
      </c>
      <c r="K356">
        <v>1</v>
      </c>
      <c r="L356">
        <v>1</v>
      </c>
      <c r="M356">
        <v>1</v>
      </c>
      <c r="N356">
        <v>5</v>
      </c>
      <c r="O356">
        <v>5</v>
      </c>
      <c r="Q356">
        <v>7.2832698403599609</v>
      </c>
      <c r="R356">
        <v>7.2832698403599609</v>
      </c>
      <c r="U356" s="61" t="s">
        <v>958</v>
      </c>
      <c r="V356" t="s">
        <v>123</v>
      </c>
    </row>
    <row r="357" spans="1:22" x14ac:dyDescent="0.2">
      <c r="A357" t="s">
        <v>361</v>
      </c>
      <c r="B357" t="s">
        <v>1426</v>
      </c>
      <c r="C357">
        <v>172</v>
      </c>
      <c r="D357" t="s">
        <v>1051</v>
      </c>
      <c r="E357" t="s">
        <v>763</v>
      </c>
      <c r="F357">
        <v>1</v>
      </c>
      <c r="G357" t="s">
        <v>1059</v>
      </c>
      <c r="H357" t="s">
        <v>363</v>
      </c>
      <c r="I357" t="s">
        <v>381</v>
      </c>
      <c r="J357" t="s">
        <v>380</v>
      </c>
      <c r="K357">
        <v>1</v>
      </c>
      <c r="L357">
        <v>1</v>
      </c>
      <c r="Q357">
        <v>0</v>
      </c>
      <c r="R357">
        <v>0</v>
      </c>
      <c r="U357" s="61" t="s">
        <v>958</v>
      </c>
      <c r="V357" t="s">
        <v>363</v>
      </c>
    </row>
    <row r="358" spans="1:22" x14ac:dyDescent="0.2">
      <c r="A358" t="s">
        <v>361</v>
      </c>
      <c r="B358" t="s">
        <v>1427</v>
      </c>
      <c r="C358">
        <v>173</v>
      </c>
      <c r="D358" t="s">
        <v>1051</v>
      </c>
      <c r="E358" t="s">
        <v>764</v>
      </c>
      <c r="F358">
        <v>1</v>
      </c>
      <c r="G358" t="s">
        <v>1054</v>
      </c>
      <c r="H358" t="s">
        <v>364</v>
      </c>
      <c r="I358" t="s">
        <v>382</v>
      </c>
      <c r="J358" t="s">
        <v>152</v>
      </c>
      <c r="K358">
        <v>1</v>
      </c>
      <c r="Q358">
        <v>0</v>
      </c>
      <c r="R358">
        <v>0</v>
      </c>
      <c r="U358" s="61" t="s">
        <v>363</v>
      </c>
      <c r="V358" t="s">
        <v>703</v>
      </c>
    </row>
    <row r="359" spans="1:22" x14ac:dyDescent="0.2">
      <c r="A359" t="s">
        <v>361</v>
      </c>
      <c r="B359" t="s">
        <v>1428</v>
      </c>
      <c r="C359">
        <v>174</v>
      </c>
      <c r="D359" t="s">
        <v>1051</v>
      </c>
      <c r="E359" t="s">
        <v>764</v>
      </c>
      <c r="F359">
        <v>2</v>
      </c>
      <c r="G359" t="s">
        <v>1054</v>
      </c>
      <c r="H359" t="s">
        <v>364</v>
      </c>
      <c r="I359" t="s">
        <v>383</v>
      </c>
      <c r="J359" t="s">
        <v>152</v>
      </c>
      <c r="K359">
        <v>1</v>
      </c>
      <c r="Q359">
        <v>0</v>
      </c>
      <c r="R359">
        <v>0</v>
      </c>
      <c r="U359" s="61" t="s">
        <v>363</v>
      </c>
      <c r="V359" t="s">
        <v>703</v>
      </c>
    </row>
    <row r="360" spans="1:22" x14ac:dyDescent="0.2">
      <c r="A360" t="s">
        <v>361</v>
      </c>
      <c r="B360" t="s">
        <v>1429</v>
      </c>
      <c r="C360">
        <v>175</v>
      </c>
      <c r="D360" t="s">
        <v>1051</v>
      </c>
      <c r="E360" t="s">
        <v>764</v>
      </c>
      <c r="F360">
        <v>3</v>
      </c>
      <c r="G360" t="s">
        <v>1054</v>
      </c>
      <c r="H360" t="s">
        <v>364</v>
      </c>
      <c r="I360" t="s">
        <v>384</v>
      </c>
      <c r="J360" t="s">
        <v>179</v>
      </c>
      <c r="Q360">
        <v>0</v>
      </c>
      <c r="R360">
        <v>0</v>
      </c>
      <c r="U360" s="61" t="s">
        <v>363</v>
      </c>
      <c r="V360" t="s">
        <v>703</v>
      </c>
    </row>
    <row r="361" spans="1:22" x14ac:dyDescent="0.2">
      <c r="A361" t="s">
        <v>361</v>
      </c>
      <c r="B361" t="s">
        <v>1430</v>
      </c>
      <c r="C361">
        <v>176</v>
      </c>
      <c r="D361" t="s">
        <v>1051</v>
      </c>
      <c r="E361" t="s">
        <v>764</v>
      </c>
      <c r="F361">
        <v>4</v>
      </c>
      <c r="G361" t="s">
        <v>1054</v>
      </c>
      <c r="H361" t="s">
        <v>364</v>
      </c>
      <c r="I361" t="s">
        <v>385</v>
      </c>
      <c r="J361" t="s">
        <v>152</v>
      </c>
      <c r="K361">
        <v>1</v>
      </c>
      <c r="Q361">
        <v>0</v>
      </c>
      <c r="R361">
        <v>0</v>
      </c>
      <c r="U361" s="61" t="s">
        <v>363</v>
      </c>
      <c r="V361" t="s">
        <v>703</v>
      </c>
    </row>
    <row r="362" spans="1:22" x14ac:dyDescent="0.2">
      <c r="A362" t="s">
        <v>361</v>
      </c>
      <c r="B362" t="s">
        <v>1431</v>
      </c>
      <c r="C362">
        <v>177</v>
      </c>
      <c r="D362" t="s">
        <v>1051</v>
      </c>
      <c r="E362" t="s">
        <v>764</v>
      </c>
      <c r="F362">
        <v>5</v>
      </c>
      <c r="G362" t="s">
        <v>1054</v>
      </c>
      <c r="H362" t="s">
        <v>364</v>
      </c>
      <c r="I362" t="s">
        <v>386</v>
      </c>
      <c r="J362" t="s">
        <v>380</v>
      </c>
      <c r="K362">
        <v>1</v>
      </c>
      <c r="Q362">
        <v>0</v>
      </c>
      <c r="R362">
        <v>0</v>
      </c>
      <c r="U362" s="61" t="s">
        <v>363</v>
      </c>
      <c r="V362" t="s">
        <v>703</v>
      </c>
    </row>
    <row r="363" spans="1:22" x14ac:dyDescent="0.2">
      <c r="A363" t="s">
        <v>361</v>
      </c>
      <c r="B363" t="s">
        <v>1432</v>
      </c>
      <c r="C363">
        <v>178</v>
      </c>
      <c r="D363" t="s">
        <v>1051</v>
      </c>
      <c r="E363" t="s">
        <v>764</v>
      </c>
      <c r="F363">
        <v>6</v>
      </c>
      <c r="G363" t="s">
        <v>1054</v>
      </c>
      <c r="H363" t="s">
        <v>364</v>
      </c>
      <c r="I363" t="s">
        <v>387</v>
      </c>
      <c r="J363" t="s">
        <v>152</v>
      </c>
      <c r="K363">
        <v>1</v>
      </c>
      <c r="Q363">
        <v>0</v>
      </c>
      <c r="R363">
        <v>0</v>
      </c>
      <c r="U363" s="61" t="s">
        <v>363</v>
      </c>
      <c r="V363" t="s">
        <v>703</v>
      </c>
    </row>
    <row r="364" spans="1:22" x14ac:dyDescent="0.2">
      <c r="A364" t="s">
        <v>361</v>
      </c>
      <c r="B364" t="s">
        <v>1433</v>
      </c>
      <c r="C364">
        <v>179</v>
      </c>
      <c r="D364" t="s">
        <v>1051</v>
      </c>
      <c r="E364" t="s">
        <v>764</v>
      </c>
      <c r="F364">
        <v>7</v>
      </c>
      <c r="G364" t="s">
        <v>1054</v>
      </c>
      <c r="H364" t="s">
        <v>364</v>
      </c>
      <c r="I364" t="s">
        <v>388</v>
      </c>
      <c r="J364" t="s">
        <v>152</v>
      </c>
      <c r="K364">
        <v>1</v>
      </c>
      <c r="Q364">
        <v>0</v>
      </c>
      <c r="R364">
        <v>0</v>
      </c>
      <c r="U364" s="61" t="s">
        <v>363</v>
      </c>
      <c r="V364" t="s">
        <v>703</v>
      </c>
    </row>
    <row r="365" spans="1:22" x14ac:dyDescent="0.2">
      <c r="A365" t="s">
        <v>361</v>
      </c>
      <c r="B365" t="s">
        <v>1434</v>
      </c>
      <c r="C365">
        <v>180</v>
      </c>
      <c r="D365" t="s">
        <v>1051</v>
      </c>
      <c r="E365" t="s">
        <v>764</v>
      </c>
      <c r="F365">
        <v>8</v>
      </c>
      <c r="G365" t="s">
        <v>1054</v>
      </c>
      <c r="H365" t="s">
        <v>364</v>
      </c>
      <c r="I365" t="s">
        <v>389</v>
      </c>
      <c r="J365" t="s">
        <v>179</v>
      </c>
      <c r="K365">
        <v>1</v>
      </c>
      <c r="M365">
        <v>4</v>
      </c>
      <c r="Q365">
        <v>0</v>
      </c>
      <c r="R365">
        <v>0</v>
      </c>
      <c r="U365" s="61" t="s">
        <v>363</v>
      </c>
      <c r="V365" t="s">
        <v>703</v>
      </c>
    </row>
    <row r="366" spans="1:22" x14ac:dyDescent="0.2">
      <c r="A366" t="s">
        <v>361</v>
      </c>
      <c r="B366" t="s">
        <v>1435</v>
      </c>
      <c r="C366">
        <v>181</v>
      </c>
      <c r="D366" t="s">
        <v>1051</v>
      </c>
      <c r="E366" t="s">
        <v>764</v>
      </c>
      <c r="F366">
        <v>9</v>
      </c>
      <c r="G366" t="s">
        <v>1054</v>
      </c>
      <c r="H366" t="s">
        <v>364</v>
      </c>
      <c r="I366" t="s">
        <v>390</v>
      </c>
      <c r="J366" t="s">
        <v>152</v>
      </c>
      <c r="K366">
        <v>1</v>
      </c>
      <c r="Q366">
        <v>0</v>
      </c>
      <c r="R366">
        <v>0</v>
      </c>
      <c r="U366" s="61" t="s">
        <v>363</v>
      </c>
      <c r="V366" t="s">
        <v>703</v>
      </c>
    </row>
    <row r="367" spans="1:22" x14ac:dyDescent="0.2">
      <c r="A367" t="s">
        <v>361</v>
      </c>
      <c r="B367" t="s">
        <v>1436</v>
      </c>
      <c r="C367">
        <v>182</v>
      </c>
      <c r="D367" t="s">
        <v>1051</v>
      </c>
      <c r="E367" t="s">
        <v>764</v>
      </c>
      <c r="F367">
        <v>10</v>
      </c>
      <c r="G367" t="s">
        <v>1054</v>
      </c>
      <c r="H367" t="s">
        <v>364</v>
      </c>
      <c r="I367" t="s">
        <v>391</v>
      </c>
      <c r="J367" t="s">
        <v>152</v>
      </c>
      <c r="K367">
        <v>1</v>
      </c>
      <c r="Q367">
        <v>0</v>
      </c>
      <c r="R367">
        <v>0</v>
      </c>
      <c r="U367" s="61" t="s">
        <v>363</v>
      </c>
      <c r="V367" t="s">
        <v>703</v>
      </c>
    </row>
    <row r="368" spans="1:22" x14ac:dyDescent="0.2">
      <c r="A368" t="s">
        <v>361</v>
      </c>
      <c r="B368" t="s">
        <v>1437</v>
      </c>
      <c r="C368">
        <v>183</v>
      </c>
      <c r="D368" t="s">
        <v>1051</v>
      </c>
      <c r="E368" t="s">
        <v>764</v>
      </c>
      <c r="F368">
        <v>11</v>
      </c>
      <c r="G368" t="s">
        <v>1054</v>
      </c>
      <c r="H368" t="s">
        <v>364</v>
      </c>
      <c r="I368" t="s">
        <v>686</v>
      </c>
      <c r="J368" t="s">
        <v>380</v>
      </c>
      <c r="K368">
        <v>1</v>
      </c>
      <c r="Q368">
        <v>0</v>
      </c>
      <c r="R368">
        <v>0</v>
      </c>
      <c r="U368" s="61" t="s">
        <v>363</v>
      </c>
      <c r="V368" t="s">
        <v>703</v>
      </c>
    </row>
    <row r="369" spans="1:22" x14ac:dyDescent="0.2">
      <c r="A369" t="s">
        <v>361</v>
      </c>
      <c r="B369" t="s">
        <v>1438</v>
      </c>
      <c r="C369">
        <v>184</v>
      </c>
      <c r="D369" t="s">
        <v>1051</v>
      </c>
      <c r="E369" t="s">
        <v>764</v>
      </c>
      <c r="F369">
        <v>12</v>
      </c>
      <c r="G369" t="s">
        <v>1054</v>
      </c>
      <c r="H369" t="s">
        <v>364</v>
      </c>
      <c r="I369" t="s">
        <v>392</v>
      </c>
      <c r="J369" t="s">
        <v>380</v>
      </c>
      <c r="K369">
        <v>1</v>
      </c>
      <c r="Q369">
        <v>0</v>
      </c>
      <c r="R369">
        <v>0</v>
      </c>
      <c r="U369" s="61" t="s">
        <v>363</v>
      </c>
      <c r="V369" t="s">
        <v>703</v>
      </c>
    </row>
    <row r="370" spans="1:22" x14ac:dyDescent="0.2">
      <c r="A370" t="s">
        <v>361</v>
      </c>
      <c r="B370" t="s">
        <v>1439</v>
      </c>
      <c r="C370">
        <v>185</v>
      </c>
      <c r="D370" t="s">
        <v>1051</v>
      </c>
      <c r="E370" t="s">
        <v>765</v>
      </c>
      <c r="F370">
        <v>1</v>
      </c>
      <c r="G370" t="s">
        <v>1056</v>
      </c>
      <c r="H370" t="s">
        <v>366</v>
      </c>
      <c r="I370" t="s">
        <v>393</v>
      </c>
      <c r="J370" t="s">
        <v>152</v>
      </c>
      <c r="K370">
        <v>1</v>
      </c>
      <c r="Q370">
        <v>0</v>
      </c>
      <c r="R370">
        <v>0</v>
      </c>
      <c r="U370" s="61" t="s">
        <v>365</v>
      </c>
      <c r="V370" t="s">
        <v>705</v>
      </c>
    </row>
    <row r="371" spans="1:22" x14ac:dyDescent="0.2">
      <c r="A371" t="s">
        <v>361</v>
      </c>
      <c r="B371" t="s">
        <v>1440</v>
      </c>
      <c r="C371">
        <v>186</v>
      </c>
      <c r="D371" t="s">
        <v>1051</v>
      </c>
      <c r="E371" t="s">
        <v>765</v>
      </c>
      <c r="F371">
        <v>2</v>
      </c>
      <c r="G371" t="s">
        <v>1056</v>
      </c>
      <c r="H371" t="s">
        <v>366</v>
      </c>
      <c r="I371" t="s">
        <v>394</v>
      </c>
      <c r="J371" t="s">
        <v>152</v>
      </c>
      <c r="K371">
        <v>1</v>
      </c>
      <c r="Q371">
        <v>0</v>
      </c>
      <c r="R371">
        <v>0</v>
      </c>
      <c r="U371" s="61" t="s">
        <v>365</v>
      </c>
      <c r="V371" t="s">
        <v>705</v>
      </c>
    </row>
    <row r="372" spans="1:22" x14ac:dyDescent="0.2">
      <c r="A372" t="s">
        <v>361</v>
      </c>
      <c r="B372" t="s">
        <v>1441</v>
      </c>
      <c r="C372">
        <v>187</v>
      </c>
      <c r="D372" t="s">
        <v>1051</v>
      </c>
      <c r="E372" t="s">
        <v>765</v>
      </c>
      <c r="F372">
        <v>3</v>
      </c>
      <c r="G372" t="s">
        <v>1056</v>
      </c>
      <c r="H372" t="s">
        <v>366</v>
      </c>
      <c r="I372" t="s">
        <v>395</v>
      </c>
      <c r="J372" t="s">
        <v>380</v>
      </c>
      <c r="K372">
        <v>1</v>
      </c>
      <c r="Q372">
        <v>0</v>
      </c>
      <c r="R372">
        <v>0</v>
      </c>
      <c r="U372" s="61" t="s">
        <v>365</v>
      </c>
      <c r="V372" t="s">
        <v>705</v>
      </c>
    </row>
    <row r="373" spans="1:22" x14ac:dyDescent="0.2">
      <c r="A373" t="s">
        <v>361</v>
      </c>
      <c r="B373" t="s">
        <v>1442</v>
      </c>
      <c r="C373">
        <v>188</v>
      </c>
      <c r="D373" t="s">
        <v>1051</v>
      </c>
      <c r="E373" t="s">
        <v>765</v>
      </c>
      <c r="F373">
        <v>4</v>
      </c>
      <c r="G373" t="s">
        <v>1056</v>
      </c>
      <c r="H373" t="s">
        <v>366</v>
      </c>
      <c r="I373" t="s">
        <v>363</v>
      </c>
      <c r="J373" t="s">
        <v>152</v>
      </c>
      <c r="K373">
        <v>1</v>
      </c>
      <c r="Q373">
        <v>0</v>
      </c>
      <c r="R373">
        <v>0</v>
      </c>
      <c r="U373" s="61" t="s">
        <v>365</v>
      </c>
      <c r="V373" t="s">
        <v>705</v>
      </c>
    </row>
    <row r="374" spans="1:22" x14ac:dyDescent="0.2">
      <c r="A374" t="s">
        <v>361</v>
      </c>
      <c r="B374" t="s">
        <v>1443</v>
      </c>
      <c r="C374">
        <v>189</v>
      </c>
      <c r="D374" t="s">
        <v>1051</v>
      </c>
      <c r="E374" t="s">
        <v>765</v>
      </c>
      <c r="F374">
        <v>5</v>
      </c>
      <c r="G374" t="s">
        <v>1056</v>
      </c>
      <c r="H374" t="s">
        <v>366</v>
      </c>
      <c r="I374" t="s">
        <v>396</v>
      </c>
      <c r="J374" t="s">
        <v>147</v>
      </c>
      <c r="K374">
        <v>1</v>
      </c>
      <c r="Q374">
        <v>0</v>
      </c>
      <c r="R374">
        <v>0</v>
      </c>
      <c r="U374" s="61" t="s">
        <v>365</v>
      </c>
      <c r="V374" t="s">
        <v>705</v>
      </c>
    </row>
    <row r="375" spans="1:22" x14ac:dyDescent="0.2">
      <c r="A375" t="s">
        <v>361</v>
      </c>
      <c r="B375" t="s">
        <v>1444</v>
      </c>
      <c r="C375">
        <v>190</v>
      </c>
      <c r="D375" t="s">
        <v>1051</v>
      </c>
      <c r="E375" t="s">
        <v>765</v>
      </c>
      <c r="F375">
        <v>6</v>
      </c>
      <c r="G375" t="s">
        <v>1056</v>
      </c>
      <c r="H375" t="s">
        <v>366</v>
      </c>
      <c r="I375" t="s">
        <v>397</v>
      </c>
      <c r="J375" t="s">
        <v>380</v>
      </c>
      <c r="K375">
        <v>1</v>
      </c>
      <c r="Q375">
        <v>0</v>
      </c>
      <c r="R375">
        <v>0</v>
      </c>
      <c r="U375" s="61" t="s">
        <v>365</v>
      </c>
      <c r="V375" t="s">
        <v>705</v>
      </c>
    </row>
    <row r="376" spans="1:22" x14ac:dyDescent="0.2">
      <c r="A376" t="s">
        <v>361</v>
      </c>
      <c r="B376" t="s">
        <v>1445</v>
      </c>
      <c r="C376">
        <v>431</v>
      </c>
      <c r="D376" t="s">
        <v>1051</v>
      </c>
      <c r="E376" t="s">
        <v>766</v>
      </c>
      <c r="F376">
        <v>1</v>
      </c>
      <c r="G376" t="s">
        <v>1060</v>
      </c>
      <c r="H376" t="s">
        <v>367</v>
      </c>
      <c r="I376" t="s">
        <v>687</v>
      </c>
      <c r="J376" t="s">
        <v>380</v>
      </c>
      <c r="K376">
        <v>1</v>
      </c>
      <c r="Q376">
        <v>0</v>
      </c>
      <c r="R376">
        <v>0</v>
      </c>
      <c r="U376" s="61" t="s">
        <v>365</v>
      </c>
      <c r="V376" t="s">
        <v>706</v>
      </c>
    </row>
    <row r="377" spans="1:22" x14ac:dyDescent="0.2">
      <c r="A377" t="s">
        <v>361</v>
      </c>
      <c r="B377" t="s">
        <v>1446</v>
      </c>
      <c r="C377">
        <v>432</v>
      </c>
      <c r="D377" t="s">
        <v>1051</v>
      </c>
      <c r="E377" t="s">
        <v>766</v>
      </c>
      <c r="F377">
        <v>2</v>
      </c>
      <c r="G377" t="s">
        <v>1060</v>
      </c>
      <c r="H377" t="s">
        <v>367</v>
      </c>
      <c r="I377" t="s">
        <v>688</v>
      </c>
      <c r="J377" t="s">
        <v>380</v>
      </c>
      <c r="K377">
        <v>1</v>
      </c>
      <c r="Q377">
        <v>0</v>
      </c>
      <c r="R377">
        <v>0</v>
      </c>
      <c r="U377" s="61" t="s">
        <v>365</v>
      </c>
      <c r="V377" t="s">
        <v>706</v>
      </c>
    </row>
    <row r="378" spans="1:22" x14ac:dyDescent="0.2">
      <c r="A378" t="s">
        <v>361</v>
      </c>
      <c r="B378" t="s">
        <v>1447</v>
      </c>
      <c r="C378">
        <v>433</v>
      </c>
      <c r="D378" t="s">
        <v>1051</v>
      </c>
      <c r="E378" t="s">
        <v>766</v>
      </c>
      <c r="F378">
        <v>3</v>
      </c>
      <c r="G378" t="s">
        <v>1060</v>
      </c>
      <c r="H378" t="s">
        <v>367</v>
      </c>
      <c r="I378" t="s">
        <v>689</v>
      </c>
      <c r="J378" t="s">
        <v>147</v>
      </c>
      <c r="K378">
        <v>1</v>
      </c>
      <c r="Q378">
        <v>0</v>
      </c>
      <c r="R378">
        <v>0</v>
      </c>
      <c r="U378" s="61" t="s">
        <v>365</v>
      </c>
      <c r="V378" t="s">
        <v>706</v>
      </c>
    </row>
    <row r="379" spans="1:22" x14ac:dyDescent="0.2">
      <c r="A379" t="s">
        <v>361</v>
      </c>
      <c r="B379" t="s">
        <v>1448</v>
      </c>
      <c r="C379">
        <v>202</v>
      </c>
      <c r="D379" t="s">
        <v>1051</v>
      </c>
      <c r="E379" t="s">
        <v>767</v>
      </c>
      <c r="F379">
        <v>1</v>
      </c>
      <c r="G379" t="s">
        <v>1057</v>
      </c>
      <c r="H379" t="s">
        <v>368</v>
      </c>
      <c r="I379" t="s">
        <v>424</v>
      </c>
      <c r="J379" t="s">
        <v>152</v>
      </c>
      <c r="Q379">
        <v>0</v>
      </c>
      <c r="R379">
        <v>0</v>
      </c>
      <c r="U379" s="61" t="s">
        <v>365</v>
      </c>
      <c r="V379" t="s">
        <v>707</v>
      </c>
    </row>
    <row r="380" spans="1:22" x14ac:dyDescent="0.2">
      <c r="A380" t="s">
        <v>361</v>
      </c>
      <c r="B380" t="s">
        <v>1449</v>
      </c>
      <c r="C380">
        <v>203</v>
      </c>
      <c r="D380" t="s">
        <v>1051</v>
      </c>
      <c r="E380" t="s">
        <v>767</v>
      </c>
      <c r="F380">
        <v>2</v>
      </c>
      <c r="G380" t="s">
        <v>1057</v>
      </c>
      <c r="H380" t="s">
        <v>368</v>
      </c>
      <c r="I380" t="s">
        <v>425</v>
      </c>
      <c r="J380" t="s">
        <v>179</v>
      </c>
      <c r="Q380">
        <v>0</v>
      </c>
      <c r="R380">
        <v>0</v>
      </c>
      <c r="U380" s="61" t="s">
        <v>365</v>
      </c>
      <c r="V380" t="s">
        <v>707</v>
      </c>
    </row>
    <row r="381" spans="1:22" x14ac:dyDescent="0.2">
      <c r="A381" t="s">
        <v>361</v>
      </c>
      <c r="B381" t="s">
        <v>1450</v>
      </c>
      <c r="C381">
        <v>204</v>
      </c>
      <c r="D381" t="s">
        <v>1051</v>
      </c>
      <c r="E381" t="s">
        <v>767</v>
      </c>
      <c r="F381">
        <v>3</v>
      </c>
      <c r="G381" t="s">
        <v>1057</v>
      </c>
      <c r="H381" t="s">
        <v>368</v>
      </c>
      <c r="I381" t="s">
        <v>426</v>
      </c>
      <c r="J381" t="s">
        <v>152</v>
      </c>
      <c r="Q381">
        <v>0</v>
      </c>
      <c r="R381">
        <v>0</v>
      </c>
      <c r="U381" s="61" t="s">
        <v>365</v>
      </c>
      <c r="V381" t="s">
        <v>707</v>
      </c>
    </row>
    <row r="382" spans="1:22" x14ac:dyDescent="0.2">
      <c r="A382" t="s">
        <v>361</v>
      </c>
      <c r="B382" t="s">
        <v>1451</v>
      </c>
      <c r="C382">
        <v>205</v>
      </c>
      <c r="D382" t="s">
        <v>1051</v>
      </c>
      <c r="E382" t="s">
        <v>767</v>
      </c>
      <c r="F382">
        <v>4</v>
      </c>
      <c r="G382" t="s">
        <v>1057</v>
      </c>
      <c r="H382" t="s">
        <v>368</v>
      </c>
      <c r="I382" t="s">
        <v>427</v>
      </c>
      <c r="J382" t="s">
        <v>147</v>
      </c>
      <c r="Q382">
        <v>0</v>
      </c>
      <c r="R382">
        <v>0</v>
      </c>
      <c r="U382" s="61" t="s">
        <v>365</v>
      </c>
      <c r="V382" t="s">
        <v>707</v>
      </c>
    </row>
    <row r="383" spans="1:22" x14ac:dyDescent="0.2">
      <c r="A383" t="s">
        <v>361</v>
      </c>
      <c r="B383" t="s">
        <v>1452</v>
      </c>
      <c r="C383">
        <v>206</v>
      </c>
      <c r="D383" t="s">
        <v>1051</v>
      </c>
      <c r="E383" t="s">
        <v>767</v>
      </c>
      <c r="F383">
        <v>5</v>
      </c>
      <c r="G383" t="s">
        <v>1057</v>
      </c>
      <c r="H383" t="s">
        <v>368</v>
      </c>
      <c r="I383" t="s">
        <v>428</v>
      </c>
      <c r="J383" t="s">
        <v>152</v>
      </c>
      <c r="Q383">
        <v>0</v>
      </c>
      <c r="R383">
        <v>0</v>
      </c>
      <c r="U383" s="61" t="s">
        <v>365</v>
      </c>
      <c r="V383" t="s">
        <v>707</v>
      </c>
    </row>
    <row r="384" spans="1:22" x14ac:dyDescent="0.2">
      <c r="A384" t="s">
        <v>361</v>
      </c>
      <c r="B384" t="s">
        <v>1453</v>
      </c>
      <c r="C384">
        <v>207</v>
      </c>
      <c r="D384" t="s">
        <v>1051</v>
      </c>
      <c r="E384" t="s">
        <v>767</v>
      </c>
      <c r="F384">
        <v>6</v>
      </c>
      <c r="G384" t="s">
        <v>1057</v>
      </c>
      <c r="H384" t="s">
        <v>368</v>
      </c>
      <c r="I384" t="s">
        <v>429</v>
      </c>
      <c r="J384" t="s">
        <v>152</v>
      </c>
      <c r="Q384">
        <v>0</v>
      </c>
      <c r="R384">
        <v>0</v>
      </c>
      <c r="U384" s="61" t="s">
        <v>365</v>
      </c>
      <c r="V384" t="s">
        <v>707</v>
      </c>
    </row>
    <row r="385" spans="1:22" x14ac:dyDescent="0.2">
      <c r="A385" t="s">
        <v>361</v>
      </c>
      <c r="B385" t="s">
        <v>1454</v>
      </c>
      <c r="C385">
        <v>208</v>
      </c>
      <c r="D385" t="s">
        <v>1051</v>
      </c>
      <c r="E385" t="s">
        <v>768</v>
      </c>
      <c r="F385">
        <v>1</v>
      </c>
      <c r="G385" t="s">
        <v>1061</v>
      </c>
      <c r="H385" t="s">
        <v>369</v>
      </c>
      <c r="I385" t="s">
        <v>433</v>
      </c>
      <c r="J385" t="s">
        <v>152</v>
      </c>
      <c r="K385">
        <v>1</v>
      </c>
      <c r="Q385">
        <v>0</v>
      </c>
      <c r="R385">
        <v>0</v>
      </c>
      <c r="U385" s="61" t="s">
        <v>365</v>
      </c>
      <c r="V385" t="s">
        <v>708</v>
      </c>
    </row>
    <row r="386" spans="1:22" x14ac:dyDescent="0.2">
      <c r="A386" t="s">
        <v>361</v>
      </c>
      <c r="B386" t="s">
        <v>1455</v>
      </c>
      <c r="C386">
        <v>209</v>
      </c>
      <c r="D386" t="s">
        <v>1051</v>
      </c>
      <c r="E386" t="s">
        <v>768</v>
      </c>
      <c r="F386">
        <v>2</v>
      </c>
      <c r="G386" t="s">
        <v>1061</v>
      </c>
      <c r="H386" t="s">
        <v>369</v>
      </c>
      <c r="I386" t="s">
        <v>434</v>
      </c>
      <c r="J386" t="s">
        <v>152</v>
      </c>
      <c r="K386">
        <v>1</v>
      </c>
      <c r="Q386">
        <v>0</v>
      </c>
      <c r="R386">
        <v>0</v>
      </c>
      <c r="U386" s="61" t="s">
        <v>365</v>
      </c>
      <c r="V386" t="s">
        <v>708</v>
      </c>
    </row>
    <row r="387" spans="1:22" x14ac:dyDescent="0.2">
      <c r="A387" t="s">
        <v>361</v>
      </c>
      <c r="B387" t="s">
        <v>1456</v>
      </c>
      <c r="C387">
        <v>210</v>
      </c>
      <c r="D387" t="s">
        <v>1051</v>
      </c>
      <c r="E387" t="s">
        <v>768</v>
      </c>
      <c r="F387">
        <v>3</v>
      </c>
      <c r="G387" t="s">
        <v>1061</v>
      </c>
      <c r="H387" t="s">
        <v>369</v>
      </c>
      <c r="I387" t="s">
        <v>430</v>
      </c>
      <c r="J387" t="s">
        <v>152</v>
      </c>
      <c r="K387">
        <v>1</v>
      </c>
      <c r="Q387">
        <v>0</v>
      </c>
      <c r="R387">
        <v>0</v>
      </c>
      <c r="U387" s="61" t="s">
        <v>365</v>
      </c>
      <c r="V387" t="s">
        <v>708</v>
      </c>
    </row>
    <row r="388" spans="1:22" x14ac:dyDescent="0.2">
      <c r="A388" t="s">
        <v>361</v>
      </c>
      <c r="B388" t="s">
        <v>1457</v>
      </c>
      <c r="C388">
        <v>211</v>
      </c>
      <c r="D388" t="s">
        <v>1051</v>
      </c>
      <c r="E388" t="s">
        <v>768</v>
      </c>
      <c r="F388">
        <v>4</v>
      </c>
      <c r="G388" t="s">
        <v>1061</v>
      </c>
      <c r="H388" t="s">
        <v>369</v>
      </c>
      <c r="I388" t="s">
        <v>431</v>
      </c>
      <c r="J388" t="s">
        <v>147</v>
      </c>
      <c r="K388">
        <v>1</v>
      </c>
      <c r="Q388">
        <v>0</v>
      </c>
      <c r="R388">
        <v>0</v>
      </c>
      <c r="U388" s="61" t="s">
        <v>365</v>
      </c>
      <c r="V388" t="s">
        <v>708</v>
      </c>
    </row>
    <row r="389" spans="1:22" x14ac:dyDescent="0.2">
      <c r="A389" t="s">
        <v>361</v>
      </c>
      <c r="B389" t="s">
        <v>1458</v>
      </c>
      <c r="C389">
        <v>212</v>
      </c>
      <c r="D389" t="s">
        <v>1051</v>
      </c>
      <c r="E389" t="s">
        <v>768</v>
      </c>
      <c r="F389">
        <v>5</v>
      </c>
      <c r="G389" t="s">
        <v>1061</v>
      </c>
      <c r="H389" t="s">
        <v>369</v>
      </c>
      <c r="I389" t="s">
        <v>432</v>
      </c>
      <c r="J389" t="s">
        <v>147</v>
      </c>
      <c r="K389">
        <v>1</v>
      </c>
      <c r="Q389">
        <v>0</v>
      </c>
      <c r="R389">
        <v>0</v>
      </c>
      <c r="U389" s="61" t="s">
        <v>365</v>
      </c>
      <c r="V389" t="s">
        <v>708</v>
      </c>
    </row>
    <row r="390" spans="1:22" x14ac:dyDescent="0.2">
      <c r="A390" t="s">
        <v>361</v>
      </c>
      <c r="B390" t="s">
        <v>1459</v>
      </c>
      <c r="C390">
        <v>213</v>
      </c>
      <c r="D390" t="s">
        <v>1051</v>
      </c>
      <c r="E390" t="s">
        <v>768</v>
      </c>
      <c r="F390">
        <v>6</v>
      </c>
      <c r="G390" t="s">
        <v>1061</v>
      </c>
      <c r="H390" t="s">
        <v>369</v>
      </c>
      <c r="I390" t="s">
        <v>435</v>
      </c>
      <c r="J390" t="s">
        <v>147</v>
      </c>
      <c r="K390">
        <v>1</v>
      </c>
      <c r="Q390">
        <v>0</v>
      </c>
      <c r="R390">
        <v>0</v>
      </c>
      <c r="U390" s="61" t="s">
        <v>365</v>
      </c>
      <c r="V390" t="s">
        <v>708</v>
      </c>
    </row>
    <row r="391" spans="1:22" x14ac:dyDescent="0.2">
      <c r="A391" t="s">
        <v>361</v>
      </c>
      <c r="B391" t="s">
        <v>1460</v>
      </c>
      <c r="C391">
        <v>214</v>
      </c>
      <c r="D391" t="s">
        <v>1051</v>
      </c>
      <c r="E391" t="s">
        <v>768</v>
      </c>
      <c r="F391">
        <v>7</v>
      </c>
      <c r="G391" t="s">
        <v>1061</v>
      </c>
      <c r="H391" t="s">
        <v>369</v>
      </c>
      <c r="I391" t="s">
        <v>436</v>
      </c>
      <c r="J391" t="s">
        <v>147</v>
      </c>
      <c r="K391">
        <v>1</v>
      </c>
      <c r="Q391">
        <v>0</v>
      </c>
      <c r="R391">
        <v>0</v>
      </c>
      <c r="U391" s="61" t="s">
        <v>365</v>
      </c>
      <c r="V391" t="s">
        <v>708</v>
      </c>
    </row>
    <row r="392" spans="1:22" x14ac:dyDescent="0.2">
      <c r="A392" t="s">
        <v>361</v>
      </c>
      <c r="B392" t="s">
        <v>1461</v>
      </c>
      <c r="C392">
        <v>215</v>
      </c>
      <c r="D392" t="s">
        <v>1051</v>
      </c>
      <c r="E392" t="s">
        <v>768</v>
      </c>
      <c r="F392">
        <v>8</v>
      </c>
      <c r="G392" t="s">
        <v>1061</v>
      </c>
      <c r="H392" t="s">
        <v>369</v>
      </c>
      <c r="I392" t="s">
        <v>437</v>
      </c>
      <c r="J392" t="s">
        <v>380</v>
      </c>
      <c r="K392">
        <v>1</v>
      </c>
      <c r="Q392">
        <v>0</v>
      </c>
      <c r="R392">
        <v>0</v>
      </c>
      <c r="U392" s="61" t="s">
        <v>365</v>
      </c>
      <c r="V392" t="s">
        <v>708</v>
      </c>
    </row>
    <row r="393" spans="1:22" x14ac:dyDescent="0.2">
      <c r="A393" t="s">
        <v>361</v>
      </c>
      <c r="B393" t="s">
        <v>1462</v>
      </c>
      <c r="C393">
        <v>216</v>
      </c>
      <c r="D393" t="s">
        <v>1051</v>
      </c>
      <c r="E393" t="s">
        <v>768</v>
      </c>
      <c r="F393">
        <v>9</v>
      </c>
      <c r="G393" t="s">
        <v>1061</v>
      </c>
      <c r="H393" t="s">
        <v>369</v>
      </c>
      <c r="I393" t="s">
        <v>438</v>
      </c>
      <c r="J393" t="s">
        <v>152</v>
      </c>
      <c r="K393">
        <v>1</v>
      </c>
      <c r="Q393">
        <v>0</v>
      </c>
      <c r="R393">
        <v>0</v>
      </c>
      <c r="U393" s="61" t="s">
        <v>365</v>
      </c>
      <c r="V393" t="s">
        <v>708</v>
      </c>
    </row>
    <row r="394" spans="1:22" x14ac:dyDescent="0.2">
      <c r="A394" t="s">
        <v>361</v>
      </c>
      <c r="B394" t="s">
        <v>1463</v>
      </c>
      <c r="C394">
        <v>217</v>
      </c>
      <c r="D394" t="s">
        <v>1051</v>
      </c>
      <c r="E394" t="s">
        <v>769</v>
      </c>
      <c r="F394">
        <v>1</v>
      </c>
      <c r="G394" t="s">
        <v>1063</v>
      </c>
      <c r="H394" t="s">
        <v>371</v>
      </c>
      <c r="I394" t="s">
        <v>439</v>
      </c>
      <c r="J394" t="s">
        <v>152</v>
      </c>
      <c r="K394">
        <v>1</v>
      </c>
      <c r="Q394">
        <v>0</v>
      </c>
      <c r="R394">
        <v>0</v>
      </c>
      <c r="U394" s="61" t="s">
        <v>370</v>
      </c>
      <c r="V394" t="s">
        <v>710</v>
      </c>
    </row>
    <row r="395" spans="1:22" x14ac:dyDescent="0.2">
      <c r="A395" t="s">
        <v>361</v>
      </c>
      <c r="B395" t="s">
        <v>1464</v>
      </c>
      <c r="C395">
        <v>218</v>
      </c>
      <c r="D395" t="s">
        <v>1051</v>
      </c>
      <c r="E395" t="s">
        <v>769</v>
      </c>
      <c r="F395">
        <v>2</v>
      </c>
      <c r="G395" t="s">
        <v>1063</v>
      </c>
      <c r="H395" t="s">
        <v>371</v>
      </c>
      <c r="I395" t="s">
        <v>440</v>
      </c>
      <c r="J395" t="s">
        <v>147</v>
      </c>
      <c r="K395">
        <v>1</v>
      </c>
      <c r="Q395">
        <v>0</v>
      </c>
      <c r="R395">
        <v>0</v>
      </c>
      <c r="U395" s="61" t="s">
        <v>370</v>
      </c>
      <c r="V395" t="s">
        <v>710</v>
      </c>
    </row>
    <row r="396" spans="1:22" x14ac:dyDescent="0.2">
      <c r="A396" t="s">
        <v>361</v>
      </c>
      <c r="B396" t="s">
        <v>1465</v>
      </c>
      <c r="C396">
        <v>219</v>
      </c>
      <c r="D396" t="s">
        <v>1051</v>
      </c>
      <c r="E396" t="s">
        <v>769</v>
      </c>
      <c r="F396">
        <v>3</v>
      </c>
      <c r="G396" t="s">
        <v>1063</v>
      </c>
      <c r="H396" t="s">
        <v>371</v>
      </c>
      <c r="I396" t="s">
        <v>1041</v>
      </c>
      <c r="J396" t="s">
        <v>179</v>
      </c>
      <c r="K396">
        <v>1</v>
      </c>
      <c r="Q396">
        <v>0</v>
      </c>
      <c r="R396">
        <v>0</v>
      </c>
      <c r="U396" s="61" t="s">
        <v>370</v>
      </c>
      <c r="V396" t="s">
        <v>710</v>
      </c>
    </row>
    <row r="397" spans="1:22" x14ac:dyDescent="0.2">
      <c r="A397" t="s">
        <v>361</v>
      </c>
      <c r="B397" t="s">
        <v>1466</v>
      </c>
      <c r="C397">
        <v>220</v>
      </c>
      <c r="D397" t="s">
        <v>1051</v>
      </c>
      <c r="E397" t="s">
        <v>770</v>
      </c>
      <c r="F397">
        <v>1</v>
      </c>
      <c r="G397" t="s">
        <v>1066</v>
      </c>
      <c r="H397" t="s">
        <v>372</v>
      </c>
      <c r="I397" t="s">
        <v>442</v>
      </c>
      <c r="J397" t="s">
        <v>147</v>
      </c>
      <c r="K397">
        <v>1</v>
      </c>
      <c r="Q397">
        <v>0</v>
      </c>
      <c r="R397">
        <v>0</v>
      </c>
      <c r="U397" s="61" t="s">
        <v>370</v>
      </c>
      <c r="V397" t="s">
        <v>711</v>
      </c>
    </row>
    <row r="398" spans="1:22" x14ac:dyDescent="0.2">
      <c r="A398" t="s">
        <v>361</v>
      </c>
      <c r="B398" t="s">
        <v>1467</v>
      </c>
      <c r="C398">
        <v>221</v>
      </c>
      <c r="D398" t="s">
        <v>1051</v>
      </c>
      <c r="E398" t="s">
        <v>770</v>
      </c>
      <c r="F398">
        <v>2</v>
      </c>
      <c r="G398" t="s">
        <v>1066</v>
      </c>
      <c r="H398" t="s">
        <v>372</v>
      </c>
      <c r="I398" t="s">
        <v>445</v>
      </c>
      <c r="J398" t="s">
        <v>152</v>
      </c>
      <c r="K398">
        <v>1</v>
      </c>
      <c r="Q398">
        <v>0</v>
      </c>
      <c r="R398">
        <v>0</v>
      </c>
      <c r="U398" s="61" t="s">
        <v>370</v>
      </c>
      <c r="V398" t="s">
        <v>711</v>
      </c>
    </row>
    <row r="399" spans="1:22" x14ac:dyDescent="0.2">
      <c r="A399" t="s">
        <v>361</v>
      </c>
      <c r="B399" t="s">
        <v>1468</v>
      </c>
      <c r="C399">
        <v>222</v>
      </c>
      <c r="D399" t="s">
        <v>1051</v>
      </c>
      <c r="E399" t="s">
        <v>770</v>
      </c>
      <c r="F399">
        <v>3</v>
      </c>
      <c r="G399" t="s">
        <v>1066</v>
      </c>
      <c r="H399" t="s">
        <v>372</v>
      </c>
      <c r="I399" t="s">
        <v>443</v>
      </c>
      <c r="J399" t="s">
        <v>380</v>
      </c>
      <c r="K399">
        <v>1</v>
      </c>
      <c r="Q399">
        <v>0</v>
      </c>
      <c r="R399">
        <v>0</v>
      </c>
      <c r="U399" s="61" t="s">
        <v>370</v>
      </c>
      <c r="V399" t="s">
        <v>711</v>
      </c>
    </row>
    <row r="400" spans="1:22" x14ac:dyDescent="0.2">
      <c r="A400" t="s">
        <v>361</v>
      </c>
      <c r="B400" t="s">
        <v>1469</v>
      </c>
      <c r="C400">
        <v>223</v>
      </c>
      <c r="D400" t="s">
        <v>1051</v>
      </c>
      <c r="E400" t="s">
        <v>770</v>
      </c>
      <c r="F400">
        <v>4</v>
      </c>
      <c r="G400" t="s">
        <v>1066</v>
      </c>
      <c r="H400" t="s">
        <v>372</v>
      </c>
      <c r="I400" t="s">
        <v>444</v>
      </c>
      <c r="J400" t="s">
        <v>147</v>
      </c>
      <c r="K400">
        <v>1</v>
      </c>
      <c r="Q400">
        <v>0</v>
      </c>
      <c r="R400">
        <v>0</v>
      </c>
      <c r="U400" s="61" t="s">
        <v>370</v>
      </c>
      <c r="V400" t="s">
        <v>711</v>
      </c>
    </row>
    <row r="401" spans="1:22" x14ac:dyDescent="0.2">
      <c r="A401" t="s">
        <v>361</v>
      </c>
      <c r="B401" t="s">
        <v>1470</v>
      </c>
      <c r="C401">
        <v>224</v>
      </c>
      <c r="D401" t="s">
        <v>1051</v>
      </c>
      <c r="E401" t="s">
        <v>770</v>
      </c>
      <c r="F401">
        <v>5</v>
      </c>
      <c r="G401" t="s">
        <v>1066</v>
      </c>
      <c r="H401" t="s">
        <v>372</v>
      </c>
      <c r="I401" t="s">
        <v>446</v>
      </c>
      <c r="J401" t="s">
        <v>380</v>
      </c>
      <c r="M401">
        <v>4</v>
      </c>
      <c r="Q401">
        <v>0</v>
      </c>
      <c r="R401">
        <v>0</v>
      </c>
      <c r="U401" s="61" t="s">
        <v>370</v>
      </c>
      <c r="V401" t="s">
        <v>711</v>
      </c>
    </row>
    <row r="402" spans="1:22" x14ac:dyDescent="0.2">
      <c r="A402" t="s">
        <v>361</v>
      </c>
      <c r="B402" t="s">
        <v>1471</v>
      </c>
      <c r="C402">
        <v>225</v>
      </c>
      <c r="D402" t="s">
        <v>1051</v>
      </c>
      <c r="E402" t="s">
        <v>770</v>
      </c>
      <c r="F402">
        <v>6</v>
      </c>
      <c r="G402" t="s">
        <v>1066</v>
      </c>
      <c r="H402" t="s">
        <v>372</v>
      </c>
      <c r="I402" t="s">
        <v>447</v>
      </c>
      <c r="J402" t="s">
        <v>179</v>
      </c>
      <c r="Q402">
        <v>0</v>
      </c>
      <c r="R402">
        <v>0</v>
      </c>
      <c r="U402" s="61" t="s">
        <v>370</v>
      </c>
      <c r="V402" t="s">
        <v>711</v>
      </c>
    </row>
    <row r="403" spans="1:22" x14ac:dyDescent="0.2">
      <c r="A403" t="s">
        <v>361</v>
      </c>
      <c r="B403" t="s">
        <v>1472</v>
      </c>
      <c r="C403">
        <v>226</v>
      </c>
      <c r="D403" t="s">
        <v>1051</v>
      </c>
      <c r="E403" t="s">
        <v>770</v>
      </c>
      <c r="F403">
        <v>7</v>
      </c>
      <c r="G403" t="s">
        <v>1066</v>
      </c>
      <c r="H403" t="s">
        <v>372</v>
      </c>
      <c r="I403" t="s">
        <v>1042</v>
      </c>
      <c r="J403" t="s">
        <v>147</v>
      </c>
      <c r="Q403">
        <v>0</v>
      </c>
      <c r="R403">
        <v>0</v>
      </c>
      <c r="U403" s="61" t="s">
        <v>370</v>
      </c>
      <c r="V403" t="s">
        <v>711</v>
      </c>
    </row>
    <row r="404" spans="1:22" x14ac:dyDescent="0.2">
      <c r="A404" t="s">
        <v>361</v>
      </c>
      <c r="B404" t="s">
        <v>1473</v>
      </c>
      <c r="C404">
        <v>227</v>
      </c>
      <c r="D404" t="s">
        <v>1051</v>
      </c>
      <c r="E404" t="s">
        <v>771</v>
      </c>
      <c r="F404">
        <v>1</v>
      </c>
      <c r="G404" t="s">
        <v>1065</v>
      </c>
      <c r="H404" t="s">
        <v>373</v>
      </c>
      <c r="I404" t="s">
        <v>448</v>
      </c>
      <c r="J404" t="s">
        <v>179</v>
      </c>
      <c r="K404">
        <v>1</v>
      </c>
      <c r="Q404">
        <v>0</v>
      </c>
      <c r="R404">
        <v>0</v>
      </c>
      <c r="U404" s="61" t="s">
        <v>370</v>
      </c>
      <c r="V404" t="s">
        <v>712</v>
      </c>
    </row>
    <row r="405" spans="1:22" x14ac:dyDescent="0.2">
      <c r="A405" t="s">
        <v>361</v>
      </c>
      <c r="B405" t="s">
        <v>1474</v>
      </c>
      <c r="C405">
        <v>228</v>
      </c>
      <c r="D405" t="s">
        <v>1051</v>
      </c>
      <c r="E405" t="s">
        <v>771</v>
      </c>
      <c r="F405">
        <v>2</v>
      </c>
      <c r="G405" t="s">
        <v>1065</v>
      </c>
      <c r="H405" t="s">
        <v>373</v>
      </c>
      <c r="I405" t="s">
        <v>449</v>
      </c>
      <c r="J405" t="s">
        <v>152</v>
      </c>
      <c r="K405">
        <v>1</v>
      </c>
      <c r="Q405">
        <v>0</v>
      </c>
      <c r="R405">
        <v>0</v>
      </c>
      <c r="U405" s="61" t="s">
        <v>370</v>
      </c>
      <c r="V405" t="s">
        <v>712</v>
      </c>
    </row>
    <row r="406" spans="1:22" x14ac:dyDescent="0.2">
      <c r="A406" t="s">
        <v>361</v>
      </c>
      <c r="B406" t="s">
        <v>1475</v>
      </c>
      <c r="C406">
        <v>229</v>
      </c>
      <c r="D406" t="s">
        <v>1051</v>
      </c>
      <c r="E406" t="s">
        <v>771</v>
      </c>
      <c r="F406">
        <v>3</v>
      </c>
      <c r="G406" t="s">
        <v>1065</v>
      </c>
      <c r="H406" t="s">
        <v>373</v>
      </c>
      <c r="I406" t="s">
        <v>450</v>
      </c>
      <c r="J406" t="s">
        <v>147</v>
      </c>
      <c r="K406">
        <v>1</v>
      </c>
      <c r="Q406">
        <v>0</v>
      </c>
      <c r="R406">
        <v>0</v>
      </c>
      <c r="U406" s="61" t="s">
        <v>370</v>
      </c>
      <c r="V406" t="s">
        <v>712</v>
      </c>
    </row>
    <row r="407" spans="1:22" x14ac:dyDescent="0.2">
      <c r="A407" t="s">
        <v>361</v>
      </c>
      <c r="B407" t="s">
        <v>1476</v>
      </c>
      <c r="C407">
        <v>230</v>
      </c>
      <c r="D407" t="s">
        <v>1051</v>
      </c>
      <c r="E407" t="s">
        <v>771</v>
      </c>
      <c r="F407">
        <v>4</v>
      </c>
      <c r="G407" t="s">
        <v>1065</v>
      </c>
      <c r="H407" t="s">
        <v>373</v>
      </c>
      <c r="I407" t="s">
        <v>451</v>
      </c>
      <c r="J407" t="s">
        <v>380</v>
      </c>
      <c r="K407">
        <v>1</v>
      </c>
      <c r="Q407">
        <v>0</v>
      </c>
      <c r="R407">
        <v>0</v>
      </c>
      <c r="T407" t="s">
        <v>452</v>
      </c>
      <c r="U407" s="61" t="s">
        <v>370</v>
      </c>
      <c r="V407" t="s">
        <v>712</v>
      </c>
    </row>
    <row r="408" spans="1:22" x14ac:dyDescent="0.2">
      <c r="A408" t="s">
        <v>361</v>
      </c>
      <c r="B408" t="s">
        <v>1477</v>
      </c>
      <c r="C408">
        <v>412</v>
      </c>
      <c r="D408" t="s">
        <v>1051</v>
      </c>
      <c r="E408" t="s">
        <v>772</v>
      </c>
      <c r="F408">
        <v>1</v>
      </c>
      <c r="G408" t="s">
        <v>1067</v>
      </c>
      <c r="H408" t="s">
        <v>374</v>
      </c>
      <c r="I408" t="s">
        <v>658</v>
      </c>
      <c r="J408" t="s">
        <v>152</v>
      </c>
      <c r="Q408">
        <v>0</v>
      </c>
      <c r="R408">
        <v>0</v>
      </c>
      <c r="U408" s="61" t="s">
        <v>370</v>
      </c>
      <c r="V408" t="s">
        <v>713</v>
      </c>
    </row>
    <row r="409" spans="1:22" x14ac:dyDescent="0.2">
      <c r="A409" t="s">
        <v>361</v>
      </c>
      <c r="B409" t="s">
        <v>1478</v>
      </c>
      <c r="C409">
        <v>413</v>
      </c>
      <c r="D409" t="s">
        <v>1051</v>
      </c>
      <c r="E409" t="s">
        <v>772</v>
      </c>
      <c r="F409">
        <v>2</v>
      </c>
      <c r="G409" t="s">
        <v>1067</v>
      </c>
      <c r="H409" t="s">
        <v>374</v>
      </c>
      <c r="I409" t="s">
        <v>904</v>
      </c>
      <c r="J409" t="s">
        <v>380</v>
      </c>
      <c r="K409">
        <v>1</v>
      </c>
      <c r="Q409">
        <v>0</v>
      </c>
      <c r="R409">
        <v>0</v>
      </c>
      <c r="U409" s="61" t="s">
        <v>370</v>
      </c>
      <c r="V409" t="s">
        <v>713</v>
      </c>
    </row>
    <row r="410" spans="1:22" x14ac:dyDescent="0.2">
      <c r="A410" t="s">
        <v>361</v>
      </c>
      <c r="B410" t="s">
        <v>1479</v>
      </c>
      <c r="C410">
        <v>414</v>
      </c>
      <c r="D410" t="s">
        <v>1051</v>
      </c>
      <c r="E410" t="s">
        <v>772</v>
      </c>
      <c r="F410">
        <v>3</v>
      </c>
      <c r="G410" t="s">
        <v>1067</v>
      </c>
      <c r="H410" t="s">
        <v>374</v>
      </c>
      <c r="I410" t="s">
        <v>660</v>
      </c>
      <c r="J410" t="s">
        <v>380</v>
      </c>
      <c r="K410">
        <v>1</v>
      </c>
      <c r="Q410">
        <v>0</v>
      </c>
      <c r="R410">
        <v>0</v>
      </c>
      <c r="U410" s="61" t="s">
        <v>370</v>
      </c>
      <c r="V410" t="s">
        <v>713</v>
      </c>
    </row>
    <row r="411" spans="1:22" x14ac:dyDescent="0.2">
      <c r="A411" t="s">
        <v>361</v>
      </c>
      <c r="B411" t="s">
        <v>1480</v>
      </c>
      <c r="C411">
        <v>415</v>
      </c>
      <c r="D411" t="s">
        <v>1051</v>
      </c>
      <c r="E411" t="s">
        <v>772</v>
      </c>
      <c r="F411">
        <v>4</v>
      </c>
      <c r="G411" t="s">
        <v>1067</v>
      </c>
      <c r="H411" t="s">
        <v>374</v>
      </c>
      <c r="I411" t="s">
        <v>659</v>
      </c>
      <c r="J411" t="s">
        <v>380</v>
      </c>
      <c r="K411">
        <v>1</v>
      </c>
      <c r="Q411">
        <v>0</v>
      </c>
      <c r="R411">
        <v>0</v>
      </c>
      <c r="U411" s="61" t="s">
        <v>370</v>
      </c>
      <c r="V411" t="s">
        <v>713</v>
      </c>
    </row>
    <row r="412" spans="1:22" x14ac:dyDescent="0.2">
      <c r="A412" t="s">
        <v>361</v>
      </c>
      <c r="B412" t="s">
        <v>1481</v>
      </c>
      <c r="C412">
        <v>416</v>
      </c>
      <c r="D412" t="s">
        <v>1051</v>
      </c>
      <c r="E412" t="s">
        <v>772</v>
      </c>
      <c r="F412">
        <v>5</v>
      </c>
      <c r="G412" t="s">
        <v>1067</v>
      </c>
      <c r="H412" t="s">
        <v>374</v>
      </c>
      <c r="I412" t="s">
        <v>661</v>
      </c>
      <c r="J412" t="s">
        <v>147</v>
      </c>
      <c r="K412">
        <v>1</v>
      </c>
      <c r="Q412">
        <v>0</v>
      </c>
      <c r="R412">
        <v>0</v>
      </c>
      <c r="U412" s="61" t="s">
        <v>370</v>
      </c>
      <c r="V412" t="s">
        <v>713</v>
      </c>
    </row>
    <row r="413" spans="1:22" x14ac:dyDescent="0.2">
      <c r="A413" t="s">
        <v>361</v>
      </c>
      <c r="B413" t="s">
        <v>1482</v>
      </c>
      <c r="C413">
        <v>417</v>
      </c>
      <c r="D413" t="s">
        <v>1051</v>
      </c>
      <c r="E413" t="s">
        <v>772</v>
      </c>
      <c r="F413">
        <v>6</v>
      </c>
      <c r="G413" t="s">
        <v>1067</v>
      </c>
      <c r="H413" t="s">
        <v>374</v>
      </c>
      <c r="I413" t="s">
        <v>662</v>
      </c>
      <c r="J413" t="s">
        <v>152</v>
      </c>
      <c r="K413">
        <v>1</v>
      </c>
      <c r="Q413">
        <v>0</v>
      </c>
      <c r="R413">
        <v>0</v>
      </c>
      <c r="U413" s="61" t="s">
        <v>370</v>
      </c>
      <c r="V413" t="s">
        <v>713</v>
      </c>
    </row>
    <row r="414" spans="1:22" x14ac:dyDescent="0.2">
      <c r="A414" t="s">
        <v>361</v>
      </c>
      <c r="B414" t="s">
        <v>1483</v>
      </c>
      <c r="C414">
        <v>418</v>
      </c>
      <c r="D414" t="s">
        <v>1051</v>
      </c>
      <c r="E414" t="s">
        <v>772</v>
      </c>
      <c r="F414">
        <v>7</v>
      </c>
      <c r="G414" t="s">
        <v>1067</v>
      </c>
      <c r="H414" t="s">
        <v>374</v>
      </c>
      <c r="I414" t="s">
        <v>663</v>
      </c>
      <c r="J414" t="s">
        <v>380</v>
      </c>
      <c r="K414">
        <v>1</v>
      </c>
      <c r="Q414">
        <v>0</v>
      </c>
      <c r="R414">
        <v>0</v>
      </c>
      <c r="U414" s="61" t="s">
        <v>370</v>
      </c>
      <c r="V414" t="s">
        <v>713</v>
      </c>
    </row>
    <row r="415" spans="1:22" x14ac:dyDescent="0.2">
      <c r="A415" t="s">
        <v>361</v>
      </c>
      <c r="B415" t="s">
        <v>1484</v>
      </c>
      <c r="C415">
        <v>419</v>
      </c>
      <c r="D415" t="s">
        <v>1051</v>
      </c>
      <c r="E415" t="s">
        <v>773</v>
      </c>
      <c r="F415">
        <v>1</v>
      </c>
      <c r="G415" t="s">
        <v>1068</v>
      </c>
      <c r="H415" t="s">
        <v>375</v>
      </c>
      <c r="I415" t="s">
        <v>664</v>
      </c>
      <c r="J415" t="s">
        <v>380</v>
      </c>
      <c r="K415">
        <v>1</v>
      </c>
      <c r="Q415">
        <v>0</v>
      </c>
      <c r="R415">
        <v>0</v>
      </c>
      <c r="T415" t="s">
        <v>665</v>
      </c>
      <c r="U415" s="61" t="s">
        <v>370</v>
      </c>
      <c r="V415" t="s">
        <v>714</v>
      </c>
    </row>
    <row r="416" spans="1:22" x14ac:dyDescent="0.2">
      <c r="A416" t="s">
        <v>361</v>
      </c>
      <c r="B416" t="s">
        <v>1485</v>
      </c>
      <c r="C416">
        <v>420</v>
      </c>
      <c r="D416" t="s">
        <v>1051</v>
      </c>
      <c r="E416" t="s">
        <v>773</v>
      </c>
      <c r="F416">
        <v>2</v>
      </c>
      <c r="G416" t="s">
        <v>1068</v>
      </c>
      <c r="H416" t="s">
        <v>375</v>
      </c>
      <c r="I416" t="s">
        <v>666</v>
      </c>
      <c r="J416" t="s">
        <v>380</v>
      </c>
      <c r="K416">
        <v>1</v>
      </c>
      <c r="Q416">
        <v>0</v>
      </c>
      <c r="R416">
        <v>0</v>
      </c>
      <c r="U416" s="61" t="s">
        <v>370</v>
      </c>
      <c r="V416" t="s">
        <v>714</v>
      </c>
    </row>
    <row r="417" spans="1:22" x14ac:dyDescent="0.2">
      <c r="A417" t="s">
        <v>361</v>
      </c>
      <c r="B417" t="s">
        <v>1486</v>
      </c>
      <c r="C417">
        <v>421</v>
      </c>
      <c r="D417" t="s">
        <v>1051</v>
      </c>
      <c r="E417" t="s">
        <v>773</v>
      </c>
      <c r="F417">
        <v>3</v>
      </c>
      <c r="G417" t="s">
        <v>1068</v>
      </c>
      <c r="H417" t="s">
        <v>375</v>
      </c>
      <c r="I417" t="s">
        <v>667</v>
      </c>
      <c r="J417" t="s">
        <v>380</v>
      </c>
      <c r="K417">
        <v>1</v>
      </c>
      <c r="Q417">
        <v>0</v>
      </c>
      <c r="R417">
        <v>0</v>
      </c>
      <c r="U417" s="61" t="s">
        <v>370</v>
      </c>
      <c r="V417" t="s">
        <v>714</v>
      </c>
    </row>
    <row r="418" spans="1:22" x14ac:dyDescent="0.2">
      <c r="A418" t="s">
        <v>361</v>
      </c>
      <c r="B418" t="s">
        <v>1487</v>
      </c>
      <c r="C418">
        <v>422</v>
      </c>
      <c r="D418" t="s">
        <v>1051</v>
      </c>
      <c r="E418" t="s">
        <v>774</v>
      </c>
      <c r="F418">
        <v>1</v>
      </c>
      <c r="G418" t="s">
        <v>1069</v>
      </c>
      <c r="H418" t="s">
        <v>377</v>
      </c>
      <c r="I418" t="s">
        <v>668</v>
      </c>
      <c r="J418" t="s">
        <v>152</v>
      </c>
      <c r="K418">
        <v>1</v>
      </c>
      <c r="Q418">
        <v>0</v>
      </c>
      <c r="R418">
        <v>0</v>
      </c>
      <c r="U418" s="61" t="s">
        <v>376</v>
      </c>
      <c r="V418" t="s">
        <v>716</v>
      </c>
    </row>
    <row r="419" spans="1:22" x14ac:dyDescent="0.2">
      <c r="A419" t="s">
        <v>361</v>
      </c>
      <c r="B419" t="s">
        <v>1488</v>
      </c>
      <c r="C419">
        <v>423</v>
      </c>
      <c r="D419" t="s">
        <v>1051</v>
      </c>
      <c r="E419" t="s">
        <v>774</v>
      </c>
      <c r="F419">
        <v>2</v>
      </c>
      <c r="G419" t="s">
        <v>1069</v>
      </c>
      <c r="H419" t="s">
        <v>377</v>
      </c>
      <c r="I419" t="s">
        <v>1003</v>
      </c>
      <c r="J419" t="s">
        <v>151</v>
      </c>
      <c r="K419">
        <v>1</v>
      </c>
      <c r="Q419">
        <v>0</v>
      </c>
      <c r="R419">
        <v>0</v>
      </c>
      <c r="U419" s="61" t="s">
        <v>376</v>
      </c>
      <c r="V419" t="s">
        <v>716</v>
      </c>
    </row>
    <row r="420" spans="1:22" x14ac:dyDescent="0.2">
      <c r="A420" t="s">
        <v>361</v>
      </c>
      <c r="B420" t="s">
        <v>1489</v>
      </c>
      <c r="C420">
        <v>424</v>
      </c>
      <c r="D420" t="s">
        <v>1051</v>
      </c>
      <c r="E420" t="s">
        <v>774</v>
      </c>
      <c r="F420">
        <v>3</v>
      </c>
      <c r="G420" t="s">
        <v>1069</v>
      </c>
      <c r="H420" t="s">
        <v>377</v>
      </c>
      <c r="I420" t="s">
        <v>670</v>
      </c>
      <c r="J420" t="s">
        <v>380</v>
      </c>
      <c r="Q420">
        <v>0</v>
      </c>
      <c r="R420">
        <v>0</v>
      </c>
      <c r="U420" s="61" t="s">
        <v>376</v>
      </c>
      <c r="V420" t="s">
        <v>716</v>
      </c>
    </row>
    <row r="421" spans="1:22" x14ac:dyDescent="0.2">
      <c r="A421" t="s">
        <v>361</v>
      </c>
      <c r="B421" t="s">
        <v>1490</v>
      </c>
      <c r="C421">
        <v>425</v>
      </c>
      <c r="D421" t="s">
        <v>1051</v>
      </c>
      <c r="E421" t="s">
        <v>774</v>
      </c>
      <c r="F421">
        <v>4</v>
      </c>
      <c r="G421" t="s">
        <v>1069</v>
      </c>
      <c r="H421" t="s">
        <v>377</v>
      </c>
      <c r="I421" t="s">
        <v>671</v>
      </c>
      <c r="J421" t="s">
        <v>152</v>
      </c>
      <c r="Q421">
        <v>0</v>
      </c>
      <c r="R421">
        <v>0</v>
      </c>
      <c r="U421" s="61" t="s">
        <v>376</v>
      </c>
      <c r="V421" t="s">
        <v>716</v>
      </c>
    </row>
    <row r="422" spans="1:22" x14ac:dyDescent="0.2">
      <c r="A422" t="s">
        <v>361</v>
      </c>
      <c r="B422" t="s">
        <v>1491</v>
      </c>
      <c r="C422">
        <v>426</v>
      </c>
      <c r="D422" t="s">
        <v>1051</v>
      </c>
      <c r="E422" t="s">
        <v>774</v>
      </c>
      <c r="F422">
        <v>5</v>
      </c>
      <c r="G422" t="s">
        <v>1069</v>
      </c>
      <c r="H422" t="s">
        <v>377</v>
      </c>
      <c r="I422" t="s">
        <v>905</v>
      </c>
      <c r="J422" t="s">
        <v>380</v>
      </c>
      <c r="K422">
        <v>1</v>
      </c>
      <c r="Q422">
        <v>0</v>
      </c>
      <c r="R422">
        <v>0</v>
      </c>
      <c r="U422" s="61" t="s">
        <v>376</v>
      </c>
      <c r="V422" t="s">
        <v>716</v>
      </c>
    </row>
    <row r="423" spans="1:22" x14ac:dyDescent="0.2">
      <c r="A423" t="s">
        <v>361</v>
      </c>
      <c r="B423" t="s">
        <v>1492</v>
      </c>
      <c r="C423">
        <v>427</v>
      </c>
      <c r="D423" t="s">
        <v>1051</v>
      </c>
      <c r="E423" t="s">
        <v>775</v>
      </c>
      <c r="F423">
        <v>1</v>
      </c>
      <c r="G423" t="s">
        <v>1070</v>
      </c>
      <c r="H423" t="s">
        <v>378</v>
      </c>
      <c r="I423" t="s">
        <v>672</v>
      </c>
      <c r="J423" t="s">
        <v>380</v>
      </c>
      <c r="K423">
        <v>1</v>
      </c>
      <c r="Q423">
        <v>0</v>
      </c>
      <c r="R423">
        <v>0</v>
      </c>
      <c r="U423" s="61" t="s">
        <v>376</v>
      </c>
      <c r="V423" t="s">
        <v>717</v>
      </c>
    </row>
    <row r="424" spans="1:22" x14ac:dyDescent="0.2">
      <c r="A424" t="s">
        <v>361</v>
      </c>
      <c r="B424" t="s">
        <v>1493</v>
      </c>
      <c r="C424">
        <v>428</v>
      </c>
      <c r="D424" t="s">
        <v>1051</v>
      </c>
      <c r="E424" t="s">
        <v>775</v>
      </c>
      <c r="F424">
        <v>2</v>
      </c>
      <c r="G424" t="s">
        <v>1070</v>
      </c>
      <c r="H424" t="s">
        <v>378</v>
      </c>
      <c r="I424" t="s">
        <v>673</v>
      </c>
      <c r="J424" t="s">
        <v>380</v>
      </c>
      <c r="K424">
        <v>1</v>
      </c>
      <c r="Q424">
        <v>0</v>
      </c>
      <c r="R424">
        <v>0</v>
      </c>
      <c r="U424" s="61" t="s">
        <v>376</v>
      </c>
      <c r="V424" t="s">
        <v>717</v>
      </c>
    </row>
    <row r="425" spans="1:22" x14ac:dyDescent="0.2">
      <c r="A425" t="s">
        <v>361</v>
      </c>
      <c r="B425" t="s">
        <v>1494</v>
      </c>
      <c r="C425">
        <v>429</v>
      </c>
      <c r="D425" t="s">
        <v>1051</v>
      </c>
      <c r="E425" t="s">
        <v>776</v>
      </c>
      <c r="F425">
        <v>1</v>
      </c>
      <c r="G425" t="s">
        <v>1071</v>
      </c>
      <c r="H425" t="s">
        <v>379</v>
      </c>
      <c r="I425" t="s">
        <v>674</v>
      </c>
      <c r="J425" t="s">
        <v>380</v>
      </c>
      <c r="K425">
        <v>1</v>
      </c>
      <c r="Q425">
        <v>0</v>
      </c>
      <c r="R425">
        <v>0</v>
      </c>
      <c r="U425" s="61" t="s">
        <v>376</v>
      </c>
      <c r="V425" t="s">
        <v>718</v>
      </c>
    </row>
    <row r="426" spans="1:22" x14ac:dyDescent="0.2">
      <c r="A426" t="s">
        <v>361</v>
      </c>
      <c r="B426" t="s">
        <v>1495</v>
      </c>
      <c r="C426">
        <v>430</v>
      </c>
      <c r="D426" t="s">
        <v>1051</v>
      </c>
      <c r="E426" t="s">
        <v>776</v>
      </c>
      <c r="F426">
        <v>2</v>
      </c>
      <c r="G426" t="s">
        <v>1071</v>
      </c>
      <c r="H426" t="s">
        <v>379</v>
      </c>
      <c r="I426" t="s">
        <v>675</v>
      </c>
      <c r="J426" t="s">
        <v>380</v>
      </c>
      <c r="K426">
        <v>1</v>
      </c>
      <c r="Q426">
        <v>0</v>
      </c>
      <c r="R426">
        <v>0</v>
      </c>
      <c r="U426" s="61" t="s">
        <v>376</v>
      </c>
      <c r="V426" t="s">
        <v>718</v>
      </c>
    </row>
    <row r="427" spans="1:22" x14ac:dyDescent="0.2">
      <c r="A427" t="s">
        <v>361</v>
      </c>
      <c r="B427" t="s">
        <v>1496</v>
      </c>
      <c r="C427">
        <v>440</v>
      </c>
      <c r="D427" t="s">
        <v>1051</v>
      </c>
      <c r="E427" t="s">
        <v>777</v>
      </c>
      <c r="F427">
        <v>1</v>
      </c>
      <c r="G427" t="s">
        <v>1072</v>
      </c>
      <c r="H427" t="s">
        <v>454</v>
      </c>
      <c r="J427" t="s">
        <v>492</v>
      </c>
      <c r="K427">
        <v>1</v>
      </c>
      <c r="Q427">
        <v>0</v>
      </c>
      <c r="R427">
        <v>0</v>
      </c>
      <c r="U427" s="61" t="s">
        <v>455</v>
      </c>
      <c r="V427" t="s">
        <v>719</v>
      </c>
    </row>
    <row r="428" spans="1:22" x14ac:dyDescent="0.2">
      <c r="A428" t="s">
        <v>361</v>
      </c>
      <c r="B428" t="s">
        <v>1497</v>
      </c>
      <c r="C428">
        <v>544</v>
      </c>
      <c r="D428" t="s">
        <v>1051</v>
      </c>
      <c r="E428" t="s">
        <v>964</v>
      </c>
      <c r="F428">
        <v>1</v>
      </c>
      <c r="G428" t="s">
        <v>1073</v>
      </c>
      <c r="H428" t="s">
        <v>677</v>
      </c>
      <c r="I428" t="s">
        <v>907</v>
      </c>
      <c r="J428" t="s">
        <v>380</v>
      </c>
      <c r="Q428">
        <v>0</v>
      </c>
      <c r="R428">
        <v>0</v>
      </c>
      <c r="U428" s="61" t="s">
        <v>676</v>
      </c>
      <c r="V428" t="s">
        <v>720</v>
      </c>
    </row>
    <row r="429" spans="1:22" x14ac:dyDescent="0.2">
      <c r="A429" t="s">
        <v>361</v>
      </c>
      <c r="B429" t="s">
        <v>1498</v>
      </c>
      <c r="C429">
        <v>545</v>
      </c>
      <c r="D429" t="s">
        <v>1051</v>
      </c>
      <c r="E429" t="s">
        <v>964</v>
      </c>
      <c r="F429">
        <v>2</v>
      </c>
      <c r="G429" t="s">
        <v>1073</v>
      </c>
      <c r="H429" t="s">
        <v>677</v>
      </c>
      <c r="I429" t="s">
        <v>908</v>
      </c>
      <c r="J429" t="s">
        <v>380</v>
      </c>
      <c r="Q429">
        <v>0</v>
      </c>
      <c r="R429">
        <v>0</v>
      </c>
      <c r="U429" s="61" t="s">
        <v>676</v>
      </c>
      <c r="V429" t="s">
        <v>720</v>
      </c>
    </row>
    <row r="430" spans="1:22" x14ac:dyDescent="0.2">
      <c r="A430" t="s">
        <v>361</v>
      </c>
      <c r="B430" t="s">
        <v>1499</v>
      </c>
      <c r="C430">
        <v>546</v>
      </c>
      <c r="D430" t="s">
        <v>1051</v>
      </c>
      <c r="E430" t="s">
        <v>964</v>
      </c>
      <c r="F430">
        <v>3</v>
      </c>
      <c r="G430" t="s">
        <v>1073</v>
      </c>
      <c r="H430" t="s">
        <v>677</v>
      </c>
      <c r="I430" t="s">
        <v>909</v>
      </c>
      <c r="J430" t="s">
        <v>152</v>
      </c>
      <c r="Q430">
        <v>0</v>
      </c>
      <c r="R430">
        <v>0</v>
      </c>
      <c r="U430" s="61" t="s">
        <v>676</v>
      </c>
      <c r="V430" t="s">
        <v>720</v>
      </c>
    </row>
    <row r="431" spans="1:22" x14ac:dyDescent="0.2">
      <c r="A431" t="s">
        <v>361</v>
      </c>
      <c r="B431" t="s">
        <v>1500</v>
      </c>
      <c r="C431">
        <v>547</v>
      </c>
      <c r="D431" t="s">
        <v>1051</v>
      </c>
      <c r="E431" t="s">
        <v>964</v>
      </c>
      <c r="F431">
        <v>4</v>
      </c>
      <c r="G431" t="s">
        <v>1073</v>
      </c>
      <c r="H431" t="s">
        <v>677</v>
      </c>
      <c r="I431" t="s">
        <v>910</v>
      </c>
      <c r="J431" t="s">
        <v>380</v>
      </c>
      <c r="Q431">
        <v>0</v>
      </c>
      <c r="R431">
        <v>0</v>
      </c>
      <c r="U431" s="61" t="s">
        <v>676</v>
      </c>
      <c r="V431" t="s">
        <v>720</v>
      </c>
    </row>
    <row r="432" spans="1:22" x14ac:dyDescent="0.2">
      <c r="A432" t="s">
        <v>361</v>
      </c>
      <c r="B432" t="s">
        <v>1501</v>
      </c>
      <c r="C432">
        <v>548</v>
      </c>
      <c r="D432" t="s">
        <v>1051</v>
      </c>
      <c r="E432" t="s">
        <v>964</v>
      </c>
      <c r="F432">
        <v>5</v>
      </c>
      <c r="G432" t="s">
        <v>1073</v>
      </c>
      <c r="H432" t="s">
        <v>677</v>
      </c>
      <c r="I432" t="s">
        <v>911</v>
      </c>
      <c r="J432" t="s">
        <v>152</v>
      </c>
      <c r="Q432">
        <v>0</v>
      </c>
      <c r="R432">
        <v>0</v>
      </c>
      <c r="U432" s="61" t="s">
        <v>676</v>
      </c>
      <c r="V432" t="s">
        <v>720</v>
      </c>
    </row>
    <row r="433" spans="1:22" x14ac:dyDescent="0.2">
      <c r="A433" t="s">
        <v>361</v>
      </c>
      <c r="B433" t="s">
        <v>1502</v>
      </c>
      <c r="C433">
        <v>549</v>
      </c>
      <c r="D433" t="s">
        <v>1051</v>
      </c>
      <c r="E433" t="s">
        <v>964</v>
      </c>
      <c r="F433">
        <v>6</v>
      </c>
      <c r="G433" t="s">
        <v>1073</v>
      </c>
      <c r="H433" t="s">
        <v>677</v>
      </c>
      <c r="I433" t="s">
        <v>912</v>
      </c>
      <c r="J433" t="s">
        <v>380</v>
      </c>
      <c r="Q433">
        <v>0</v>
      </c>
      <c r="R433">
        <v>0</v>
      </c>
      <c r="U433" s="61" t="s">
        <v>676</v>
      </c>
      <c r="V433" t="s">
        <v>720</v>
      </c>
    </row>
    <row r="434" spans="1:22" x14ac:dyDescent="0.2">
      <c r="A434" t="s">
        <v>361</v>
      </c>
      <c r="B434" t="s">
        <v>1503</v>
      </c>
      <c r="C434">
        <v>550</v>
      </c>
      <c r="D434" t="s">
        <v>1051</v>
      </c>
      <c r="E434" t="s">
        <v>964</v>
      </c>
      <c r="F434">
        <v>7</v>
      </c>
      <c r="G434" t="s">
        <v>1073</v>
      </c>
      <c r="H434" t="s">
        <v>677</v>
      </c>
      <c r="I434" t="s">
        <v>913</v>
      </c>
      <c r="J434" t="s">
        <v>179</v>
      </c>
      <c r="Q434">
        <v>0</v>
      </c>
      <c r="R434">
        <v>0</v>
      </c>
      <c r="U434" s="61" t="s">
        <v>676</v>
      </c>
      <c r="V434" t="s">
        <v>720</v>
      </c>
    </row>
    <row r="435" spans="1:22" x14ac:dyDescent="0.2">
      <c r="A435" t="s">
        <v>361</v>
      </c>
      <c r="B435" t="s">
        <v>1504</v>
      </c>
      <c r="C435">
        <v>551</v>
      </c>
      <c r="D435" t="s">
        <v>1051</v>
      </c>
      <c r="E435" t="s">
        <v>965</v>
      </c>
      <c r="F435">
        <v>1</v>
      </c>
      <c r="G435" t="s">
        <v>1074</v>
      </c>
      <c r="H435" t="s">
        <v>678</v>
      </c>
      <c r="I435" t="s">
        <v>914</v>
      </c>
      <c r="J435" t="s">
        <v>380</v>
      </c>
      <c r="Q435">
        <v>0</v>
      </c>
      <c r="R435">
        <v>0</v>
      </c>
      <c r="U435" s="61" t="s">
        <v>676</v>
      </c>
      <c r="V435" t="s">
        <v>721</v>
      </c>
    </row>
    <row r="436" spans="1:22" x14ac:dyDescent="0.2">
      <c r="A436" t="s">
        <v>361</v>
      </c>
      <c r="B436" t="s">
        <v>1505</v>
      </c>
      <c r="C436">
        <v>552</v>
      </c>
      <c r="D436" t="s">
        <v>1051</v>
      </c>
      <c r="E436" t="s">
        <v>965</v>
      </c>
      <c r="F436">
        <v>2</v>
      </c>
      <c r="G436" t="s">
        <v>1074</v>
      </c>
      <c r="H436" t="s">
        <v>678</v>
      </c>
      <c r="I436" t="s">
        <v>915</v>
      </c>
      <c r="J436" t="s">
        <v>147</v>
      </c>
      <c r="Q436">
        <v>0</v>
      </c>
      <c r="R436">
        <v>0</v>
      </c>
      <c r="U436" s="61" t="s">
        <v>676</v>
      </c>
      <c r="V436" t="s">
        <v>721</v>
      </c>
    </row>
    <row r="437" spans="1:22" x14ac:dyDescent="0.2">
      <c r="A437" t="s">
        <v>361</v>
      </c>
      <c r="B437" t="s">
        <v>1506</v>
      </c>
      <c r="C437">
        <v>553</v>
      </c>
      <c r="D437" t="s">
        <v>1051</v>
      </c>
      <c r="E437" t="s">
        <v>965</v>
      </c>
      <c r="F437">
        <v>3</v>
      </c>
      <c r="G437" t="s">
        <v>1074</v>
      </c>
      <c r="H437" t="s">
        <v>678</v>
      </c>
      <c r="I437" t="s">
        <v>916</v>
      </c>
      <c r="J437" t="s">
        <v>147</v>
      </c>
      <c r="Q437">
        <v>0</v>
      </c>
      <c r="R437">
        <v>0</v>
      </c>
      <c r="U437" s="61" t="s">
        <v>676</v>
      </c>
      <c r="V437" t="s">
        <v>721</v>
      </c>
    </row>
    <row r="438" spans="1:22" x14ac:dyDescent="0.2">
      <c r="A438" t="s">
        <v>361</v>
      </c>
      <c r="B438" t="s">
        <v>1507</v>
      </c>
      <c r="C438">
        <v>554</v>
      </c>
      <c r="D438" t="s">
        <v>1051</v>
      </c>
      <c r="E438" t="s">
        <v>966</v>
      </c>
      <c r="F438">
        <v>1</v>
      </c>
      <c r="G438" t="s">
        <v>1075</v>
      </c>
      <c r="H438" t="s">
        <v>679</v>
      </c>
      <c r="I438" t="s">
        <v>917</v>
      </c>
      <c r="J438" t="s">
        <v>147</v>
      </c>
      <c r="Q438">
        <v>0</v>
      </c>
      <c r="R438">
        <v>0</v>
      </c>
      <c r="U438" s="61" t="s">
        <v>678</v>
      </c>
      <c r="V438" t="s">
        <v>722</v>
      </c>
    </row>
    <row r="439" spans="1:22" x14ac:dyDescent="0.2">
      <c r="A439" t="s">
        <v>361</v>
      </c>
      <c r="B439" t="s">
        <v>1508</v>
      </c>
      <c r="C439">
        <v>555</v>
      </c>
      <c r="D439" t="s">
        <v>1051</v>
      </c>
      <c r="E439" t="s">
        <v>966</v>
      </c>
      <c r="F439">
        <v>2</v>
      </c>
      <c r="G439" t="s">
        <v>1075</v>
      </c>
      <c r="H439" t="s">
        <v>679</v>
      </c>
      <c r="I439" t="s">
        <v>1017</v>
      </c>
      <c r="J439" t="s">
        <v>380</v>
      </c>
      <c r="Q439">
        <v>0</v>
      </c>
      <c r="R439">
        <v>0</v>
      </c>
      <c r="U439" s="61" t="s">
        <v>678</v>
      </c>
      <c r="V439" t="s">
        <v>722</v>
      </c>
    </row>
    <row r="440" spans="1:22" x14ac:dyDescent="0.2">
      <c r="A440" t="s">
        <v>361</v>
      </c>
      <c r="B440" t="s">
        <v>1509</v>
      </c>
      <c r="C440">
        <v>556</v>
      </c>
      <c r="D440" t="s">
        <v>1051</v>
      </c>
      <c r="E440" t="s">
        <v>966</v>
      </c>
      <c r="F440">
        <v>3</v>
      </c>
      <c r="G440" t="s">
        <v>1075</v>
      </c>
      <c r="H440" t="s">
        <v>679</v>
      </c>
      <c r="I440" t="s">
        <v>1018</v>
      </c>
      <c r="J440" t="s">
        <v>380</v>
      </c>
      <c r="Q440">
        <v>0</v>
      </c>
      <c r="R440">
        <v>0</v>
      </c>
      <c r="U440" s="61" t="s">
        <v>678</v>
      </c>
      <c r="V440" t="s">
        <v>722</v>
      </c>
    </row>
    <row r="441" spans="1:22" x14ac:dyDescent="0.2">
      <c r="A441" t="s">
        <v>361</v>
      </c>
      <c r="B441" t="s">
        <v>1510</v>
      </c>
      <c r="C441">
        <v>557</v>
      </c>
      <c r="D441" t="s">
        <v>1051</v>
      </c>
      <c r="E441" t="s">
        <v>966</v>
      </c>
      <c r="F441">
        <v>4</v>
      </c>
      <c r="G441" t="s">
        <v>1075</v>
      </c>
      <c r="H441" t="s">
        <v>679</v>
      </c>
      <c r="I441" t="s">
        <v>918</v>
      </c>
      <c r="J441" t="s">
        <v>380</v>
      </c>
      <c r="Q441">
        <v>0</v>
      </c>
      <c r="R441">
        <v>0</v>
      </c>
      <c r="U441" s="61" t="s">
        <v>678</v>
      </c>
      <c r="V441" t="s">
        <v>722</v>
      </c>
    </row>
    <row r="442" spans="1:22" x14ac:dyDescent="0.2">
      <c r="A442" t="s">
        <v>361</v>
      </c>
      <c r="B442" t="s">
        <v>1511</v>
      </c>
      <c r="C442">
        <v>558</v>
      </c>
      <c r="D442" t="s">
        <v>1051</v>
      </c>
      <c r="E442" t="s">
        <v>966</v>
      </c>
      <c r="F442">
        <v>5</v>
      </c>
      <c r="G442" t="s">
        <v>1075</v>
      </c>
      <c r="H442" t="s">
        <v>679</v>
      </c>
      <c r="I442" t="s">
        <v>1019</v>
      </c>
      <c r="J442" t="s">
        <v>380</v>
      </c>
      <c r="Q442">
        <v>0</v>
      </c>
      <c r="R442">
        <v>0</v>
      </c>
      <c r="U442" s="61" t="s">
        <v>678</v>
      </c>
      <c r="V442" t="s">
        <v>722</v>
      </c>
    </row>
    <row r="443" spans="1:22" x14ac:dyDescent="0.2">
      <c r="A443" t="s">
        <v>361</v>
      </c>
      <c r="B443" t="s">
        <v>1512</v>
      </c>
      <c r="C443">
        <v>559</v>
      </c>
      <c r="D443" t="s">
        <v>1051</v>
      </c>
      <c r="E443" t="s">
        <v>966</v>
      </c>
      <c r="F443">
        <v>6</v>
      </c>
      <c r="G443" t="s">
        <v>1075</v>
      </c>
      <c r="H443" t="s">
        <v>679</v>
      </c>
      <c r="I443" t="s">
        <v>921</v>
      </c>
      <c r="J443" t="s">
        <v>380</v>
      </c>
      <c r="Q443">
        <v>0</v>
      </c>
      <c r="R443">
        <v>0</v>
      </c>
      <c r="U443" s="61" t="s">
        <v>678</v>
      </c>
      <c r="V443" t="s">
        <v>722</v>
      </c>
    </row>
    <row r="444" spans="1:22" x14ac:dyDescent="0.2">
      <c r="A444" t="s">
        <v>361</v>
      </c>
      <c r="B444" t="s">
        <v>1513</v>
      </c>
      <c r="C444">
        <v>560</v>
      </c>
      <c r="D444" t="s">
        <v>1051</v>
      </c>
      <c r="E444" t="s">
        <v>966</v>
      </c>
      <c r="F444">
        <v>7</v>
      </c>
      <c r="G444" t="s">
        <v>1075</v>
      </c>
      <c r="H444" t="s">
        <v>679</v>
      </c>
      <c r="I444" t="s">
        <v>1020</v>
      </c>
      <c r="J444" t="s">
        <v>380</v>
      </c>
      <c r="Q444">
        <v>0</v>
      </c>
      <c r="R444">
        <v>0</v>
      </c>
      <c r="U444" s="61" t="s">
        <v>678</v>
      </c>
      <c r="V444" t="s">
        <v>722</v>
      </c>
    </row>
    <row r="445" spans="1:22" x14ac:dyDescent="0.2">
      <c r="A445" t="s">
        <v>361</v>
      </c>
      <c r="B445" t="s">
        <v>1514</v>
      </c>
      <c r="C445">
        <v>561</v>
      </c>
      <c r="D445" t="s">
        <v>1051</v>
      </c>
      <c r="E445" t="s">
        <v>966</v>
      </c>
      <c r="F445">
        <v>8</v>
      </c>
      <c r="G445" t="s">
        <v>1075</v>
      </c>
      <c r="H445" t="s">
        <v>679</v>
      </c>
      <c r="I445" t="s">
        <v>1021</v>
      </c>
      <c r="J445" t="s">
        <v>380</v>
      </c>
      <c r="Q445">
        <v>0</v>
      </c>
      <c r="R445">
        <v>0</v>
      </c>
      <c r="U445" s="61" t="s">
        <v>678</v>
      </c>
      <c r="V445" t="s">
        <v>722</v>
      </c>
    </row>
    <row r="446" spans="1:22" x14ac:dyDescent="0.2">
      <c r="A446" t="s">
        <v>361</v>
      </c>
      <c r="B446" t="s">
        <v>1515</v>
      </c>
      <c r="C446">
        <v>562</v>
      </c>
      <c r="D446" t="s">
        <v>1051</v>
      </c>
      <c r="E446" t="s">
        <v>967</v>
      </c>
      <c r="F446">
        <v>1</v>
      </c>
      <c r="G446" t="s">
        <v>1076</v>
      </c>
      <c r="H446" t="s">
        <v>680</v>
      </c>
      <c r="I446" t="s">
        <v>1022</v>
      </c>
      <c r="J446" t="s">
        <v>147</v>
      </c>
      <c r="Q446">
        <v>0</v>
      </c>
      <c r="R446">
        <v>0</v>
      </c>
      <c r="U446" s="61" t="s">
        <v>678</v>
      </c>
      <c r="V446" t="s">
        <v>723</v>
      </c>
    </row>
    <row r="447" spans="1:22" x14ac:dyDescent="0.2">
      <c r="A447" t="s">
        <v>361</v>
      </c>
      <c r="B447" t="s">
        <v>1516</v>
      </c>
      <c r="C447">
        <v>563</v>
      </c>
      <c r="D447" t="s">
        <v>1051</v>
      </c>
      <c r="E447" t="s">
        <v>967</v>
      </c>
      <c r="F447">
        <v>2</v>
      </c>
      <c r="G447" t="s">
        <v>1076</v>
      </c>
      <c r="H447" t="s">
        <v>680</v>
      </c>
      <c r="I447" t="s">
        <v>1023</v>
      </c>
      <c r="J447" t="s">
        <v>380</v>
      </c>
      <c r="Q447">
        <v>0</v>
      </c>
      <c r="R447">
        <v>0</v>
      </c>
      <c r="U447" s="61" t="s">
        <v>678</v>
      </c>
      <c r="V447" t="s">
        <v>723</v>
      </c>
    </row>
    <row r="448" spans="1:22" x14ac:dyDescent="0.2">
      <c r="A448" t="s">
        <v>361</v>
      </c>
      <c r="B448" t="s">
        <v>1517</v>
      </c>
      <c r="C448">
        <v>564</v>
      </c>
      <c r="D448" t="s">
        <v>1051</v>
      </c>
      <c r="E448" t="s">
        <v>967</v>
      </c>
      <c r="F448">
        <v>3</v>
      </c>
      <c r="G448" t="s">
        <v>1076</v>
      </c>
      <c r="H448" t="s">
        <v>680</v>
      </c>
      <c r="I448" t="s">
        <v>1024</v>
      </c>
      <c r="J448" t="s">
        <v>380</v>
      </c>
      <c r="Q448">
        <v>0</v>
      </c>
      <c r="R448">
        <v>0</v>
      </c>
      <c r="U448" s="61" t="s">
        <v>678</v>
      </c>
      <c r="V448" t="s">
        <v>723</v>
      </c>
    </row>
    <row r="449" spans="1:22" x14ac:dyDescent="0.2">
      <c r="A449" t="s">
        <v>361</v>
      </c>
      <c r="B449" t="s">
        <v>1518</v>
      </c>
      <c r="C449">
        <v>565</v>
      </c>
      <c r="D449" t="s">
        <v>1051</v>
      </c>
      <c r="E449" t="s">
        <v>967</v>
      </c>
      <c r="F449">
        <v>4</v>
      </c>
      <c r="G449" t="s">
        <v>1076</v>
      </c>
      <c r="H449" t="s">
        <v>680</v>
      </c>
      <c r="I449" t="s">
        <v>1025</v>
      </c>
      <c r="J449" t="s">
        <v>380</v>
      </c>
      <c r="Q449">
        <v>0</v>
      </c>
      <c r="R449">
        <v>0</v>
      </c>
      <c r="U449" s="61" t="s">
        <v>678</v>
      </c>
      <c r="V449" t="s">
        <v>723</v>
      </c>
    </row>
    <row r="450" spans="1:22" x14ac:dyDescent="0.2">
      <c r="A450" t="s">
        <v>361</v>
      </c>
      <c r="B450" t="s">
        <v>1519</v>
      </c>
      <c r="C450">
        <v>566</v>
      </c>
      <c r="D450" t="s">
        <v>1051</v>
      </c>
      <c r="E450" t="s">
        <v>967</v>
      </c>
      <c r="F450">
        <v>5</v>
      </c>
      <c r="G450" t="s">
        <v>1076</v>
      </c>
      <c r="H450" t="s">
        <v>680</v>
      </c>
      <c r="I450" t="s">
        <v>1026</v>
      </c>
      <c r="J450" t="s">
        <v>380</v>
      </c>
      <c r="Q450">
        <v>0</v>
      </c>
      <c r="R450">
        <v>0</v>
      </c>
      <c r="U450" s="61" t="s">
        <v>678</v>
      </c>
      <c r="V450" t="s">
        <v>723</v>
      </c>
    </row>
    <row r="451" spans="1:22" x14ac:dyDescent="0.2">
      <c r="A451" t="s">
        <v>361</v>
      </c>
      <c r="B451" t="s">
        <v>1520</v>
      </c>
      <c r="C451">
        <v>567</v>
      </c>
      <c r="D451" t="s">
        <v>1051</v>
      </c>
      <c r="E451" t="s">
        <v>967</v>
      </c>
      <c r="F451">
        <v>6</v>
      </c>
      <c r="G451" t="s">
        <v>1076</v>
      </c>
      <c r="H451" t="s">
        <v>680</v>
      </c>
      <c r="I451" t="s">
        <v>930</v>
      </c>
      <c r="J451" t="s">
        <v>380</v>
      </c>
      <c r="Q451">
        <v>0</v>
      </c>
      <c r="R451">
        <v>0</v>
      </c>
      <c r="U451" s="61" t="s">
        <v>678</v>
      </c>
      <c r="V451" t="s">
        <v>723</v>
      </c>
    </row>
    <row r="452" spans="1:22" x14ac:dyDescent="0.2">
      <c r="A452" t="s">
        <v>361</v>
      </c>
      <c r="B452" t="s">
        <v>1521</v>
      </c>
      <c r="C452">
        <v>568</v>
      </c>
      <c r="D452" t="s">
        <v>1051</v>
      </c>
      <c r="E452" t="s">
        <v>967</v>
      </c>
      <c r="F452">
        <v>7</v>
      </c>
      <c r="G452" t="s">
        <v>1076</v>
      </c>
      <c r="H452" t="s">
        <v>680</v>
      </c>
      <c r="I452" t="s">
        <v>1027</v>
      </c>
      <c r="J452" t="s">
        <v>380</v>
      </c>
      <c r="Q452">
        <v>0</v>
      </c>
      <c r="R452">
        <v>0</v>
      </c>
      <c r="U452" s="61" t="s">
        <v>678</v>
      </c>
      <c r="V452" t="s">
        <v>723</v>
      </c>
    </row>
    <row r="453" spans="1:22" x14ac:dyDescent="0.2">
      <c r="A453" t="s">
        <v>361</v>
      </c>
      <c r="B453" t="s">
        <v>1522</v>
      </c>
      <c r="C453">
        <v>434</v>
      </c>
      <c r="D453" t="s">
        <v>1051</v>
      </c>
      <c r="E453" t="s">
        <v>778</v>
      </c>
      <c r="F453">
        <v>1</v>
      </c>
      <c r="G453" t="s">
        <v>1077</v>
      </c>
      <c r="H453" t="s">
        <v>691</v>
      </c>
      <c r="I453" t="s">
        <v>758</v>
      </c>
      <c r="J453" t="s">
        <v>492</v>
      </c>
      <c r="K453">
        <v>1</v>
      </c>
      <c r="Q453">
        <v>0</v>
      </c>
      <c r="R453">
        <v>0</v>
      </c>
      <c r="U453" s="61" t="s">
        <v>455</v>
      </c>
      <c r="V453" t="s">
        <v>729</v>
      </c>
    </row>
    <row r="454" spans="1:22" x14ac:dyDescent="0.2">
      <c r="A454" t="s">
        <v>361</v>
      </c>
      <c r="B454" t="s">
        <v>1523</v>
      </c>
      <c r="C454">
        <v>435</v>
      </c>
      <c r="D454" t="s">
        <v>1051</v>
      </c>
      <c r="E454" t="s">
        <v>778</v>
      </c>
      <c r="F454">
        <v>2</v>
      </c>
      <c r="G454" t="s">
        <v>1077</v>
      </c>
      <c r="H454" t="s">
        <v>691</v>
      </c>
      <c r="I454" t="s">
        <v>759</v>
      </c>
      <c r="J454" t="s">
        <v>492</v>
      </c>
      <c r="K454">
        <v>1</v>
      </c>
      <c r="Q454">
        <v>0</v>
      </c>
      <c r="R454">
        <v>0</v>
      </c>
      <c r="U454" s="61" t="s">
        <v>455</v>
      </c>
      <c r="V454" t="s">
        <v>729</v>
      </c>
    </row>
    <row r="455" spans="1:22" x14ac:dyDescent="0.2">
      <c r="A455" t="s">
        <v>361</v>
      </c>
      <c r="B455" t="s">
        <v>1524</v>
      </c>
      <c r="C455">
        <v>436</v>
      </c>
      <c r="D455" t="s">
        <v>1051</v>
      </c>
      <c r="E455" t="s">
        <v>778</v>
      </c>
      <c r="F455">
        <v>3</v>
      </c>
      <c r="G455" t="s">
        <v>1077</v>
      </c>
      <c r="H455" t="s">
        <v>691</v>
      </c>
      <c r="I455" t="s">
        <v>760</v>
      </c>
      <c r="J455" t="s">
        <v>492</v>
      </c>
      <c r="K455">
        <v>1</v>
      </c>
      <c r="Q455">
        <v>0</v>
      </c>
      <c r="R455">
        <v>0</v>
      </c>
      <c r="U455" s="61" t="s">
        <v>455</v>
      </c>
      <c r="V455" t="s">
        <v>729</v>
      </c>
    </row>
    <row r="456" spans="1:22" x14ac:dyDescent="0.2">
      <c r="A456" t="s">
        <v>361</v>
      </c>
      <c r="B456" t="s">
        <v>1525</v>
      </c>
      <c r="C456">
        <v>437</v>
      </c>
      <c r="D456" t="s">
        <v>1051</v>
      </c>
      <c r="E456" t="s">
        <v>778</v>
      </c>
      <c r="F456">
        <v>4</v>
      </c>
      <c r="G456" t="s">
        <v>1077</v>
      </c>
      <c r="H456" t="s">
        <v>691</v>
      </c>
      <c r="I456" t="s">
        <v>761</v>
      </c>
      <c r="J456" t="s">
        <v>492</v>
      </c>
      <c r="K456">
        <v>1</v>
      </c>
      <c r="Q456">
        <v>0</v>
      </c>
      <c r="R456">
        <v>0</v>
      </c>
      <c r="U456" s="61" t="s">
        <v>455</v>
      </c>
      <c r="V456" t="s">
        <v>729</v>
      </c>
    </row>
    <row r="457" spans="1:22" x14ac:dyDescent="0.2">
      <c r="A457" t="s">
        <v>361</v>
      </c>
      <c r="B457" t="s">
        <v>1526</v>
      </c>
      <c r="C457">
        <v>438</v>
      </c>
      <c r="D457" t="s">
        <v>1051</v>
      </c>
      <c r="E457" t="s">
        <v>778</v>
      </c>
      <c r="F457">
        <v>5</v>
      </c>
      <c r="G457" t="s">
        <v>1077</v>
      </c>
      <c r="H457" t="s">
        <v>691</v>
      </c>
      <c r="I457" t="s">
        <v>1004</v>
      </c>
      <c r="J457" t="s">
        <v>492</v>
      </c>
      <c r="K457">
        <v>1</v>
      </c>
      <c r="Q457">
        <v>0</v>
      </c>
      <c r="R457">
        <v>0</v>
      </c>
      <c r="U457" s="61" t="s">
        <v>455</v>
      </c>
      <c r="V457" t="s">
        <v>729</v>
      </c>
    </row>
    <row r="458" spans="1:22" x14ac:dyDescent="0.2">
      <c r="A458" t="s">
        <v>361</v>
      </c>
      <c r="B458" t="s">
        <v>1527</v>
      </c>
      <c r="C458">
        <v>439</v>
      </c>
      <c r="D458" t="s">
        <v>1051</v>
      </c>
      <c r="E458" t="s">
        <v>778</v>
      </c>
      <c r="F458">
        <v>6</v>
      </c>
      <c r="G458" t="s">
        <v>1077</v>
      </c>
      <c r="H458" t="s">
        <v>691</v>
      </c>
      <c r="I458" t="s">
        <v>1005</v>
      </c>
      <c r="J458" t="s">
        <v>492</v>
      </c>
      <c r="K458">
        <v>1</v>
      </c>
      <c r="Q458">
        <v>0</v>
      </c>
      <c r="R458">
        <v>0</v>
      </c>
      <c r="U458" s="61" t="s">
        <v>455</v>
      </c>
      <c r="V458" t="s">
        <v>729</v>
      </c>
    </row>
    <row r="459" spans="1:22" x14ac:dyDescent="0.2">
      <c r="A459" t="s">
        <v>24</v>
      </c>
      <c r="B459" t="s">
        <v>1528</v>
      </c>
      <c r="C459">
        <v>191</v>
      </c>
      <c r="D459" t="s">
        <v>1051</v>
      </c>
      <c r="E459" t="s">
        <v>791</v>
      </c>
      <c r="F459">
        <v>1</v>
      </c>
      <c r="G459" t="s">
        <v>1059</v>
      </c>
      <c r="H459" t="s">
        <v>399</v>
      </c>
      <c r="I459" t="s">
        <v>413</v>
      </c>
      <c r="J459" t="s">
        <v>380</v>
      </c>
      <c r="K459">
        <v>1</v>
      </c>
      <c r="Q459">
        <v>0</v>
      </c>
      <c r="R459">
        <v>0</v>
      </c>
      <c r="U459" s="61" t="s">
        <v>398</v>
      </c>
      <c r="V459" t="s">
        <v>730</v>
      </c>
    </row>
    <row r="460" spans="1:22" x14ac:dyDescent="0.2">
      <c r="A460" t="s">
        <v>24</v>
      </c>
      <c r="B460" t="s">
        <v>1529</v>
      </c>
      <c r="C460">
        <v>192</v>
      </c>
      <c r="D460" t="s">
        <v>1051</v>
      </c>
      <c r="E460" t="s">
        <v>791</v>
      </c>
      <c r="F460">
        <v>2</v>
      </c>
      <c r="G460" t="s">
        <v>1059</v>
      </c>
      <c r="H460" t="s">
        <v>399</v>
      </c>
      <c r="I460" t="s">
        <v>399</v>
      </c>
      <c r="J460" t="s">
        <v>152</v>
      </c>
      <c r="K460">
        <v>1</v>
      </c>
      <c r="Q460">
        <v>0</v>
      </c>
      <c r="R460">
        <v>0</v>
      </c>
      <c r="U460" s="61" t="s">
        <v>398</v>
      </c>
      <c r="V460" t="s">
        <v>730</v>
      </c>
    </row>
    <row r="461" spans="1:22" x14ac:dyDescent="0.2">
      <c r="A461" t="s">
        <v>24</v>
      </c>
      <c r="B461" t="s">
        <v>1530</v>
      </c>
      <c r="C461">
        <v>193</v>
      </c>
      <c r="D461" t="s">
        <v>1051</v>
      </c>
      <c r="E461" t="s">
        <v>791</v>
      </c>
      <c r="F461">
        <v>3</v>
      </c>
      <c r="G461" t="s">
        <v>1059</v>
      </c>
      <c r="H461" t="s">
        <v>399</v>
      </c>
      <c r="I461" t="s">
        <v>414</v>
      </c>
      <c r="J461" t="s">
        <v>152</v>
      </c>
      <c r="K461">
        <v>1</v>
      </c>
      <c r="Q461">
        <v>0</v>
      </c>
      <c r="R461">
        <v>0</v>
      </c>
      <c r="U461" s="61" t="s">
        <v>398</v>
      </c>
      <c r="V461" t="s">
        <v>730</v>
      </c>
    </row>
    <row r="462" spans="1:22" x14ac:dyDescent="0.2">
      <c r="A462" t="s">
        <v>24</v>
      </c>
      <c r="B462" t="s">
        <v>1531</v>
      </c>
      <c r="C462">
        <v>194</v>
      </c>
      <c r="D462" t="s">
        <v>1051</v>
      </c>
      <c r="E462" t="s">
        <v>791</v>
      </c>
      <c r="F462">
        <v>4</v>
      </c>
      <c r="G462" t="s">
        <v>1059</v>
      </c>
      <c r="H462" t="s">
        <v>399</v>
      </c>
      <c r="I462" t="s">
        <v>416</v>
      </c>
      <c r="J462" t="s">
        <v>152</v>
      </c>
      <c r="K462">
        <v>1</v>
      </c>
      <c r="Q462">
        <v>0</v>
      </c>
      <c r="R462">
        <v>0</v>
      </c>
      <c r="U462" s="61" t="s">
        <v>398</v>
      </c>
      <c r="V462" t="s">
        <v>730</v>
      </c>
    </row>
    <row r="463" spans="1:22" x14ac:dyDescent="0.2">
      <c r="A463" t="s">
        <v>24</v>
      </c>
      <c r="B463" t="s">
        <v>1532</v>
      </c>
      <c r="C463">
        <v>195</v>
      </c>
      <c r="D463" t="s">
        <v>1051</v>
      </c>
      <c r="E463" t="s">
        <v>791</v>
      </c>
      <c r="F463">
        <v>5</v>
      </c>
      <c r="G463" t="s">
        <v>1059</v>
      </c>
      <c r="H463" t="s">
        <v>399</v>
      </c>
      <c r="I463" t="s">
        <v>417</v>
      </c>
      <c r="J463" t="s">
        <v>380</v>
      </c>
      <c r="Q463">
        <v>0</v>
      </c>
      <c r="R463">
        <v>0</v>
      </c>
      <c r="U463" s="61" t="s">
        <v>398</v>
      </c>
      <c r="V463" t="s">
        <v>730</v>
      </c>
    </row>
    <row r="464" spans="1:22" x14ac:dyDescent="0.2">
      <c r="A464" t="s">
        <v>24</v>
      </c>
      <c r="B464" t="s">
        <v>1533</v>
      </c>
      <c r="C464">
        <v>196</v>
      </c>
      <c r="D464" t="s">
        <v>1051</v>
      </c>
      <c r="E464" t="s">
        <v>791</v>
      </c>
      <c r="F464">
        <v>6</v>
      </c>
      <c r="G464" t="s">
        <v>1059</v>
      </c>
      <c r="H464" t="s">
        <v>399</v>
      </c>
      <c r="I464" t="s">
        <v>419</v>
      </c>
      <c r="J464" t="s">
        <v>151</v>
      </c>
      <c r="K464">
        <v>1</v>
      </c>
      <c r="Q464">
        <v>0</v>
      </c>
      <c r="R464">
        <v>0</v>
      </c>
      <c r="U464" s="61" t="s">
        <v>398</v>
      </c>
      <c r="V464" t="s">
        <v>730</v>
      </c>
    </row>
    <row r="465" spans="1:22" x14ac:dyDescent="0.2">
      <c r="A465" t="s">
        <v>24</v>
      </c>
      <c r="B465" t="s">
        <v>1534</v>
      </c>
      <c r="C465">
        <v>197</v>
      </c>
      <c r="D465" t="s">
        <v>1051</v>
      </c>
      <c r="E465" t="s">
        <v>791</v>
      </c>
      <c r="F465">
        <v>7</v>
      </c>
      <c r="G465" t="s">
        <v>1059</v>
      </c>
      <c r="H465" t="s">
        <v>399</v>
      </c>
      <c r="I465" t="s">
        <v>418</v>
      </c>
      <c r="J465" t="s">
        <v>151</v>
      </c>
      <c r="K465">
        <v>1</v>
      </c>
      <c r="Q465">
        <v>0</v>
      </c>
      <c r="R465">
        <v>0</v>
      </c>
      <c r="U465" s="61" t="s">
        <v>398</v>
      </c>
      <c r="V465" t="s">
        <v>730</v>
      </c>
    </row>
    <row r="466" spans="1:22" x14ac:dyDescent="0.2">
      <c r="A466" t="s">
        <v>24</v>
      </c>
      <c r="B466" t="s">
        <v>1535</v>
      </c>
      <c r="C466">
        <v>198</v>
      </c>
      <c r="D466" t="s">
        <v>1051</v>
      </c>
      <c r="E466" t="s">
        <v>791</v>
      </c>
      <c r="F466">
        <v>8</v>
      </c>
      <c r="G466" t="s">
        <v>1059</v>
      </c>
      <c r="H466" t="s">
        <v>399</v>
      </c>
      <c r="I466" t="s">
        <v>420</v>
      </c>
      <c r="J466" t="s">
        <v>151</v>
      </c>
      <c r="Q466">
        <v>0</v>
      </c>
      <c r="R466">
        <v>0</v>
      </c>
      <c r="U466" s="61" t="s">
        <v>398</v>
      </c>
      <c r="V466" t="s">
        <v>730</v>
      </c>
    </row>
    <row r="467" spans="1:22" x14ac:dyDescent="0.2">
      <c r="A467" t="s">
        <v>24</v>
      </c>
      <c r="B467" t="s">
        <v>1536</v>
      </c>
      <c r="C467">
        <v>199</v>
      </c>
      <c r="D467" t="s">
        <v>1051</v>
      </c>
      <c r="E467" t="s">
        <v>791</v>
      </c>
      <c r="F467">
        <v>9</v>
      </c>
      <c r="G467" t="s">
        <v>1059</v>
      </c>
      <c r="H467" t="s">
        <v>399</v>
      </c>
      <c r="I467" t="s">
        <v>421</v>
      </c>
      <c r="J467" t="s">
        <v>380</v>
      </c>
      <c r="K467">
        <v>1</v>
      </c>
      <c r="Q467">
        <v>0</v>
      </c>
      <c r="R467">
        <v>0</v>
      </c>
      <c r="U467" s="61" t="s">
        <v>398</v>
      </c>
      <c r="V467" t="s">
        <v>730</v>
      </c>
    </row>
    <row r="468" spans="1:22" x14ac:dyDescent="0.2">
      <c r="A468" t="s">
        <v>24</v>
      </c>
      <c r="B468" t="s">
        <v>1537</v>
      </c>
      <c r="C468">
        <v>200</v>
      </c>
      <c r="D468" t="s">
        <v>1051</v>
      </c>
      <c r="E468" t="s">
        <v>791</v>
      </c>
      <c r="F468">
        <v>10</v>
      </c>
      <c r="G468" t="s">
        <v>1059</v>
      </c>
      <c r="H468" t="s">
        <v>399</v>
      </c>
      <c r="I468" t="s">
        <v>422</v>
      </c>
      <c r="J468" t="s">
        <v>380</v>
      </c>
      <c r="K468">
        <v>1</v>
      </c>
      <c r="Q468">
        <v>0</v>
      </c>
      <c r="R468">
        <v>0</v>
      </c>
      <c r="U468" s="61" t="s">
        <v>398</v>
      </c>
      <c r="V468" t="s">
        <v>730</v>
      </c>
    </row>
    <row r="469" spans="1:22" x14ac:dyDescent="0.2">
      <c r="A469" t="s">
        <v>24</v>
      </c>
      <c r="B469" t="s">
        <v>1538</v>
      </c>
      <c r="C469">
        <v>201</v>
      </c>
      <c r="D469" t="s">
        <v>1051</v>
      </c>
      <c r="E469" t="s">
        <v>791</v>
      </c>
      <c r="F469">
        <v>11</v>
      </c>
      <c r="G469" t="s">
        <v>1059</v>
      </c>
      <c r="H469" t="s">
        <v>399</v>
      </c>
      <c r="I469" t="s">
        <v>423</v>
      </c>
      <c r="J469" t="s">
        <v>380</v>
      </c>
      <c r="K469">
        <v>1</v>
      </c>
      <c r="Q469">
        <v>0</v>
      </c>
      <c r="R469">
        <v>0</v>
      </c>
      <c r="T469" t="s">
        <v>415</v>
      </c>
      <c r="U469" s="61" t="s">
        <v>398</v>
      </c>
      <c r="V469" t="s">
        <v>730</v>
      </c>
    </row>
    <row r="470" spans="1:22" x14ac:dyDescent="0.2">
      <c r="A470" t="s">
        <v>107</v>
      </c>
      <c r="B470" t="s">
        <v>1539</v>
      </c>
      <c r="C470">
        <v>262</v>
      </c>
      <c r="D470" t="s">
        <v>1051</v>
      </c>
      <c r="E470" t="s">
        <v>792</v>
      </c>
      <c r="F470">
        <v>1</v>
      </c>
      <c r="G470" t="s">
        <v>1059</v>
      </c>
      <c r="H470" t="s">
        <v>497</v>
      </c>
      <c r="I470" t="s">
        <v>509</v>
      </c>
      <c r="J470" t="s">
        <v>152</v>
      </c>
      <c r="Q470">
        <v>0</v>
      </c>
      <c r="R470">
        <v>0</v>
      </c>
      <c r="U470" s="61" t="s">
        <v>496</v>
      </c>
      <c r="V470" t="s">
        <v>747</v>
      </c>
    </row>
    <row r="471" spans="1:22" x14ac:dyDescent="0.2">
      <c r="A471" t="s">
        <v>107</v>
      </c>
      <c r="B471" t="s">
        <v>1540</v>
      </c>
      <c r="C471">
        <v>263</v>
      </c>
      <c r="D471" t="s">
        <v>1051</v>
      </c>
      <c r="E471" t="s">
        <v>792</v>
      </c>
      <c r="F471">
        <v>2</v>
      </c>
      <c r="G471" t="s">
        <v>1059</v>
      </c>
      <c r="H471" t="s">
        <v>497</v>
      </c>
      <c r="I471" t="s">
        <v>510</v>
      </c>
      <c r="J471" t="s">
        <v>179</v>
      </c>
      <c r="Q471">
        <v>0</v>
      </c>
      <c r="R471">
        <v>0</v>
      </c>
      <c r="U471" s="61" t="s">
        <v>496</v>
      </c>
      <c r="V471" t="s">
        <v>747</v>
      </c>
    </row>
    <row r="472" spans="1:22" x14ac:dyDescent="0.2">
      <c r="A472" t="s">
        <v>107</v>
      </c>
      <c r="B472" t="s">
        <v>1541</v>
      </c>
      <c r="C472">
        <v>264</v>
      </c>
      <c r="D472" t="s">
        <v>1051</v>
      </c>
      <c r="E472" t="s">
        <v>792</v>
      </c>
      <c r="F472">
        <v>3</v>
      </c>
      <c r="G472" t="s">
        <v>1059</v>
      </c>
      <c r="H472" t="s">
        <v>497</v>
      </c>
      <c r="I472" t="s">
        <v>511</v>
      </c>
      <c r="J472" t="s">
        <v>179</v>
      </c>
      <c r="Q472">
        <v>0</v>
      </c>
      <c r="R472">
        <v>0</v>
      </c>
      <c r="U472" s="61" t="s">
        <v>496</v>
      </c>
      <c r="V472" t="s">
        <v>747</v>
      </c>
    </row>
    <row r="473" spans="1:22" x14ac:dyDescent="0.2">
      <c r="A473" t="s">
        <v>107</v>
      </c>
      <c r="B473" t="s">
        <v>1542</v>
      </c>
      <c r="C473">
        <v>265</v>
      </c>
      <c r="D473" t="s">
        <v>1051</v>
      </c>
      <c r="E473" t="s">
        <v>792</v>
      </c>
      <c r="F473">
        <v>4</v>
      </c>
      <c r="G473" t="s">
        <v>1059</v>
      </c>
      <c r="H473" t="s">
        <v>497</v>
      </c>
      <c r="I473" t="s">
        <v>512</v>
      </c>
      <c r="J473" t="s">
        <v>179</v>
      </c>
      <c r="Q473">
        <v>0</v>
      </c>
      <c r="R473">
        <v>0</v>
      </c>
      <c r="U473" s="61" t="s">
        <v>496</v>
      </c>
      <c r="V473" t="s">
        <v>747</v>
      </c>
    </row>
    <row r="474" spans="1:22" x14ac:dyDescent="0.2">
      <c r="A474" t="s">
        <v>107</v>
      </c>
      <c r="B474" t="s">
        <v>1543</v>
      </c>
      <c r="C474">
        <v>266</v>
      </c>
      <c r="D474" t="s">
        <v>1051</v>
      </c>
      <c r="E474" t="s">
        <v>792</v>
      </c>
      <c r="F474">
        <v>5</v>
      </c>
      <c r="G474" t="s">
        <v>1059</v>
      </c>
      <c r="H474" t="s">
        <v>497</v>
      </c>
      <c r="I474" t="s">
        <v>1045</v>
      </c>
      <c r="J474" t="s">
        <v>179</v>
      </c>
      <c r="Q474">
        <v>0</v>
      </c>
      <c r="R474">
        <v>0</v>
      </c>
      <c r="U474" s="61" t="s">
        <v>496</v>
      </c>
      <c r="V474" t="s">
        <v>747</v>
      </c>
    </row>
    <row r="475" spans="1:22" x14ac:dyDescent="0.2">
      <c r="A475" t="s">
        <v>107</v>
      </c>
      <c r="B475" t="s">
        <v>1544</v>
      </c>
      <c r="C475">
        <v>267</v>
      </c>
      <c r="D475" t="s">
        <v>1051</v>
      </c>
      <c r="E475" t="s">
        <v>792</v>
      </c>
      <c r="F475">
        <v>6</v>
      </c>
      <c r="G475" t="s">
        <v>1059</v>
      </c>
      <c r="H475" t="s">
        <v>497</v>
      </c>
      <c r="I475" t="s">
        <v>513</v>
      </c>
      <c r="J475" t="s">
        <v>151</v>
      </c>
      <c r="Q475">
        <v>0</v>
      </c>
      <c r="R475">
        <v>0</v>
      </c>
      <c r="U475" s="61" t="s">
        <v>496</v>
      </c>
      <c r="V475" t="s">
        <v>747</v>
      </c>
    </row>
    <row r="476" spans="1:22" x14ac:dyDescent="0.2">
      <c r="A476" t="s">
        <v>107</v>
      </c>
      <c r="B476" t="s">
        <v>1545</v>
      </c>
      <c r="C476">
        <v>268</v>
      </c>
      <c r="D476" t="s">
        <v>1051</v>
      </c>
      <c r="E476" t="s">
        <v>792</v>
      </c>
      <c r="F476">
        <v>7</v>
      </c>
      <c r="G476" t="s">
        <v>1059</v>
      </c>
      <c r="H476" t="s">
        <v>497</v>
      </c>
      <c r="I476" t="s">
        <v>481</v>
      </c>
      <c r="J476" t="s">
        <v>147</v>
      </c>
      <c r="Q476">
        <v>0</v>
      </c>
      <c r="R476">
        <v>0</v>
      </c>
      <c r="U476" s="61" t="s">
        <v>496</v>
      </c>
      <c r="V476" t="s">
        <v>747</v>
      </c>
    </row>
    <row r="477" spans="1:22" x14ac:dyDescent="0.2">
      <c r="A477" t="s">
        <v>107</v>
      </c>
      <c r="B477" t="s">
        <v>1546</v>
      </c>
      <c r="C477">
        <v>269</v>
      </c>
      <c r="D477" t="s">
        <v>1051</v>
      </c>
      <c r="E477" t="s">
        <v>793</v>
      </c>
      <c r="F477">
        <v>1</v>
      </c>
      <c r="G477" t="s">
        <v>1054</v>
      </c>
      <c r="H477" t="s">
        <v>498</v>
      </c>
      <c r="I477" t="s">
        <v>516</v>
      </c>
      <c r="J477" t="s">
        <v>152</v>
      </c>
      <c r="Q477">
        <v>0</v>
      </c>
      <c r="R477">
        <v>0</v>
      </c>
      <c r="U477" s="61" t="s">
        <v>496</v>
      </c>
      <c r="V477" t="s">
        <v>748</v>
      </c>
    </row>
    <row r="478" spans="1:22" x14ac:dyDescent="0.2">
      <c r="A478" t="s">
        <v>107</v>
      </c>
      <c r="B478" t="s">
        <v>1547</v>
      </c>
      <c r="C478">
        <v>270</v>
      </c>
      <c r="D478" t="s">
        <v>1051</v>
      </c>
      <c r="E478" t="s">
        <v>793</v>
      </c>
      <c r="F478">
        <v>2</v>
      </c>
      <c r="G478" t="s">
        <v>1054</v>
      </c>
      <c r="H478" t="s">
        <v>498</v>
      </c>
      <c r="I478" t="s">
        <v>514</v>
      </c>
      <c r="J478" t="s">
        <v>152</v>
      </c>
      <c r="Q478">
        <v>0</v>
      </c>
      <c r="R478">
        <v>0</v>
      </c>
      <c r="U478" s="61" t="s">
        <v>496</v>
      </c>
      <c r="V478" t="s">
        <v>748</v>
      </c>
    </row>
    <row r="479" spans="1:22" x14ac:dyDescent="0.2">
      <c r="A479" t="s">
        <v>107</v>
      </c>
      <c r="B479" t="s">
        <v>1548</v>
      </c>
      <c r="C479">
        <v>271</v>
      </c>
      <c r="D479" t="s">
        <v>1051</v>
      </c>
      <c r="E479" t="s">
        <v>793</v>
      </c>
      <c r="F479">
        <v>3</v>
      </c>
      <c r="G479" t="s">
        <v>1054</v>
      </c>
      <c r="H479" t="s">
        <v>498</v>
      </c>
      <c r="I479" t="s">
        <v>515</v>
      </c>
      <c r="J479" t="s">
        <v>147</v>
      </c>
      <c r="Q479">
        <v>0</v>
      </c>
      <c r="R479">
        <v>0</v>
      </c>
      <c r="U479" s="61" t="s">
        <v>496</v>
      </c>
      <c r="V479" t="s">
        <v>748</v>
      </c>
    </row>
    <row r="480" spans="1:22" x14ac:dyDescent="0.2">
      <c r="A480" t="s">
        <v>107</v>
      </c>
      <c r="B480" t="s">
        <v>1549</v>
      </c>
      <c r="C480">
        <v>272</v>
      </c>
      <c r="D480" t="s">
        <v>1051</v>
      </c>
      <c r="E480" t="s">
        <v>793</v>
      </c>
      <c r="F480">
        <v>4</v>
      </c>
      <c r="G480" t="s">
        <v>1054</v>
      </c>
      <c r="H480" t="s">
        <v>498</v>
      </c>
      <c r="I480" t="s">
        <v>517</v>
      </c>
      <c r="J480" t="s">
        <v>152</v>
      </c>
      <c r="Q480">
        <v>0</v>
      </c>
      <c r="R480">
        <v>0</v>
      </c>
      <c r="U480" s="61" t="s">
        <v>496</v>
      </c>
      <c r="V480" t="s">
        <v>748</v>
      </c>
    </row>
    <row r="481" spans="1:22" x14ac:dyDescent="0.2">
      <c r="A481" t="s">
        <v>107</v>
      </c>
      <c r="B481" t="s">
        <v>1550</v>
      </c>
      <c r="C481">
        <v>273</v>
      </c>
      <c r="D481" t="s">
        <v>1051</v>
      </c>
      <c r="E481" t="s">
        <v>793</v>
      </c>
      <c r="F481">
        <v>5</v>
      </c>
      <c r="G481" t="s">
        <v>1054</v>
      </c>
      <c r="H481" t="s">
        <v>498</v>
      </c>
      <c r="I481" t="s">
        <v>518</v>
      </c>
      <c r="J481" t="s">
        <v>152</v>
      </c>
      <c r="Q481">
        <v>0</v>
      </c>
      <c r="R481">
        <v>0</v>
      </c>
      <c r="U481" s="61" t="s">
        <v>496</v>
      </c>
      <c r="V481" t="s">
        <v>748</v>
      </c>
    </row>
    <row r="482" spans="1:22" x14ac:dyDescent="0.2">
      <c r="A482" t="s">
        <v>107</v>
      </c>
      <c r="B482" t="s">
        <v>1551</v>
      </c>
      <c r="C482">
        <v>274</v>
      </c>
      <c r="D482" t="s">
        <v>1051</v>
      </c>
      <c r="E482" t="s">
        <v>793</v>
      </c>
      <c r="F482">
        <v>6</v>
      </c>
      <c r="G482" t="s">
        <v>1054</v>
      </c>
      <c r="H482" t="s">
        <v>498</v>
      </c>
      <c r="I482" t="s">
        <v>519</v>
      </c>
      <c r="J482" t="s">
        <v>152</v>
      </c>
      <c r="Q482">
        <v>0</v>
      </c>
      <c r="R482">
        <v>0</v>
      </c>
      <c r="U482" s="61" t="s">
        <v>496</v>
      </c>
      <c r="V482" t="s">
        <v>748</v>
      </c>
    </row>
    <row r="483" spans="1:22" x14ac:dyDescent="0.2">
      <c r="A483" t="s">
        <v>107</v>
      </c>
      <c r="B483" t="s">
        <v>1552</v>
      </c>
      <c r="C483">
        <v>275</v>
      </c>
      <c r="D483" t="s">
        <v>1051</v>
      </c>
      <c r="E483" t="s">
        <v>793</v>
      </c>
      <c r="F483">
        <v>7</v>
      </c>
      <c r="G483" t="s">
        <v>1054</v>
      </c>
      <c r="H483" t="s">
        <v>498</v>
      </c>
      <c r="I483" t="s">
        <v>521</v>
      </c>
      <c r="J483" t="s">
        <v>179</v>
      </c>
      <c r="Q483">
        <v>0</v>
      </c>
      <c r="R483">
        <v>0</v>
      </c>
      <c r="T483" t="s">
        <v>594</v>
      </c>
      <c r="U483" s="61" t="s">
        <v>496</v>
      </c>
      <c r="V483" t="s">
        <v>748</v>
      </c>
    </row>
    <row r="484" spans="1:22" x14ac:dyDescent="0.2">
      <c r="A484" t="s">
        <v>107</v>
      </c>
      <c r="B484" t="s">
        <v>1553</v>
      </c>
      <c r="C484">
        <v>276</v>
      </c>
      <c r="D484" t="s">
        <v>1051</v>
      </c>
      <c r="E484" t="s">
        <v>793</v>
      </c>
      <c r="F484">
        <v>8</v>
      </c>
      <c r="G484" t="s">
        <v>1054</v>
      </c>
      <c r="H484" t="s">
        <v>498</v>
      </c>
      <c r="I484" t="s">
        <v>522</v>
      </c>
      <c r="J484" t="s">
        <v>179</v>
      </c>
      <c r="Q484">
        <v>0</v>
      </c>
      <c r="R484">
        <v>0</v>
      </c>
      <c r="U484" s="61" t="s">
        <v>496</v>
      </c>
      <c r="V484" t="s">
        <v>748</v>
      </c>
    </row>
    <row r="485" spans="1:22" x14ac:dyDescent="0.2">
      <c r="A485" t="s">
        <v>107</v>
      </c>
      <c r="B485" t="s">
        <v>1554</v>
      </c>
      <c r="C485">
        <v>277</v>
      </c>
      <c r="D485" t="s">
        <v>1051</v>
      </c>
      <c r="E485" t="s">
        <v>793</v>
      </c>
      <c r="F485">
        <v>9</v>
      </c>
      <c r="G485" t="s">
        <v>1054</v>
      </c>
      <c r="H485" t="s">
        <v>498</v>
      </c>
      <c r="I485" t="s">
        <v>520</v>
      </c>
      <c r="J485" t="s">
        <v>179</v>
      </c>
      <c r="Q485">
        <v>0</v>
      </c>
      <c r="R485">
        <v>0</v>
      </c>
      <c r="U485" s="61" t="s">
        <v>496</v>
      </c>
      <c r="V485" t="s">
        <v>748</v>
      </c>
    </row>
    <row r="486" spans="1:22" x14ac:dyDescent="0.2">
      <c r="A486" t="s">
        <v>107</v>
      </c>
      <c r="B486" t="s">
        <v>1555</v>
      </c>
      <c r="C486">
        <v>278</v>
      </c>
      <c r="D486" t="s">
        <v>1051</v>
      </c>
      <c r="E486" t="s">
        <v>793</v>
      </c>
      <c r="F486">
        <v>10</v>
      </c>
      <c r="G486" t="s">
        <v>1054</v>
      </c>
      <c r="H486" t="s">
        <v>498</v>
      </c>
      <c r="I486" t="s">
        <v>523</v>
      </c>
      <c r="J486" t="s">
        <v>179</v>
      </c>
      <c r="Q486">
        <v>0</v>
      </c>
      <c r="R486">
        <v>0</v>
      </c>
      <c r="U486" s="61" t="s">
        <v>496</v>
      </c>
      <c r="V486" t="s">
        <v>748</v>
      </c>
    </row>
    <row r="487" spans="1:22" x14ac:dyDescent="0.2">
      <c r="A487" t="s">
        <v>107</v>
      </c>
      <c r="B487" t="s">
        <v>1556</v>
      </c>
      <c r="C487">
        <v>279</v>
      </c>
      <c r="D487" t="s">
        <v>1051</v>
      </c>
      <c r="E487" t="s">
        <v>793</v>
      </c>
      <c r="F487">
        <v>11</v>
      </c>
      <c r="G487" t="s">
        <v>1054</v>
      </c>
      <c r="H487" t="s">
        <v>498</v>
      </c>
      <c r="I487" t="s">
        <v>524</v>
      </c>
      <c r="J487" t="s">
        <v>179</v>
      </c>
      <c r="Q487">
        <v>0</v>
      </c>
      <c r="R487">
        <v>0</v>
      </c>
      <c r="U487" s="61" t="s">
        <v>496</v>
      </c>
      <c r="V487" t="s">
        <v>748</v>
      </c>
    </row>
    <row r="488" spans="1:22" x14ac:dyDescent="0.2">
      <c r="A488" t="s">
        <v>107</v>
      </c>
      <c r="B488" t="s">
        <v>1557</v>
      </c>
      <c r="C488">
        <v>280</v>
      </c>
      <c r="D488" t="s">
        <v>1051</v>
      </c>
      <c r="E488" t="s">
        <v>793</v>
      </c>
      <c r="F488">
        <v>12</v>
      </c>
      <c r="G488" t="s">
        <v>1054</v>
      </c>
      <c r="H488" t="s">
        <v>498</v>
      </c>
      <c r="I488" t="s">
        <v>525</v>
      </c>
      <c r="J488" t="s">
        <v>179</v>
      </c>
      <c r="Q488">
        <v>0</v>
      </c>
      <c r="R488">
        <v>0</v>
      </c>
      <c r="U488" s="61" t="s">
        <v>496</v>
      </c>
      <c r="V488" t="s">
        <v>748</v>
      </c>
    </row>
    <row r="489" spans="1:22" x14ac:dyDescent="0.2">
      <c r="A489" t="s">
        <v>107</v>
      </c>
      <c r="B489" t="s">
        <v>1558</v>
      </c>
      <c r="C489">
        <v>281</v>
      </c>
      <c r="D489" t="s">
        <v>1051</v>
      </c>
      <c r="E489" t="s">
        <v>793</v>
      </c>
      <c r="F489">
        <v>13</v>
      </c>
      <c r="G489" t="s">
        <v>1054</v>
      </c>
      <c r="H489" t="s">
        <v>498</v>
      </c>
      <c r="I489" t="s">
        <v>526</v>
      </c>
      <c r="J489" t="s">
        <v>147</v>
      </c>
      <c r="Q489">
        <v>0</v>
      </c>
      <c r="R489">
        <v>0</v>
      </c>
      <c r="U489" s="61" t="s">
        <v>496</v>
      </c>
      <c r="V489" t="s">
        <v>748</v>
      </c>
    </row>
    <row r="490" spans="1:22" x14ac:dyDescent="0.2">
      <c r="A490" t="s">
        <v>107</v>
      </c>
      <c r="B490" t="s">
        <v>1559</v>
      </c>
      <c r="C490">
        <v>593</v>
      </c>
      <c r="D490" t="s">
        <v>1051</v>
      </c>
      <c r="E490" t="s">
        <v>793</v>
      </c>
      <c r="F490">
        <v>14</v>
      </c>
      <c r="G490" t="s">
        <v>1054</v>
      </c>
      <c r="H490" t="s">
        <v>498</v>
      </c>
      <c r="I490" t="s">
        <v>957</v>
      </c>
      <c r="J490" t="s">
        <v>152</v>
      </c>
      <c r="Q490">
        <v>0</v>
      </c>
      <c r="R490">
        <v>0</v>
      </c>
      <c r="U490" s="61" t="s">
        <v>496</v>
      </c>
      <c r="V490" t="s">
        <v>748</v>
      </c>
    </row>
    <row r="491" spans="1:22" x14ac:dyDescent="0.2">
      <c r="A491" t="s">
        <v>107</v>
      </c>
      <c r="B491" t="s">
        <v>1560</v>
      </c>
      <c r="C491">
        <v>594</v>
      </c>
      <c r="D491" t="s">
        <v>1051</v>
      </c>
      <c r="E491" t="s">
        <v>793</v>
      </c>
      <c r="F491">
        <v>15</v>
      </c>
      <c r="G491" t="s">
        <v>1054</v>
      </c>
      <c r="H491" t="s">
        <v>498</v>
      </c>
      <c r="I491" t="s">
        <v>983</v>
      </c>
      <c r="J491" t="s">
        <v>152</v>
      </c>
      <c r="Q491">
        <v>0</v>
      </c>
      <c r="R491">
        <v>0</v>
      </c>
      <c r="U491" s="61" t="s">
        <v>496</v>
      </c>
      <c r="V491" t="s">
        <v>748</v>
      </c>
    </row>
    <row r="492" spans="1:22" x14ac:dyDescent="0.2">
      <c r="A492" t="s">
        <v>107</v>
      </c>
      <c r="B492" t="s">
        <v>1561</v>
      </c>
      <c r="C492">
        <v>595</v>
      </c>
      <c r="D492" t="s">
        <v>1051</v>
      </c>
      <c r="E492" t="s">
        <v>793</v>
      </c>
      <c r="F492">
        <v>16</v>
      </c>
      <c r="G492" t="s">
        <v>1054</v>
      </c>
      <c r="H492" t="s">
        <v>498</v>
      </c>
      <c r="I492" t="s">
        <v>984</v>
      </c>
      <c r="J492" t="s">
        <v>152</v>
      </c>
      <c r="Q492">
        <v>0</v>
      </c>
      <c r="R492">
        <v>0</v>
      </c>
      <c r="U492" s="61" t="s">
        <v>496</v>
      </c>
      <c r="V492" t="s">
        <v>748</v>
      </c>
    </row>
    <row r="493" spans="1:22" x14ac:dyDescent="0.2">
      <c r="A493" t="s">
        <v>107</v>
      </c>
      <c r="B493" t="s">
        <v>1562</v>
      </c>
      <c r="C493">
        <v>282</v>
      </c>
      <c r="D493" t="s">
        <v>1051</v>
      </c>
      <c r="E493" t="s">
        <v>794</v>
      </c>
      <c r="F493">
        <v>1</v>
      </c>
      <c r="G493" t="s">
        <v>1055</v>
      </c>
      <c r="H493" t="s">
        <v>499</v>
      </c>
      <c r="I493" t="s">
        <v>527</v>
      </c>
      <c r="J493" t="s">
        <v>152</v>
      </c>
      <c r="Q493">
        <v>0</v>
      </c>
      <c r="R493">
        <v>0</v>
      </c>
      <c r="U493" s="61" t="s">
        <v>496</v>
      </c>
      <c r="V493" t="s">
        <v>749</v>
      </c>
    </row>
    <row r="494" spans="1:22" x14ac:dyDescent="0.2">
      <c r="A494" t="s">
        <v>107</v>
      </c>
      <c r="B494" t="s">
        <v>1563</v>
      </c>
      <c r="C494">
        <v>283</v>
      </c>
      <c r="D494" t="s">
        <v>1051</v>
      </c>
      <c r="E494" t="s">
        <v>794</v>
      </c>
      <c r="F494">
        <v>2</v>
      </c>
      <c r="G494" t="s">
        <v>1055</v>
      </c>
      <c r="H494" t="s">
        <v>499</v>
      </c>
      <c r="I494" t="s">
        <v>528</v>
      </c>
      <c r="J494" t="s">
        <v>152</v>
      </c>
      <c r="Q494">
        <v>0</v>
      </c>
      <c r="R494">
        <v>0</v>
      </c>
      <c r="U494" s="61" t="s">
        <v>496</v>
      </c>
      <c r="V494" t="s">
        <v>749</v>
      </c>
    </row>
    <row r="495" spans="1:22" x14ac:dyDescent="0.2">
      <c r="A495" t="s">
        <v>107</v>
      </c>
      <c r="B495" t="s">
        <v>1564</v>
      </c>
      <c r="C495">
        <v>284</v>
      </c>
      <c r="D495" t="s">
        <v>1051</v>
      </c>
      <c r="E495" t="s">
        <v>794</v>
      </c>
      <c r="F495">
        <v>3</v>
      </c>
      <c r="G495" t="s">
        <v>1055</v>
      </c>
      <c r="H495" t="s">
        <v>499</v>
      </c>
      <c r="I495" t="s">
        <v>529</v>
      </c>
      <c r="J495" t="s">
        <v>152</v>
      </c>
      <c r="Q495">
        <v>0</v>
      </c>
      <c r="R495">
        <v>0</v>
      </c>
      <c r="U495" s="61" t="s">
        <v>496</v>
      </c>
      <c r="V495" t="s">
        <v>749</v>
      </c>
    </row>
    <row r="496" spans="1:22" x14ac:dyDescent="0.2">
      <c r="A496" t="s">
        <v>107</v>
      </c>
      <c r="B496" t="s">
        <v>1565</v>
      </c>
      <c r="C496">
        <v>285</v>
      </c>
      <c r="D496" t="s">
        <v>1051</v>
      </c>
      <c r="E496" t="s">
        <v>794</v>
      </c>
      <c r="F496">
        <v>4</v>
      </c>
      <c r="G496" t="s">
        <v>1055</v>
      </c>
      <c r="H496" t="s">
        <v>499</v>
      </c>
      <c r="I496" t="s">
        <v>530</v>
      </c>
      <c r="J496" t="s">
        <v>152</v>
      </c>
      <c r="Q496">
        <v>0</v>
      </c>
      <c r="R496">
        <v>0</v>
      </c>
      <c r="U496" s="61" t="s">
        <v>496</v>
      </c>
      <c r="V496" t="s">
        <v>749</v>
      </c>
    </row>
    <row r="497" spans="1:22" x14ac:dyDescent="0.2">
      <c r="A497" t="s">
        <v>107</v>
      </c>
      <c r="B497" t="s">
        <v>1566</v>
      </c>
      <c r="C497">
        <v>286</v>
      </c>
      <c r="D497" t="s">
        <v>1051</v>
      </c>
      <c r="E497" t="s">
        <v>794</v>
      </c>
      <c r="F497">
        <v>5</v>
      </c>
      <c r="G497" t="s">
        <v>1055</v>
      </c>
      <c r="H497" t="s">
        <v>499</v>
      </c>
      <c r="I497" t="s">
        <v>531</v>
      </c>
      <c r="J497" t="s">
        <v>152</v>
      </c>
      <c r="Q497">
        <v>0</v>
      </c>
      <c r="R497">
        <v>0</v>
      </c>
      <c r="U497" s="61" t="s">
        <v>496</v>
      </c>
      <c r="V497" t="s">
        <v>749</v>
      </c>
    </row>
    <row r="498" spans="1:22" x14ac:dyDescent="0.2">
      <c r="A498" t="s">
        <v>107</v>
      </c>
      <c r="B498" t="s">
        <v>1567</v>
      </c>
      <c r="C498">
        <v>287</v>
      </c>
      <c r="D498" t="s">
        <v>1051</v>
      </c>
      <c r="E498" t="s">
        <v>794</v>
      </c>
      <c r="F498">
        <v>6</v>
      </c>
      <c r="G498" t="s">
        <v>1055</v>
      </c>
      <c r="H498" t="s">
        <v>499</v>
      </c>
      <c r="I498" t="s">
        <v>532</v>
      </c>
      <c r="J498" t="s">
        <v>152</v>
      </c>
      <c r="Q498">
        <v>0</v>
      </c>
      <c r="R498">
        <v>0</v>
      </c>
      <c r="U498" s="61" t="s">
        <v>496</v>
      </c>
      <c r="V498" t="s">
        <v>749</v>
      </c>
    </row>
    <row r="499" spans="1:22" x14ac:dyDescent="0.2">
      <c r="A499" t="s">
        <v>107</v>
      </c>
      <c r="B499" t="s">
        <v>1568</v>
      </c>
      <c r="C499">
        <v>288</v>
      </c>
      <c r="D499" t="s">
        <v>1051</v>
      </c>
      <c r="E499" t="s">
        <v>794</v>
      </c>
      <c r="F499">
        <v>7</v>
      </c>
      <c r="G499" t="s">
        <v>1055</v>
      </c>
      <c r="H499" t="s">
        <v>499</v>
      </c>
      <c r="I499" t="s">
        <v>533</v>
      </c>
      <c r="J499" t="s">
        <v>152</v>
      </c>
      <c r="Q499">
        <v>0</v>
      </c>
      <c r="R499">
        <v>0</v>
      </c>
      <c r="U499" s="61" t="s">
        <v>496</v>
      </c>
      <c r="V499" t="s">
        <v>749</v>
      </c>
    </row>
    <row r="500" spans="1:22" x14ac:dyDescent="0.2">
      <c r="A500" t="s">
        <v>107</v>
      </c>
      <c r="B500" t="s">
        <v>1569</v>
      </c>
      <c r="C500">
        <v>289</v>
      </c>
      <c r="D500" t="s">
        <v>1051</v>
      </c>
      <c r="E500" t="s">
        <v>794</v>
      </c>
      <c r="F500">
        <v>8</v>
      </c>
      <c r="G500" t="s">
        <v>1055</v>
      </c>
      <c r="H500" t="s">
        <v>499</v>
      </c>
      <c r="I500" t="s">
        <v>534</v>
      </c>
      <c r="J500" t="s">
        <v>147</v>
      </c>
      <c r="Q500">
        <v>0</v>
      </c>
      <c r="R500">
        <v>0</v>
      </c>
      <c r="U500" s="61" t="s">
        <v>496</v>
      </c>
      <c r="V500" t="s">
        <v>749</v>
      </c>
    </row>
    <row r="501" spans="1:22" x14ac:dyDescent="0.2">
      <c r="A501" t="s">
        <v>107</v>
      </c>
      <c r="B501" t="s">
        <v>1570</v>
      </c>
      <c r="C501">
        <v>290</v>
      </c>
      <c r="D501" t="s">
        <v>1051</v>
      </c>
      <c r="E501" t="s">
        <v>794</v>
      </c>
      <c r="F501">
        <v>9</v>
      </c>
      <c r="G501" t="s">
        <v>1055</v>
      </c>
      <c r="H501" t="s">
        <v>499</v>
      </c>
      <c r="I501" t="s">
        <v>535</v>
      </c>
      <c r="J501" t="s">
        <v>152</v>
      </c>
      <c r="Q501">
        <v>0</v>
      </c>
      <c r="R501">
        <v>0</v>
      </c>
      <c r="U501" s="61" t="s">
        <v>496</v>
      </c>
      <c r="V501" t="s">
        <v>749</v>
      </c>
    </row>
    <row r="502" spans="1:22" x14ac:dyDescent="0.2">
      <c r="A502" t="s">
        <v>107</v>
      </c>
      <c r="B502" t="s">
        <v>1571</v>
      </c>
      <c r="C502">
        <v>291</v>
      </c>
      <c r="D502" t="s">
        <v>1051</v>
      </c>
      <c r="E502" t="s">
        <v>794</v>
      </c>
      <c r="F502">
        <v>10</v>
      </c>
      <c r="G502" t="s">
        <v>1055</v>
      </c>
      <c r="H502" t="s">
        <v>499</v>
      </c>
      <c r="I502" t="s">
        <v>536</v>
      </c>
      <c r="J502" t="s">
        <v>151</v>
      </c>
      <c r="Q502">
        <v>0</v>
      </c>
      <c r="R502">
        <v>0</v>
      </c>
      <c r="U502" s="61" t="s">
        <v>496</v>
      </c>
      <c r="V502" t="s">
        <v>749</v>
      </c>
    </row>
    <row r="503" spans="1:22" x14ac:dyDescent="0.2">
      <c r="A503" t="s">
        <v>107</v>
      </c>
      <c r="B503" t="s">
        <v>1572</v>
      </c>
      <c r="C503">
        <v>292</v>
      </c>
      <c r="D503" t="s">
        <v>1051</v>
      </c>
      <c r="E503" t="s">
        <v>794</v>
      </c>
      <c r="F503">
        <v>11</v>
      </c>
      <c r="G503" t="s">
        <v>1055</v>
      </c>
      <c r="H503" t="s">
        <v>499</v>
      </c>
      <c r="I503" t="s">
        <v>537</v>
      </c>
      <c r="J503" t="s">
        <v>152</v>
      </c>
      <c r="Q503">
        <v>0</v>
      </c>
      <c r="R503">
        <v>0</v>
      </c>
      <c r="U503" s="61" t="s">
        <v>496</v>
      </c>
      <c r="V503" t="s">
        <v>749</v>
      </c>
    </row>
    <row r="504" spans="1:22" x14ac:dyDescent="0.2">
      <c r="A504" t="s">
        <v>107</v>
      </c>
      <c r="B504" t="s">
        <v>1573</v>
      </c>
      <c r="C504">
        <v>293</v>
      </c>
      <c r="D504" t="s">
        <v>1051</v>
      </c>
      <c r="E504" t="s">
        <v>794</v>
      </c>
      <c r="F504">
        <v>12</v>
      </c>
      <c r="G504" t="s">
        <v>1055</v>
      </c>
      <c r="H504" t="s">
        <v>499</v>
      </c>
      <c r="I504" t="s">
        <v>538</v>
      </c>
      <c r="J504" t="s">
        <v>147</v>
      </c>
      <c r="Q504">
        <v>0</v>
      </c>
      <c r="R504">
        <v>0</v>
      </c>
      <c r="U504" s="61" t="s">
        <v>496</v>
      </c>
      <c r="V504" t="s">
        <v>749</v>
      </c>
    </row>
    <row r="505" spans="1:22" x14ac:dyDescent="0.2">
      <c r="A505" t="s">
        <v>107</v>
      </c>
      <c r="B505" t="s">
        <v>1574</v>
      </c>
      <c r="C505">
        <v>294</v>
      </c>
      <c r="D505" t="s">
        <v>1051</v>
      </c>
      <c r="E505" t="s">
        <v>794</v>
      </c>
      <c r="F505">
        <v>13</v>
      </c>
      <c r="G505" t="s">
        <v>1055</v>
      </c>
      <c r="H505" t="s">
        <v>499</v>
      </c>
      <c r="I505" t="s">
        <v>539</v>
      </c>
      <c r="J505" t="s">
        <v>152</v>
      </c>
      <c r="Q505">
        <v>0</v>
      </c>
      <c r="R505">
        <v>0</v>
      </c>
      <c r="T505" t="s">
        <v>540</v>
      </c>
      <c r="U505" s="61" t="s">
        <v>496</v>
      </c>
      <c r="V505" t="s">
        <v>749</v>
      </c>
    </row>
    <row r="506" spans="1:22" x14ac:dyDescent="0.2">
      <c r="A506" t="s">
        <v>107</v>
      </c>
      <c r="B506" t="s">
        <v>1575</v>
      </c>
      <c r="C506">
        <v>295</v>
      </c>
      <c r="D506" t="s">
        <v>1051</v>
      </c>
      <c r="E506" t="s">
        <v>794</v>
      </c>
      <c r="F506">
        <v>14</v>
      </c>
      <c r="G506" t="s">
        <v>1055</v>
      </c>
      <c r="H506" t="s">
        <v>499</v>
      </c>
      <c r="I506" t="s">
        <v>542</v>
      </c>
      <c r="J506" t="s">
        <v>152</v>
      </c>
      <c r="Q506">
        <v>0</v>
      </c>
      <c r="R506">
        <v>0</v>
      </c>
      <c r="U506" s="61" t="s">
        <v>496</v>
      </c>
      <c r="V506" t="s">
        <v>749</v>
      </c>
    </row>
    <row r="507" spans="1:22" x14ac:dyDescent="0.2">
      <c r="A507" t="s">
        <v>107</v>
      </c>
      <c r="B507" t="s">
        <v>1576</v>
      </c>
      <c r="C507">
        <v>296</v>
      </c>
      <c r="D507" t="s">
        <v>1051</v>
      </c>
      <c r="E507" t="s">
        <v>794</v>
      </c>
      <c r="F507">
        <v>15</v>
      </c>
      <c r="G507" t="s">
        <v>1055</v>
      </c>
      <c r="H507" t="s">
        <v>499</v>
      </c>
      <c r="I507" t="s">
        <v>541</v>
      </c>
      <c r="J507" t="s">
        <v>147</v>
      </c>
      <c r="Q507">
        <v>0</v>
      </c>
      <c r="R507">
        <v>0</v>
      </c>
      <c r="U507" s="61" t="s">
        <v>496</v>
      </c>
      <c r="V507" t="s">
        <v>749</v>
      </c>
    </row>
    <row r="508" spans="1:22" x14ac:dyDescent="0.2">
      <c r="A508" t="s">
        <v>107</v>
      </c>
      <c r="B508" t="s">
        <v>1577</v>
      </c>
      <c r="C508">
        <v>297</v>
      </c>
      <c r="D508" t="s">
        <v>1051</v>
      </c>
      <c r="E508" t="s">
        <v>794</v>
      </c>
      <c r="F508">
        <v>16</v>
      </c>
      <c r="G508" t="s">
        <v>1055</v>
      </c>
      <c r="H508" t="s">
        <v>499</v>
      </c>
      <c r="I508" t="s">
        <v>543</v>
      </c>
      <c r="J508" t="s">
        <v>152</v>
      </c>
      <c r="Q508">
        <v>0</v>
      </c>
      <c r="R508">
        <v>0</v>
      </c>
      <c r="U508" s="61" t="s">
        <v>496</v>
      </c>
      <c r="V508" t="s">
        <v>749</v>
      </c>
    </row>
    <row r="509" spans="1:22" x14ac:dyDescent="0.2">
      <c r="A509" t="s">
        <v>107</v>
      </c>
      <c r="B509" t="s">
        <v>1578</v>
      </c>
      <c r="C509">
        <v>298</v>
      </c>
      <c r="D509" t="s">
        <v>1051</v>
      </c>
      <c r="E509" t="s">
        <v>795</v>
      </c>
      <c r="F509">
        <v>1</v>
      </c>
      <c r="G509" t="s">
        <v>1056</v>
      </c>
      <c r="H509" t="s">
        <v>500</v>
      </c>
      <c r="I509" t="s">
        <v>544</v>
      </c>
      <c r="J509" t="s">
        <v>152</v>
      </c>
      <c r="Q509">
        <v>0</v>
      </c>
      <c r="R509">
        <v>0</v>
      </c>
      <c r="U509" s="61" t="s">
        <v>958</v>
      </c>
      <c r="V509" t="s">
        <v>500</v>
      </c>
    </row>
    <row r="510" spans="1:22" x14ac:dyDescent="0.2">
      <c r="A510" t="s">
        <v>107</v>
      </c>
      <c r="B510" t="s">
        <v>1579</v>
      </c>
      <c r="C510">
        <v>299</v>
      </c>
      <c r="D510" t="s">
        <v>1051</v>
      </c>
      <c r="E510" t="s">
        <v>795</v>
      </c>
      <c r="F510">
        <v>2</v>
      </c>
      <c r="G510" t="s">
        <v>1056</v>
      </c>
      <c r="H510" t="s">
        <v>500</v>
      </c>
      <c r="I510" t="s">
        <v>545</v>
      </c>
      <c r="J510" t="s">
        <v>152</v>
      </c>
      <c r="Q510">
        <v>0</v>
      </c>
      <c r="R510">
        <v>0</v>
      </c>
      <c r="U510" s="61" t="s">
        <v>958</v>
      </c>
      <c r="V510" t="s">
        <v>500</v>
      </c>
    </row>
    <row r="511" spans="1:22" x14ac:dyDescent="0.2">
      <c r="A511" t="s">
        <v>107</v>
      </c>
      <c r="B511" t="s">
        <v>1580</v>
      </c>
      <c r="C511">
        <v>300</v>
      </c>
      <c r="D511" t="s">
        <v>1051</v>
      </c>
      <c r="E511" t="s">
        <v>795</v>
      </c>
      <c r="F511">
        <v>3</v>
      </c>
      <c r="G511" t="s">
        <v>1056</v>
      </c>
      <c r="H511" t="s">
        <v>500</v>
      </c>
      <c r="I511" t="s">
        <v>546</v>
      </c>
      <c r="J511" t="s">
        <v>152</v>
      </c>
      <c r="Q511">
        <v>0</v>
      </c>
      <c r="R511">
        <v>0</v>
      </c>
      <c r="U511" s="61" t="s">
        <v>958</v>
      </c>
      <c r="V511" t="s">
        <v>500</v>
      </c>
    </row>
    <row r="512" spans="1:22" x14ac:dyDescent="0.2">
      <c r="A512" t="s">
        <v>107</v>
      </c>
      <c r="B512" t="s">
        <v>1581</v>
      </c>
      <c r="C512">
        <v>301</v>
      </c>
      <c r="D512" t="s">
        <v>1051</v>
      </c>
      <c r="E512" t="s">
        <v>795</v>
      </c>
      <c r="F512">
        <v>4</v>
      </c>
      <c r="G512" t="s">
        <v>1056</v>
      </c>
      <c r="H512" t="s">
        <v>500</v>
      </c>
      <c r="I512" t="s">
        <v>547</v>
      </c>
      <c r="J512" t="s">
        <v>147</v>
      </c>
      <c r="Q512">
        <v>0</v>
      </c>
      <c r="R512">
        <v>0</v>
      </c>
      <c r="U512" s="61" t="s">
        <v>958</v>
      </c>
      <c r="V512" t="s">
        <v>500</v>
      </c>
    </row>
    <row r="513" spans="1:22" x14ac:dyDescent="0.2">
      <c r="A513" t="s">
        <v>107</v>
      </c>
      <c r="B513" t="s">
        <v>1582</v>
      </c>
      <c r="C513">
        <v>302</v>
      </c>
      <c r="D513" t="s">
        <v>1051</v>
      </c>
      <c r="E513" t="s">
        <v>795</v>
      </c>
      <c r="F513">
        <v>5</v>
      </c>
      <c r="G513" t="s">
        <v>1056</v>
      </c>
      <c r="H513" t="s">
        <v>500</v>
      </c>
      <c r="I513" t="s">
        <v>548</v>
      </c>
      <c r="J513" t="s">
        <v>147</v>
      </c>
      <c r="Q513">
        <v>0</v>
      </c>
      <c r="R513">
        <v>0</v>
      </c>
      <c r="U513" s="61" t="s">
        <v>958</v>
      </c>
      <c r="V513" t="s">
        <v>500</v>
      </c>
    </row>
    <row r="514" spans="1:22" x14ac:dyDescent="0.2">
      <c r="A514" t="s">
        <v>107</v>
      </c>
      <c r="B514" t="s">
        <v>1583</v>
      </c>
      <c r="C514">
        <v>303</v>
      </c>
      <c r="D514" t="s">
        <v>1051</v>
      </c>
      <c r="E514" t="s">
        <v>795</v>
      </c>
      <c r="F514">
        <v>6</v>
      </c>
      <c r="G514" t="s">
        <v>1056</v>
      </c>
      <c r="H514" t="s">
        <v>500</v>
      </c>
      <c r="I514" t="s">
        <v>549</v>
      </c>
      <c r="J514" t="s">
        <v>152</v>
      </c>
      <c r="Q514">
        <v>0</v>
      </c>
      <c r="R514">
        <v>0</v>
      </c>
      <c r="U514" s="61" t="s">
        <v>958</v>
      </c>
      <c r="V514" t="s">
        <v>500</v>
      </c>
    </row>
    <row r="515" spans="1:22" x14ac:dyDescent="0.2">
      <c r="A515" t="s">
        <v>107</v>
      </c>
      <c r="B515" t="s">
        <v>1584</v>
      </c>
      <c r="C515">
        <v>304</v>
      </c>
      <c r="D515" t="s">
        <v>1051</v>
      </c>
      <c r="E515" t="s">
        <v>795</v>
      </c>
      <c r="F515">
        <v>7</v>
      </c>
      <c r="G515" t="s">
        <v>1056</v>
      </c>
      <c r="H515" t="s">
        <v>500</v>
      </c>
      <c r="I515" t="s">
        <v>550</v>
      </c>
      <c r="J515" t="s">
        <v>147</v>
      </c>
      <c r="Q515">
        <v>0</v>
      </c>
      <c r="R515">
        <v>0</v>
      </c>
      <c r="U515" s="61" t="s">
        <v>958</v>
      </c>
      <c r="V515" t="s">
        <v>500</v>
      </c>
    </row>
    <row r="516" spans="1:22" x14ac:dyDescent="0.2">
      <c r="A516" t="s">
        <v>107</v>
      </c>
      <c r="B516" t="s">
        <v>1585</v>
      </c>
      <c r="C516">
        <v>305</v>
      </c>
      <c r="D516" t="s">
        <v>1051</v>
      </c>
      <c r="E516" t="s">
        <v>795</v>
      </c>
      <c r="F516">
        <v>8</v>
      </c>
      <c r="G516" t="s">
        <v>1056</v>
      </c>
      <c r="H516" t="s">
        <v>500</v>
      </c>
      <c r="I516" t="s">
        <v>551</v>
      </c>
      <c r="J516" t="s">
        <v>151</v>
      </c>
      <c r="Q516">
        <v>0</v>
      </c>
      <c r="R516">
        <v>0</v>
      </c>
      <c r="U516" s="61" t="s">
        <v>958</v>
      </c>
      <c r="V516" t="s">
        <v>500</v>
      </c>
    </row>
    <row r="517" spans="1:22" x14ac:dyDescent="0.2">
      <c r="A517" t="s">
        <v>107</v>
      </c>
      <c r="B517" t="s">
        <v>1586</v>
      </c>
      <c r="C517">
        <v>306</v>
      </c>
      <c r="D517" t="s">
        <v>1051</v>
      </c>
      <c r="E517" t="s">
        <v>795</v>
      </c>
      <c r="F517">
        <v>9</v>
      </c>
      <c r="G517" t="s">
        <v>1056</v>
      </c>
      <c r="H517" t="s">
        <v>500</v>
      </c>
      <c r="I517" t="s">
        <v>992</v>
      </c>
      <c r="J517" t="s">
        <v>179</v>
      </c>
      <c r="Q517">
        <v>0</v>
      </c>
      <c r="R517">
        <v>0</v>
      </c>
      <c r="U517" s="61" t="s">
        <v>958</v>
      </c>
      <c r="V517" t="s">
        <v>500</v>
      </c>
    </row>
    <row r="518" spans="1:22" x14ac:dyDescent="0.2">
      <c r="A518" t="s">
        <v>107</v>
      </c>
      <c r="B518" t="s">
        <v>1587</v>
      </c>
      <c r="C518">
        <v>307</v>
      </c>
      <c r="D518" t="s">
        <v>1051</v>
      </c>
      <c r="E518" t="s">
        <v>795</v>
      </c>
      <c r="F518">
        <v>10</v>
      </c>
      <c r="G518" t="s">
        <v>1056</v>
      </c>
      <c r="H518" t="s">
        <v>500</v>
      </c>
      <c r="I518" t="s">
        <v>552</v>
      </c>
      <c r="J518" t="s">
        <v>152</v>
      </c>
      <c r="Q518">
        <v>0</v>
      </c>
      <c r="R518">
        <v>0</v>
      </c>
      <c r="U518" s="61" t="s">
        <v>958</v>
      </c>
      <c r="V518" t="s">
        <v>500</v>
      </c>
    </row>
    <row r="519" spans="1:22" x14ac:dyDescent="0.2">
      <c r="A519" t="s">
        <v>107</v>
      </c>
      <c r="B519" t="s">
        <v>1588</v>
      </c>
      <c r="C519">
        <v>308</v>
      </c>
      <c r="D519" t="s">
        <v>1051</v>
      </c>
      <c r="E519" t="s">
        <v>795</v>
      </c>
      <c r="F519">
        <v>11</v>
      </c>
      <c r="G519" t="s">
        <v>1056</v>
      </c>
      <c r="H519" t="s">
        <v>500</v>
      </c>
      <c r="I519" t="s">
        <v>553</v>
      </c>
      <c r="J519" t="s">
        <v>152</v>
      </c>
      <c r="Q519">
        <v>0</v>
      </c>
      <c r="R519">
        <v>0</v>
      </c>
      <c r="U519" s="61" t="s">
        <v>958</v>
      </c>
      <c r="V519" t="s">
        <v>500</v>
      </c>
    </row>
    <row r="520" spans="1:22" x14ac:dyDescent="0.2">
      <c r="A520" t="s">
        <v>107</v>
      </c>
      <c r="B520" t="s">
        <v>1589</v>
      </c>
      <c r="C520">
        <v>309</v>
      </c>
      <c r="D520" t="s">
        <v>1051</v>
      </c>
      <c r="E520" t="s">
        <v>795</v>
      </c>
      <c r="F520">
        <v>12</v>
      </c>
      <c r="G520" t="s">
        <v>1056</v>
      </c>
      <c r="H520" t="s">
        <v>500</v>
      </c>
      <c r="I520" t="s">
        <v>554</v>
      </c>
      <c r="J520" t="s">
        <v>179</v>
      </c>
      <c r="Q520">
        <v>0</v>
      </c>
      <c r="R520">
        <v>0</v>
      </c>
      <c r="U520" s="61" t="s">
        <v>958</v>
      </c>
      <c r="V520" t="s">
        <v>500</v>
      </c>
    </row>
    <row r="521" spans="1:22" x14ac:dyDescent="0.2">
      <c r="A521" t="s">
        <v>107</v>
      </c>
      <c r="B521" t="s">
        <v>1590</v>
      </c>
      <c r="C521">
        <v>310</v>
      </c>
      <c r="D521" t="s">
        <v>1051</v>
      </c>
      <c r="E521" t="s">
        <v>795</v>
      </c>
      <c r="F521">
        <v>13</v>
      </c>
      <c r="G521" t="s">
        <v>1056</v>
      </c>
      <c r="H521" t="s">
        <v>500</v>
      </c>
      <c r="I521" t="s">
        <v>555</v>
      </c>
      <c r="J521" t="s">
        <v>147</v>
      </c>
      <c r="Q521">
        <v>0</v>
      </c>
      <c r="R521">
        <v>0</v>
      </c>
      <c r="U521" s="61" t="s">
        <v>958</v>
      </c>
      <c r="V521" t="s">
        <v>500</v>
      </c>
    </row>
    <row r="522" spans="1:22" x14ac:dyDescent="0.2">
      <c r="A522" t="s">
        <v>107</v>
      </c>
      <c r="B522" t="s">
        <v>1591</v>
      </c>
      <c r="C522">
        <v>311</v>
      </c>
      <c r="D522" t="s">
        <v>1051</v>
      </c>
      <c r="E522" t="s">
        <v>795</v>
      </c>
      <c r="F522">
        <v>14</v>
      </c>
      <c r="G522" t="s">
        <v>1056</v>
      </c>
      <c r="H522" t="s">
        <v>500</v>
      </c>
      <c r="I522" t="s">
        <v>556</v>
      </c>
      <c r="J522" t="s">
        <v>147</v>
      </c>
      <c r="Q522">
        <v>0</v>
      </c>
      <c r="R522">
        <v>0</v>
      </c>
      <c r="U522" s="61" t="s">
        <v>958</v>
      </c>
      <c r="V522" t="s">
        <v>500</v>
      </c>
    </row>
    <row r="523" spans="1:22" x14ac:dyDescent="0.2">
      <c r="A523" t="s">
        <v>107</v>
      </c>
      <c r="B523" t="s">
        <v>1592</v>
      </c>
      <c r="C523">
        <v>312</v>
      </c>
      <c r="D523" t="s">
        <v>1051</v>
      </c>
      <c r="E523" t="s">
        <v>795</v>
      </c>
      <c r="F523">
        <v>15</v>
      </c>
      <c r="G523" t="s">
        <v>1056</v>
      </c>
      <c r="H523" t="s">
        <v>500</v>
      </c>
      <c r="I523" t="s">
        <v>557</v>
      </c>
      <c r="J523" t="s">
        <v>179</v>
      </c>
      <c r="Q523">
        <v>0</v>
      </c>
      <c r="R523">
        <v>0</v>
      </c>
      <c r="U523" s="61" t="s">
        <v>958</v>
      </c>
      <c r="V523" t="s">
        <v>500</v>
      </c>
    </row>
    <row r="524" spans="1:22" x14ac:dyDescent="0.2">
      <c r="A524" t="s">
        <v>107</v>
      </c>
      <c r="B524" t="s">
        <v>1593</v>
      </c>
      <c r="C524">
        <v>313</v>
      </c>
      <c r="D524" t="s">
        <v>1051</v>
      </c>
      <c r="E524" t="s">
        <v>795</v>
      </c>
      <c r="F524">
        <v>16</v>
      </c>
      <c r="G524" t="s">
        <v>1056</v>
      </c>
      <c r="H524" t="s">
        <v>500</v>
      </c>
      <c r="I524" t="s">
        <v>558</v>
      </c>
      <c r="J524" t="s">
        <v>179</v>
      </c>
      <c r="Q524">
        <v>0</v>
      </c>
      <c r="R524">
        <v>0</v>
      </c>
      <c r="U524" s="61" t="s">
        <v>958</v>
      </c>
      <c r="V524" t="s">
        <v>500</v>
      </c>
    </row>
    <row r="525" spans="1:22" x14ac:dyDescent="0.2">
      <c r="A525" t="s">
        <v>107</v>
      </c>
      <c r="B525" t="s">
        <v>1594</v>
      </c>
      <c r="C525">
        <v>314</v>
      </c>
      <c r="D525" t="s">
        <v>1051</v>
      </c>
      <c r="E525" t="s">
        <v>795</v>
      </c>
      <c r="F525">
        <v>17</v>
      </c>
      <c r="G525" t="s">
        <v>1056</v>
      </c>
      <c r="H525" t="s">
        <v>500</v>
      </c>
      <c r="I525" t="s">
        <v>559</v>
      </c>
      <c r="J525" t="s">
        <v>179</v>
      </c>
      <c r="Q525">
        <v>0</v>
      </c>
      <c r="R525">
        <v>0</v>
      </c>
      <c r="U525" s="61" t="s">
        <v>958</v>
      </c>
      <c r="V525" t="s">
        <v>500</v>
      </c>
    </row>
    <row r="526" spans="1:22" x14ac:dyDescent="0.2">
      <c r="A526" t="s">
        <v>107</v>
      </c>
      <c r="B526" t="s">
        <v>1595</v>
      </c>
      <c r="C526">
        <v>315</v>
      </c>
      <c r="D526" t="s">
        <v>1051</v>
      </c>
      <c r="E526" t="s">
        <v>795</v>
      </c>
      <c r="F526">
        <v>18</v>
      </c>
      <c r="G526" t="s">
        <v>1056</v>
      </c>
      <c r="H526" t="s">
        <v>500</v>
      </c>
      <c r="I526" t="s">
        <v>560</v>
      </c>
      <c r="J526" t="s">
        <v>152</v>
      </c>
      <c r="Q526">
        <v>0</v>
      </c>
      <c r="R526">
        <v>0</v>
      </c>
      <c r="U526" s="61" t="s">
        <v>958</v>
      </c>
      <c r="V526" t="s">
        <v>500</v>
      </c>
    </row>
    <row r="527" spans="1:22" x14ac:dyDescent="0.2">
      <c r="A527" t="s">
        <v>107</v>
      </c>
      <c r="B527" t="s">
        <v>1596</v>
      </c>
      <c r="C527">
        <v>316</v>
      </c>
      <c r="D527" t="s">
        <v>1051</v>
      </c>
      <c r="E527" t="s">
        <v>795</v>
      </c>
      <c r="F527">
        <v>19</v>
      </c>
      <c r="G527" t="s">
        <v>1056</v>
      </c>
      <c r="H527" t="s">
        <v>500</v>
      </c>
      <c r="I527" t="s">
        <v>561</v>
      </c>
      <c r="J527" t="s">
        <v>179</v>
      </c>
      <c r="Q527">
        <v>0</v>
      </c>
      <c r="R527">
        <v>0</v>
      </c>
      <c r="U527" s="61" t="s">
        <v>958</v>
      </c>
      <c r="V527" t="s">
        <v>500</v>
      </c>
    </row>
    <row r="528" spans="1:22" x14ac:dyDescent="0.2">
      <c r="A528" t="s">
        <v>107</v>
      </c>
      <c r="B528" t="s">
        <v>1597</v>
      </c>
      <c r="C528">
        <v>317</v>
      </c>
      <c r="D528" t="s">
        <v>1051</v>
      </c>
      <c r="E528" t="s">
        <v>795</v>
      </c>
      <c r="F528">
        <v>20</v>
      </c>
      <c r="G528" t="s">
        <v>1056</v>
      </c>
      <c r="H528" t="s">
        <v>500</v>
      </c>
      <c r="I528" t="s">
        <v>562</v>
      </c>
      <c r="J528" t="s">
        <v>179</v>
      </c>
      <c r="Q528">
        <v>0</v>
      </c>
      <c r="R528">
        <v>0</v>
      </c>
      <c r="U528" s="61" t="s">
        <v>958</v>
      </c>
      <c r="V528" t="s">
        <v>500</v>
      </c>
    </row>
    <row r="529" spans="1:22" x14ac:dyDescent="0.2">
      <c r="A529" t="s">
        <v>107</v>
      </c>
      <c r="B529" t="s">
        <v>1598</v>
      </c>
      <c r="C529">
        <v>318</v>
      </c>
      <c r="D529" t="s">
        <v>1051</v>
      </c>
      <c r="E529" t="s">
        <v>795</v>
      </c>
      <c r="F529">
        <v>21</v>
      </c>
      <c r="G529" t="s">
        <v>1056</v>
      </c>
      <c r="H529" t="s">
        <v>500</v>
      </c>
      <c r="I529" t="s">
        <v>563</v>
      </c>
      <c r="J529" t="s">
        <v>151</v>
      </c>
      <c r="Q529">
        <v>0</v>
      </c>
      <c r="R529">
        <v>0</v>
      </c>
      <c r="U529" s="61" t="s">
        <v>958</v>
      </c>
      <c r="V529" t="s">
        <v>500</v>
      </c>
    </row>
    <row r="530" spans="1:22" x14ac:dyDescent="0.2">
      <c r="A530" t="s">
        <v>107</v>
      </c>
      <c r="B530" t="s">
        <v>1599</v>
      </c>
      <c r="C530">
        <v>319</v>
      </c>
      <c r="D530" t="s">
        <v>1051</v>
      </c>
      <c r="E530" t="s">
        <v>795</v>
      </c>
      <c r="F530">
        <v>22</v>
      </c>
      <c r="G530" t="s">
        <v>1056</v>
      </c>
      <c r="H530" t="s">
        <v>500</v>
      </c>
      <c r="I530" t="s">
        <v>564</v>
      </c>
      <c r="J530" t="s">
        <v>179</v>
      </c>
      <c r="Q530">
        <v>0</v>
      </c>
      <c r="R530">
        <v>0</v>
      </c>
      <c r="U530" s="61" t="s">
        <v>958</v>
      </c>
      <c r="V530" t="s">
        <v>500</v>
      </c>
    </row>
    <row r="531" spans="1:22" x14ac:dyDescent="0.2">
      <c r="A531" t="s">
        <v>107</v>
      </c>
      <c r="B531" t="s">
        <v>1600</v>
      </c>
      <c r="C531">
        <v>320</v>
      </c>
      <c r="D531" t="s">
        <v>1051</v>
      </c>
      <c r="E531" t="s">
        <v>796</v>
      </c>
      <c r="F531">
        <v>1</v>
      </c>
      <c r="G531" t="s">
        <v>1057</v>
      </c>
      <c r="H531" t="s">
        <v>502</v>
      </c>
      <c r="I531" t="s">
        <v>566</v>
      </c>
      <c r="J531" t="s">
        <v>565</v>
      </c>
      <c r="Q531">
        <v>0</v>
      </c>
      <c r="R531">
        <v>0</v>
      </c>
      <c r="U531" s="61" t="s">
        <v>500</v>
      </c>
      <c r="V531" t="s">
        <v>751</v>
      </c>
    </row>
    <row r="532" spans="1:22" x14ac:dyDescent="0.2">
      <c r="A532" t="s">
        <v>107</v>
      </c>
      <c r="B532" t="s">
        <v>1601</v>
      </c>
      <c r="C532">
        <v>321</v>
      </c>
      <c r="D532" t="s">
        <v>1051</v>
      </c>
      <c r="E532" t="s">
        <v>796</v>
      </c>
      <c r="F532">
        <v>2</v>
      </c>
      <c r="G532" t="s">
        <v>1057</v>
      </c>
      <c r="H532" t="s">
        <v>502</v>
      </c>
      <c r="I532" t="s">
        <v>567</v>
      </c>
      <c r="J532" t="s">
        <v>152</v>
      </c>
      <c r="Q532">
        <v>0</v>
      </c>
      <c r="R532">
        <v>0</v>
      </c>
      <c r="U532" s="61" t="s">
        <v>500</v>
      </c>
      <c r="V532" t="s">
        <v>751</v>
      </c>
    </row>
    <row r="533" spans="1:22" x14ac:dyDescent="0.2">
      <c r="A533" t="s">
        <v>107</v>
      </c>
      <c r="B533" t="s">
        <v>1602</v>
      </c>
      <c r="C533">
        <v>322</v>
      </c>
      <c r="D533" t="s">
        <v>1051</v>
      </c>
      <c r="E533" t="s">
        <v>796</v>
      </c>
      <c r="F533">
        <v>3</v>
      </c>
      <c r="G533" t="s">
        <v>1057</v>
      </c>
      <c r="H533" t="s">
        <v>502</v>
      </c>
      <c r="I533" t="s">
        <v>568</v>
      </c>
      <c r="J533" t="s">
        <v>150</v>
      </c>
      <c r="Q533">
        <v>0</v>
      </c>
      <c r="R533">
        <v>0</v>
      </c>
      <c r="U533" s="61" t="s">
        <v>500</v>
      </c>
      <c r="V533" t="s">
        <v>751</v>
      </c>
    </row>
    <row r="534" spans="1:22" x14ac:dyDescent="0.2">
      <c r="A534" t="s">
        <v>107</v>
      </c>
      <c r="B534" t="s">
        <v>1603</v>
      </c>
      <c r="C534">
        <v>323</v>
      </c>
      <c r="D534" t="s">
        <v>1051</v>
      </c>
      <c r="E534" t="s">
        <v>796</v>
      </c>
      <c r="F534">
        <v>4</v>
      </c>
      <c r="G534" t="s">
        <v>1057</v>
      </c>
      <c r="H534" t="s">
        <v>502</v>
      </c>
      <c r="I534" t="s">
        <v>570</v>
      </c>
      <c r="J534" t="s">
        <v>152</v>
      </c>
      <c r="Q534">
        <v>0</v>
      </c>
      <c r="R534">
        <v>0</v>
      </c>
      <c r="U534" s="61" t="s">
        <v>500</v>
      </c>
      <c r="V534" t="s">
        <v>751</v>
      </c>
    </row>
    <row r="535" spans="1:22" x14ac:dyDescent="0.2">
      <c r="A535" t="s">
        <v>107</v>
      </c>
      <c r="B535" t="s">
        <v>1604</v>
      </c>
      <c r="C535">
        <v>324</v>
      </c>
      <c r="D535" t="s">
        <v>1051</v>
      </c>
      <c r="E535" t="s">
        <v>796</v>
      </c>
      <c r="F535">
        <v>5</v>
      </c>
      <c r="G535" t="s">
        <v>1057</v>
      </c>
      <c r="H535" t="s">
        <v>502</v>
      </c>
      <c r="I535" t="s">
        <v>569</v>
      </c>
      <c r="J535" t="s">
        <v>152</v>
      </c>
      <c r="Q535">
        <v>0</v>
      </c>
      <c r="R535">
        <v>0</v>
      </c>
      <c r="U535" s="61" t="s">
        <v>500</v>
      </c>
      <c r="V535" t="s">
        <v>751</v>
      </c>
    </row>
    <row r="536" spans="1:22" x14ac:dyDescent="0.2">
      <c r="A536" t="s">
        <v>107</v>
      </c>
      <c r="B536" t="s">
        <v>1605</v>
      </c>
      <c r="C536">
        <v>325</v>
      </c>
      <c r="D536" t="s">
        <v>1051</v>
      </c>
      <c r="E536" t="s">
        <v>796</v>
      </c>
      <c r="F536">
        <v>6</v>
      </c>
      <c r="G536" t="s">
        <v>1057</v>
      </c>
      <c r="H536" t="s">
        <v>502</v>
      </c>
      <c r="I536" t="s">
        <v>993</v>
      </c>
      <c r="J536" t="s">
        <v>147</v>
      </c>
      <c r="Q536">
        <v>0</v>
      </c>
      <c r="R536">
        <v>0</v>
      </c>
      <c r="U536" s="61" t="s">
        <v>500</v>
      </c>
      <c r="V536" t="s">
        <v>751</v>
      </c>
    </row>
    <row r="537" spans="1:22" x14ac:dyDescent="0.2">
      <c r="A537" t="s">
        <v>107</v>
      </c>
      <c r="B537" t="s">
        <v>1606</v>
      </c>
      <c r="C537">
        <v>326</v>
      </c>
      <c r="D537" t="s">
        <v>1051</v>
      </c>
      <c r="E537" t="s">
        <v>796</v>
      </c>
      <c r="F537">
        <v>7</v>
      </c>
      <c r="G537" t="s">
        <v>1057</v>
      </c>
      <c r="H537" t="s">
        <v>502</v>
      </c>
      <c r="I537" t="s">
        <v>571</v>
      </c>
      <c r="J537" t="s">
        <v>149</v>
      </c>
      <c r="Q537">
        <v>0</v>
      </c>
      <c r="R537">
        <v>0</v>
      </c>
      <c r="U537" s="61" t="s">
        <v>500</v>
      </c>
      <c r="V537" t="s">
        <v>751</v>
      </c>
    </row>
    <row r="538" spans="1:22" x14ac:dyDescent="0.2">
      <c r="A538" t="s">
        <v>107</v>
      </c>
      <c r="B538" t="s">
        <v>1607</v>
      </c>
      <c r="C538">
        <v>327</v>
      </c>
      <c r="D538" t="s">
        <v>1051</v>
      </c>
      <c r="E538" t="s">
        <v>796</v>
      </c>
      <c r="F538">
        <v>8</v>
      </c>
      <c r="G538" t="s">
        <v>1057</v>
      </c>
      <c r="H538" t="s">
        <v>502</v>
      </c>
      <c r="I538" t="s">
        <v>572</v>
      </c>
      <c r="J538" t="s">
        <v>179</v>
      </c>
      <c r="Q538">
        <v>0</v>
      </c>
      <c r="R538">
        <v>0</v>
      </c>
      <c r="U538" s="61" t="s">
        <v>500</v>
      </c>
      <c r="V538" t="s">
        <v>751</v>
      </c>
    </row>
    <row r="539" spans="1:22" x14ac:dyDescent="0.2">
      <c r="A539" t="s">
        <v>107</v>
      </c>
      <c r="B539" t="s">
        <v>1608</v>
      </c>
      <c r="C539">
        <v>328</v>
      </c>
      <c r="D539" t="s">
        <v>1051</v>
      </c>
      <c r="E539" t="s">
        <v>796</v>
      </c>
      <c r="F539">
        <v>9</v>
      </c>
      <c r="G539" t="s">
        <v>1057</v>
      </c>
      <c r="H539" t="s">
        <v>502</v>
      </c>
      <c r="I539" t="s">
        <v>1033</v>
      </c>
      <c r="J539" t="s">
        <v>179</v>
      </c>
      <c r="Q539">
        <v>0</v>
      </c>
      <c r="R539">
        <v>0</v>
      </c>
      <c r="U539" s="61" t="s">
        <v>500</v>
      </c>
      <c r="V539" t="s">
        <v>751</v>
      </c>
    </row>
    <row r="540" spans="1:22" x14ac:dyDescent="0.2">
      <c r="A540" t="s">
        <v>107</v>
      </c>
      <c r="B540" t="s">
        <v>1609</v>
      </c>
      <c r="C540">
        <v>329</v>
      </c>
      <c r="D540" t="s">
        <v>1051</v>
      </c>
      <c r="E540" t="s">
        <v>796</v>
      </c>
      <c r="F540">
        <v>10</v>
      </c>
      <c r="G540" t="s">
        <v>1057</v>
      </c>
      <c r="H540" t="s">
        <v>502</v>
      </c>
      <c r="I540" t="s">
        <v>573</v>
      </c>
      <c r="J540" t="s">
        <v>151</v>
      </c>
      <c r="Q540">
        <v>0</v>
      </c>
      <c r="R540">
        <v>0</v>
      </c>
      <c r="U540" s="61" t="s">
        <v>500</v>
      </c>
      <c r="V540" t="s">
        <v>751</v>
      </c>
    </row>
    <row r="541" spans="1:22" x14ac:dyDescent="0.2">
      <c r="A541" t="s">
        <v>107</v>
      </c>
      <c r="B541" t="s">
        <v>1610</v>
      </c>
      <c r="C541">
        <v>330</v>
      </c>
      <c r="D541" t="s">
        <v>1051</v>
      </c>
      <c r="E541" t="s">
        <v>797</v>
      </c>
      <c r="F541">
        <v>1</v>
      </c>
      <c r="G541" t="s">
        <v>1061</v>
      </c>
      <c r="H541" t="s">
        <v>503</v>
      </c>
      <c r="I541" t="s">
        <v>574</v>
      </c>
      <c r="J541" t="s">
        <v>152</v>
      </c>
      <c r="Q541">
        <v>0</v>
      </c>
      <c r="R541">
        <v>0</v>
      </c>
      <c r="U541" s="61" t="s">
        <v>500</v>
      </c>
      <c r="V541" t="s">
        <v>752</v>
      </c>
    </row>
    <row r="542" spans="1:22" x14ac:dyDescent="0.2">
      <c r="A542" t="s">
        <v>107</v>
      </c>
      <c r="B542" t="s">
        <v>1611</v>
      </c>
      <c r="C542">
        <v>331</v>
      </c>
      <c r="D542" t="s">
        <v>1051</v>
      </c>
      <c r="E542" t="s">
        <v>797</v>
      </c>
      <c r="F542">
        <v>2</v>
      </c>
      <c r="G542" t="s">
        <v>1061</v>
      </c>
      <c r="H542" t="s">
        <v>503</v>
      </c>
      <c r="I542" t="s">
        <v>575</v>
      </c>
      <c r="J542" t="s">
        <v>151</v>
      </c>
      <c r="Q542">
        <v>0</v>
      </c>
      <c r="R542">
        <v>0</v>
      </c>
      <c r="U542" s="61" t="s">
        <v>500</v>
      </c>
      <c r="V542" t="s">
        <v>752</v>
      </c>
    </row>
    <row r="543" spans="1:22" x14ac:dyDescent="0.2">
      <c r="A543" t="s">
        <v>107</v>
      </c>
      <c r="B543" t="s">
        <v>1612</v>
      </c>
      <c r="C543">
        <v>332</v>
      </c>
      <c r="D543" t="s">
        <v>1051</v>
      </c>
      <c r="E543" t="s">
        <v>797</v>
      </c>
      <c r="F543">
        <v>3</v>
      </c>
      <c r="G543" t="s">
        <v>1061</v>
      </c>
      <c r="H543" t="s">
        <v>503</v>
      </c>
      <c r="I543" t="s">
        <v>576</v>
      </c>
      <c r="J543" t="s">
        <v>151</v>
      </c>
      <c r="Q543">
        <v>0</v>
      </c>
      <c r="R543">
        <v>0</v>
      </c>
      <c r="U543" s="61" t="s">
        <v>500</v>
      </c>
      <c r="V543" t="s">
        <v>752</v>
      </c>
    </row>
    <row r="544" spans="1:22" x14ac:dyDescent="0.2">
      <c r="A544" t="s">
        <v>107</v>
      </c>
      <c r="B544" t="s">
        <v>1613</v>
      </c>
      <c r="C544">
        <v>333</v>
      </c>
      <c r="D544" t="s">
        <v>1051</v>
      </c>
      <c r="E544" t="s">
        <v>798</v>
      </c>
      <c r="F544">
        <v>1</v>
      </c>
      <c r="G544" t="s">
        <v>1062</v>
      </c>
      <c r="H544" t="s">
        <v>504</v>
      </c>
      <c r="I544" t="s">
        <v>577</v>
      </c>
      <c r="J544" t="s">
        <v>152</v>
      </c>
      <c r="Q544">
        <v>0</v>
      </c>
      <c r="R544">
        <v>0</v>
      </c>
      <c r="U544" s="61" t="s">
        <v>500</v>
      </c>
      <c r="V544" t="s">
        <v>753</v>
      </c>
    </row>
    <row r="545" spans="1:22" x14ac:dyDescent="0.2">
      <c r="A545" t="s">
        <v>107</v>
      </c>
      <c r="B545" t="s">
        <v>1614</v>
      </c>
      <c r="C545">
        <v>334</v>
      </c>
      <c r="D545" t="s">
        <v>1051</v>
      </c>
      <c r="E545" t="s">
        <v>798</v>
      </c>
      <c r="F545">
        <v>2</v>
      </c>
      <c r="G545" t="s">
        <v>1062</v>
      </c>
      <c r="H545" t="s">
        <v>504</v>
      </c>
      <c r="I545" t="s">
        <v>578</v>
      </c>
      <c r="J545" t="s">
        <v>151</v>
      </c>
      <c r="Q545">
        <v>0</v>
      </c>
      <c r="R545">
        <v>0</v>
      </c>
      <c r="U545" s="61" t="s">
        <v>500</v>
      </c>
      <c r="V545" t="s">
        <v>753</v>
      </c>
    </row>
    <row r="546" spans="1:22" x14ac:dyDescent="0.2">
      <c r="A546" t="s">
        <v>107</v>
      </c>
      <c r="B546" t="s">
        <v>1615</v>
      </c>
      <c r="C546">
        <v>335</v>
      </c>
      <c r="D546" t="s">
        <v>1051</v>
      </c>
      <c r="E546" t="s">
        <v>798</v>
      </c>
      <c r="F546">
        <v>3</v>
      </c>
      <c r="G546" t="s">
        <v>1062</v>
      </c>
      <c r="H546" t="s">
        <v>504</v>
      </c>
      <c r="I546" t="s">
        <v>579</v>
      </c>
      <c r="J546" t="s">
        <v>152</v>
      </c>
      <c r="Q546">
        <v>0</v>
      </c>
      <c r="R546">
        <v>0</v>
      </c>
      <c r="U546" s="61" t="s">
        <v>500</v>
      </c>
      <c r="V546" t="s">
        <v>753</v>
      </c>
    </row>
    <row r="547" spans="1:22" x14ac:dyDescent="0.2">
      <c r="A547" t="s">
        <v>107</v>
      </c>
      <c r="B547" t="s">
        <v>1616</v>
      </c>
      <c r="C547">
        <v>336</v>
      </c>
      <c r="D547" t="s">
        <v>1051</v>
      </c>
      <c r="E547" t="s">
        <v>798</v>
      </c>
      <c r="F547">
        <v>4</v>
      </c>
      <c r="G547" t="s">
        <v>1062</v>
      </c>
      <c r="H547" t="s">
        <v>504</v>
      </c>
      <c r="I547" t="s">
        <v>580</v>
      </c>
      <c r="J547" t="s">
        <v>147</v>
      </c>
      <c r="Q547">
        <v>0</v>
      </c>
      <c r="R547">
        <v>0</v>
      </c>
      <c r="U547" s="61" t="s">
        <v>500</v>
      </c>
      <c r="V547" t="s">
        <v>753</v>
      </c>
    </row>
    <row r="548" spans="1:22" x14ac:dyDescent="0.2">
      <c r="A548" t="s">
        <v>107</v>
      </c>
      <c r="B548" t="s">
        <v>1617</v>
      </c>
      <c r="C548">
        <v>337</v>
      </c>
      <c r="D548" t="s">
        <v>1051</v>
      </c>
      <c r="E548" t="s">
        <v>798</v>
      </c>
      <c r="F548">
        <v>5</v>
      </c>
      <c r="G548" t="s">
        <v>1062</v>
      </c>
      <c r="H548" t="s">
        <v>504</v>
      </c>
      <c r="I548" t="s">
        <v>581</v>
      </c>
      <c r="J548" t="s">
        <v>151</v>
      </c>
      <c r="Q548">
        <v>0</v>
      </c>
      <c r="R548">
        <v>0</v>
      </c>
      <c r="U548" s="61" t="s">
        <v>500</v>
      </c>
      <c r="V548" t="s">
        <v>753</v>
      </c>
    </row>
    <row r="549" spans="1:22" x14ac:dyDescent="0.2">
      <c r="A549" t="s">
        <v>107</v>
      </c>
      <c r="B549" t="s">
        <v>1618</v>
      </c>
      <c r="C549">
        <v>338</v>
      </c>
      <c r="D549" t="s">
        <v>1051</v>
      </c>
      <c r="E549" t="s">
        <v>798</v>
      </c>
      <c r="F549">
        <v>6</v>
      </c>
      <c r="G549" t="s">
        <v>1062</v>
      </c>
      <c r="H549" t="s">
        <v>504</v>
      </c>
      <c r="I549" t="s">
        <v>582</v>
      </c>
      <c r="J549" t="s">
        <v>179</v>
      </c>
      <c r="Q549">
        <v>0</v>
      </c>
      <c r="R549">
        <v>0</v>
      </c>
      <c r="U549" s="61" t="s">
        <v>500</v>
      </c>
      <c r="V549" t="s">
        <v>753</v>
      </c>
    </row>
    <row r="550" spans="1:22" x14ac:dyDescent="0.2">
      <c r="A550" t="s">
        <v>107</v>
      </c>
      <c r="B550" t="s">
        <v>1619</v>
      </c>
      <c r="C550">
        <v>339</v>
      </c>
      <c r="D550" t="s">
        <v>1051</v>
      </c>
      <c r="E550" t="s">
        <v>798</v>
      </c>
      <c r="F550">
        <v>7</v>
      </c>
      <c r="G550" t="s">
        <v>1062</v>
      </c>
      <c r="H550" t="s">
        <v>504</v>
      </c>
      <c r="I550" t="s">
        <v>1046</v>
      </c>
      <c r="J550" t="s">
        <v>179</v>
      </c>
      <c r="Q550">
        <v>0</v>
      </c>
      <c r="R550">
        <v>0</v>
      </c>
      <c r="U550" s="61" t="s">
        <v>500</v>
      </c>
      <c r="V550" t="s">
        <v>753</v>
      </c>
    </row>
    <row r="551" spans="1:22" x14ac:dyDescent="0.2">
      <c r="A551" t="s">
        <v>107</v>
      </c>
      <c r="B551" t="s">
        <v>1620</v>
      </c>
      <c r="C551">
        <v>344</v>
      </c>
      <c r="D551" t="s">
        <v>1051</v>
      </c>
      <c r="E551" t="s">
        <v>968</v>
      </c>
      <c r="F551">
        <v>1</v>
      </c>
      <c r="G551" t="s">
        <v>1069</v>
      </c>
      <c r="H551" t="s">
        <v>591</v>
      </c>
      <c r="I551" t="s">
        <v>592</v>
      </c>
      <c r="J551" t="s">
        <v>492</v>
      </c>
      <c r="Q551">
        <v>0</v>
      </c>
      <c r="R551">
        <v>0</v>
      </c>
      <c r="U551" s="61" t="s">
        <v>590</v>
      </c>
      <c r="V551" t="s">
        <v>757</v>
      </c>
    </row>
    <row r="552" spans="1:22" x14ac:dyDescent="0.2">
      <c r="A552" t="s">
        <v>107</v>
      </c>
      <c r="B552" t="s">
        <v>1621</v>
      </c>
      <c r="C552">
        <v>345</v>
      </c>
      <c r="D552" t="s">
        <v>1051</v>
      </c>
      <c r="E552" t="s">
        <v>968</v>
      </c>
      <c r="F552">
        <v>2</v>
      </c>
      <c r="G552" t="s">
        <v>1069</v>
      </c>
      <c r="H552" t="s">
        <v>591</v>
      </c>
      <c r="I552" t="s">
        <v>1047</v>
      </c>
      <c r="J552" t="s">
        <v>179</v>
      </c>
      <c r="Q552">
        <v>0</v>
      </c>
      <c r="R552">
        <v>0</v>
      </c>
      <c r="U552" s="61" t="s">
        <v>590</v>
      </c>
      <c r="V552" t="s">
        <v>757</v>
      </c>
    </row>
    <row r="553" spans="1:22" x14ac:dyDescent="0.2">
      <c r="A553" t="s">
        <v>107</v>
      </c>
      <c r="B553" t="s">
        <v>1622</v>
      </c>
      <c r="C553">
        <v>346</v>
      </c>
      <c r="D553" t="s">
        <v>1051</v>
      </c>
      <c r="E553" t="s">
        <v>968</v>
      </c>
      <c r="F553">
        <v>3</v>
      </c>
      <c r="G553" t="s">
        <v>1069</v>
      </c>
      <c r="H553" t="s">
        <v>591</v>
      </c>
      <c r="I553" t="s">
        <v>593</v>
      </c>
      <c r="J553" t="s">
        <v>179</v>
      </c>
      <c r="Q553">
        <v>0</v>
      </c>
      <c r="R553">
        <v>0</v>
      </c>
      <c r="U553" s="61" t="s">
        <v>590</v>
      </c>
      <c r="V553" t="s">
        <v>757</v>
      </c>
    </row>
    <row r="554" spans="1:22" x14ac:dyDescent="0.2">
      <c r="A554" t="s">
        <v>107</v>
      </c>
      <c r="B554" t="s">
        <v>1623</v>
      </c>
      <c r="C554">
        <v>464</v>
      </c>
      <c r="D554" t="s">
        <v>1051</v>
      </c>
      <c r="E554" t="s">
        <v>969</v>
      </c>
      <c r="F554">
        <v>1</v>
      </c>
      <c r="G554" t="s">
        <v>1070</v>
      </c>
      <c r="H554" t="s">
        <v>825</v>
      </c>
      <c r="I554" t="s">
        <v>826</v>
      </c>
      <c r="J554" t="s">
        <v>492</v>
      </c>
      <c r="Q554">
        <v>0</v>
      </c>
      <c r="R554">
        <v>0</v>
      </c>
      <c r="U554" s="61" t="s">
        <v>590</v>
      </c>
      <c r="V554" t="s">
        <v>977</v>
      </c>
    </row>
    <row r="555" spans="1:22" x14ac:dyDescent="0.2">
      <c r="A555" t="s">
        <v>107</v>
      </c>
      <c r="B555" t="s">
        <v>1624</v>
      </c>
      <c r="C555">
        <v>465</v>
      </c>
      <c r="D555" t="s">
        <v>1051</v>
      </c>
      <c r="E555" t="s">
        <v>969</v>
      </c>
      <c r="F555">
        <v>2</v>
      </c>
      <c r="G555" t="s">
        <v>1070</v>
      </c>
      <c r="H555" t="s">
        <v>825</v>
      </c>
      <c r="I555" t="s">
        <v>827</v>
      </c>
      <c r="J555" t="s">
        <v>492</v>
      </c>
      <c r="Q555">
        <v>0</v>
      </c>
      <c r="R555">
        <v>0</v>
      </c>
      <c r="U555" s="61" t="s">
        <v>590</v>
      </c>
      <c r="V555" t="s">
        <v>977</v>
      </c>
    </row>
    <row r="556" spans="1:22" x14ac:dyDescent="0.2">
      <c r="A556" t="s">
        <v>107</v>
      </c>
      <c r="B556" t="s">
        <v>1625</v>
      </c>
      <c r="C556">
        <v>466</v>
      </c>
      <c r="D556" t="s">
        <v>1051</v>
      </c>
      <c r="E556" t="s">
        <v>969</v>
      </c>
      <c r="F556">
        <v>3</v>
      </c>
      <c r="G556" t="s">
        <v>1070</v>
      </c>
      <c r="H556" t="s">
        <v>825</v>
      </c>
      <c r="I556" t="s">
        <v>828</v>
      </c>
      <c r="J556" t="s">
        <v>492</v>
      </c>
      <c r="Q556">
        <v>0</v>
      </c>
      <c r="R556">
        <v>0</v>
      </c>
      <c r="U556" s="61" t="s">
        <v>590</v>
      </c>
      <c r="V556" t="s">
        <v>977</v>
      </c>
    </row>
    <row r="557" spans="1:22" x14ac:dyDescent="0.2">
      <c r="A557" t="s">
        <v>107</v>
      </c>
      <c r="B557" t="s">
        <v>1626</v>
      </c>
      <c r="C557">
        <v>467</v>
      </c>
      <c r="D557" t="s">
        <v>1051</v>
      </c>
      <c r="E557" t="s">
        <v>969</v>
      </c>
      <c r="F557">
        <v>4</v>
      </c>
      <c r="G557" t="s">
        <v>1070</v>
      </c>
      <c r="H557" t="s">
        <v>825</v>
      </c>
      <c r="I557" t="s">
        <v>829</v>
      </c>
      <c r="J557" t="s">
        <v>492</v>
      </c>
      <c r="Q557">
        <v>0</v>
      </c>
      <c r="R557">
        <v>0</v>
      </c>
      <c r="U557" s="61" t="s">
        <v>590</v>
      </c>
      <c r="V557" t="s">
        <v>977</v>
      </c>
    </row>
    <row r="558" spans="1:22" x14ac:dyDescent="0.2">
      <c r="A558" t="s">
        <v>100</v>
      </c>
      <c r="B558" t="s">
        <v>1627</v>
      </c>
      <c r="C558">
        <v>108</v>
      </c>
      <c r="D558" t="s">
        <v>1051</v>
      </c>
      <c r="E558" t="s">
        <v>324</v>
      </c>
      <c r="F558">
        <v>1</v>
      </c>
      <c r="G558" t="s">
        <v>1059</v>
      </c>
      <c r="H558" t="s">
        <v>103</v>
      </c>
      <c r="I558" t="s">
        <v>280</v>
      </c>
      <c r="J558" t="s">
        <v>152</v>
      </c>
      <c r="K558">
        <v>1</v>
      </c>
      <c r="L558">
        <v>1</v>
      </c>
      <c r="M558">
        <v>1</v>
      </c>
      <c r="N558">
        <v>5</v>
      </c>
      <c r="O558">
        <v>5</v>
      </c>
      <c r="Q558">
        <v>7.2832698403599609</v>
      </c>
      <c r="R558">
        <v>7.2832698403599609</v>
      </c>
      <c r="U558" s="61" t="s">
        <v>104</v>
      </c>
      <c r="V558" t="s">
        <v>113</v>
      </c>
    </row>
    <row r="559" spans="1:22" x14ac:dyDescent="0.2">
      <c r="A559" t="s">
        <v>100</v>
      </c>
      <c r="B559" t="s">
        <v>1628</v>
      </c>
      <c r="C559">
        <v>109</v>
      </c>
      <c r="D559" t="s">
        <v>1051</v>
      </c>
      <c r="E559" t="s">
        <v>324</v>
      </c>
      <c r="F559">
        <v>2</v>
      </c>
      <c r="G559" t="s">
        <v>1059</v>
      </c>
      <c r="H559" t="s">
        <v>103</v>
      </c>
      <c r="I559" t="s">
        <v>281</v>
      </c>
      <c r="J559" t="s">
        <v>152</v>
      </c>
      <c r="K559">
        <v>1</v>
      </c>
      <c r="L559">
        <v>1</v>
      </c>
      <c r="M559">
        <v>1</v>
      </c>
      <c r="N559">
        <v>5</v>
      </c>
      <c r="O559">
        <v>5</v>
      </c>
      <c r="Q559">
        <v>7.2832698403599609</v>
      </c>
      <c r="R559">
        <v>7.2832698403599609</v>
      </c>
      <c r="U559" s="61" t="s">
        <v>104</v>
      </c>
      <c r="V559" t="s">
        <v>113</v>
      </c>
    </row>
    <row r="560" spans="1:22" x14ac:dyDescent="0.2">
      <c r="A560" t="s">
        <v>100</v>
      </c>
      <c r="B560" t="s">
        <v>1629</v>
      </c>
      <c r="C560">
        <v>110</v>
      </c>
      <c r="D560" t="s">
        <v>1051</v>
      </c>
      <c r="E560" t="s">
        <v>324</v>
      </c>
      <c r="F560">
        <v>3</v>
      </c>
      <c r="G560" t="s">
        <v>1059</v>
      </c>
      <c r="H560" t="s">
        <v>103</v>
      </c>
      <c r="I560" t="s">
        <v>283</v>
      </c>
      <c r="J560" t="s">
        <v>152</v>
      </c>
      <c r="K560">
        <v>1</v>
      </c>
      <c r="L560">
        <v>1</v>
      </c>
      <c r="M560">
        <v>2</v>
      </c>
      <c r="N560">
        <v>5</v>
      </c>
      <c r="O560">
        <v>5</v>
      </c>
      <c r="Q560">
        <v>7.4707698403599609</v>
      </c>
      <c r="R560">
        <v>7.4707698403599609</v>
      </c>
      <c r="U560" s="61" t="s">
        <v>104</v>
      </c>
      <c r="V560" t="s">
        <v>113</v>
      </c>
    </row>
    <row r="561" spans="1:22" x14ac:dyDescent="0.2">
      <c r="A561" t="s">
        <v>100</v>
      </c>
      <c r="B561" t="s">
        <v>1630</v>
      </c>
      <c r="C561">
        <v>111</v>
      </c>
      <c r="D561" t="s">
        <v>1051</v>
      </c>
      <c r="E561" t="s">
        <v>324</v>
      </c>
      <c r="F561">
        <v>4</v>
      </c>
      <c r="G561" t="s">
        <v>1059</v>
      </c>
      <c r="H561" t="s">
        <v>103</v>
      </c>
      <c r="I561" t="s">
        <v>282</v>
      </c>
      <c r="J561" t="s">
        <v>152</v>
      </c>
      <c r="K561">
        <v>1</v>
      </c>
      <c r="L561">
        <v>1</v>
      </c>
      <c r="M561">
        <v>2</v>
      </c>
      <c r="N561">
        <v>5</v>
      </c>
      <c r="O561">
        <v>5</v>
      </c>
      <c r="Q561">
        <v>7.4707698403599609</v>
      </c>
      <c r="R561">
        <v>7.4707698403599609</v>
      </c>
      <c r="U561" s="61" t="s">
        <v>104</v>
      </c>
      <c r="V561" t="s">
        <v>113</v>
      </c>
    </row>
    <row r="562" spans="1:22" x14ac:dyDescent="0.2">
      <c r="A562" t="s">
        <v>100</v>
      </c>
      <c r="B562" t="s">
        <v>1631</v>
      </c>
      <c r="C562">
        <v>112</v>
      </c>
      <c r="D562" t="s">
        <v>1051</v>
      </c>
      <c r="E562" t="s">
        <v>324</v>
      </c>
      <c r="F562">
        <v>5</v>
      </c>
      <c r="G562" t="s">
        <v>1059</v>
      </c>
      <c r="H562" t="s">
        <v>103</v>
      </c>
      <c r="I562" t="s">
        <v>284</v>
      </c>
      <c r="J562" t="s">
        <v>152</v>
      </c>
      <c r="K562">
        <v>1</v>
      </c>
      <c r="L562">
        <v>1</v>
      </c>
      <c r="M562">
        <v>3</v>
      </c>
      <c r="N562">
        <v>5</v>
      </c>
      <c r="O562">
        <v>5</v>
      </c>
      <c r="Q562">
        <v>8.3439300121397828</v>
      </c>
      <c r="R562">
        <v>8.3439300121397828</v>
      </c>
      <c r="U562" s="61" t="s">
        <v>104</v>
      </c>
      <c r="V562" t="s">
        <v>113</v>
      </c>
    </row>
    <row r="563" spans="1:22" x14ac:dyDescent="0.2">
      <c r="A563" t="s">
        <v>100</v>
      </c>
      <c r="B563" t="s">
        <v>1632</v>
      </c>
      <c r="C563">
        <v>113</v>
      </c>
      <c r="D563" t="s">
        <v>1051</v>
      </c>
      <c r="E563" t="s">
        <v>324</v>
      </c>
      <c r="F563">
        <v>6</v>
      </c>
      <c r="G563" t="s">
        <v>1059</v>
      </c>
      <c r="H563" t="s">
        <v>103</v>
      </c>
      <c r="I563" t="s">
        <v>285</v>
      </c>
      <c r="J563" t="s">
        <v>147</v>
      </c>
      <c r="K563">
        <v>1</v>
      </c>
      <c r="L563">
        <v>2</v>
      </c>
      <c r="M563">
        <v>3</v>
      </c>
      <c r="N563">
        <v>4</v>
      </c>
      <c r="O563">
        <v>5</v>
      </c>
      <c r="Q563">
        <v>4.1914549319579635</v>
      </c>
      <c r="R563">
        <v>6.0683906433495247</v>
      </c>
      <c r="U563" s="61" t="s">
        <v>104</v>
      </c>
      <c r="V563" t="s">
        <v>113</v>
      </c>
    </row>
    <row r="564" spans="1:22" x14ac:dyDescent="0.2">
      <c r="A564" t="s">
        <v>100</v>
      </c>
      <c r="B564" t="s">
        <v>1633</v>
      </c>
      <c r="C564">
        <v>114</v>
      </c>
      <c r="D564" t="s">
        <v>1051</v>
      </c>
      <c r="E564" t="s">
        <v>324</v>
      </c>
      <c r="F564">
        <v>7</v>
      </c>
      <c r="G564" t="s">
        <v>1059</v>
      </c>
      <c r="H564" t="s">
        <v>103</v>
      </c>
      <c r="I564" t="s">
        <v>286</v>
      </c>
      <c r="J564" t="s">
        <v>147</v>
      </c>
      <c r="K564">
        <v>1</v>
      </c>
      <c r="L564">
        <v>1</v>
      </c>
      <c r="M564">
        <v>3</v>
      </c>
      <c r="N564">
        <v>5</v>
      </c>
      <c r="O564">
        <v>5</v>
      </c>
      <c r="Q564">
        <v>8.3439300121397828</v>
      </c>
      <c r="R564">
        <v>8.3439300121397828</v>
      </c>
      <c r="U564" s="61" t="s">
        <v>104</v>
      </c>
      <c r="V564" t="s">
        <v>113</v>
      </c>
    </row>
    <row r="565" spans="1:22" x14ac:dyDescent="0.2">
      <c r="A565" t="s">
        <v>100</v>
      </c>
      <c r="B565" t="s">
        <v>1634</v>
      </c>
      <c r="C565">
        <v>125</v>
      </c>
      <c r="D565" t="s">
        <v>1051</v>
      </c>
      <c r="E565" t="s">
        <v>320</v>
      </c>
      <c r="F565">
        <v>1</v>
      </c>
      <c r="G565" t="s">
        <v>1055</v>
      </c>
      <c r="H565" t="s">
        <v>102</v>
      </c>
      <c r="I565" t="s">
        <v>298</v>
      </c>
      <c r="J565" t="s">
        <v>152</v>
      </c>
      <c r="K565">
        <v>1</v>
      </c>
      <c r="L565">
        <v>1</v>
      </c>
      <c r="M565">
        <v>2</v>
      </c>
      <c r="N565">
        <v>5</v>
      </c>
      <c r="O565">
        <v>5</v>
      </c>
      <c r="Q565">
        <v>7.4707698403599609</v>
      </c>
      <c r="R565">
        <v>7.4707698403599609</v>
      </c>
      <c r="U565" s="61" t="s">
        <v>104</v>
      </c>
      <c r="V565" t="s">
        <v>116</v>
      </c>
    </row>
    <row r="566" spans="1:22" x14ac:dyDescent="0.2">
      <c r="A566" t="s">
        <v>100</v>
      </c>
      <c r="B566" t="s">
        <v>1635</v>
      </c>
      <c r="C566">
        <v>126</v>
      </c>
      <c r="D566" t="s">
        <v>1051</v>
      </c>
      <c r="E566" t="s">
        <v>320</v>
      </c>
      <c r="F566">
        <v>2</v>
      </c>
      <c r="G566" t="s">
        <v>1055</v>
      </c>
      <c r="H566" t="s">
        <v>102</v>
      </c>
      <c r="I566" t="s">
        <v>299</v>
      </c>
      <c r="J566" t="s">
        <v>152</v>
      </c>
      <c r="K566">
        <v>1</v>
      </c>
      <c r="L566">
        <v>1</v>
      </c>
      <c r="M566">
        <v>3</v>
      </c>
      <c r="N566">
        <v>5</v>
      </c>
      <c r="O566">
        <v>5</v>
      </c>
      <c r="Q566">
        <v>8.3439300121397828</v>
      </c>
      <c r="R566">
        <v>8.3439300121397828</v>
      </c>
      <c r="U566" s="61" t="s">
        <v>104</v>
      </c>
      <c r="V566" t="s">
        <v>116</v>
      </c>
    </row>
    <row r="567" spans="1:22" x14ac:dyDescent="0.2">
      <c r="A567" t="s">
        <v>100</v>
      </c>
      <c r="B567" t="s">
        <v>1636</v>
      </c>
      <c r="C567">
        <v>127</v>
      </c>
      <c r="D567" t="s">
        <v>1051</v>
      </c>
      <c r="E567" t="s">
        <v>320</v>
      </c>
      <c r="F567">
        <v>3</v>
      </c>
      <c r="G567" t="s">
        <v>1055</v>
      </c>
      <c r="H567" t="s">
        <v>102</v>
      </c>
      <c r="I567" t="s">
        <v>300</v>
      </c>
      <c r="J567" t="s">
        <v>152</v>
      </c>
      <c r="K567">
        <v>1</v>
      </c>
      <c r="L567">
        <v>1</v>
      </c>
      <c r="M567">
        <v>3</v>
      </c>
      <c r="N567">
        <v>4</v>
      </c>
      <c r="O567">
        <v>5</v>
      </c>
      <c r="Q567">
        <v>5.5333665110238019</v>
      </c>
      <c r="R567">
        <v>8.3439300121397828</v>
      </c>
      <c r="U567" s="61" t="s">
        <v>104</v>
      </c>
      <c r="V567" t="s">
        <v>116</v>
      </c>
    </row>
    <row r="568" spans="1:22" x14ac:dyDescent="0.2">
      <c r="A568" t="s">
        <v>100</v>
      </c>
      <c r="B568" t="s">
        <v>1637</v>
      </c>
      <c r="C568">
        <v>128</v>
      </c>
      <c r="D568" t="s">
        <v>1051</v>
      </c>
      <c r="E568" t="s">
        <v>320</v>
      </c>
      <c r="F568">
        <v>4</v>
      </c>
      <c r="G568" t="s">
        <v>1055</v>
      </c>
      <c r="H568" t="s">
        <v>102</v>
      </c>
      <c r="I568" t="s">
        <v>301</v>
      </c>
      <c r="J568" t="s">
        <v>149</v>
      </c>
      <c r="K568">
        <v>1</v>
      </c>
      <c r="L568">
        <v>2</v>
      </c>
      <c r="M568">
        <v>3</v>
      </c>
      <c r="N568">
        <v>3</v>
      </c>
      <c r="O568">
        <v>5</v>
      </c>
      <c r="Q568">
        <v>3.0556092237531312</v>
      </c>
      <c r="R568">
        <v>6.0683906433495247</v>
      </c>
      <c r="U568" s="61" t="s">
        <v>104</v>
      </c>
      <c r="V568" t="s">
        <v>116</v>
      </c>
    </row>
    <row r="569" spans="1:22" x14ac:dyDescent="0.2">
      <c r="A569" t="s">
        <v>100</v>
      </c>
      <c r="B569" t="s">
        <v>1638</v>
      </c>
      <c r="C569">
        <v>129</v>
      </c>
      <c r="D569" t="s">
        <v>1051</v>
      </c>
      <c r="E569" t="s">
        <v>320</v>
      </c>
      <c r="F569">
        <v>5</v>
      </c>
      <c r="G569" t="s">
        <v>1055</v>
      </c>
      <c r="H569" t="s">
        <v>102</v>
      </c>
      <c r="I569" t="s">
        <v>302</v>
      </c>
      <c r="J569" t="s">
        <v>152</v>
      </c>
      <c r="K569">
        <v>1</v>
      </c>
      <c r="L569">
        <v>1</v>
      </c>
      <c r="M569">
        <v>3</v>
      </c>
      <c r="N569">
        <v>5</v>
      </c>
      <c r="O569">
        <v>5</v>
      </c>
      <c r="Q569">
        <v>8.3439300121397828</v>
      </c>
      <c r="R569">
        <v>8.3439300121397828</v>
      </c>
      <c r="U569" s="61" t="s">
        <v>104</v>
      </c>
      <c r="V569" t="s">
        <v>116</v>
      </c>
    </row>
    <row r="570" spans="1:22" x14ac:dyDescent="0.2">
      <c r="A570" t="s">
        <v>100</v>
      </c>
      <c r="B570" t="s">
        <v>1639</v>
      </c>
      <c r="C570">
        <v>130</v>
      </c>
      <c r="D570" t="s">
        <v>1051</v>
      </c>
      <c r="E570" t="s">
        <v>320</v>
      </c>
      <c r="F570">
        <v>6</v>
      </c>
      <c r="G570" t="s">
        <v>1055</v>
      </c>
      <c r="H570" t="s">
        <v>102</v>
      </c>
      <c r="I570" t="s">
        <v>303</v>
      </c>
      <c r="J570" t="s">
        <v>151</v>
      </c>
      <c r="K570">
        <v>1</v>
      </c>
      <c r="L570">
        <v>2</v>
      </c>
      <c r="M570">
        <v>3</v>
      </c>
      <c r="N570">
        <v>4</v>
      </c>
      <c r="O570">
        <v>5</v>
      </c>
      <c r="Q570">
        <v>4.1914549319579635</v>
      </c>
      <c r="R570">
        <v>6.0683906433495247</v>
      </c>
      <c r="U570" s="61" t="s">
        <v>104</v>
      </c>
      <c r="V570" t="s">
        <v>116</v>
      </c>
    </row>
    <row r="571" spans="1:22" x14ac:dyDescent="0.2">
      <c r="A571" t="s">
        <v>100</v>
      </c>
      <c r="B571" t="s">
        <v>1640</v>
      </c>
      <c r="C571">
        <v>131</v>
      </c>
      <c r="D571" t="s">
        <v>1051</v>
      </c>
      <c r="E571" t="s">
        <v>320</v>
      </c>
      <c r="F571">
        <v>7</v>
      </c>
      <c r="G571" t="s">
        <v>1055</v>
      </c>
      <c r="H571" t="s">
        <v>102</v>
      </c>
      <c r="I571" t="s">
        <v>1039</v>
      </c>
      <c r="J571" t="s">
        <v>152</v>
      </c>
      <c r="K571">
        <v>1</v>
      </c>
      <c r="L571">
        <v>1</v>
      </c>
      <c r="M571">
        <v>3</v>
      </c>
      <c r="N571">
        <v>4</v>
      </c>
      <c r="O571">
        <v>5</v>
      </c>
      <c r="Q571">
        <v>5.5333665110238019</v>
      </c>
      <c r="R571">
        <v>8.3439300121397828</v>
      </c>
      <c r="U571" s="61" t="s">
        <v>104</v>
      </c>
      <c r="V571" t="s">
        <v>116</v>
      </c>
    </row>
    <row r="572" spans="1:22" x14ac:dyDescent="0.2">
      <c r="A572" t="s">
        <v>100</v>
      </c>
      <c r="B572" t="s">
        <v>1641</v>
      </c>
      <c r="C572">
        <v>132</v>
      </c>
      <c r="D572" t="s">
        <v>1051</v>
      </c>
      <c r="E572" t="s">
        <v>320</v>
      </c>
      <c r="F572">
        <v>8</v>
      </c>
      <c r="G572" t="s">
        <v>1055</v>
      </c>
      <c r="H572" t="s">
        <v>102</v>
      </c>
      <c r="I572" t="s">
        <v>304</v>
      </c>
      <c r="J572" t="s">
        <v>151</v>
      </c>
      <c r="K572">
        <v>1</v>
      </c>
      <c r="L572">
        <v>1</v>
      </c>
      <c r="M572">
        <v>3</v>
      </c>
      <c r="N572">
        <v>4</v>
      </c>
      <c r="O572">
        <v>5</v>
      </c>
      <c r="Q572">
        <v>5.5333665110238019</v>
      </c>
      <c r="R572">
        <v>8.3439300121397828</v>
      </c>
      <c r="U572" s="61" t="s">
        <v>104</v>
      </c>
      <c r="V572" t="s">
        <v>116</v>
      </c>
    </row>
    <row r="573" spans="1:22" x14ac:dyDescent="0.2">
      <c r="A573" t="s">
        <v>100</v>
      </c>
      <c r="B573" t="s">
        <v>1642</v>
      </c>
      <c r="C573">
        <v>133</v>
      </c>
      <c r="D573" t="s">
        <v>1051</v>
      </c>
      <c r="E573" t="s">
        <v>320</v>
      </c>
      <c r="F573">
        <v>9</v>
      </c>
      <c r="G573" t="s">
        <v>1055</v>
      </c>
      <c r="H573" t="s">
        <v>102</v>
      </c>
      <c r="I573" t="s">
        <v>305</v>
      </c>
      <c r="J573" t="s">
        <v>152</v>
      </c>
      <c r="K573">
        <v>1</v>
      </c>
      <c r="L573">
        <v>1</v>
      </c>
      <c r="M573">
        <v>3</v>
      </c>
      <c r="N573">
        <v>5</v>
      </c>
      <c r="O573">
        <v>5</v>
      </c>
      <c r="Q573">
        <v>8.3439300121397828</v>
      </c>
      <c r="R573">
        <v>8.3439300121397828</v>
      </c>
      <c r="U573" s="61" t="s">
        <v>104</v>
      </c>
      <c r="V573" t="s">
        <v>116</v>
      </c>
    </row>
    <row r="574" spans="1:22" x14ac:dyDescent="0.2">
      <c r="A574" t="s">
        <v>100</v>
      </c>
      <c r="B574" t="s">
        <v>1643</v>
      </c>
      <c r="C574">
        <v>134</v>
      </c>
      <c r="D574" t="s">
        <v>1051</v>
      </c>
      <c r="E574" t="s">
        <v>320</v>
      </c>
      <c r="F574">
        <v>10</v>
      </c>
      <c r="G574" t="s">
        <v>1055</v>
      </c>
      <c r="H574" t="s">
        <v>102</v>
      </c>
      <c r="I574" t="s">
        <v>306</v>
      </c>
      <c r="J574" t="s">
        <v>152</v>
      </c>
      <c r="K574">
        <v>1</v>
      </c>
      <c r="L574">
        <v>1</v>
      </c>
      <c r="M574">
        <v>3</v>
      </c>
      <c r="N574">
        <v>5</v>
      </c>
      <c r="O574">
        <v>5</v>
      </c>
      <c r="Q574">
        <v>8.3439300121397828</v>
      </c>
      <c r="R574">
        <v>8.3439300121397828</v>
      </c>
      <c r="U574" s="61" t="s">
        <v>104</v>
      </c>
      <c r="V574" t="s">
        <v>116</v>
      </c>
    </row>
    <row r="575" spans="1:22" x14ac:dyDescent="0.2">
      <c r="A575" t="s">
        <v>100</v>
      </c>
      <c r="B575" t="s">
        <v>1644</v>
      </c>
      <c r="C575">
        <v>135</v>
      </c>
      <c r="D575" t="s">
        <v>1051</v>
      </c>
      <c r="E575" t="s">
        <v>320</v>
      </c>
      <c r="F575">
        <v>11</v>
      </c>
      <c r="G575" t="s">
        <v>1055</v>
      </c>
      <c r="H575" t="s">
        <v>102</v>
      </c>
      <c r="I575" t="s">
        <v>307</v>
      </c>
      <c r="J575" t="s">
        <v>150</v>
      </c>
      <c r="K575">
        <v>1</v>
      </c>
      <c r="L575">
        <v>2</v>
      </c>
      <c r="M575">
        <v>4</v>
      </c>
      <c r="N575">
        <v>5</v>
      </c>
      <c r="O575">
        <v>5</v>
      </c>
      <c r="Q575">
        <v>7.9305662093421851</v>
      </c>
      <c r="R575">
        <v>7.9305662093421851</v>
      </c>
      <c r="T575" t="s">
        <v>309</v>
      </c>
      <c r="U575" s="61" t="s">
        <v>104</v>
      </c>
      <c r="V575" t="s">
        <v>116</v>
      </c>
    </row>
    <row r="576" spans="1:22" x14ac:dyDescent="0.2">
      <c r="A576" t="s">
        <v>100</v>
      </c>
      <c r="B576" t="s">
        <v>1645</v>
      </c>
      <c r="C576">
        <v>136</v>
      </c>
      <c r="D576" t="s">
        <v>1051</v>
      </c>
      <c r="E576" t="s">
        <v>320</v>
      </c>
      <c r="F576">
        <v>12</v>
      </c>
      <c r="G576" t="s">
        <v>1055</v>
      </c>
      <c r="H576" t="s">
        <v>102</v>
      </c>
      <c r="I576" t="s">
        <v>308</v>
      </c>
      <c r="J576" t="s">
        <v>151</v>
      </c>
      <c r="K576">
        <v>1</v>
      </c>
      <c r="L576">
        <v>2</v>
      </c>
      <c r="M576">
        <v>3</v>
      </c>
      <c r="N576">
        <v>4</v>
      </c>
      <c r="O576">
        <v>5</v>
      </c>
      <c r="Q576">
        <v>4.1914549319579635</v>
      </c>
      <c r="R576">
        <v>6.0683906433495247</v>
      </c>
      <c r="U576" s="61" t="s">
        <v>104</v>
      </c>
      <c r="V576" t="s">
        <v>116</v>
      </c>
    </row>
    <row r="577" spans="1:22" x14ac:dyDescent="0.2">
      <c r="A577" t="s">
        <v>100</v>
      </c>
      <c r="B577" t="s">
        <v>1646</v>
      </c>
      <c r="C577">
        <v>137</v>
      </c>
      <c r="D577" t="s">
        <v>1051</v>
      </c>
      <c r="E577" t="s">
        <v>320</v>
      </c>
      <c r="F577">
        <v>13</v>
      </c>
      <c r="G577" t="s">
        <v>1055</v>
      </c>
      <c r="H577" t="s">
        <v>102</v>
      </c>
      <c r="I577" t="s">
        <v>310</v>
      </c>
      <c r="J577" t="s">
        <v>149</v>
      </c>
      <c r="K577">
        <v>1</v>
      </c>
      <c r="L577">
        <v>2</v>
      </c>
      <c r="M577">
        <v>3</v>
      </c>
      <c r="N577">
        <v>3</v>
      </c>
      <c r="O577">
        <v>4</v>
      </c>
      <c r="Q577">
        <v>3.0556092237531312</v>
      </c>
      <c r="R577">
        <v>4.1914549319579635</v>
      </c>
      <c r="U577" s="61" t="s">
        <v>104</v>
      </c>
      <c r="V577" t="s">
        <v>116</v>
      </c>
    </row>
    <row r="578" spans="1:22" x14ac:dyDescent="0.2">
      <c r="A578" t="s">
        <v>100</v>
      </c>
      <c r="B578" t="s">
        <v>1647</v>
      </c>
      <c r="C578">
        <v>138</v>
      </c>
      <c r="D578" t="s">
        <v>1051</v>
      </c>
      <c r="E578" t="s">
        <v>320</v>
      </c>
      <c r="F578">
        <v>14</v>
      </c>
      <c r="G578" t="s">
        <v>1055</v>
      </c>
      <c r="H578" t="s">
        <v>102</v>
      </c>
      <c r="I578" t="s">
        <v>311</v>
      </c>
      <c r="J578" t="s">
        <v>148</v>
      </c>
      <c r="K578">
        <v>1</v>
      </c>
      <c r="L578">
        <v>2</v>
      </c>
      <c r="M578">
        <v>3</v>
      </c>
      <c r="N578">
        <v>3</v>
      </c>
      <c r="O578">
        <v>4</v>
      </c>
      <c r="Q578">
        <v>3.0556092237531312</v>
      </c>
      <c r="R578">
        <v>4.1914549319579635</v>
      </c>
      <c r="U578" s="61" t="s">
        <v>104</v>
      </c>
      <c r="V578" t="s">
        <v>116</v>
      </c>
    </row>
    <row r="579" spans="1:22" x14ac:dyDescent="0.2">
      <c r="A579" t="s">
        <v>100</v>
      </c>
      <c r="B579" t="s">
        <v>1648</v>
      </c>
      <c r="C579">
        <v>139</v>
      </c>
      <c r="D579" t="s">
        <v>1051</v>
      </c>
      <c r="E579" t="s">
        <v>320</v>
      </c>
      <c r="F579">
        <v>15</v>
      </c>
      <c r="G579" t="s">
        <v>1055</v>
      </c>
      <c r="H579" t="s">
        <v>102</v>
      </c>
      <c r="I579" t="s">
        <v>312</v>
      </c>
      <c r="J579" t="s">
        <v>151</v>
      </c>
      <c r="K579">
        <v>1</v>
      </c>
      <c r="L579">
        <v>2</v>
      </c>
      <c r="M579">
        <v>3</v>
      </c>
      <c r="N579">
        <v>4</v>
      </c>
      <c r="O579">
        <v>5</v>
      </c>
      <c r="Q579">
        <v>4.1914549319579635</v>
      </c>
      <c r="R579">
        <v>6.0683906433495247</v>
      </c>
      <c r="U579" s="61" t="s">
        <v>104</v>
      </c>
      <c r="V579" t="s">
        <v>116</v>
      </c>
    </row>
    <row r="580" spans="1:22" x14ac:dyDescent="0.2">
      <c r="A580" t="s">
        <v>100</v>
      </c>
      <c r="B580" t="s">
        <v>1649</v>
      </c>
      <c r="C580">
        <v>140</v>
      </c>
      <c r="D580" t="s">
        <v>1051</v>
      </c>
      <c r="E580" t="s">
        <v>320</v>
      </c>
      <c r="F580">
        <v>16</v>
      </c>
      <c r="G580" t="s">
        <v>1055</v>
      </c>
      <c r="H580" t="s">
        <v>102</v>
      </c>
      <c r="I580" t="s">
        <v>315</v>
      </c>
      <c r="J580" t="s">
        <v>152</v>
      </c>
      <c r="K580">
        <v>1</v>
      </c>
      <c r="L580">
        <v>1</v>
      </c>
      <c r="M580">
        <v>3</v>
      </c>
      <c r="N580">
        <v>4</v>
      </c>
      <c r="O580">
        <v>5</v>
      </c>
      <c r="Q580">
        <v>5.5333665110238019</v>
      </c>
      <c r="R580">
        <v>8.3439300121397828</v>
      </c>
      <c r="U580" s="61" t="s">
        <v>104</v>
      </c>
      <c r="V580" t="s">
        <v>116</v>
      </c>
    </row>
    <row r="581" spans="1:22" x14ac:dyDescent="0.2">
      <c r="A581" t="s">
        <v>100</v>
      </c>
      <c r="B581" t="s">
        <v>1650</v>
      </c>
      <c r="C581">
        <v>141</v>
      </c>
      <c r="D581" t="s">
        <v>1051</v>
      </c>
      <c r="E581" t="s">
        <v>320</v>
      </c>
      <c r="F581">
        <v>17</v>
      </c>
      <c r="G581" t="s">
        <v>1055</v>
      </c>
      <c r="H581" t="s">
        <v>102</v>
      </c>
      <c r="I581" t="s">
        <v>314</v>
      </c>
      <c r="J581" t="s">
        <v>151</v>
      </c>
      <c r="K581">
        <v>1</v>
      </c>
      <c r="L581">
        <v>1</v>
      </c>
      <c r="M581">
        <v>3</v>
      </c>
      <c r="N581">
        <v>4</v>
      </c>
      <c r="O581">
        <v>5</v>
      </c>
      <c r="Q581">
        <v>5.5333665110238019</v>
      </c>
      <c r="R581">
        <v>8.3439300121397828</v>
      </c>
      <c r="T581" t="s">
        <v>313</v>
      </c>
      <c r="U581" s="61" t="s">
        <v>104</v>
      </c>
      <c r="V581" t="s">
        <v>116</v>
      </c>
    </row>
    <row r="582" spans="1:22" x14ac:dyDescent="0.2">
      <c r="A582" t="s">
        <v>100</v>
      </c>
      <c r="B582" t="s">
        <v>1651</v>
      </c>
      <c r="C582">
        <v>142</v>
      </c>
      <c r="D582" t="s">
        <v>1051</v>
      </c>
      <c r="E582" t="s">
        <v>320</v>
      </c>
      <c r="F582">
        <v>18</v>
      </c>
      <c r="G582" t="s">
        <v>1055</v>
      </c>
      <c r="H582" t="s">
        <v>102</v>
      </c>
      <c r="I582" t="s">
        <v>316</v>
      </c>
      <c r="J582" t="s">
        <v>152</v>
      </c>
      <c r="K582">
        <v>1</v>
      </c>
      <c r="L582">
        <v>1</v>
      </c>
      <c r="M582">
        <v>3</v>
      </c>
      <c r="N582">
        <v>4</v>
      </c>
      <c r="O582">
        <v>5</v>
      </c>
      <c r="Q582">
        <v>5.5333665110238019</v>
      </c>
      <c r="R582">
        <v>8.3439300121397828</v>
      </c>
      <c r="U582" s="61" t="s">
        <v>104</v>
      </c>
      <c r="V582" t="s">
        <v>116</v>
      </c>
    </row>
    <row r="583" spans="1:22" x14ac:dyDescent="0.2">
      <c r="A583" t="s">
        <v>100</v>
      </c>
      <c r="B583" t="s">
        <v>1652</v>
      </c>
      <c r="C583">
        <v>143</v>
      </c>
      <c r="D583" t="s">
        <v>1051</v>
      </c>
      <c r="E583" t="s">
        <v>320</v>
      </c>
      <c r="F583">
        <v>19</v>
      </c>
      <c r="G583" t="s">
        <v>1055</v>
      </c>
      <c r="H583" t="s">
        <v>102</v>
      </c>
      <c r="I583" t="s">
        <v>1040</v>
      </c>
      <c r="J583" t="s">
        <v>150</v>
      </c>
      <c r="K583">
        <v>1</v>
      </c>
      <c r="L583">
        <v>1</v>
      </c>
      <c r="M583">
        <v>3</v>
      </c>
      <c r="N583">
        <v>5</v>
      </c>
      <c r="O583">
        <v>5</v>
      </c>
      <c r="Q583">
        <v>8.3439300121397828</v>
      </c>
      <c r="R583">
        <v>8.3439300121397828</v>
      </c>
      <c r="U583" s="61" t="s">
        <v>104</v>
      </c>
      <c r="V583" t="s">
        <v>116</v>
      </c>
    </row>
    <row r="584" spans="1:22" x14ac:dyDescent="0.2">
      <c r="A584" t="s">
        <v>100</v>
      </c>
      <c r="B584" t="s">
        <v>1653</v>
      </c>
      <c r="C584">
        <v>144</v>
      </c>
      <c r="D584" t="s">
        <v>1051</v>
      </c>
      <c r="E584" t="s">
        <v>320</v>
      </c>
      <c r="F584">
        <v>20</v>
      </c>
      <c r="G584" t="s">
        <v>1055</v>
      </c>
      <c r="H584" t="s">
        <v>102</v>
      </c>
      <c r="I584" t="s">
        <v>317</v>
      </c>
      <c r="J584" t="s">
        <v>150</v>
      </c>
      <c r="K584">
        <v>1</v>
      </c>
      <c r="L584">
        <v>1</v>
      </c>
      <c r="M584">
        <v>2</v>
      </c>
      <c r="N584">
        <v>5</v>
      </c>
      <c r="O584">
        <v>5</v>
      </c>
      <c r="Q584">
        <v>7.4707698403599609</v>
      </c>
      <c r="R584">
        <v>7.4707698403599609</v>
      </c>
      <c r="U584" s="61" t="s">
        <v>104</v>
      </c>
      <c r="V584" t="s">
        <v>116</v>
      </c>
    </row>
    <row r="585" spans="1:22" x14ac:dyDescent="0.2">
      <c r="A585" t="s">
        <v>100</v>
      </c>
      <c r="B585" t="s">
        <v>1654</v>
      </c>
      <c r="C585">
        <v>145</v>
      </c>
      <c r="D585" t="s">
        <v>1051</v>
      </c>
      <c r="E585" t="s">
        <v>320</v>
      </c>
      <c r="F585">
        <v>21</v>
      </c>
      <c r="G585" t="s">
        <v>1055</v>
      </c>
      <c r="H585" t="s">
        <v>102</v>
      </c>
      <c r="I585" t="s">
        <v>327</v>
      </c>
      <c r="J585" t="s">
        <v>271</v>
      </c>
      <c r="Q585">
        <v>0</v>
      </c>
      <c r="R585">
        <v>0</v>
      </c>
      <c r="U585" s="61" t="s">
        <v>104</v>
      </c>
      <c r="V585" t="s">
        <v>116</v>
      </c>
    </row>
    <row r="586" spans="1:22" x14ac:dyDescent="0.2">
      <c r="A586" t="s">
        <v>100</v>
      </c>
      <c r="B586" t="s">
        <v>1655</v>
      </c>
      <c r="C586">
        <v>115</v>
      </c>
      <c r="D586" t="s">
        <v>1051</v>
      </c>
      <c r="E586" t="s">
        <v>323</v>
      </c>
      <c r="F586">
        <v>1</v>
      </c>
      <c r="G586" t="s">
        <v>1062</v>
      </c>
      <c r="H586" t="s">
        <v>122</v>
      </c>
      <c r="I586" t="s">
        <v>293</v>
      </c>
      <c r="J586" t="s">
        <v>152</v>
      </c>
      <c r="K586">
        <v>1</v>
      </c>
      <c r="L586">
        <v>1</v>
      </c>
      <c r="M586">
        <v>2</v>
      </c>
      <c r="N586">
        <v>5</v>
      </c>
      <c r="O586">
        <v>5</v>
      </c>
      <c r="Q586">
        <v>7.4707698403599609</v>
      </c>
      <c r="R586">
        <v>7.4707698403599609</v>
      </c>
      <c r="U586" s="61" t="s">
        <v>958</v>
      </c>
      <c r="V586" t="s">
        <v>122</v>
      </c>
    </row>
    <row r="587" spans="1:22" x14ac:dyDescent="0.2">
      <c r="A587" t="s">
        <v>100</v>
      </c>
      <c r="B587" t="s">
        <v>1656</v>
      </c>
      <c r="C587">
        <v>116</v>
      </c>
      <c r="D587" t="s">
        <v>1051</v>
      </c>
      <c r="E587" t="s">
        <v>323</v>
      </c>
      <c r="F587">
        <v>2</v>
      </c>
      <c r="G587" t="s">
        <v>1062</v>
      </c>
      <c r="H587" t="s">
        <v>122</v>
      </c>
      <c r="I587" t="s">
        <v>1037</v>
      </c>
      <c r="J587" t="s">
        <v>150</v>
      </c>
      <c r="K587">
        <v>1</v>
      </c>
      <c r="L587">
        <v>2</v>
      </c>
      <c r="M587">
        <v>3</v>
      </c>
      <c r="N587">
        <v>5</v>
      </c>
      <c r="O587">
        <v>5</v>
      </c>
      <c r="Q587">
        <v>6.0683906433495247</v>
      </c>
      <c r="R587">
        <v>6.0683906433495247</v>
      </c>
      <c r="U587" s="61" t="s">
        <v>958</v>
      </c>
      <c r="V587" t="s">
        <v>122</v>
      </c>
    </row>
    <row r="588" spans="1:22" x14ac:dyDescent="0.2">
      <c r="A588" t="s">
        <v>100</v>
      </c>
      <c r="B588" t="s">
        <v>1657</v>
      </c>
      <c r="C588">
        <v>117</v>
      </c>
      <c r="D588" t="s">
        <v>1051</v>
      </c>
      <c r="E588" t="s">
        <v>323</v>
      </c>
      <c r="F588">
        <v>3</v>
      </c>
      <c r="G588" t="s">
        <v>1062</v>
      </c>
      <c r="H588" t="s">
        <v>122</v>
      </c>
      <c r="I588" t="s">
        <v>291</v>
      </c>
      <c r="J588" t="s">
        <v>150</v>
      </c>
      <c r="K588">
        <v>1</v>
      </c>
      <c r="L588">
        <v>2</v>
      </c>
      <c r="M588">
        <v>3</v>
      </c>
      <c r="N588">
        <v>5</v>
      </c>
      <c r="O588">
        <v>5</v>
      </c>
      <c r="Q588">
        <v>6.0683906433495247</v>
      </c>
      <c r="R588">
        <v>6.0683906433495247</v>
      </c>
      <c r="U588" s="61" t="s">
        <v>958</v>
      </c>
      <c r="V588" t="s">
        <v>122</v>
      </c>
    </row>
    <row r="589" spans="1:22" x14ac:dyDescent="0.2">
      <c r="A589" t="s">
        <v>100</v>
      </c>
      <c r="B589" t="s">
        <v>1658</v>
      </c>
      <c r="C589">
        <v>118</v>
      </c>
      <c r="D589" t="s">
        <v>1051</v>
      </c>
      <c r="E589" t="s">
        <v>323</v>
      </c>
      <c r="F589">
        <v>4</v>
      </c>
      <c r="G589" t="s">
        <v>1062</v>
      </c>
      <c r="H589" t="s">
        <v>122</v>
      </c>
      <c r="I589" t="s">
        <v>1038</v>
      </c>
      <c r="J589" t="s">
        <v>148</v>
      </c>
      <c r="K589">
        <v>1</v>
      </c>
      <c r="L589">
        <v>2</v>
      </c>
      <c r="M589">
        <v>2</v>
      </c>
      <c r="N589">
        <v>4</v>
      </c>
      <c r="O589">
        <v>5</v>
      </c>
      <c r="Q589">
        <v>3.4675646088337704</v>
      </c>
      <c r="R589">
        <v>5.1952304715697029</v>
      </c>
      <c r="U589" s="61" t="s">
        <v>958</v>
      </c>
      <c r="V589" t="s">
        <v>122</v>
      </c>
    </row>
    <row r="590" spans="1:22" x14ac:dyDescent="0.2">
      <c r="A590" t="s">
        <v>100</v>
      </c>
      <c r="B590" t="s">
        <v>1659</v>
      </c>
      <c r="C590">
        <v>119</v>
      </c>
      <c r="D590" t="s">
        <v>1051</v>
      </c>
      <c r="E590" t="s">
        <v>323</v>
      </c>
      <c r="F590">
        <v>5</v>
      </c>
      <c r="G590" t="s">
        <v>1062</v>
      </c>
      <c r="H590" t="s">
        <v>122</v>
      </c>
      <c r="I590" t="s">
        <v>294</v>
      </c>
      <c r="J590" t="s">
        <v>152</v>
      </c>
      <c r="K590">
        <v>1</v>
      </c>
      <c r="L590">
        <v>1</v>
      </c>
      <c r="M590">
        <v>2</v>
      </c>
      <c r="N590">
        <v>5</v>
      </c>
      <c r="O590">
        <v>5</v>
      </c>
      <c r="Q590">
        <v>7.4707698403599609</v>
      </c>
      <c r="R590">
        <v>7.4707698403599609</v>
      </c>
      <c r="U590" s="61" t="s">
        <v>958</v>
      </c>
      <c r="V590" t="s">
        <v>122</v>
      </c>
    </row>
    <row r="591" spans="1:22" x14ac:dyDescent="0.2">
      <c r="A591" t="s">
        <v>100</v>
      </c>
      <c r="B591" t="s">
        <v>1660</v>
      </c>
      <c r="C591">
        <v>120</v>
      </c>
      <c r="D591" t="s">
        <v>1051</v>
      </c>
      <c r="E591" t="s">
        <v>323</v>
      </c>
      <c r="F591">
        <v>6</v>
      </c>
      <c r="G591" t="s">
        <v>1062</v>
      </c>
      <c r="H591" t="s">
        <v>122</v>
      </c>
      <c r="I591" t="s">
        <v>292</v>
      </c>
      <c r="J591" t="s">
        <v>152</v>
      </c>
      <c r="K591">
        <v>1</v>
      </c>
      <c r="L591">
        <v>1</v>
      </c>
      <c r="M591">
        <v>3</v>
      </c>
      <c r="N591">
        <v>5</v>
      </c>
      <c r="O591">
        <v>5</v>
      </c>
      <c r="Q591">
        <v>8.3439300121397828</v>
      </c>
      <c r="R591">
        <v>8.3439300121397828</v>
      </c>
      <c r="U591" s="61" t="s">
        <v>958</v>
      </c>
      <c r="V591" t="s">
        <v>122</v>
      </c>
    </row>
    <row r="592" spans="1:22" x14ac:dyDescent="0.2">
      <c r="A592" t="s">
        <v>100</v>
      </c>
      <c r="B592" t="s">
        <v>1661</v>
      </c>
      <c r="C592">
        <v>121</v>
      </c>
      <c r="D592" t="s">
        <v>1051</v>
      </c>
      <c r="E592" t="s">
        <v>323</v>
      </c>
      <c r="F592">
        <v>7</v>
      </c>
      <c r="G592" t="s">
        <v>1062</v>
      </c>
      <c r="H592" t="s">
        <v>122</v>
      </c>
      <c r="I592" t="s">
        <v>295</v>
      </c>
      <c r="J592" t="s">
        <v>151</v>
      </c>
      <c r="K592">
        <v>1</v>
      </c>
      <c r="L592">
        <v>2</v>
      </c>
      <c r="M592">
        <v>3</v>
      </c>
      <c r="N592">
        <v>5</v>
      </c>
      <c r="O592">
        <v>5</v>
      </c>
      <c r="Q592">
        <v>6.0683906433495247</v>
      </c>
      <c r="R592">
        <v>6.0683906433495247</v>
      </c>
      <c r="U592" s="61" t="s">
        <v>958</v>
      </c>
      <c r="V592" t="s">
        <v>122</v>
      </c>
    </row>
    <row r="593" spans="1:22" x14ac:dyDescent="0.2">
      <c r="A593" t="s">
        <v>100</v>
      </c>
      <c r="B593" t="s">
        <v>1662</v>
      </c>
      <c r="C593">
        <v>122</v>
      </c>
      <c r="D593" t="s">
        <v>1051</v>
      </c>
      <c r="E593" t="s">
        <v>323</v>
      </c>
      <c r="F593">
        <v>8</v>
      </c>
      <c r="G593" t="s">
        <v>1062</v>
      </c>
      <c r="H593" t="s">
        <v>124</v>
      </c>
      <c r="I593" t="s">
        <v>296</v>
      </c>
      <c r="J593" t="s">
        <v>152</v>
      </c>
      <c r="K593">
        <v>1</v>
      </c>
      <c r="L593">
        <v>1</v>
      </c>
      <c r="M593">
        <v>3</v>
      </c>
      <c r="N593">
        <v>4</v>
      </c>
      <c r="O593">
        <v>5</v>
      </c>
      <c r="Q593">
        <v>5.5333665110238019</v>
      </c>
      <c r="R593">
        <v>8.3439300121397828</v>
      </c>
      <c r="U593" s="61" t="s">
        <v>958</v>
      </c>
      <c r="V593" t="s">
        <v>124</v>
      </c>
    </row>
    <row r="594" spans="1:22" x14ac:dyDescent="0.2">
      <c r="A594" t="s">
        <v>100</v>
      </c>
      <c r="B594" t="s">
        <v>1663</v>
      </c>
      <c r="C594">
        <v>123</v>
      </c>
      <c r="D594" t="s">
        <v>1051</v>
      </c>
      <c r="E594" t="s">
        <v>323</v>
      </c>
      <c r="F594">
        <v>9</v>
      </c>
      <c r="G594" t="s">
        <v>1062</v>
      </c>
      <c r="H594" t="s">
        <v>124</v>
      </c>
      <c r="I594" t="s">
        <v>297</v>
      </c>
      <c r="J594" t="s">
        <v>152</v>
      </c>
      <c r="K594">
        <v>1</v>
      </c>
      <c r="L594">
        <v>1</v>
      </c>
      <c r="M594">
        <v>2</v>
      </c>
      <c r="N594">
        <v>5</v>
      </c>
      <c r="O594">
        <v>5</v>
      </c>
      <c r="Q594">
        <v>7.4707698403599609</v>
      </c>
      <c r="R594">
        <v>7.4707698403599609</v>
      </c>
      <c r="U594" s="61" t="s">
        <v>958</v>
      </c>
      <c r="V594" t="s">
        <v>124</v>
      </c>
    </row>
    <row r="595" spans="1:22" x14ac:dyDescent="0.2">
      <c r="A595" t="s">
        <v>100</v>
      </c>
      <c r="B595" t="s">
        <v>1664</v>
      </c>
      <c r="C595">
        <v>124</v>
      </c>
      <c r="D595" t="s">
        <v>1051</v>
      </c>
      <c r="E595" t="s">
        <v>323</v>
      </c>
      <c r="F595">
        <v>10</v>
      </c>
      <c r="G595" t="s">
        <v>1062</v>
      </c>
      <c r="H595" t="s">
        <v>124</v>
      </c>
      <c r="I595" t="s">
        <v>990</v>
      </c>
      <c r="J595" t="s">
        <v>151</v>
      </c>
      <c r="K595">
        <v>1</v>
      </c>
      <c r="L595">
        <v>2</v>
      </c>
      <c r="M595">
        <v>3</v>
      </c>
      <c r="N595">
        <v>4</v>
      </c>
      <c r="O595">
        <v>5</v>
      </c>
      <c r="Q595">
        <v>4.1914549319579635</v>
      </c>
      <c r="R595">
        <v>6.0683906433495247</v>
      </c>
      <c r="U595" s="61" t="s">
        <v>958</v>
      </c>
      <c r="V595" t="s">
        <v>124</v>
      </c>
    </row>
  </sheetData>
  <phoneticPr fontId="10"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83C6-5791-2E49-986C-2AD2BCC8CC6D}">
  <dimension ref="E8:L546"/>
  <sheetViews>
    <sheetView zoomScale="75" workbookViewId="0">
      <selection activeCell="Q28" sqref="Q28"/>
    </sheetView>
    <sheetView workbookViewId="1"/>
  </sheetViews>
  <sheetFormatPr baseColWidth="10" defaultRowHeight="16" x14ac:dyDescent="0.2"/>
  <cols>
    <col min="5" max="5" width="127.6640625" style="22" bestFit="1" customWidth="1"/>
    <col min="6" max="6" width="16.33203125" bestFit="1" customWidth="1"/>
    <col min="7" max="7" width="17" bestFit="1" customWidth="1"/>
    <col min="8" max="8" width="16.83203125" bestFit="1" customWidth="1"/>
    <col min="9" max="10" width="16.1640625" bestFit="1" customWidth="1"/>
    <col min="11" max="11" width="15.5" bestFit="1" customWidth="1"/>
    <col min="12" max="12" width="15" bestFit="1" customWidth="1"/>
  </cols>
  <sheetData>
    <row r="8" spans="5:12" ht="17" x14ac:dyDescent="0.2">
      <c r="E8" s="38" t="s">
        <v>6</v>
      </c>
      <c r="F8" t="s">
        <v>361</v>
      </c>
    </row>
    <row r="10" spans="5:12" ht="17" x14ac:dyDescent="0.2">
      <c r="E10" s="38" t="s">
        <v>10</v>
      </c>
      <c r="F10" t="s">
        <v>264</v>
      </c>
      <c r="G10" t="s">
        <v>265</v>
      </c>
      <c r="H10" t="s">
        <v>266</v>
      </c>
      <c r="I10" t="s">
        <v>267</v>
      </c>
      <c r="J10" t="s">
        <v>269</v>
      </c>
      <c r="K10" t="s">
        <v>270</v>
      </c>
      <c r="L10" t="s">
        <v>268</v>
      </c>
    </row>
    <row r="11" spans="5:12" x14ac:dyDescent="0.2">
      <c r="E11" s="2" t="s">
        <v>763</v>
      </c>
      <c r="F11" s="71">
        <v>1</v>
      </c>
      <c r="G11" s="71"/>
      <c r="H11" s="71"/>
      <c r="I11" s="71"/>
      <c r="J11" s="71"/>
      <c r="K11" s="71">
        <v>0</v>
      </c>
      <c r="L11" s="71">
        <v>0</v>
      </c>
    </row>
    <row r="12" spans="5:12" ht="17" x14ac:dyDescent="0.2">
      <c r="E12" s="39" t="s">
        <v>363</v>
      </c>
      <c r="F12" s="71">
        <v>1</v>
      </c>
      <c r="G12" s="71"/>
      <c r="H12" s="71"/>
      <c r="I12" s="71"/>
      <c r="J12" s="71"/>
      <c r="K12" s="71">
        <v>0</v>
      </c>
      <c r="L12" s="71">
        <v>0</v>
      </c>
    </row>
    <row r="13" spans="5:12" ht="17" x14ac:dyDescent="0.2">
      <c r="E13" s="39" t="s">
        <v>381</v>
      </c>
      <c r="F13" s="71">
        <v>1</v>
      </c>
      <c r="G13" s="71"/>
      <c r="H13" s="71"/>
      <c r="I13" s="71"/>
      <c r="J13" s="71"/>
      <c r="K13" s="71">
        <v>0</v>
      </c>
      <c r="L13" s="71">
        <v>0</v>
      </c>
    </row>
    <row r="14" spans="5:12" x14ac:dyDescent="0.2">
      <c r="E14" s="2" t="s">
        <v>764</v>
      </c>
      <c r="F14" s="71"/>
      <c r="G14" s="71">
        <v>4</v>
      </c>
      <c r="H14" s="71"/>
      <c r="I14" s="71"/>
      <c r="J14" s="71"/>
      <c r="K14" s="71">
        <v>0</v>
      </c>
      <c r="L14" s="71">
        <v>0</v>
      </c>
    </row>
    <row r="15" spans="5:12" ht="17" x14ac:dyDescent="0.2">
      <c r="E15" s="39" t="s">
        <v>364</v>
      </c>
      <c r="F15" s="71"/>
      <c r="G15" s="71">
        <v>4</v>
      </c>
      <c r="H15" s="71"/>
      <c r="I15" s="71"/>
      <c r="J15" s="71"/>
      <c r="K15" s="71">
        <v>0</v>
      </c>
      <c r="L15" s="71">
        <v>0</v>
      </c>
    </row>
    <row r="16" spans="5:12" ht="17" x14ac:dyDescent="0.2">
      <c r="E16" s="39" t="s">
        <v>388</v>
      </c>
      <c r="F16" s="71"/>
      <c r="G16" s="71"/>
      <c r="H16" s="71"/>
      <c r="I16" s="71"/>
      <c r="J16" s="71"/>
      <c r="K16" s="71">
        <v>0</v>
      </c>
      <c r="L16" s="71">
        <v>0</v>
      </c>
    </row>
    <row r="17" spans="5:12" ht="17" x14ac:dyDescent="0.2">
      <c r="E17" s="39" t="s">
        <v>392</v>
      </c>
      <c r="F17" s="71"/>
      <c r="G17" s="71"/>
      <c r="H17" s="71"/>
      <c r="I17" s="71"/>
      <c r="J17" s="71"/>
      <c r="K17" s="71">
        <v>0</v>
      </c>
      <c r="L17" s="71">
        <v>0</v>
      </c>
    </row>
    <row r="18" spans="5:12" ht="17" x14ac:dyDescent="0.2">
      <c r="E18" s="39" t="s">
        <v>391</v>
      </c>
      <c r="F18" s="71"/>
      <c r="G18" s="71"/>
      <c r="H18" s="71"/>
      <c r="I18" s="71"/>
      <c r="J18" s="71"/>
      <c r="K18" s="71">
        <v>0</v>
      </c>
      <c r="L18" s="71">
        <v>0</v>
      </c>
    </row>
    <row r="19" spans="5:12" ht="17" x14ac:dyDescent="0.2">
      <c r="E19" s="39" t="s">
        <v>390</v>
      </c>
      <c r="F19" s="71"/>
      <c r="G19" s="71"/>
      <c r="H19" s="71"/>
      <c r="I19" s="71"/>
      <c r="J19" s="71"/>
      <c r="K19" s="71">
        <v>0</v>
      </c>
      <c r="L19" s="71">
        <v>0</v>
      </c>
    </row>
    <row r="20" spans="5:12" ht="17" x14ac:dyDescent="0.2">
      <c r="E20" s="39" t="s">
        <v>382</v>
      </c>
      <c r="F20" s="71"/>
      <c r="G20" s="71"/>
      <c r="H20" s="71"/>
      <c r="I20" s="71"/>
      <c r="J20" s="71"/>
      <c r="K20" s="71">
        <v>0</v>
      </c>
      <c r="L20" s="71">
        <v>0</v>
      </c>
    </row>
    <row r="21" spans="5:12" ht="17" x14ac:dyDescent="0.2">
      <c r="E21" s="39" t="s">
        <v>389</v>
      </c>
      <c r="F21" s="71"/>
      <c r="G21" s="71">
        <v>4</v>
      </c>
      <c r="H21" s="71"/>
      <c r="I21" s="71"/>
      <c r="J21" s="71"/>
      <c r="K21" s="71">
        <v>0</v>
      </c>
      <c r="L21" s="71">
        <v>0</v>
      </c>
    </row>
    <row r="22" spans="5:12" ht="17" x14ac:dyDescent="0.2">
      <c r="E22" s="39" t="s">
        <v>385</v>
      </c>
      <c r="F22" s="71"/>
      <c r="G22" s="71"/>
      <c r="H22" s="71"/>
      <c r="I22" s="71"/>
      <c r="J22" s="71"/>
      <c r="K22" s="71">
        <v>0</v>
      </c>
      <c r="L22" s="71">
        <v>0</v>
      </c>
    </row>
    <row r="23" spans="5:12" ht="17" x14ac:dyDescent="0.2">
      <c r="E23" s="39" t="s">
        <v>386</v>
      </c>
      <c r="F23" s="71"/>
      <c r="G23" s="71"/>
      <c r="H23" s="71"/>
      <c r="I23" s="71"/>
      <c r="J23" s="71"/>
      <c r="K23" s="71">
        <v>0</v>
      </c>
      <c r="L23" s="71">
        <v>0</v>
      </c>
    </row>
    <row r="24" spans="5:12" ht="17" x14ac:dyDescent="0.2">
      <c r="E24" s="39" t="s">
        <v>387</v>
      </c>
      <c r="F24" s="71"/>
      <c r="G24" s="71"/>
      <c r="H24" s="71"/>
      <c r="I24" s="71"/>
      <c r="J24" s="71"/>
      <c r="K24" s="71">
        <v>0</v>
      </c>
      <c r="L24" s="71">
        <v>0</v>
      </c>
    </row>
    <row r="25" spans="5:12" ht="17" x14ac:dyDescent="0.2">
      <c r="E25" s="39" t="s">
        <v>384</v>
      </c>
      <c r="F25" s="71"/>
      <c r="G25" s="71"/>
      <c r="H25" s="71"/>
      <c r="I25" s="71"/>
      <c r="J25" s="71"/>
      <c r="K25" s="71">
        <v>0</v>
      </c>
      <c r="L25" s="71">
        <v>0</v>
      </c>
    </row>
    <row r="26" spans="5:12" ht="17" x14ac:dyDescent="0.2">
      <c r="E26" s="39" t="s">
        <v>686</v>
      </c>
      <c r="F26" s="71"/>
      <c r="G26" s="71"/>
      <c r="H26" s="71"/>
      <c r="I26" s="71"/>
      <c r="J26" s="71"/>
      <c r="K26" s="71">
        <v>0</v>
      </c>
      <c r="L26" s="71">
        <v>0</v>
      </c>
    </row>
    <row r="27" spans="5:12" ht="17" x14ac:dyDescent="0.2">
      <c r="E27" s="39" t="s">
        <v>383</v>
      </c>
      <c r="F27" s="71"/>
      <c r="G27" s="71"/>
      <c r="H27" s="71"/>
      <c r="I27" s="71"/>
      <c r="J27" s="71"/>
      <c r="K27" s="71">
        <v>0</v>
      </c>
      <c r="L27" s="71">
        <v>0</v>
      </c>
    </row>
    <row r="28" spans="5:12" x14ac:dyDescent="0.2">
      <c r="E28" s="2" t="s">
        <v>765</v>
      </c>
      <c r="F28" s="71"/>
      <c r="G28" s="71"/>
      <c r="H28" s="71"/>
      <c r="I28" s="71"/>
      <c r="J28" s="71"/>
      <c r="K28" s="71">
        <v>0</v>
      </c>
      <c r="L28" s="71">
        <v>0</v>
      </c>
    </row>
    <row r="29" spans="5:12" ht="17" x14ac:dyDescent="0.2">
      <c r="E29" s="39" t="s">
        <v>366</v>
      </c>
      <c r="F29" s="71"/>
      <c r="G29" s="71"/>
      <c r="H29" s="71"/>
      <c r="I29" s="71"/>
      <c r="J29" s="71"/>
      <c r="K29" s="71">
        <v>0</v>
      </c>
      <c r="L29" s="71">
        <v>0</v>
      </c>
    </row>
    <row r="30" spans="5:12" ht="17" x14ac:dyDescent="0.2">
      <c r="E30" s="39" t="s">
        <v>393</v>
      </c>
      <c r="F30" s="71"/>
      <c r="G30" s="71"/>
      <c r="H30" s="71"/>
      <c r="I30" s="71"/>
      <c r="J30" s="71"/>
      <c r="K30" s="71">
        <v>0</v>
      </c>
      <c r="L30" s="71">
        <v>0</v>
      </c>
    </row>
    <row r="31" spans="5:12" ht="17" x14ac:dyDescent="0.2">
      <c r="E31" s="39" t="s">
        <v>394</v>
      </c>
      <c r="F31" s="71"/>
      <c r="G31" s="71"/>
      <c r="H31" s="71"/>
      <c r="I31" s="71"/>
      <c r="J31" s="71"/>
      <c r="K31" s="71">
        <v>0</v>
      </c>
      <c r="L31" s="71">
        <v>0</v>
      </c>
    </row>
    <row r="32" spans="5:12" ht="17" x14ac:dyDescent="0.2">
      <c r="E32" s="39" t="s">
        <v>397</v>
      </c>
      <c r="F32" s="71"/>
      <c r="G32" s="71"/>
      <c r="H32" s="71"/>
      <c r="I32" s="71"/>
      <c r="J32" s="71"/>
      <c r="K32" s="71">
        <v>0</v>
      </c>
      <c r="L32" s="71">
        <v>0</v>
      </c>
    </row>
    <row r="33" spans="5:12" ht="17" x14ac:dyDescent="0.2">
      <c r="E33" s="39" t="s">
        <v>396</v>
      </c>
      <c r="F33" s="71"/>
      <c r="G33" s="71"/>
      <c r="H33" s="71"/>
      <c r="I33" s="71"/>
      <c r="J33" s="71"/>
      <c r="K33" s="71">
        <v>0</v>
      </c>
      <c r="L33" s="71">
        <v>0</v>
      </c>
    </row>
    <row r="34" spans="5:12" ht="17" x14ac:dyDescent="0.2">
      <c r="E34" s="39" t="s">
        <v>363</v>
      </c>
      <c r="F34" s="71"/>
      <c r="G34" s="71"/>
      <c r="H34" s="71"/>
      <c r="I34" s="71"/>
      <c r="J34" s="71"/>
      <c r="K34" s="71">
        <v>0</v>
      </c>
      <c r="L34" s="71">
        <v>0</v>
      </c>
    </row>
    <row r="35" spans="5:12" ht="17" x14ac:dyDescent="0.2">
      <c r="E35" s="39" t="s">
        <v>395</v>
      </c>
      <c r="F35" s="71"/>
      <c r="G35" s="71"/>
      <c r="H35" s="71"/>
      <c r="I35" s="71"/>
      <c r="J35" s="71"/>
      <c r="K35" s="71">
        <v>0</v>
      </c>
      <c r="L35" s="71">
        <v>0</v>
      </c>
    </row>
    <row r="36" spans="5:12" x14ac:dyDescent="0.2">
      <c r="E36" s="2" t="s">
        <v>766</v>
      </c>
      <c r="F36" s="71"/>
      <c r="G36" s="71"/>
      <c r="H36" s="71"/>
      <c r="I36" s="71"/>
      <c r="J36" s="71"/>
      <c r="K36" s="71">
        <v>0</v>
      </c>
      <c r="L36" s="71">
        <v>0</v>
      </c>
    </row>
    <row r="37" spans="5:12" ht="17" x14ac:dyDescent="0.2">
      <c r="E37" s="39" t="s">
        <v>367</v>
      </c>
      <c r="F37" s="71"/>
      <c r="G37" s="71"/>
      <c r="H37" s="71"/>
      <c r="I37" s="71"/>
      <c r="J37" s="71"/>
      <c r="K37" s="71">
        <v>0</v>
      </c>
      <c r="L37" s="71">
        <v>0</v>
      </c>
    </row>
    <row r="38" spans="5:12" ht="17" x14ac:dyDescent="0.2">
      <c r="E38" s="39" t="s">
        <v>687</v>
      </c>
      <c r="F38" s="71"/>
      <c r="G38" s="71"/>
      <c r="H38" s="71"/>
      <c r="I38" s="71"/>
      <c r="J38" s="71"/>
      <c r="K38" s="71">
        <v>0</v>
      </c>
      <c r="L38" s="71">
        <v>0</v>
      </c>
    </row>
    <row r="39" spans="5:12" ht="17" x14ac:dyDescent="0.2">
      <c r="E39" s="39" t="s">
        <v>689</v>
      </c>
      <c r="F39" s="71"/>
      <c r="G39" s="71"/>
      <c r="H39" s="71"/>
      <c r="I39" s="71"/>
      <c r="J39" s="71"/>
      <c r="K39" s="71">
        <v>0</v>
      </c>
      <c r="L39" s="71">
        <v>0</v>
      </c>
    </row>
    <row r="40" spans="5:12" ht="17" x14ac:dyDescent="0.2">
      <c r="E40" s="39" t="s">
        <v>688</v>
      </c>
      <c r="F40" s="71"/>
      <c r="G40" s="71"/>
      <c r="H40" s="71"/>
      <c r="I40" s="71"/>
      <c r="J40" s="71"/>
      <c r="K40" s="71">
        <v>0</v>
      </c>
      <c r="L40" s="71">
        <v>0</v>
      </c>
    </row>
    <row r="41" spans="5:12" x14ac:dyDescent="0.2">
      <c r="E41" s="2" t="s">
        <v>767</v>
      </c>
      <c r="F41" s="71"/>
      <c r="G41" s="71"/>
      <c r="H41" s="71"/>
      <c r="I41" s="71"/>
      <c r="J41" s="71"/>
      <c r="K41" s="71">
        <v>0</v>
      </c>
      <c r="L41" s="71">
        <v>0</v>
      </c>
    </row>
    <row r="42" spans="5:12" ht="17" x14ac:dyDescent="0.2">
      <c r="E42" s="39" t="s">
        <v>368</v>
      </c>
      <c r="F42" s="71"/>
      <c r="G42" s="71"/>
      <c r="H42" s="71"/>
      <c r="I42" s="71"/>
      <c r="J42" s="71"/>
      <c r="K42" s="71">
        <v>0</v>
      </c>
      <c r="L42" s="71">
        <v>0</v>
      </c>
    </row>
    <row r="43" spans="5:12" ht="17" x14ac:dyDescent="0.2">
      <c r="E43" s="39" t="s">
        <v>425</v>
      </c>
      <c r="F43" s="71"/>
      <c r="G43" s="71"/>
      <c r="H43" s="71"/>
      <c r="I43" s="71"/>
      <c r="J43" s="71"/>
      <c r="K43" s="71">
        <v>0</v>
      </c>
      <c r="L43" s="71">
        <v>0</v>
      </c>
    </row>
    <row r="44" spans="5:12" ht="17" x14ac:dyDescent="0.2">
      <c r="E44" s="39" t="s">
        <v>428</v>
      </c>
      <c r="F44" s="71"/>
      <c r="G44" s="71"/>
      <c r="H44" s="71"/>
      <c r="I44" s="71"/>
      <c r="J44" s="71"/>
      <c r="K44" s="71">
        <v>0</v>
      </c>
      <c r="L44" s="71">
        <v>0</v>
      </c>
    </row>
    <row r="45" spans="5:12" ht="17" x14ac:dyDescent="0.2">
      <c r="E45" s="39" t="s">
        <v>427</v>
      </c>
      <c r="F45" s="71"/>
      <c r="G45" s="71"/>
      <c r="H45" s="71"/>
      <c r="I45" s="71"/>
      <c r="J45" s="71"/>
      <c r="K45" s="71">
        <v>0</v>
      </c>
      <c r="L45" s="71">
        <v>0</v>
      </c>
    </row>
    <row r="46" spans="5:12" ht="17" x14ac:dyDescent="0.2">
      <c r="E46" s="39" t="s">
        <v>426</v>
      </c>
      <c r="F46" s="71"/>
      <c r="G46" s="71"/>
      <c r="H46" s="71"/>
      <c r="I46" s="71"/>
      <c r="J46" s="71"/>
      <c r="K46" s="71">
        <v>0</v>
      </c>
      <c r="L46" s="71">
        <v>0</v>
      </c>
    </row>
    <row r="47" spans="5:12" ht="17" x14ac:dyDescent="0.2">
      <c r="E47" s="39" t="s">
        <v>424</v>
      </c>
      <c r="F47" s="71"/>
      <c r="G47" s="71"/>
      <c r="H47" s="71"/>
      <c r="I47" s="71"/>
      <c r="J47" s="71"/>
      <c r="K47" s="71">
        <v>0</v>
      </c>
      <c r="L47" s="71">
        <v>0</v>
      </c>
    </row>
    <row r="48" spans="5:12" ht="17" x14ac:dyDescent="0.2">
      <c r="E48" s="39" t="s">
        <v>429</v>
      </c>
      <c r="F48" s="71"/>
      <c r="G48" s="71"/>
      <c r="H48" s="71"/>
      <c r="I48" s="71"/>
      <c r="J48" s="71"/>
      <c r="K48" s="71">
        <v>0</v>
      </c>
      <c r="L48" s="71">
        <v>0</v>
      </c>
    </row>
    <row r="49" spans="5:12" x14ac:dyDescent="0.2">
      <c r="E49" s="2" t="s">
        <v>768</v>
      </c>
      <c r="F49" s="71"/>
      <c r="G49" s="71"/>
      <c r="H49" s="71"/>
      <c r="I49" s="71"/>
      <c r="J49" s="71"/>
      <c r="K49" s="71">
        <v>0</v>
      </c>
      <c r="L49" s="71">
        <v>0</v>
      </c>
    </row>
    <row r="50" spans="5:12" ht="17" x14ac:dyDescent="0.2">
      <c r="E50" s="39" t="s">
        <v>369</v>
      </c>
      <c r="F50" s="71"/>
      <c r="G50" s="71"/>
      <c r="H50" s="71"/>
      <c r="I50" s="71"/>
      <c r="J50" s="71"/>
      <c r="K50" s="71">
        <v>0</v>
      </c>
      <c r="L50" s="71">
        <v>0</v>
      </c>
    </row>
    <row r="51" spans="5:12" ht="17" x14ac:dyDescent="0.2">
      <c r="E51" s="39" t="s">
        <v>432</v>
      </c>
      <c r="F51" s="71"/>
      <c r="G51" s="71"/>
      <c r="H51" s="71"/>
      <c r="I51" s="71"/>
      <c r="J51" s="71"/>
      <c r="K51" s="71">
        <v>0</v>
      </c>
      <c r="L51" s="71">
        <v>0</v>
      </c>
    </row>
    <row r="52" spans="5:12" ht="17" x14ac:dyDescent="0.2">
      <c r="E52" s="39" t="s">
        <v>434</v>
      </c>
      <c r="F52" s="71"/>
      <c r="G52" s="71"/>
      <c r="H52" s="71"/>
      <c r="I52" s="71"/>
      <c r="J52" s="71"/>
      <c r="K52" s="71">
        <v>0</v>
      </c>
      <c r="L52" s="71">
        <v>0</v>
      </c>
    </row>
    <row r="53" spans="5:12" ht="17" x14ac:dyDescent="0.2">
      <c r="E53" s="39" t="s">
        <v>437</v>
      </c>
      <c r="F53" s="71"/>
      <c r="G53" s="71"/>
      <c r="H53" s="71"/>
      <c r="I53" s="71"/>
      <c r="J53" s="71"/>
      <c r="K53" s="71">
        <v>0</v>
      </c>
      <c r="L53" s="71">
        <v>0</v>
      </c>
    </row>
    <row r="54" spans="5:12" ht="17" x14ac:dyDescent="0.2">
      <c r="E54" s="39" t="s">
        <v>431</v>
      </c>
      <c r="F54" s="71"/>
      <c r="G54" s="71"/>
      <c r="H54" s="71"/>
      <c r="I54" s="71"/>
      <c r="J54" s="71"/>
      <c r="K54" s="71">
        <v>0</v>
      </c>
      <c r="L54" s="71">
        <v>0</v>
      </c>
    </row>
    <row r="55" spans="5:12" ht="17" x14ac:dyDescent="0.2">
      <c r="E55" s="39" t="s">
        <v>433</v>
      </c>
      <c r="F55" s="71"/>
      <c r="G55" s="71"/>
      <c r="H55" s="71"/>
      <c r="I55" s="71"/>
      <c r="J55" s="71"/>
      <c r="K55" s="71">
        <v>0</v>
      </c>
      <c r="L55" s="71">
        <v>0</v>
      </c>
    </row>
    <row r="56" spans="5:12" ht="17" x14ac:dyDescent="0.2">
      <c r="E56" s="39" t="s">
        <v>438</v>
      </c>
      <c r="F56" s="71"/>
      <c r="G56" s="71"/>
      <c r="H56" s="71"/>
      <c r="I56" s="71"/>
      <c r="J56" s="71"/>
      <c r="K56" s="71">
        <v>0</v>
      </c>
      <c r="L56" s="71">
        <v>0</v>
      </c>
    </row>
    <row r="57" spans="5:12" ht="17" x14ac:dyDescent="0.2">
      <c r="E57" s="39" t="s">
        <v>430</v>
      </c>
      <c r="F57" s="71"/>
      <c r="G57" s="71"/>
      <c r="H57" s="71"/>
      <c r="I57" s="71"/>
      <c r="J57" s="71"/>
      <c r="K57" s="71">
        <v>0</v>
      </c>
      <c r="L57" s="71">
        <v>0</v>
      </c>
    </row>
    <row r="58" spans="5:12" ht="17" x14ac:dyDescent="0.2">
      <c r="E58" s="39" t="s">
        <v>436</v>
      </c>
      <c r="F58" s="71"/>
      <c r="G58" s="71"/>
      <c r="H58" s="71"/>
      <c r="I58" s="71"/>
      <c r="J58" s="71"/>
      <c r="K58" s="71">
        <v>0</v>
      </c>
      <c r="L58" s="71">
        <v>0</v>
      </c>
    </row>
    <row r="59" spans="5:12" ht="17" x14ac:dyDescent="0.2">
      <c r="E59" s="39" t="s">
        <v>435</v>
      </c>
      <c r="F59" s="71"/>
      <c r="G59" s="71"/>
      <c r="H59" s="71"/>
      <c r="I59" s="71"/>
      <c r="J59" s="71"/>
      <c r="K59" s="71">
        <v>0</v>
      </c>
      <c r="L59" s="71">
        <v>0</v>
      </c>
    </row>
    <row r="60" spans="5:12" x14ac:dyDescent="0.2">
      <c r="E60" s="2" t="s">
        <v>769</v>
      </c>
      <c r="F60" s="71"/>
      <c r="G60" s="71"/>
      <c r="H60" s="71"/>
      <c r="I60" s="71"/>
      <c r="J60" s="71"/>
      <c r="K60" s="71">
        <v>0</v>
      </c>
      <c r="L60" s="71">
        <v>0</v>
      </c>
    </row>
    <row r="61" spans="5:12" ht="17" x14ac:dyDescent="0.2">
      <c r="E61" s="39" t="s">
        <v>371</v>
      </c>
      <c r="F61" s="71"/>
      <c r="G61" s="71"/>
      <c r="H61" s="71"/>
      <c r="I61" s="71"/>
      <c r="J61" s="71"/>
      <c r="K61" s="71">
        <v>0</v>
      </c>
      <c r="L61" s="71">
        <v>0</v>
      </c>
    </row>
    <row r="62" spans="5:12" ht="17" x14ac:dyDescent="0.2">
      <c r="E62" s="39" t="s">
        <v>440</v>
      </c>
      <c r="F62" s="71"/>
      <c r="G62" s="71"/>
      <c r="H62" s="71"/>
      <c r="I62" s="71"/>
      <c r="J62" s="71"/>
      <c r="K62" s="71">
        <v>0</v>
      </c>
      <c r="L62" s="71">
        <v>0</v>
      </c>
    </row>
    <row r="63" spans="5:12" ht="17" x14ac:dyDescent="0.2">
      <c r="E63" s="39" t="s">
        <v>441</v>
      </c>
      <c r="F63" s="71"/>
      <c r="G63" s="71"/>
      <c r="H63" s="71"/>
      <c r="I63" s="71"/>
      <c r="J63" s="71"/>
      <c r="K63" s="71">
        <v>0</v>
      </c>
      <c r="L63" s="71">
        <v>0</v>
      </c>
    </row>
    <row r="64" spans="5:12" ht="17" x14ac:dyDescent="0.2">
      <c r="E64" s="39" t="s">
        <v>439</v>
      </c>
      <c r="F64" s="71"/>
      <c r="G64" s="71"/>
      <c r="H64" s="71"/>
      <c r="I64" s="71"/>
      <c r="J64" s="71"/>
      <c r="K64" s="71">
        <v>0</v>
      </c>
      <c r="L64" s="71">
        <v>0</v>
      </c>
    </row>
    <row r="65" spans="5:12" x14ac:dyDescent="0.2">
      <c r="E65" s="2" t="s">
        <v>770</v>
      </c>
      <c r="F65" s="71"/>
      <c r="G65" s="71">
        <v>4</v>
      </c>
      <c r="H65" s="71"/>
      <c r="I65" s="71"/>
      <c r="J65" s="71"/>
      <c r="K65" s="71">
        <v>0</v>
      </c>
      <c r="L65" s="71">
        <v>0</v>
      </c>
    </row>
    <row r="66" spans="5:12" ht="17" x14ac:dyDescent="0.2">
      <c r="E66" s="39" t="s">
        <v>372</v>
      </c>
      <c r="F66" s="71"/>
      <c r="G66" s="71">
        <v>4</v>
      </c>
      <c r="H66" s="71"/>
      <c r="I66" s="71"/>
      <c r="J66" s="71"/>
      <c r="K66" s="71">
        <v>0</v>
      </c>
      <c r="L66" s="71">
        <v>0</v>
      </c>
    </row>
    <row r="67" spans="5:12" ht="17" x14ac:dyDescent="0.2">
      <c r="E67" s="39" t="s">
        <v>447</v>
      </c>
      <c r="F67" s="71"/>
      <c r="G67" s="71"/>
      <c r="H67" s="71"/>
      <c r="I67" s="71"/>
      <c r="J67" s="71"/>
      <c r="K67" s="71">
        <v>0</v>
      </c>
      <c r="L67" s="71">
        <v>0</v>
      </c>
    </row>
    <row r="68" spans="5:12" ht="17" x14ac:dyDescent="0.2">
      <c r="E68" s="39" t="s">
        <v>443</v>
      </c>
      <c r="F68" s="71"/>
      <c r="G68" s="71"/>
      <c r="H68" s="71"/>
      <c r="I68" s="71"/>
      <c r="J68" s="71"/>
      <c r="K68" s="71">
        <v>0</v>
      </c>
      <c r="L68" s="71">
        <v>0</v>
      </c>
    </row>
    <row r="69" spans="5:12" ht="17" x14ac:dyDescent="0.2">
      <c r="E69" s="39" t="s">
        <v>446</v>
      </c>
      <c r="F69" s="71"/>
      <c r="G69" s="71">
        <v>4</v>
      </c>
      <c r="H69" s="71"/>
      <c r="I69" s="71"/>
      <c r="J69" s="71"/>
      <c r="K69" s="71">
        <v>0</v>
      </c>
      <c r="L69" s="71">
        <v>0</v>
      </c>
    </row>
    <row r="70" spans="5:12" ht="17" x14ac:dyDescent="0.2">
      <c r="E70" s="39" t="s">
        <v>442</v>
      </c>
      <c r="F70" s="71"/>
      <c r="G70" s="71"/>
      <c r="H70" s="71"/>
      <c r="I70" s="71"/>
      <c r="J70" s="71"/>
      <c r="K70" s="71">
        <v>0</v>
      </c>
      <c r="L70" s="71">
        <v>0</v>
      </c>
    </row>
    <row r="71" spans="5:12" ht="34" x14ac:dyDescent="0.2">
      <c r="E71" s="39" t="s">
        <v>690</v>
      </c>
      <c r="F71" s="71"/>
      <c r="G71" s="71"/>
      <c r="H71" s="71"/>
      <c r="I71" s="71"/>
      <c r="J71" s="71"/>
      <c r="K71" s="71">
        <v>0</v>
      </c>
      <c r="L71" s="71">
        <v>0</v>
      </c>
    </row>
    <row r="72" spans="5:12" ht="17" x14ac:dyDescent="0.2">
      <c r="E72" s="39" t="s">
        <v>444</v>
      </c>
      <c r="F72" s="71"/>
      <c r="G72" s="71"/>
      <c r="H72" s="71"/>
      <c r="I72" s="71"/>
      <c r="J72" s="71"/>
      <c r="K72" s="71">
        <v>0</v>
      </c>
      <c r="L72" s="71">
        <v>0</v>
      </c>
    </row>
    <row r="73" spans="5:12" ht="17" x14ac:dyDescent="0.2">
      <c r="E73" s="39" t="s">
        <v>445</v>
      </c>
      <c r="F73" s="71"/>
      <c r="G73" s="71"/>
      <c r="H73" s="71"/>
      <c r="I73" s="71"/>
      <c r="J73" s="71"/>
      <c r="K73" s="71">
        <v>0</v>
      </c>
      <c r="L73" s="71">
        <v>0</v>
      </c>
    </row>
    <row r="74" spans="5:12" x14ac:dyDescent="0.2">
      <c r="E74" s="2" t="s">
        <v>771</v>
      </c>
      <c r="F74" s="71"/>
      <c r="G74" s="71"/>
      <c r="H74" s="71"/>
      <c r="I74" s="71"/>
      <c r="J74" s="71"/>
      <c r="K74" s="71">
        <v>0</v>
      </c>
      <c r="L74" s="71">
        <v>0</v>
      </c>
    </row>
    <row r="75" spans="5:12" ht="17" x14ac:dyDescent="0.2">
      <c r="E75" s="39" t="s">
        <v>373</v>
      </c>
      <c r="F75" s="71"/>
      <c r="G75" s="71"/>
      <c r="H75" s="71"/>
      <c r="I75" s="71"/>
      <c r="J75" s="71"/>
      <c r="K75" s="71">
        <v>0</v>
      </c>
      <c r="L75" s="71">
        <v>0</v>
      </c>
    </row>
    <row r="76" spans="5:12" ht="17" x14ac:dyDescent="0.2">
      <c r="E76" s="39" t="s">
        <v>449</v>
      </c>
      <c r="F76" s="71"/>
      <c r="G76" s="71"/>
      <c r="H76" s="71"/>
      <c r="I76" s="71"/>
      <c r="J76" s="71"/>
      <c r="K76" s="71">
        <v>0</v>
      </c>
      <c r="L76" s="71">
        <v>0</v>
      </c>
    </row>
    <row r="77" spans="5:12" ht="17" x14ac:dyDescent="0.2">
      <c r="E77" s="39" t="s">
        <v>450</v>
      </c>
      <c r="F77" s="71"/>
      <c r="G77" s="71"/>
      <c r="H77" s="71"/>
      <c r="I77" s="71"/>
      <c r="J77" s="71"/>
      <c r="K77" s="71">
        <v>0</v>
      </c>
      <c r="L77" s="71">
        <v>0</v>
      </c>
    </row>
    <row r="78" spans="5:12" ht="17" x14ac:dyDescent="0.2">
      <c r="E78" s="39" t="s">
        <v>451</v>
      </c>
      <c r="F78" s="71"/>
      <c r="G78" s="71"/>
      <c r="H78" s="71"/>
      <c r="I78" s="71"/>
      <c r="J78" s="71"/>
      <c r="K78" s="71">
        <v>0</v>
      </c>
      <c r="L78" s="71">
        <v>0</v>
      </c>
    </row>
    <row r="79" spans="5:12" ht="17" x14ac:dyDescent="0.2">
      <c r="E79" s="39" t="s">
        <v>448</v>
      </c>
      <c r="F79" s="71"/>
      <c r="G79" s="71"/>
      <c r="H79" s="71"/>
      <c r="I79" s="71"/>
      <c r="J79" s="71"/>
      <c r="K79" s="71">
        <v>0</v>
      </c>
      <c r="L79" s="71">
        <v>0</v>
      </c>
    </row>
    <row r="80" spans="5:12" x14ac:dyDescent="0.2">
      <c r="E80" s="2" t="s">
        <v>772</v>
      </c>
      <c r="F80" s="71"/>
      <c r="G80" s="71"/>
      <c r="H80" s="71"/>
      <c r="I80" s="71"/>
      <c r="J80" s="71"/>
      <c r="K80" s="71">
        <v>0</v>
      </c>
      <c r="L80" s="71">
        <v>0</v>
      </c>
    </row>
    <row r="81" spans="5:12" ht="17" x14ac:dyDescent="0.2">
      <c r="E81" s="39" t="s">
        <v>374</v>
      </c>
      <c r="F81" s="71"/>
      <c r="G81" s="71"/>
      <c r="H81" s="71"/>
      <c r="I81" s="71"/>
      <c r="J81" s="71"/>
      <c r="K81" s="71">
        <v>0</v>
      </c>
      <c r="L81" s="71">
        <v>0</v>
      </c>
    </row>
    <row r="82" spans="5:12" ht="17" x14ac:dyDescent="0.2">
      <c r="E82" s="39" t="s">
        <v>661</v>
      </c>
      <c r="F82" s="71"/>
      <c r="G82" s="71"/>
      <c r="H82" s="71"/>
      <c r="I82" s="71"/>
      <c r="J82" s="71"/>
      <c r="K82" s="71">
        <v>0</v>
      </c>
      <c r="L82" s="71">
        <v>0</v>
      </c>
    </row>
    <row r="83" spans="5:12" ht="17" x14ac:dyDescent="0.2">
      <c r="E83" s="39" t="s">
        <v>660</v>
      </c>
      <c r="F83" s="71"/>
      <c r="G83" s="71"/>
      <c r="H83" s="71"/>
      <c r="I83" s="71"/>
      <c r="J83" s="71"/>
      <c r="K83" s="71">
        <v>0</v>
      </c>
      <c r="L83" s="71">
        <v>0</v>
      </c>
    </row>
    <row r="84" spans="5:12" ht="17" x14ac:dyDescent="0.2">
      <c r="E84" s="39" t="s">
        <v>659</v>
      </c>
      <c r="F84" s="71"/>
      <c r="G84" s="71"/>
      <c r="H84" s="71"/>
      <c r="I84" s="71"/>
      <c r="J84" s="71"/>
      <c r="K84" s="71">
        <v>0</v>
      </c>
      <c r="L84" s="71">
        <v>0</v>
      </c>
    </row>
    <row r="85" spans="5:12" ht="17" x14ac:dyDescent="0.2">
      <c r="E85" s="39" t="s">
        <v>658</v>
      </c>
      <c r="F85" s="71"/>
      <c r="G85" s="71"/>
      <c r="H85" s="71"/>
      <c r="I85" s="71"/>
      <c r="J85" s="71"/>
      <c r="K85" s="71">
        <v>0</v>
      </c>
      <c r="L85" s="71">
        <v>0</v>
      </c>
    </row>
    <row r="86" spans="5:12" ht="17" x14ac:dyDescent="0.2">
      <c r="E86" s="39" t="s">
        <v>663</v>
      </c>
      <c r="F86" s="71"/>
      <c r="G86" s="71"/>
      <c r="H86" s="71"/>
      <c r="I86" s="71"/>
      <c r="J86" s="71"/>
      <c r="K86" s="71">
        <v>0</v>
      </c>
      <c r="L86" s="71">
        <v>0</v>
      </c>
    </row>
    <row r="87" spans="5:12" ht="17" x14ac:dyDescent="0.2">
      <c r="E87" s="39" t="s">
        <v>662</v>
      </c>
      <c r="F87" s="71"/>
      <c r="G87" s="71"/>
      <c r="H87" s="71"/>
      <c r="I87" s="71"/>
      <c r="J87" s="71"/>
      <c r="K87" s="71">
        <v>0</v>
      </c>
      <c r="L87" s="71">
        <v>0</v>
      </c>
    </row>
    <row r="88" spans="5:12" x14ac:dyDescent="0.2">
      <c r="E88" s="5" t="s">
        <v>904</v>
      </c>
      <c r="F88" s="71"/>
      <c r="G88" s="71"/>
      <c r="H88" s="71"/>
      <c r="I88" s="71"/>
      <c r="J88" s="71"/>
      <c r="K88" s="71">
        <v>0</v>
      </c>
      <c r="L88" s="71">
        <v>0</v>
      </c>
    </row>
    <row r="89" spans="5:12" x14ac:dyDescent="0.2">
      <c r="E89" s="2" t="s">
        <v>773</v>
      </c>
      <c r="F89" s="71"/>
      <c r="G89" s="71"/>
      <c r="H89" s="71"/>
      <c r="I89" s="71"/>
      <c r="J89" s="71"/>
      <c r="K89" s="71">
        <v>0</v>
      </c>
      <c r="L89" s="71">
        <v>0</v>
      </c>
    </row>
    <row r="90" spans="5:12" ht="17" x14ac:dyDescent="0.2">
      <c r="E90" s="39" t="s">
        <v>375</v>
      </c>
      <c r="F90" s="71"/>
      <c r="G90" s="71"/>
      <c r="H90" s="71"/>
      <c r="I90" s="71"/>
      <c r="J90" s="71"/>
      <c r="K90" s="71">
        <v>0</v>
      </c>
      <c r="L90" s="71">
        <v>0</v>
      </c>
    </row>
    <row r="91" spans="5:12" ht="17" x14ac:dyDescent="0.2">
      <c r="E91" s="39" t="s">
        <v>664</v>
      </c>
      <c r="F91" s="71"/>
      <c r="G91" s="71"/>
      <c r="H91" s="71"/>
      <c r="I91" s="71"/>
      <c r="J91" s="71"/>
      <c r="K91" s="71">
        <v>0</v>
      </c>
      <c r="L91" s="71">
        <v>0</v>
      </c>
    </row>
    <row r="92" spans="5:12" ht="17" x14ac:dyDescent="0.2">
      <c r="E92" s="39" t="s">
        <v>667</v>
      </c>
      <c r="F92" s="71"/>
      <c r="G92" s="71"/>
      <c r="H92" s="71"/>
      <c r="I92" s="71"/>
      <c r="J92" s="71"/>
      <c r="K92" s="71">
        <v>0</v>
      </c>
      <c r="L92" s="71">
        <v>0</v>
      </c>
    </row>
    <row r="93" spans="5:12" ht="17" x14ac:dyDescent="0.2">
      <c r="E93" s="39" t="s">
        <v>666</v>
      </c>
      <c r="F93" s="71"/>
      <c r="G93" s="71"/>
      <c r="H93" s="71"/>
      <c r="I93" s="71"/>
      <c r="J93" s="71"/>
      <c r="K93" s="71">
        <v>0</v>
      </c>
      <c r="L93" s="71">
        <v>0</v>
      </c>
    </row>
    <row r="94" spans="5:12" x14ac:dyDescent="0.2">
      <c r="E94" s="2" t="s">
        <v>774</v>
      </c>
      <c r="F94" s="71"/>
      <c r="G94" s="71"/>
      <c r="H94" s="71"/>
      <c r="I94" s="71"/>
      <c r="J94" s="71"/>
      <c r="K94" s="71">
        <v>0</v>
      </c>
      <c r="L94" s="71">
        <v>0</v>
      </c>
    </row>
    <row r="95" spans="5:12" ht="17" x14ac:dyDescent="0.2">
      <c r="E95" s="39" t="s">
        <v>377</v>
      </c>
      <c r="F95" s="71"/>
      <c r="G95" s="71"/>
      <c r="H95" s="71"/>
      <c r="I95" s="71"/>
      <c r="J95" s="71"/>
      <c r="K95" s="71">
        <v>0</v>
      </c>
      <c r="L95" s="71">
        <v>0</v>
      </c>
    </row>
    <row r="96" spans="5:12" ht="17" x14ac:dyDescent="0.2">
      <c r="E96" s="39" t="s">
        <v>669</v>
      </c>
      <c r="F96" s="71"/>
      <c r="G96" s="71"/>
      <c r="H96" s="71"/>
      <c r="I96" s="71"/>
      <c r="J96" s="71"/>
      <c r="K96" s="71">
        <v>0</v>
      </c>
      <c r="L96" s="71">
        <v>0</v>
      </c>
    </row>
    <row r="97" spans="5:12" ht="17" x14ac:dyDescent="0.2">
      <c r="E97" s="39" t="s">
        <v>668</v>
      </c>
      <c r="F97" s="71"/>
      <c r="G97" s="71"/>
      <c r="H97" s="71"/>
      <c r="I97" s="71"/>
      <c r="J97" s="71"/>
      <c r="K97" s="71">
        <v>0</v>
      </c>
      <c r="L97" s="71">
        <v>0</v>
      </c>
    </row>
    <row r="98" spans="5:12" x14ac:dyDescent="0.2">
      <c r="E98" s="5" t="s">
        <v>905</v>
      </c>
      <c r="F98" s="71"/>
      <c r="G98" s="71"/>
      <c r="H98" s="71"/>
      <c r="I98" s="71"/>
      <c r="J98" s="71"/>
      <c r="K98" s="71">
        <v>0</v>
      </c>
      <c r="L98" s="71">
        <v>0</v>
      </c>
    </row>
    <row r="99" spans="5:12" x14ac:dyDescent="0.2">
      <c r="E99" s="2" t="s">
        <v>775</v>
      </c>
      <c r="F99" s="71"/>
      <c r="G99" s="71"/>
      <c r="H99" s="71"/>
      <c r="I99" s="71"/>
      <c r="J99" s="71"/>
      <c r="K99" s="71">
        <v>0</v>
      </c>
      <c r="L99" s="71">
        <v>0</v>
      </c>
    </row>
    <row r="100" spans="5:12" ht="17" x14ac:dyDescent="0.2">
      <c r="E100" s="39" t="s">
        <v>378</v>
      </c>
      <c r="F100" s="71"/>
      <c r="G100" s="71"/>
      <c r="H100" s="71"/>
      <c r="I100" s="71"/>
      <c r="J100" s="71"/>
      <c r="K100" s="71">
        <v>0</v>
      </c>
      <c r="L100" s="71">
        <v>0</v>
      </c>
    </row>
    <row r="101" spans="5:12" ht="17" x14ac:dyDescent="0.2">
      <c r="E101" s="39" t="s">
        <v>673</v>
      </c>
      <c r="F101" s="71"/>
      <c r="G101" s="71"/>
      <c r="H101" s="71"/>
      <c r="I101" s="71"/>
      <c r="J101" s="71"/>
      <c r="K101" s="71">
        <v>0</v>
      </c>
      <c r="L101" s="71">
        <v>0</v>
      </c>
    </row>
    <row r="102" spans="5:12" ht="17" x14ac:dyDescent="0.2">
      <c r="E102" s="39" t="s">
        <v>672</v>
      </c>
      <c r="F102" s="71"/>
      <c r="G102" s="71"/>
      <c r="H102" s="71"/>
      <c r="I102" s="71"/>
      <c r="J102" s="71"/>
      <c r="K102" s="71">
        <v>0</v>
      </c>
      <c r="L102" s="71">
        <v>0</v>
      </c>
    </row>
    <row r="103" spans="5:12" x14ac:dyDescent="0.2">
      <c r="E103" s="2" t="s">
        <v>776</v>
      </c>
      <c r="F103" s="71"/>
      <c r="G103" s="71"/>
      <c r="H103" s="71"/>
      <c r="I103" s="71"/>
      <c r="J103" s="71"/>
      <c r="K103" s="71">
        <v>0</v>
      </c>
      <c r="L103" s="71">
        <v>0</v>
      </c>
    </row>
    <row r="104" spans="5:12" ht="17" x14ac:dyDescent="0.2">
      <c r="E104" s="39" t="s">
        <v>379</v>
      </c>
      <c r="F104" s="71"/>
      <c r="G104" s="71"/>
      <c r="H104" s="71"/>
      <c r="I104" s="71"/>
      <c r="J104" s="71"/>
      <c r="K104" s="71">
        <v>0</v>
      </c>
      <c r="L104" s="71">
        <v>0</v>
      </c>
    </row>
    <row r="105" spans="5:12" ht="17" x14ac:dyDescent="0.2">
      <c r="E105" s="39" t="s">
        <v>674</v>
      </c>
      <c r="F105" s="71"/>
      <c r="G105" s="71"/>
      <c r="H105" s="71"/>
      <c r="I105" s="71"/>
      <c r="J105" s="71"/>
      <c r="K105" s="71">
        <v>0</v>
      </c>
      <c r="L105" s="71">
        <v>0</v>
      </c>
    </row>
    <row r="106" spans="5:12" ht="17" x14ac:dyDescent="0.2">
      <c r="E106" s="39" t="s">
        <v>675</v>
      </c>
      <c r="F106" s="71"/>
      <c r="G106" s="71"/>
      <c r="H106" s="71"/>
      <c r="I106" s="71"/>
      <c r="J106" s="71"/>
      <c r="K106" s="71">
        <v>0</v>
      </c>
      <c r="L106" s="71">
        <v>0</v>
      </c>
    </row>
    <row r="107" spans="5:12" x14ac:dyDescent="0.2">
      <c r="E107" s="2" t="s">
        <v>964</v>
      </c>
      <c r="F107" s="71"/>
      <c r="G107" s="71"/>
      <c r="H107" s="71"/>
      <c r="I107" s="71"/>
      <c r="J107" s="71"/>
      <c r="K107" s="71">
        <v>0</v>
      </c>
      <c r="L107" s="71">
        <v>0</v>
      </c>
    </row>
    <row r="108" spans="5:12" x14ac:dyDescent="0.2">
      <c r="E108" s="3" t="s">
        <v>677</v>
      </c>
      <c r="F108" s="71"/>
      <c r="G108" s="71"/>
      <c r="H108" s="71"/>
      <c r="I108" s="71"/>
      <c r="J108" s="71"/>
      <c r="K108" s="71">
        <v>0</v>
      </c>
      <c r="L108" s="71">
        <v>0</v>
      </c>
    </row>
    <row r="109" spans="5:12" x14ac:dyDescent="0.2">
      <c r="E109" s="5" t="s">
        <v>907</v>
      </c>
      <c r="F109" s="71"/>
      <c r="G109" s="71"/>
      <c r="H109" s="71"/>
      <c r="I109" s="71"/>
      <c r="J109" s="71"/>
      <c r="K109" s="71">
        <v>0</v>
      </c>
      <c r="L109" s="71">
        <v>0</v>
      </c>
    </row>
    <row r="110" spans="5:12" x14ac:dyDescent="0.2">
      <c r="E110" s="5" t="s">
        <v>908</v>
      </c>
      <c r="F110" s="71"/>
      <c r="G110" s="71"/>
      <c r="H110" s="71"/>
      <c r="I110" s="71"/>
      <c r="J110" s="71"/>
      <c r="K110" s="71">
        <v>0</v>
      </c>
      <c r="L110" s="71">
        <v>0</v>
      </c>
    </row>
    <row r="111" spans="5:12" x14ac:dyDescent="0.2">
      <c r="E111" s="5" t="s">
        <v>909</v>
      </c>
      <c r="F111" s="71"/>
      <c r="G111" s="71"/>
      <c r="H111" s="71"/>
      <c r="I111" s="71"/>
      <c r="J111" s="71"/>
      <c r="K111" s="71">
        <v>0</v>
      </c>
      <c r="L111" s="71">
        <v>0</v>
      </c>
    </row>
    <row r="112" spans="5:12" x14ac:dyDescent="0.2">
      <c r="E112" s="5" t="s">
        <v>910</v>
      </c>
      <c r="F112" s="71"/>
      <c r="G112" s="71"/>
      <c r="H112" s="71"/>
      <c r="I112" s="71"/>
      <c r="J112" s="71"/>
      <c r="K112" s="71">
        <v>0</v>
      </c>
      <c r="L112" s="71">
        <v>0</v>
      </c>
    </row>
    <row r="113" spans="5:12" x14ac:dyDescent="0.2">
      <c r="E113" s="5" t="s">
        <v>911</v>
      </c>
      <c r="F113" s="71"/>
      <c r="G113" s="71"/>
      <c r="H113" s="71"/>
      <c r="I113" s="71"/>
      <c r="J113" s="71"/>
      <c r="K113" s="71">
        <v>0</v>
      </c>
      <c r="L113" s="71">
        <v>0</v>
      </c>
    </row>
    <row r="114" spans="5:12" x14ac:dyDescent="0.2">
      <c r="E114" s="5" t="s">
        <v>912</v>
      </c>
      <c r="F114" s="71"/>
      <c r="G114" s="71"/>
      <c r="H114" s="71"/>
      <c r="I114" s="71"/>
      <c r="J114" s="71"/>
      <c r="K114" s="71">
        <v>0</v>
      </c>
      <c r="L114" s="71">
        <v>0</v>
      </c>
    </row>
    <row r="115" spans="5:12" x14ac:dyDescent="0.2">
      <c r="E115" s="5" t="s">
        <v>913</v>
      </c>
      <c r="F115" s="71"/>
      <c r="G115" s="71"/>
      <c r="H115" s="71"/>
      <c r="I115" s="71"/>
      <c r="J115" s="71"/>
      <c r="K115" s="71">
        <v>0</v>
      </c>
      <c r="L115" s="71">
        <v>0</v>
      </c>
    </row>
    <row r="116" spans="5:12" x14ac:dyDescent="0.2">
      <c r="E116" s="2" t="s">
        <v>965</v>
      </c>
      <c r="F116" s="71"/>
      <c r="G116" s="71"/>
      <c r="H116" s="71"/>
      <c r="I116" s="71"/>
      <c r="J116" s="71"/>
      <c r="K116" s="71">
        <v>0</v>
      </c>
      <c r="L116" s="71">
        <v>0</v>
      </c>
    </row>
    <row r="117" spans="5:12" x14ac:dyDescent="0.2">
      <c r="E117" s="3" t="s">
        <v>678</v>
      </c>
      <c r="F117" s="71"/>
      <c r="G117" s="71"/>
      <c r="H117" s="71"/>
      <c r="I117" s="71"/>
      <c r="J117" s="71"/>
      <c r="K117" s="71">
        <v>0</v>
      </c>
      <c r="L117" s="71">
        <v>0</v>
      </c>
    </row>
    <row r="118" spans="5:12" x14ac:dyDescent="0.2">
      <c r="E118" s="5" t="s">
        <v>914</v>
      </c>
      <c r="F118" s="71"/>
      <c r="G118" s="71"/>
      <c r="H118" s="71"/>
      <c r="I118" s="71"/>
      <c r="J118" s="71"/>
      <c r="K118" s="71">
        <v>0</v>
      </c>
      <c r="L118" s="71">
        <v>0</v>
      </c>
    </row>
    <row r="119" spans="5:12" x14ac:dyDescent="0.2">
      <c r="E119" s="5" t="s">
        <v>915</v>
      </c>
      <c r="F119" s="71"/>
      <c r="G119" s="71"/>
      <c r="H119" s="71"/>
      <c r="I119" s="71"/>
      <c r="J119" s="71"/>
      <c r="K119" s="71">
        <v>0</v>
      </c>
      <c r="L119" s="71">
        <v>0</v>
      </c>
    </row>
    <row r="120" spans="5:12" x14ac:dyDescent="0.2">
      <c r="E120" s="5" t="s">
        <v>916</v>
      </c>
      <c r="F120" s="71"/>
      <c r="G120" s="71"/>
      <c r="H120" s="71"/>
      <c r="I120" s="71"/>
      <c r="J120" s="71"/>
      <c r="K120" s="71">
        <v>0</v>
      </c>
      <c r="L120" s="71">
        <v>0</v>
      </c>
    </row>
    <row r="121" spans="5:12" x14ac:dyDescent="0.2">
      <c r="E121" s="2" t="s">
        <v>966</v>
      </c>
      <c r="F121" s="71"/>
      <c r="G121" s="71"/>
      <c r="H121" s="71"/>
      <c r="I121" s="71"/>
      <c r="J121" s="71"/>
      <c r="K121" s="71">
        <v>0</v>
      </c>
      <c r="L121" s="71">
        <v>0</v>
      </c>
    </row>
    <row r="122" spans="5:12" x14ac:dyDescent="0.2">
      <c r="E122" s="3" t="s">
        <v>679</v>
      </c>
      <c r="F122" s="71"/>
      <c r="G122" s="71"/>
      <c r="H122" s="71"/>
      <c r="I122" s="71"/>
      <c r="J122" s="71"/>
      <c r="K122" s="71">
        <v>0</v>
      </c>
      <c r="L122" s="71">
        <v>0</v>
      </c>
    </row>
    <row r="123" spans="5:12" x14ac:dyDescent="0.2">
      <c r="E123" s="5" t="s">
        <v>917</v>
      </c>
      <c r="F123" s="71"/>
      <c r="G123" s="71"/>
      <c r="H123" s="71"/>
      <c r="I123" s="71"/>
      <c r="J123" s="71"/>
      <c r="K123" s="71">
        <v>0</v>
      </c>
      <c r="L123" s="71">
        <v>0</v>
      </c>
    </row>
    <row r="124" spans="5:12" x14ac:dyDescent="0.2">
      <c r="E124" s="5" t="s">
        <v>924</v>
      </c>
      <c r="F124" s="71"/>
      <c r="G124" s="71"/>
      <c r="H124" s="71"/>
      <c r="I124" s="71"/>
      <c r="J124" s="71"/>
      <c r="K124" s="71">
        <v>0</v>
      </c>
      <c r="L124" s="71">
        <v>0</v>
      </c>
    </row>
    <row r="125" spans="5:12" x14ac:dyDescent="0.2">
      <c r="E125" s="5" t="s">
        <v>920</v>
      </c>
      <c r="F125" s="71"/>
      <c r="G125" s="71"/>
      <c r="H125" s="71"/>
      <c r="I125" s="71"/>
      <c r="J125" s="71"/>
      <c r="K125" s="71">
        <v>0</v>
      </c>
      <c r="L125" s="71">
        <v>0</v>
      </c>
    </row>
    <row r="126" spans="5:12" x14ac:dyDescent="0.2">
      <c r="E126" s="5" t="s">
        <v>918</v>
      </c>
      <c r="F126" s="71"/>
      <c r="G126" s="71"/>
      <c r="H126" s="71"/>
      <c r="I126" s="71"/>
      <c r="J126" s="71"/>
      <c r="K126" s="71">
        <v>0</v>
      </c>
      <c r="L126" s="71">
        <v>0</v>
      </c>
    </row>
    <row r="127" spans="5:12" x14ac:dyDescent="0.2">
      <c r="E127" s="5" t="s">
        <v>919</v>
      </c>
      <c r="F127" s="71"/>
      <c r="G127" s="71"/>
      <c r="H127" s="71"/>
      <c r="I127" s="71"/>
      <c r="J127" s="71"/>
      <c r="K127" s="71">
        <v>0</v>
      </c>
      <c r="L127" s="71">
        <v>0</v>
      </c>
    </row>
    <row r="128" spans="5:12" x14ac:dyDescent="0.2">
      <c r="E128" s="5" t="s">
        <v>921</v>
      </c>
      <c r="F128" s="71"/>
      <c r="G128" s="71"/>
      <c r="H128" s="71"/>
      <c r="I128" s="71"/>
      <c r="J128" s="71"/>
      <c r="K128" s="71">
        <v>0</v>
      </c>
      <c r="L128" s="71">
        <v>0</v>
      </c>
    </row>
    <row r="129" spans="5:12" x14ac:dyDescent="0.2">
      <c r="E129" s="5" t="s">
        <v>922</v>
      </c>
      <c r="F129" s="71"/>
      <c r="G129" s="71"/>
      <c r="H129" s="71"/>
      <c r="I129" s="71"/>
      <c r="J129" s="71"/>
      <c r="K129" s="71">
        <v>0</v>
      </c>
      <c r="L129" s="71">
        <v>0</v>
      </c>
    </row>
    <row r="130" spans="5:12" x14ac:dyDescent="0.2">
      <c r="E130" s="5" t="s">
        <v>923</v>
      </c>
      <c r="F130" s="71"/>
      <c r="G130" s="71"/>
      <c r="H130" s="71"/>
      <c r="I130" s="71"/>
      <c r="J130" s="71"/>
      <c r="K130" s="71">
        <v>0</v>
      </c>
      <c r="L130" s="71">
        <v>0</v>
      </c>
    </row>
    <row r="131" spans="5:12" x14ac:dyDescent="0.2">
      <c r="E131" s="2" t="s">
        <v>967</v>
      </c>
      <c r="F131" s="71"/>
      <c r="G131" s="71"/>
      <c r="H131" s="71"/>
      <c r="I131" s="71"/>
      <c r="J131" s="71"/>
      <c r="K131" s="71">
        <v>0</v>
      </c>
      <c r="L131" s="71">
        <v>0</v>
      </c>
    </row>
    <row r="132" spans="5:12" x14ac:dyDescent="0.2">
      <c r="E132" s="3" t="s">
        <v>680</v>
      </c>
      <c r="F132" s="71"/>
      <c r="G132" s="71"/>
      <c r="H132" s="71"/>
      <c r="I132" s="71"/>
      <c r="J132" s="71"/>
      <c r="K132" s="71">
        <v>0</v>
      </c>
      <c r="L132" s="71">
        <v>0</v>
      </c>
    </row>
    <row r="133" spans="5:12" x14ac:dyDescent="0.2">
      <c r="E133" s="5" t="s">
        <v>925</v>
      </c>
      <c r="F133" s="71"/>
      <c r="G133" s="71"/>
      <c r="H133" s="71"/>
      <c r="I133" s="71"/>
      <c r="J133" s="71"/>
      <c r="K133" s="71">
        <v>0</v>
      </c>
      <c r="L133" s="71">
        <v>0</v>
      </c>
    </row>
    <row r="134" spans="5:12" x14ac:dyDescent="0.2">
      <c r="E134" s="5" t="s">
        <v>926</v>
      </c>
      <c r="F134" s="71"/>
      <c r="G134" s="71"/>
      <c r="H134" s="71"/>
      <c r="I134" s="71"/>
      <c r="J134" s="71"/>
      <c r="K134" s="71">
        <v>0</v>
      </c>
      <c r="L134" s="71">
        <v>0</v>
      </c>
    </row>
    <row r="135" spans="5:12" x14ac:dyDescent="0.2">
      <c r="E135" s="5" t="s">
        <v>927</v>
      </c>
      <c r="F135" s="71"/>
      <c r="G135" s="71"/>
      <c r="H135" s="71"/>
      <c r="I135" s="71"/>
      <c r="J135" s="71"/>
      <c r="K135" s="71">
        <v>0</v>
      </c>
      <c r="L135" s="71">
        <v>0</v>
      </c>
    </row>
    <row r="136" spans="5:12" x14ac:dyDescent="0.2">
      <c r="E136" s="5" t="s">
        <v>928</v>
      </c>
      <c r="F136" s="71"/>
      <c r="G136" s="71"/>
      <c r="H136" s="71"/>
      <c r="I136" s="71"/>
      <c r="J136" s="71"/>
      <c r="K136" s="71">
        <v>0</v>
      </c>
      <c r="L136" s="71">
        <v>0</v>
      </c>
    </row>
    <row r="137" spans="5:12" x14ac:dyDescent="0.2">
      <c r="E137" s="5" t="s">
        <v>929</v>
      </c>
      <c r="F137" s="71"/>
      <c r="G137" s="71"/>
      <c r="H137" s="71"/>
      <c r="I137" s="71"/>
      <c r="J137" s="71"/>
      <c r="K137" s="71">
        <v>0</v>
      </c>
      <c r="L137" s="71">
        <v>0</v>
      </c>
    </row>
    <row r="138" spans="5:12" x14ac:dyDescent="0.2">
      <c r="E138" s="5" t="s">
        <v>930</v>
      </c>
      <c r="F138" s="71"/>
      <c r="G138" s="71"/>
      <c r="H138" s="71"/>
      <c r="I138" s="71"/>
      <c r="J138" s="71"/>
      <c r="K138" s="71">
        <v>0</v>
      </c>
      <c r="L138" s="71">
        <v>0</v>
      </c>
    </row>
    <row r="139" spans="5:12" x14ac:dyDescent="0.2">
      <c r="E139" s="5" t="s">
        <v>931</v>
      </c>
      <c r="F139" s="71"/>
      <c r="G139" s="71"/>
      <c r="H139" s="71"/>
      <c r="I139" s="71"/>
      <c r="J139" s="71"/>
      <c r="K139" s="71">
        <v>0</v>
      </c>
      <c r="L139" s="71">
        <v>0</v>
      </c>
    </row>
    <row r="140" spans="5:12" ht="17" x14ac:dyDescent="0.2">
      <c r="E140" s="39" t="s">
        <v>11</v>
      </c>
      <c r="F140" s="71">
        <v>1</v>
      </c>
      <c r="G140" s="71">
        <v>8</v>
      </c>
      <c r="H140" s="71"/>
      <c r="I140" s="71"/>
      <c r="J140" s="71"/>
      <c r="K140" s="71">
        <v>0</v>
      </c>
      <c r="L140" s="71">
        <v>0</v>
      </c>
    </row>
    <row r="141" spans="5:12" x14ac:dyDescent="0.2">
      <c r="E141"/>
    </row>
    <row r="142" spans="5:12" x14ac:dyDescent="0.2">
      <c r="E142"/>
    </row>
    <row r="143" spans="5:12" x14ac:dyDescent="0.2">
      <c r="E143"/>
    </row>
    <row r="144" spans="5:12" x14ac:dyDescent="0.2">
      <c r="E144"/>
    </row>
    <row r="145" spans="5:5" x14ac:dyDescent="0.2">
      <c r="E145"/>
    </row>
    <row r="146" spans="5:5" x14ac:dyDescent="0.2">
      <c r="E146"/>
    </row>
    <row r="147" spans="5:5" x14ac:dyDescent="0.2">
      <c r="E147"/>
    </row>
    <row r="148" spans="5:5" x14ac:dyDescent="0.2">
      <c r="E148"/>
    </row>
    <row r="149" spans="5:5" x14ac:dyDescent="0.2">
      <c r="E149"/>
    </row>
    <row r="150" spans="5:5" x14ac:dyDescent="0.2">
      <c r="E150"/>
    </row>
    <row r="151" spans="5:5" x14ac:dyDescent="0.2">
      <c r="E151"/>
    </row>
    <row r="152" spans="5:5" x14ac:dyDescent="0.2">
      <c r="E152"/>
    </row>
    <row r="153" spans="5:5" x14ac:dyDescent="0.2">
      <c r="E153"/>
    </row>
    <row r="154" spans="5:5" x14ac:dyDescent="0.2">
      <c r="E154"/>
    </row>
    <row r="155" spans="5:5" x14ac:dyDescent="0.2">
      <c r="E155"/>
    </row>
    <row r="156" spans="5:5" x14ac:dyDescent="0.2">
      <c r="E156"/>
    </row>
    <row r="157" spans="5:5" x14ac:dyDescent="0.2">
      <c r="E157"/>
    </row>
    <row r="158" spans="5:5" x14ac:dyDescent="0.2">
      <c r="E158"/>
    </row>
    <row r="159" spans="5:5" x14ac:dyDescent="0.2">
      <c r="E159"/>
    </row>
    <row r="160" spans="5:5" x14ac:dyDescent="0.2">
      <c r="E160"/>
    </row>
    <row r="161" spans="5:5" x14ac:dyDescent="0.2">
      <c r="E161"/>
    </row>
    <row r="162" spans="5:5" x14ac:dyDescent="0.2">
      <c r="E162"/>
    </row>
    <row r="163" spans="5:5" x14ac:dyDescent="0.2">
      <c r="E163"/>
    </row>
    <row r="164" spans="5:5" x14ac:dyDescent="0.2">
      <c r="E164"/>
    </row>
    <row r="165" spans="5:5" x14ac:dyDescent="0.2">
      <c r="E165"/>
    </row>
    <row r="166" spans="5:5" x14ac:dyDescent="0.2">
      <c r="E166"/>
    </row>
    <row r="167" spans="5:5" x14ac:dyDescent="0.2">
      <c r="E167"/>
    </row>
    <row r="168" spans="5:5" x14ac:dyDescent="0.2">
      <c r="E168"/>
    </row>
    <row r="169" spans="5:5" x14ac:dyDescent="0.2">
      <c r="E169"/>
    </row>
    <row r="170" spans="5:5" x14ac:dyDescent="0.2">
      <c r="E170"/>
    </row>
    <row r="171" spans="5:5" x14ac:dyDescent="0.2">
      <c r="E171"/>
    </row>
    <row r="172" spans="5:5" x14ac:dyDescent="0.2">
      <c r="E172"/>
    </row>
    <row r="173" spans="5:5" x14ac:dyDescent="0.2">
      <c r="E173"/>
    </row>
    <row r="174" spans="5:5" x14ac:dyDescent="0.2">
      <c r="E174"/>
    </row>
    <row r="175" spans="5:5" x14ac:dyDescent="0.2">
      <c r="E175"/>
    </row>
    <row r="176" spans="5:5" x14ac:dyDescent="0.2">
      <c r="E176"/>
    </row>
    <row r="177" spans="5:5" x14ac:dyDescent="0.2">
      <c r="E177"/>
    </row>
    <row r="178" spans="5:5" x14ac:dyDescent="0.2">
      <c r="E178"/>
    </row>
    <row r="179" spans="5:5" x14ac:dyDescent="0.2">
      <c r="E179"/>
    </row>
    <row r="180" spans="5:5" x14ac:dyDescent="0.2">
      <c r="E180"/>
    </row>
    <row r="181" spans="5:5" x14ac:dyDescent="0.2">
      <c r="E181"/>
    </row>
    <row r="182" spans="5:5" x14ac:dyDescent="0.2">
      <c r="E182"/>
    </row>
    <row r="183" spans="5:5" x14ac:dyDescent="0.2">
      <c r="E183"/>
    </row>
    <row r="184" spans="5:5" x14ac:dyDescent="0.2">
      <c r="E184"/>
    </row>
    <row r="185" spans="5:5" x14ac:dyDescent="0.2">
      <c r="E185"/>
    </row>
    <row r="186" spans="5:5" x14ac:dyDescent="0.2">
      <c r="E186"/>
    </row>
    <row r="187" spans="5:5" x14ac:dyDescent="0.2">
      <c r="E187"/>
    </row>
    <row r="188" spans="5:5" x14ac:dyDescent="0.2">
      <c r="E188"/>
    </row>
    <row r="189" spans="5:5" x14ac:dyDescent="0.2">
      <c r="E189"/>
    </row>
    <row r="190" spans="5:5" x14ac:dyDescent="0.2">
      <c r="E190"/>
    </row>
    <row r="191" spans="5:5" x14ac:dyDescent="0.2">
      <c r="E191"/>
    </row>
    <row r="192" spans="5:5" x14ac:dyDescent="0.2">
      <c r="E192"/>
    </row>
    <row r="193" spans="5:5" x14ac:dyDescent="0.2">
      <c r="E193"/>
    </row>
    <row r="194" spans="5:5" x14ac:dyDescent="0.2">
      <c r="E194"/>
    </row>
    <row r="195" spans="5:5" x14ac:dyDescent="0.2">
      <c r="E195"/>
    </row>
    <row r="196" spans="5:5" x14ac:dyDescent="0.2">
      <c r="E196"/>
    </row>
    <row r="197" spans="5:5" x14ac:dyDescent="0.2">
      <c r="E197"/>
    </row>
    <row r="198" spans="5:5" x14ac:dyDescent="0.2">
      <c r="E198"/>
    </row>
    <row r="199" spans="5:5" x14ac:dyDescent="0.2">
      <c r="E199"/>
    </row>
    <row r="200" spans="5:5" x14ac:dyDescent="0.2">
      <c r="E200"/>
    </row>
    <row r="201" spans="5:5" x14ac:dyDescent="0.2">
      <c r="E201"/>
    </row>
    <row r="202" spans="5:5" x14ac:dyDescent="0.2">
      <c r="E202"/>
    </row>
    <row r="203" spans="5:5" x14ac:dyDescent="0.2">
      <c r="E203"/>
    </row>
    <row r="204" spans="5:5" x14ac:dyDescent="0.2">
      <c r="E204"/>
    </row>
    <row r="205" spans="5:5" x14ac:dyDescent="0.2">
      <c r="E205"/>
    </row>
    <row r="206" spans="5:5" x14ac:dyDescent="0.2">
      <c r="E206"/>
    </row>
    <row r="207" spans="5:5" x14ac:dyDescent="0.2">
      <c r="E207"/>
    </row>
    <row r="208" spans="5:5" x14ac:dyDescent="0.2">
      <c r="E208"/>
    </row>
    <row r="209" spans="5:5" x14ac:dyDescent="0.2">
      <c r="E209"/>
    </row>
    <row r="210" spans="5:5" x14ac:dyDescent="0.2">
      <c r="E210"/>
    </row>
    <row r="211" spans="5:5" x14ac:dyDescent="0.2">
      <c r="E211"/>
    </row>
    <row r="212" spans="5:5" x14ac:dyDescent="0.2">
      <c r="E212"/>
    </row>
    <row r="213" spans="5:5" x14ac:dyDescent="0.2">
      <c r="E213"/>
    </row>
    <row r="214" spans="5:5" x14ac:dyDescent="0.2">
      <c r="E214"/>
    </row>
    <row r="215" spans="5:5" x14ac:dyDescent="0.2">
      <c r="E215"/>
    </row>
    <row r="216" spans="5:5" x14ac:dyDescent="0.2">
      <c r="E216"/>
    </row>
    <row r="217" spans="5:5" x14ac:dyDescent="0.2">
      <c r="E217"/>
    </row>
    <row r="218" spans="5:5" x14ac:dyDescent="0.2">
      <c r="E218"/>
    </row>
    <row r="219" spans="5:5" x14ac:dyDescent="0.2">
      <c r="E219"/>
    </row>
    <row r="220" spans="5:5" x14ac:dyDescent="0.2">
      <c r="E220"/>
    </row>
    <row r="221" spans="5:5" x14ac:dyDescent="0.2">
      <c r="E221"/>
    </row>
    <row r="222" spans="5:5" x14ac:dyDescent="0.2">
      <c r="E222"/>
    </row>
    <row r="223" spans="5:5" x14ac:dyDescent="0.2">
      <c r="E223"/>
    </row>
    <row r="224" spans="5:5" x14ac:dyDescent="0.2">
      <c r="E224"/>
    </row>
    <row r="225" spans="5:5" x14ac:dyDescent="0.2">
      <c r="E225"/>
    </row>
    <row r="226" spans="5:5" x14ac:dyDescent="0.2">
      <c r="E226"/>
    </row>
    <row r="227" spans="5:5" x14ac:dyDescent="0.2">
      <c r="E227"/>
    </row>
    <row r="228" spans="5:5" x14ac:dyDescent="0.2">
      <c r="E228"/>
    </row>
    <row r="229" spans="5:5" x14ac:dyDescent="0.2">
      <c r="E229"/>
    </row>
    <row r="230" spans="5:5" x14ac:dyDescent="0.2">
      <c r="E230"/>
    </row>
    <row r="231" spans="5:5" x14ac:dyDescent="0.2">
      <c r="E231"/>
    </row>
    <row r="232" spans="5:5" x14ac:dyDescent="0.2">
      <c r="E232"/>
    </row>
    <row r="233" spans="5:5" x14ac:dyDescent="0.2">
      <c r="E233"/>
    </row>
    <row r="234" spans="5:5" x14ac:dyDescent="0.2">
      <c r="E234"/>
    </row>
    <row r="235" spans="5:5" x14ac:dyDescent="0.2">
      <c r="E235"/>
    </row>
    <row r="236" spans="5:5" x14ac:dyDescent="0.2">
      <c r="E236"/>
    </row>
    <row r="237" spans="5:5" x14ac:dyDescent="0.2">
      <c r="E237"/>
    </row>
    <row r="238" spans="5:5" x14ac:dyDescent="0.2">
      <c r="E238"/>
    </row>
    <row r="239" spans="5:5" x14ac:dyDescent="0.2">
      <c r="E239"/>
    </row>
    <row r="240" spans="5:5" x14ac:dyDescent="0.2">
      <c r="E240"/>
    </row>
    <row r="241" spans="5:5" x14ac:dyDescent="0.2">
      <c r="E241"/>
    </row>
    <row r="242" spans="5:5" x14ac:dyDescent="0.2">
      <c r="E242"/>
    </row>
    <row r="243" spans="5:5" x14ac:dyDescent="0.2">
      <c r="E243"/>
    </row>
    <row r="244" spans="5:5" x14ac:dyDescent="0.2">
      <c r="E244"/>
    </row>
    <row r="245" spans="5:5" x14ac:dyDescent="0.2">
      <c r="E245"/>
    </row>
    <row r="246" spans="5:5" x14ac:dyDescent="0.2">
      <c r="E246"/>
    </row>
    <row r="247" spans="5:5" x14ac:dyDescent="0.2">
      <c r="E247"/>
    </row>
    <row r="248" spans="5:5" x14ac:dyDescent="0.2">
      <c r="E248"/>
    </row>
    <row r="249" spans="5:5" x14ac:dyDescent="0.2">
      <c r="E249"/>
    </row>
    <row r="250" spans="5:5" x14ac:dyDescent="0.2">
      <c r="E250"/>
    </row>
    <row r="251" spans="5:5" x14ac:dyDescent="0.2">
      <c r="E251"/>
    </row>
    <row r="252" spans="5:5" x14ac:dyDescent="0.2">
      <c r="E252"/>
    </row>
    <row r="253" spans="5:5" x14ac:dyDescent="0.2">
      <c r="E253"/>
    </row>
    <row r="254" spans="5:5" x14ac:dyDescent="0.2">
      <c r="E254"/>
    </row>
    <row r="255" spans="5:5" x14ac:dyDescent="0.2">
      <c r="E255"/>
    </row>
    <row r="256" spans="5:5" x14ac:dyDescent="0.2">
      <c r="E256"/>
    </row>
    <row r="257" spans="5:5" x14ac:dyDescent="0.2">
      <c r="E257"/>
    </row>
    <row r="258" spans="5:5" x14ac:dyDescent="0.2">
      <c r="E258"/>
    </row>
    <row r="259" spans="5:5" x14ac:dyDescent="0.2">
      <c r="E259"/>
    </row>
    <row r="260" spans="5:5" x14ac:dyDescent="0.2">
      <c r="E260"/>
    </row>
    <row r="261" spans="5:5" x14ac:dyDescent="0.2">
      <c r="E261"/>
    </row>
    <row r="262" spans="5:5" x14ac:dyDescent="0.2">
      <c r="E262"/>
    </row>
    <row r="263" spans="5:5" x14ac:dyDescent="0.2">
      <c r="E263"/>
    </row>
    <row r="264" spans="5:5" x14ac:dyDescent="0.2">
      <c r="E264"/>
    </row>
    <row r="265" spans="5:5" x14ac:dyDescent="0.2">
      <c r="E265"/>
    </row>
    <row r="266" spans="5:5" x14ac:dyDescent="0.2">
      <c r="E266"/>
    </row>
    <row r="267" spans="5:5" x14ac:dyDescent="0.2">
      <c r="E267"/>
    </row>
    <row r="268" spans="5:5" x14ac:dyDescent="0.2">
      <c r="E268"/>
    </row>
    <row r="269" spans="5:5" x14ac:dyDescent="0.2">
      <c r="E269"/>
    </row>
    <row r="270" spans="5:5" x14ac:dyDescent="0.2">
      <c r="E270"/>
    </row>
    <row r="271" spans="5:5" x14ac:dyDescent="0.2">
      <c r="E271"/>
    </row>
    <row r="272" spans="5:5" x14ac:dyDescent="0.2">
      <c r="E272"/>
    </row>
    <row r="273" spans="5:5" x14ac:dyDescent="0.2">
      <c r="E273"/>
    </row>
    <row r="274" spans="5:5" x14ac:dyDescent="0.2">
      <c r="E274"/>
    </row>
    <row r="275" spans="5:5" x14ac:dyDescent="0.2">
      <c r="E275"/>
    </row>
    <row r="276" spans="5:5" x14ac:dyDescent="0.2">
      <c r="E276"/>
    </row>
    <row r="277" spans="5:5" x14ac:dyDescent="0.2">
      <c r="E277"/>
    </row>
    <row r="278" spans="5:5" x14ac:dyDescent="0.2">
      <c r="E278"/>
    </row>
    <row r="279" spans="5:5" x14ac:dyDescent="0.2">
      <c r="E279"/>
    </row>
    <row r="280" spans="5:5" x14ac:dyDescent="0.2">
      <c r="E280"/>
    </row>
    <row r="281" spans="5:5" x14ac:dyDescent="0.2">
      <c r="E281"/>
    </row>
    <row r="282" spans="5:5" x14ac:dyDescent="0.2">
      <c r="E282"/>
    </row>
    <row r="283" spans="5:5" x14ac:dyDescent="0.2">
      <c r="E283"/>
    </row>
    <row r="284" spans="5:5" x14ac:dyDescent="0.2">
      <c r="E284"/>
    </row>
    <row r="285" spans="5:5" x14ac:dyDescent="0.2">
      <c r="E285"/>
    </row>
    <row r="286" spans="5:5" x14ac:dyDescent="0.2">
      <c r="E286"/>
    </row>
    <row r="287" spans="5:5" x14ac:dyDescent="0.2">
      <c r="E287"/>
    </row>
    <row r="288" spans="5:5" x14ac:dyDescent="0.2">
      <c r="E288"/>
    </row>
    <row r="289" spans="5:5" x14ac:dyDescent="0.2">
      <c r="E289"/>
    </row>
    <row r="290" spans="5:5" x14ac:dyDescent="0.2">
      <c r="E290"/>
    </row>
    <row r="291" spans="5:5" x14ac:dyDescent="0.2">
      <c r="E291"/>
    </row>
    <row r="292" spans="5:5" x14ac:dyDescent="0.2">
      <c r="E292"/>
    </row>
    <row r="293" spans="5:5" x14ac:dyDescent="0.2">
      <c r="E293"/>
    </row>
    <row r="294" spans="5:5" x14ac:dyDescent="0.2">
      <c r="E294"/>
    </row>
    <row r="295" spans="5:5" x14ac:dyDescent="0.2">
      <c r="E295"/>
    </row>
    <row r="296" spans="5:5" x14ac:dyDescent="0.2">
      <c r="E296"/>
    </row>
    <row r="297" spans="5:5" x14ac:dyDescent="0.2">
      <c r="E297"/>
    </row>
    <row r="298" spans="5:5" x14ac:dyDescent="0.2">
      <c r="E298"/>
    </row>
    <row r="299" spans="5:5" x14ac:dyDescent="0.2">
      <c r="E299"/>
    </row>
    <row r="300" spans="5:5" x14ac:dyDescent="0.2">
      <c r="E300"/>
    </row>
    <row r="301" spans="5:5" x14ac:dyDescent="0.2">
      <c r="E301"/>
    </row>
    <row r="302" spans="5:5" x14ac:dyDescent="0.2">
      <c r="E302"/>
    </row>
    <row r="303" spans="5:5" x14ac:dyDescent="0.2">
      <c r="E303"/>
    </row>
    <row r="304" spans="5:5" x14ac:dyDescent="0.2">
      <c r="E304"/>
    </row>
    <row r="305" spans="5:5" x14ac:dyDescent="0.2">
      <c r="E305"/>
    </row>
    <row r="306" spans="5:5" x14ac:dyDescent="0.2">
      <c r="E306"/>
    </row>
    <row r="307" spans="5:5" x14ac:dyDescent="0.2">
      <c r="E307"/>
    </row>
    <row r="308" spans="5:5" x14ac:dyDescent="0.2">
      <c r="E308"/>
    </row>
    <row r="309" spans="5:5" x14ac:dyDescent="0.2">
      <c r="E309"/>
    </row>
    <row r="310" spans="5:5" x14ac:dyDescent="0.2">
      <c r="E310"/>
    </row>
    <row r="311" spans="5:5" x14ac:dyDescent="0.2">
      <c r="E311"/>
    </row>
    <row r="312" spans="5:5" x14ac:dyDescent="0.2">
      <c r="E312"/>
    </row>
    <row r="313" spans="5:5" x14ac:dyDescent="0.2">
      <c r="E313"/>
    </row>
    <row r="314" spans="5:5" x14ac:dyDescent="0.2">
      <c r="E314"/>
    </row>
    <row r="315" spans="5:5" x14ac:dyDescent="0.2">
      <c r="E315"/>
    </row>
    <row r="316" spans="5:5" x14ac:dyDescent="0.2">
      <c r="E316"/>
    </row>
    <row r="317" spans="5:5" x14ac:dyDescent="0.2">
      <c r="E317"/>
    </row>
    <row r="318" spans="5:5" x14ac:dyDescent="0.2">
      <c r="E318"/>
    </row>
    <row r="319" spans="5:5" x14ac:dyDescent="0.2">
      <c r="E319"/>
    </row>
    <row r="320" spans="5:5" x14ac:dyDescent="0.2">
      <c r="E320"/>
    </row>
    <row r="321" spans="5:5" x14ac:dyDescent="0.2">
      <c r="E321"/>
    </row>
    <row r="322" spans="5:5" x14ac:dyDescent="0.2">
      <c r="E322"/>
    </row>
    <row r="323" spans="5:5" x14ac:dyDescent="0.2">
      <c r="E323"/>
    </row>
    <row r="324" spans="5:5" x14ac:dyDescent="0.2">
      <c r="E324"/>
    </row>
    <row r="325" spans="5:5" x14ac:dyDescent="0.2">
      <c r="E325"/>
    </row>
    <row r="326" spans="5:5" x14ac:dyDescent="0.2">
      <c r="E326"/>
    </row>
    <row r="327" spans="5:5" x14ac:dyDescent="0.2">
      <c r="E327"/>
    </row>
    <row r="328" spans="5:5" x14ac:dyDescent="0.2">
      <c r="E328"/>
    </row>
    <row r="329" spans="5:5" x14ac:dyDescent="0.2">
      <c r="E329"/>
    </row>
    <row r="330" spans="5:5" x14ac:dyDescent="0.2">
      <c r="E330"/>
    </row>
    <row r="331" spans="5:5" x14ac:dyDescent="0.2">
      <c r="E331"/>
    </row>
    <row r="332" spans="5:5" x14ac:dyDescent="0.2">
      <c r="E332"/>
    </row>
    <row r="333" spans="5:5" x14ac:dyDescent="0.2">
      <c r="E333"/>
    </row>
    <row r="334" spans="5:5" x14ac:dyDescent="0.2">
      <c r="E334"/>
    </row>
    <row r="335" spans="5:5" x14ac:dyDescent="0.2">
      <c r="E335"/>
    </row>
    <row r="336" spans="5:5" x14ac:dyDescent="0.2">
      <c r="E336"/>
    </row>
    <row r="337" spans="5:5" x14ac:dyDescent="0.2">
      <c r="E337"/>
    </row>
    <row r="338" spans="5:5" x14ac:dyDescent="0.2">
      <c r="E338"/>
    </row>
    <row r="339" spans="5:5" x14ac:dyDescent="0.2">
      <c r="E339"/>
    </row>
    <row r="340" spans="5:5" x14ac:dyDescent="0.2">
      <c r="E340"/>
    </row>
    <row r="341" spans="5:5" x14ac:dyDescent="0.2">
      <c r="E341"/>
    </row>
    <row r="342" spans="5:5" x14ac:dyDescent="0.2">
      <c r="E342"/>
    </row>
    <row r="343" spans="5:5" x14ac:dyDescent="0.2">
      <c r="E343"/>
    </row>
    <row r="344" spans="5:5" x14ac:dyDescent="0.2">
      <c r="E344"/>
    </row>
    <row r="345" spans="5:5" x14ac:dyDescent="0.2">
      <c r="E345"/>
    </row>
    <row r="346" spans="5:5" x14ac:dyDescent="0.2">
      <c r="E346"/>
    </row>
    <row r="347" spans="5:5" x14ac:dyDescent="0.2">
      <c r="E347"/>
    </row>
    <row r="348" spans="5:5" x14ac:dyDescent="0.2">
      <c r="E348"/>
    </row>
    <row r="349" spans="5:5" x14ac:dyDescent="0.2">
      <c r="E349"/>
    </row>
    <row r="350" spans="5:5" x14ac:dyDescent="0.2">
      <c r="E350"/>
    </row>
    <row r="351" spans="5:5" x14ac:dyDescent="0.2">
      <c r="E351"/>
    </row>
    <row r="352" spans="5:5" x14ac:dyDescent="0.2">
      <c r="E352"/>
    </row>
    <row r="353" spans="5:5" x14ac:dyDescent="0.2">
      <c r="E353"/>
    </row>
    <row r="354" spans="5:5" x14ac:dyDescent="0.2">
      <c r="E354"/>
    </row>
    <row r="355" spans="5:5" x14ac:dyDescent="0.2">
      <c r="E355"/>
    </row>
    <row r="356" spans="5:5" x14ac:dyDescent="0.2">
      <c r="E356"/>
    </row>
    <row r="357" spans="5:5" x14ac:dyDescent="0.2">
      <c r="E357"/>
    </row>
    <row r="358" spans="5:5" x14ac:dyDescent="0.2">
      <c r="E358"/>
    </row>
    <row r="359" spans="5:5" x14ac:dyDescent="0.2">
      <c r="E359"/>
    </row>
    <row r="360" spans="5:5" x14ac:dyDescent="0.2">
      <c r="E360"/>
    </row>
    <row r="361" spans="5:5" x14ac:dyDescent="0.2">
      <c r="E361"/>
    </row>
    <row r="362" spans="5:5" x14ac:dyDescent="0.2">
      <c r="E362"/>
    </row>
    <row r="363" spans="5:5" x14ac:dyDescent="0.2">
      <c r="E363"/>
    </row>
    <row r="364" spans="5:5" x14ac:dyDescent="0.2">
      <c r="E364"/>
    </row>
    <row r="365" spans="5:5" x14ac:dyDescent="0.2">
      <c r="E365"/>
    </row>
    <row r="366" spans="5:5" x14ac:dyDescent="0.2">
      <c r="E366"/>
    </row>
    <row r="367" spans="5:5" x14ac:dyDescent="0.2">
      <c r="E367"/>
    </row>
    <row r="368" spans="5:5" x14ac:dyDescent="0.2">
      <c r="E368"/>
    </row>
    <row r="369" spans="5:5" x14ac:dyDescent="0.2">
      <c r="E369"/>
    </row>
    <row r="370" spans="5:5" x14ac:dyDescent="0.2">
      <c r="E370"/>
    </row>
    <row r="371" spans="5:5" x14ac:dyDescent="0.2">
      <c r="E371"/>
    </row>
    <row r="372" spans="5:5" x14ac:dyDescent="0.2">
      <c r="E372"/>
    </row>
    <row r="373" spans="5:5" x14ac:dyDescent="0.2">
      <c r="E373"/>
    </row>
    <row r="374" spans="5:5" x14ac:dyDescent="0.2">
      <c r="E374"/>
    </row>
    <row r="375" spans="5:5" x14ac:dyDescent="0.2">
      <c r="E375"/>
    </row>
    <row r="376" spans="5:5" x14ac:dyDescent="0.2">
      <c r="E376"/>
    </row>
    <row r="377" spans="5:5" x14ac:dyDescent="0.2">
      <c r="E377"/>
    </row>
    <row r="378" spans="5:5" x14ac:dyDescent="0.2">
      <c r="E378"/>
    </row>
    <row r="379" spans="5:5" x14ac:dyDescent="0.2">
      <c r="E379"/>
    </row>
    <row r="380" spans="5:5" x14ac:dyDescent="0.2">
      <c r="E380"/>
    </row>
    <row r="381" spans="5:5" x14ac:dyDescent="0.2">
      <c r="E381"/>
    </row>
    <row r="382" spans="5:5" x14ac:dyDescent="0.2">
      <c r="E382"/>
    </row>
    <row r="383" spans="5:5" x14ac:dyDescent="0.2">
      <c r="E383"/>
    </row>
    <row r="384" spans="5:5" x14ac:dyDescent="0.2">
      <c r="E384"/>
    </row>
    <row r="385" spans="5:5" x14ac:dyDescent="0.2">
      <c r="E385"/>
    </row>
    <row r="386" spans="5:5" x14ac:dyDescent="0.2">
      <c r="E386"/>
    </row>
    <row r="387" spans="5:5" x14ac:dyDescent="0.2">
      <c r="E387"/>
    </row>
    <row r="388" spans="5:5" x14ac:dyDescent="0.2">
      <c r="E388"/>
    </row>
    <row r="389" spans="5:5" x14ac:dyDescent="0.2">
      <c r="E389"/>
    </row>
    <row r="390" spans="5:5" x14ac:dyDescent="0.2">
      <c r="E390"/>
    </row>
    <row r="391" spans="5:5" x14ac:dyDescent="0.2">
      <c r="E391"/>
    </row>
    <row r="392" spans="5:5" x14ac:dyDescent="0.2">
      <c r="E392"/>
    </row>
    <row r="393" spans="5:5" x14ac:dyDescent="0.2">
      <c r="E393"/>
    </row>
    <row r="394" spans="5:5" x14ac:dyDescent="0.2">
      <c r="E394"/>
    </row>
    <row r="395" spans="5:5" x14ac:dyDescent="0.2">
      <c r="E395"/>
    </row>
    <row r="396" spans="5:5" x14ac:dyDescent="0.2">
      <c r="E396"/>
    </row>
    <row r="397" spans="5:5" x14ac:dyDescent="0.2">
      <c r="E397"/>
    </row>
    <row r="398" spans="5:5" x14ac:dyDescent="0.2">
      <c r="E398"/>
    </row>
    <row r="399" spans="5:5" x14ac:dyDescent="0.2">
      <c r="E399"/>
    </row>
    <row r="400" spans="5:5" x14ac:dyDescent="0.2">
      <c r="E400"/>
    </row>
    <row r="401" spans="5:5" x14ac:dyDescent="0.2">
      <c r="E401"/>
    </row>
    <row r="402" spans="5:5" x14ac:dyDescent="0.2">
      <c r="E402"/>
    </row>
    <row r="403" spans="5:5" x14ac:dyDescent="0.2">
      <c r="E403"/>
    </row>
    <row r="404" spans="5:5" x14ac:dyDescent="0.2">
      <c r="E404"/>
    </row>
    <row r="405" spans="5:5" x14ac:dyDescent="0.2">
      <c r="E405"/>
    </row>
    <row r="406" spans="5:5" x14ac:dyDescent="0.2">
      <c r="E406"/>
    </row>
    <row r="407" spans="5:5" x14ac:dyDescent="0.2">
      <c r="E407"/>
    </row>
    <row r="408" spans="5:5" x14ac:dyDescent="0.2">
      <c r="E408"/>
    </row>
    <row r="409" spans="5:5" x14ac:dyDescent="0.2">
      <c r="E409"/>
    </row>
    <row r="410" spans="5:5" x14ac:dyDescent="0.2">
      <c r="E410"/>
    </row>
    <row r="411" spans="5:5" x14ac:dyDescent="0.2">
      <c r="E411"/>
    </row>
    <row r="412" spans="5:5" x14ac:dyDescent="0.2">
      <c r="E412"/>
    </row>
    <row r="413" spans="5:5" x14ac:dyDescent="0.2">
      <c r="E413"/>
    </row>
    <row r="414" spans="5:5" x14ac:dyDescent="0.2">
      <c r="E414"/>
    </row>
    <row r="415" spans="5:5" x14ac:dyDescent="0.2">
      <c r="E415"/>
    </row>
    <row r="416" spans="5:5" x14ac:dyDescent="0.2">
      <c r="E416"/>
    </row>
    <row r="417" spans="5:5" x14ac:dyDescent="0.2">
      <c r="E417"/>
    </row>
    <row r="418" spans="5:5" x14ac:dyDescent="0.2">
      <c r="E418"/>
    </row>
    <row r="419" spans="5:5" x14ac:dyDescent="0.2">
      <c r="E419"/>
    </row>
    <row r="420" spans="5:5" x14ac:dyDescent="0.2">
      <c r="E420"/>
    </row>
    <row r="421" spans="5:5" x14ac:dyDescent="0.2">
      <c r="E421"/>
    </row>
    <row r="422" spans="5:5" x14ac:dyDescent="0.2">
      <c r="E422"/>
    </row>
    <row r="423" spans="5:5" x14ac:dyDescent="0.2">
      <c r="E423"/>
    </row>
    <row r="424" spans="5:5" x14ac:dyDescent="0.2">
      <c r="E424"/>
    </row>
    <row r="425" spans="5:5" x14ac:dyDescent="0.2">
      <c r="E425"/>
    </row>
    <row r="426" spans="5:5" x14ac:dyDescent="0.2">
      <c r="E426"/>
    </row>
    <row r="427" spans="5:5" x14ac:dyDescent="0.2">
      <c r="E427"/>
    </row>
    <row r="428" spans="5:5" x14ac:dyDescent="0.2">
      <c r="E428"/>
    </row>
    <row r="429" spans="5:5" x14ac:dyDescent="0.2">
      <c r="E429"/>
    </row>
    <row r="430" spans="5:5" x14ac:dyDescent="0.2">
      <c r="E430"/>
    </row>
    <row r="431" spans="5:5" x14ac:dyDescent="0.2">
      <c r="E431"/>
    </row>
    <row r="432" spans="5:5" x14ac:dyDescent="0.2">
      <c r="E432"/>
    </row>
    <row r="433" spans="5:5" x14ac:dyDescent="0.2">
      <c r="E433"/>
    </row>
    <row r="434" spans="5:5" x14ac:dyDescent="0.2">
      <c r="E434"/>
    </row>
    <row r="435" spans="5:5" x14ac:dyDescent="0.2">
      <c r="E435"/>
    </row>
    <row r="436" spans="5:5" x14ac:dyDescent="0.2">
      <c r="E436"/>
    </row>
    <row r="437" spans="5:5" x14ac:dyDescent="0.2">
      <c r="E437"/>
    </row>
    <row r="438" spans="5:5" x14ac:dyDescent="0.2">
      <c r="E438"/>
    </row>
    <row r="439" spans="5:5" x14ac:dyDescent="0.2">
      <c r="E439"/>
    </row>
    <row r="440" spans="5:5" x14ac:dyDescent="0.2">
      <c r="E440"/>
    </row>
    <row r="441" spans="5:5" x14ac:dyDescent="0.2">
      <c r="E441"/>
    </row>
    <row r="442" spans="5:5" x14ac:dyDescent="0.2">
      <c r="E442"/>
    </row>
    <row r="443" spans="5:5" x14ac:dyDescent="0.2">
      <c r="E443"/>
    </row>
    <row r="444" spans="5:5" x14ac:dyDescent="0.2">
      <c r="E444"/>
    </row>
    <row r="445" spans="5:5" x14ac:dyDescent="0.2">
      <c r="E445"/>
    </row>
    <row r="446" spans="5:5" x14ac:dyDescent="0.2">
      <c r="E446"/>
    </row>
    <row r="447" spans="5:5" x14ac:dyDescent="0.2">
      <c r="E447"/>
    </row>
    <row r="448" spans="5:5" x14ac:dyDescent="0.2">
      <c r="E448"/>
    </row>
    <row r="449" spans="5:5" x14ac:dyDescent="0.2">
      <c r="E449"/>
    </row>
    <row r="450" spans="5:5" x14ac:dyDescent="0.2">
      <c r="E450"/>
    </row>
    <row r="451" spans="5:5" x14ac:dyDescent="0.2">
      <c r="E451"/>
    </row>
    <row r="452" spans="5:5" x14ac:dyDescent="0.2">
      <c r="E452"/>
    </row>
    <row r="453" spans="5:5" x14ac:dyDescent="0.2">
      <c r="E453"/>
    </row>
    <row r="454" spans="5:5" x14ac:dyDescent="0.2">
      <c r="E454"/>
    </row>
    <row r="455" spans="5:5" x14ac:dyDescent="0.2">
      <c r="E455"/>
    </row>
    <row r="456" spans="5:5" x14ac:dyDescent="0.2">
      <c r="E456"/>
    </row>
    <row r="457" spans="5:5" x14ac:dyDescent="0.2">
      <c r="E457"/>
    </row>
    <row r="458" spans="5:5" x14ac:dyDescent="0.2">
      <c r="E458"/>
    </row>
    <row r="459" spans="5:5" x14ac:dyDescent="0.2">
      <c r="E459"/>
    </row>
    <row r="460" spans="5:5" x14ac:dyDescent="0.2">
      <c r="E460"/>
    </row>
    <row r="461" spans="5:5" x14ac:dyDescent="0.2">
      <c r="E461"/>
    </row>
    <row r="462" spans="5:5" x14ac:dyDescent="0.2">
      <c r="E462"/>
    </row>
    <row r="463" spans="5:5" x14ac:dyDescent="0.2">
      <c r="E463"/>
    </row>
    <row r="464" spans="5:5" x14ac:dyDescent="0.2">
      <c r="E464"/>
    </row>
    <row r="465" spans="5:5" x14ac:dyDescent="0.2">
      <c r="E465"/>
    </row>
    <row r="466" spans="5:5" x14ac:dyDescent="0.2">
      <c r="E466"/>
    </row>
    <row r="467" spans="5:5" x14ac:dyDescent="0.2">
      <c r="E467"/>
    </row>
    <row r="468" spans="5:5" x14ac:dyDescent="0.2">
      <c r="E468"/>
    </row>
    <row r="469" spans="5:5" x14ac:dyDescent="0.2">
      <c r="E469"/>
    </row>
    <row r="470" spans="5:5" x14ac:dyDescent="0.2">
      <c r="E470"/>
    </row>
    <row r="471" spans="5:5" x14ac:dyDescent="0.2">
      <c r="E471"/>
    </row>
    <row r="472" spans="5:5" x14ac:dyDescent="0.2">
      <c r="E472"/>
    </row>
    <row r="473" spans="5:5" x14ac:dyDescent="0.2">
      <c r="E473"/>
    </row>
    <row r="474" spans="5:5" x14ac:dyDescent="0.2">
      <c r="E474"/>
    </row>
    <row r="475" spans="5:5" x14ac:dyDescent="0.2">
      <c r="E475"/>
    </row>
    <row r="476" spans="5:5" x14ac:dyDescent="0.2">
      <c r="E476"/>
    </row>
    <row r="477" spans="5:5" x14ac:dyDescent="0.2">
      <c r="E477"/>
    </row>
    <row r="478" spans="5:5" x14ac:dyDescent="0.2">
      <c r="E478"/>
    </row>
    <row r="479" spans="5:5" x14ac:dyDescent="0.2">
      <c r="E479"/>
    </row>
    <row r="480" spans="5:5" x14ac:dyDescent="0.2">
      <c r="E480"/>
    </row>
    <row r="481" spans="5:5" x14ac:dyDescent="0.2">
      <c r="E481"/>
    </row>
    <row r="482" spans="5:5" x14ac:dyDescent="0.2">
      <c r="E482"/>
    </row>
    <row r="483" spans="5:5" x14ac:dyDescent="0.2">
      <c r="E483"/>
    </row>
    <row r="484" spans="5:5" x14ac:dyDescent="0.2">
      <c r="E484"/>
    </row>
    <row r="485" spans="5:5" x14ac:dyDescent="0.2">
      <c r="E485"/>
    </row>
    <row r="486" spans="5:5" x14ac:dyDescent="0.2">
      <c r="E486"/>
    </row>
    <row r="487" spans="5:5" x14ac:dyDescent="0.2">
      <c r="E487"/>
    </row>
    <row r="488" spans="5:5" x14ac:dyDescent="0.2">
      <c r="E488"/>
    </row>
    <row r="489" spans="5:5" x14ac:dyDescent="0.2">
      <c r="E489"/>
    </row>
    <row r="490" spans="5:5" x14ac:dyDescent="0.2">
      <c r="E490"/>
    </row>
    <row r="491" spans="5:5" x14ac:dyDescent="0.2">
      <c r="E491"/>
    </row>
    <row r="492" spans="5:5" x14ac:dyDescent="0.2">
      <c r="E492"/>
    </row>
    <row r="493" spans="5:5" x14ac:dyDescent="0.2">
      <c r="E493"/>
    </row>
    <row r="494" spans="5:5" x14ac:dyDescent="0.2">
      <c r="E494"/>
    </row>
    <row r="495" spans="5:5" x14ac:dyDescent="0.2">
      <c r="E495"/>
    </row>
    <row r="496" spans="5:5" x14ac:dyDescent="0.2">
      <c r="E496"/>
    </row>
    <row r="497" spans="5:5" x14ac:dyDescent="0.2">
      <c r="E497"/>
    </row>
    <row r="498" spans="5:5" x14ac:dyDescent="0.2">
      <c r="E498"/>
    </row>
    <row r="499" spans="5:5" x14ac:dyDescent="0.2">
      <c r="E499"/>
    </row>
    <row r="500" spans="5:5" x14ac:dyDescent="0.2">
      <c r="E500"/>
    </row>
    <row r="501" spans="5:5" x14ac:dyDescent="0.2">
      <c r="E501"/>
    </row>
    <row r="502" spans="5:5" x14ac:dyDescent="0.2">
      <c r="E502"/>
    </row>
    <row r="503" spans="5:5" x14ac:dyDescent="0.2">
      <c r="E503"/>
    </row>
    <row r="504" spans="5:5" x14ac:dyDescent="0.2">
      <c r="E504"/>
    </row>
    <row r="505" spans="5:5" x14ac:dyDescent="0.2">
      <c r="E505"/>
    </row>
    <row r="506" spans="5:5" x14ac:dyDescent="0.2">
      <c r="E506"/>
    </row>
    <row r="507" spans="5:5" x14ac:dyDescent="0.2">
      <c r="E507"/>
    </row>
    <row r="508" spans="5:5" x14ac:dyDescent="0.2">
      <c r="E508"/>
    </row>
    <row r="509" spans="5:5" x14ac:dyDescent="0.2">
      <c r="E509"/>
    </row>
    <row r="510" spans="5:5" x14ac:dyDescent="0.2">
      <c r="E510"/>
    </row>
    <row r="511" spans="5:5" x14ac:dyDescent="0.2">
      <c r="E511"/>
    </row>
    <row r="512" spans="5:5" x14ac:dyDescent="0.2">
      <c r="E512"/>
    </row>
    <row r="513" spans="5:5" x14ac:dyDescent="0.2">
      <c r="E513"/>
    </row>
    <row r="514" spans="5:5" x14ac:dyDescent="0.2">
      <c r="E514"/>
    </row>
    <row r="515" spans="5:5" x14ac:dyDescent="0.2">
      <c r="E515"/>
    </row>
    <row r="516" spans="5:5" x14ac:dyDescent="0.2">
      <c r="E516"/>
    </row>
    <row r="517" spans="5:5" x14ac:dyDescent="0.2">
      <c r="E517"/>
    </row>
    <row r="518" spans="5:5" x14ac:dyDescent="0.2">
      <c r="E518"/>
    </row>
    <row r="519" spans="5:5" x14ac:dyDescent="0.2">
      <c r="E519"/>
    </row>
    <row r="520" spans="5:5" x14ac:dyDescent="0.2">
      <c r="E520"/>
    </row>
    <row r="521" spans="5:5" x14ac:dyDescent="0.2">
      <c r="E521"/>
    </row>
    <row r="522" spans="5:5" x14ac:dyDescent="0.2">
      <c r="E522"/>
    </row>
    <row r="523" spans="5:5" x14ac:dyDescent="0.2">
      <c r="E523"/>
    </row>
    <row r="524" spans="5:5" x14ac:dyDescent="0.2">
      <c r="E524"/>
    </row>
    <row r="525" spans="5:5" x14ac:dyDescent="0.2">
      <c r="E525"/>
    </row>
    <row r="526" spans="5:5" x14ac:dyDescent="0.2">
      <c r="E526"/>
    </row>
    <row r="527" spans="5:5" x14ac:dyDescent="0.2">
      <c r="E527"/>
    </row>
    <row r="528" spans="5:5" x14ac:dyDescent="0.2">
      <c r="E528"/>
    </row>
    <row r="529" spans="5:5" x14ac:dyDescent="0.2">
      <c r="E529"/>
    </row>
    <row r="530" spans="5:5" x14ac:dyDescent="0.2">
      <c r="E530"/>
    </row>
    <row r="531" spans="5:5" x14ac:dyDescent="0.2">
      <c r="E531"/>
    </row>
    <row r="532" spans="5:5" x14ac:dyDescent="0.2">
      <c r="E532"/>
    </row>
    <row r="533" spans="5:5" x14ac:dyDescent="0.2">
      <c r="E533"/>
    </row>
    <row r="534" spans="5:5" x14ac:dyDescent="0.2">
      <c r="E534"/>
    </row>
    <row r="535" spans="5:5" x14ac:dyDescent="0.2">
      <c r="E535"/>
    </row>
    <row r="536" spans="5:5" x14ac:dyDescent="0.2">
      <c r="E536"/>
    </row>
    <row r="537" spans="5:5" x14ac:dyDescent="0.2">
      <c r="E537"/>
    </row>
    <row r="538" spans="5:5" x14ac:dyDescent="0.2">
      <c r="E538"/>
    </row>
    <row r="539" spans="5:5" x14ac:dyDescent="0.2">
      <c r="E539"/>
    </row>
    <row r="540" spans="5:5" x14ac:dyDescent="0.2">
      <c r="E540"/>
    </row>
    <row r="541" spans="5:5" x14ac:dyDescent="0.2">
      <c r="E541"/>
    </row>
    <row r="542" spans="5:5" x14ac:dyDescent="0.2">
      <c r="E542"/>
    </row>
    <row r="543" spans="5:5" x14ac:dyDescent="0.2">
      <c r="E543"/>
    </row>
    <row r="544" spans="5:5" x14ac:dyDescent="0.2">
      <c r="E544"/>
    </row>
    <row r="545" spans="5:5" x14ac:dyDescent="0.2">
      <c r="E545"/>
    </row>
    <row r="546" spans="5:5" x14ac:dyDescent="0.2">
      <c r="E546"/>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51228-5DD9-FC4D-99BE-EBE67B635933}">
  <dimension ref="C4:J7"/>
  <sheetViews>
    <sheetView zoomScale="88" workbookViewId="0">
      <selection activeCell="I38" sqref="I38"/>
    </sheetView>
    <sheetView workbookViewId="1"/>
  </sheetViews>
  <sheetFormatPr baseColWidth="10" defaultRowHeight="16" x14ac:dyDescent="0.2"/>
  <cols>
    <col min="3" max="3" width="23.33203125" bestFit="1" customWidth="1"/>
    <col min="4" max="4" width="16.83203125" bestFit="1" customWidth="1"/>
    <col min="5" max="6" width="17.33203125" bestFit="1" customWidth="1"/>
    <col min="7" max="7" width="16.6640625" bestFit="1" customWidth="1"/>
    <col min="8" max="8" width="16.5" bestFit="1" customWidth="1"/>
    <col min="9" max="9" width="15.83203125" bestFit="1" customWidth="1"/>
    <col min="10" max="10" width="15.33203125" bestFit="1" customWidth="1"/>
    <col min="11" max="11" width="6.1640625" bestFit="1" customWidth="1"/>
    <col min="12" max="12" width="15" bestFit="1" customWidth="1"/>
    <col min="13" max="14" width="9.6640625" bestFit="1" customWidth="1"/>
    <col min="15" max="15" width="8.6640625" bestFit="1" customWidth="1"/>
    <col min="16" max="17" width="9.6640625" bestFit="1" customWidth="1"/>
    <col min="18" max="24" width="8.6640625" bestFit="1" customWidth="1"/>
    <col min="25" max="27" width="9.6640625" bestFit="1" customWidth="1"/>
    <col min="28" max="35" width="8.6640625" bestFit="1" customWidth="1"/>
    <col min="36" max="45" width="9.6640625" bestFit="1" customWidth="1"/>
    <col min="46" max="54" width="8.6640625" bestFit="1" customWidth="1"/>
    <col min="55" max="64" width="9.6640625" bestFit="1" customWidth="1"/>
    <col min="65" max="65" width="8.6640625" bestFit="1" customWidth="1"/>
    <col min="66" max="71" width="9.6640625" bestFit="1" customWidth="1"/>
    <col min="72" max="79" width="8.6640625" bestFit="1" customWidth="1"/>
    <col min="80" max="80" width="9.6640625" bestFit="1" customWidth="1"/>
    <col min="81" max="96" width="8.6640625" bestFit="1" customWidth="1"/>
    <col min="97" max="97" width="15" bestFit="1" customWidth="1"/>
  </cols>
  <sheetData>
    <row r="4" spans="3:10" ht="17" x14ac:dyDescent="0.2">
      <c r="C4" s="38" t="s">
        <v>6</v>
      </c>
      <c r="D4" s="22" t="s">
        <v>762</v>
      </c>
    </row>
    <row r="6" spans="3:10" ht="17" x14ac:dyDescent="0.2">
      <c r="C6" s="38" t="s">
        <v>10</v>
      </c>
      <c r="D6" s="22" t="s">
        <v>264</v>
      </c>
      <c r="E6" s="22" t="s">
        <v>265</v>
      </c>
      <c r="F6" s="22" t="s">
        <v>266</v>
      </c>
      <c r="G6" s="22" t="s">
        <v>267</v>
      </c>
      <c r="H6" s="22" t="s">
        <v>269</v>
      </c>
      <c r="I6" s="22" t="s">
        <v>270</v>
      </c>
      <c r="J6" s="22" t="s">
        <v>268</v>
      </c>
    </row>
    <row r="7" spans="3:10" ht="17" x14ac:dyDescent="0.2">
      <c r="C7" s="39" t="s">
        <v>11</v>
      </c>
      <c r="D7" s="35"/>
      <c r="E7" s="35"/>
      <c r="F7" s="35"/>
      <c r="G7" s="35"/>
      <c r="H7" s="35"/>
      <c r="I7" s="35"/>
      <c r="J7" s="3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CBA4A-7944-354D-85A6-844755CDE20C}">
  <sheetPr codeName="Tabelle5"/>
  <dimension ref="B9:AM61"/>
  <sheetViews>
    <sheetView showGridLines="0" topLeftCell="A25" zoomScaleNormal="100" workbookViewId="0">
      <selection activeCell="C55" sqref="C55"/>
    </sheetView>
    <sheetView workbookViewId="1"/>
  </sheetViews>
  <sheetFormatPr baseColWidth="10" defaultRowHeight="16" x14ac:dyDescent="0.2"/>
  <cols>
    <col min="1" max="1" width="7.1640625" customWidth="1"/>
    <col min="4" max="31" width="8.5" customWidth="1"/>
  </cols>
  <sheetData>
    <row r="9" spans="2:31" x14ac:dyDescent="0.2">
      <c r="B9" t="s">
        <v>66</v>
      </c>
      <c r="C9" s="43" t="s">
        <v>6</v>
      </c>
      <c r="D9" s="44" t="s">
        <v>87</v>
      </c>
      <c r="E9" s="45" t="s">
        <v>88</v>
      </c>
      <c r="F9" s="45" t="s">
        <v>89</v>
      </c>
      <c r="G9" s="44" t="s">
        <v>207</v>
      </c>
      <c r="H9" s="45" t="s">
        <v>208</v>
      </c>
      <c r="I9" s="45" t="s">
        <v>209</v>
      </c>
      <c r="J9" s="45" t="s">
        <v>58</v>
      </c>
      <c r="K9" s="45" t="s">
        <v>59</v>
      </c>
      <c r="L9" s="45" t="s">
        <v>60</v>
      </c>
      <c r="M9" s="45" t="s">
        <v>63</v>
      </c>
      <c r="N9" s="45" t="s">
        <v>61</v>
      </c>
      <c r="O9" s="45" t="s">
        <v>62</v>
      </c>
      <c r="P9" s="45" t="s">
        <v>68</v>
      </c>
      <c r="Q9" s="45" t="s">
        <v>69</v>
      </c>
      <c r="R9" s="45" t="s">
        <v>70</v>
      </c>
      <c r="S9" s="45" t="s">
        <v>90</v>
      </c>
      <c r="T9" s="45" t="s">
        <v>91</v>
      </c>
      <c r="U9" s="45" t="s">
        <v>92</v>
      </c>
      <c r="V9" s="46" t="s">
        <v>71</v>
      </c>
      <c r="W9" s="45" t="s">
        <v>72</v>
      </c>
      <c r="X9" s="45" t="s">
        <v>73</v>
      </c>
      <c r="Y9" s="45" t="s">
        <v>51</v>
      </c>
      <c r="Z9" s="45" t="s">
        <v>52</v>
      </c>
      <c r="AA9" s="45" t="s">
        <v>53</v>
      </c>
      <c r="AB9" s="45" t="s">
        <v>57</v>
      </c>
      <c r="AC9" s="46" t="s">
        <v>56</v>
      </c>
      <c r="AD9" s="45" t="s">
        <v>54</v>
      </c>
      <c r="AE9" s="45" t="s">
        <v>55</v>
      </c>
    </row>
    <row r="10" spans="2:31" x14ac:dyDescent="0.2">
      <c r="B10" t="s">
        <v>67</v>
      </c>
      <c r="C10" s="24" t="s">
        <v>100</v>
      </c>
      <c r="D10" s="27">
        <f>SUMIFS(tbl_SEIN[Time],
            tbl_SEIN[Week], $B10,
            tbl_SEIN[Subject], $C10,
            tbl_SEIN[Process], D$9)</f>
        <v>0</v>
      </c>
      <c r="E10" s="33"/>
      <c r="F10" s="25">
        <f>tbl_AUSWERTUNG[[#This Row],[AQ-S]]-tbl_AUSWERTUNG[[#This Row],[AQ-L]]</f>
        <v>0</v>
      </c>
      <c r="G10" s="27">
        <f>SUMIFS(tbl_SEIN[Time],
            tbl_SEIN[Week], $B10,
            tbl_SEIN[Subject], $C10,
            tbl_SEIN[Process], G$9)</f>
        <v>0</v>
      </c>
      <c r="H10" s="33"/>
      <c r="I10" s="25">
        <f>tbl_AUSWERTUNG[[#This Row],[MON-S]]-tbl_AUSWERTUNG[[#This Row],[MON-L]]</f>
        <v>0</v>
      </c>
      <c r="J10" s="27">
        <f>SUMIFS(tbl_SEIN[Time],
            tbl_SEIN[Week], $B10,
            tbl_SEIN[Subject], $C10,
            tbl_SEIN[Process], J$9)</f>
        <v>0</v>
      </c>
      <c r="K10" s="33"/>
      <c r="L10" s="25">
        <f>tbl_AUSWERTUNG[[#This Row],[VL-S]]-tbl_AUSWERTUNG[[#This Row],[VL-L]]</f>
        <v>0</v>
      </c>
      <c r="M10" s="27">
        <f>SUMIFS(tbl_SEIN[Time],
            tbl_SEIN[Week], $B10,
            tbl_SEIN[Subject], $C10,
            tbl_SEIN[Process], M$9)</f>
        <v>0</v>
      </c>
      <c r="N10" s="33"/>
      <c r="O10" s="25">
        <f>tbl_AUSWERTUNG[[#This Row],[EX-S]]-tbl_AUSWERTUNG[[#This Row],[EX-L]]</f>
        <v>0</v>
      </c>
      <c r="P10" s="27">
        <f>SUMIFS(tbl_SEIN[Time],
            tbl_SEIN[Week], $B10,
            tbl_SEIN[Subject], $C10,
            tbl_SEIN[Process], P$9)</f>
        <v>0</v>
      </c>
      <c r="Q10" s="33"/>
      <c r="R10" s="25">
        <f>tbl_AUSWERTUNG[[#This Row],[ST-S]]-tbl_AUSWERTUNG[[#This Row],[ST-L]]</f>
        <v>0</v>
      </c>
      <c r="S10" s="27">
        <f>SUMIFS(tbl_SEIN[Time],
            tbl_SEIN[Week], $B10,
            tbl_SEIN[Subject], $C10,
            tbl_SEIN[Process], S$9)</f>
        <v>0</v>
      </c>
      <c r="T10" s="33"/>
      <c r="U10" s="25">
        <f>tbl_AUSWERTUNG[[#This Row],[LRN-S]]-tbl_AUSWERTUNG[[#This Row],[LRN-L]]</f>
        <v>0</v>
      </c>
      <c r="V10" s="27">
        <f>SUMIFS(tbl_SEIN[Time],
            tbl_SEIN[Week], $B10,
            tbl_SEIN[Subject], $C10,
            tbl_SEIN[Process], V$9)</f>
        <v>0</v>
      </c>
      <c r="W10" s="33"/>
      <c r="X10" s="25">
        <f>tbl_AUSWERTUNG[[#This Row],[AP-S]]-tbl_AUSWERTUNG[[#This Row],[AP-L]]</f>
        <v>0</v>
      </c>
      <c r="Y10" s="27">
        <f>SUMIFS(tbl_SEIN[Time],
            tbl_SEIN[Week], $B10,
            tbl_SEIN[Subject], $C10,
            tbl_SEIN[Process], Y$9)</f>
        <v>0</v>
      </c>
      <c r="Z10" s="33"/>
      <c r="AA10" s="27">
        <f>tbl_AUSWERTUNG[[#This Row],[PRES-S]]-tbl_AUSWERTUNG[[#This Row],[PRES-L]]</f>
        <v>0</v>
      </c>
      <c r="AB10" s="26">
        <f t="shared" ref="AB10:AB42" si="0">SUM(D10,J10,M10,P10,S10,V10,Y10,G10)</f>
        <v>0</v>
      </c>
      <c r="AC10" s="25">
        <f t="shared" ref="AC10:AC42" si="1">SUM(E10,K10,N10,Q10,T10,W10,Z10,H10)</f>
        <v>0</v>
      </c>
      <c r="AD10" s="26">
        <f>tbl_AUSWERTUNG[[#This Row],[S]]-tbl_AUSWERTUNG[[#This Row],[L]]</f>
        <v>0</v>
      </c>
      <c r="AE10" s="27">
        <f>tbl_AUSWERTUNG[[#This Row],[∆]]-SUM(L10,O10)</f>
        <v>0</v>
      </c>
    </row>
    <row r="11" spans="2:31" x14ac:dyDescent="0.2">
      <c r="B11" t="s">
        <v>67</v>
      </c>
      <c r="C11" s="24" t="s">
        <v>106</v>
      </c>
      <c r="D11" s="27">
        <f>SUMIFS(tbl_SEIN[Time],
            tbl_SEIN[Week], $B11,
            tbl_SEIN[Subject], $C11,
            tbl_SEIN[Process], D$9)</f>
        <v>0</v>
      </c>
      <c r="E11" s="33"/>
      <c r="F11" s="25">
        <f>tbl_AUSWERTUNG[[#This Row],[AQ-S]]-tbl_AUSWERTUNG[[#This Row],[AQ-L]]</f>
        <v>0</v>
      </c>
      <c r="G11" s="27">
        <f>SUMIFS(tbl_SEIN[Time],
            tbl_SEIN[Week], $B11,
            tbl_SEIN[Subject], $C11,
            tbl_SEIN[Process], G$9)</f>
        <v>0</v>
      </c>
      <c r="H11" s="33"/>
      <c r="I11" s="25">
        <f>tbl_AUSWERTUNG[[#This Row],[MON-S]]-tbl_AUSWERTUNG[[#This Row],[MON-L]]</f>
        <v>0</v>
      </c>
      <c r="J11" s="27">
        <f>SUMIFS(tbl_SEIN[Time],
            tbl_SEIN[Week], $B11,
            tbl_SEIN[Subject], $C11,
            tbl_SEIN[Process], J$9)</f>
        <v>0</v>
      </c>
      <c r="K11" s="33"/>
      <c r="L11" s="25">
        <f>tbl_AUSWERTUNG[[#This Row],[VL-S]]-tbl_AUSWERTUNG[[#This Row],[VL-L]]</f>
        <v>0</v>
      </c>
      <c r="M11" s="27">
        <f>SUMIFS(tbl_SEIN[Time],
            tbl_SEIN[Week], $B11,
            tbl_SEIN[Subject], $C11,
            tbl_SEIN[Process], M$9)</f>
        <v>0</v>
      </c>
      <c r="N11" s="33"/>
      <c r="O11" s="25">
        <f>tbl_AUSWERTUNG[[#This Row],[EX-S]]-tbl_AUSWERTUNG[[#This Row],[EX-L]]</f>
        <v>0</v>
      </c>
      <c r="P11" s="27">
        <f>SUMIFS(tbl_SEIN[Time],
            tbl_SEIN[Week], $B11,
            tbl_SEIN[Subject], $C11,
            tbl_SEIN[Process], P$9)</f>
        <v>0</v>
      </c>
      <c r="Q11" s="33"/>
      <c r="R11" s="25">
        <f>tbl_AUSWERTUNG[[#This Row],[ST-S]]-tbl_AUSWERTUNG[[#This Row],[ST-L]]</f>
        <v>0</v>
      </c>
      <c r="S11" s="27">
        <f>SUMIFS(tbl_SEIN[Time],
            tbl_SEIN[Week], $B11,
            tbl_SEIN[Subject], $C11,
            tbl_SEIN[Process], S$9)</f>
        <v>0</v>
      </c>
      <c r="T11" s="33"/>
      <c r="U11" s="25">
        <f>tbl_AUSWERTUNG[[#This Row],[LRN-S]]-tbl_AUSWERTUNG[[#This Row],[LRN-L]]</f>
        <v>0</v>
      </c>
      <c r="V11" s="27">
        <f>SUMIFS(tbl_SEIN[Time],
            tbl_SEIN[Week], $B11,
            tbl_SEIN[Subject], $C11,
            tbl_SEIN[Process], V$9)</f>
        <v>0</v>
      </c>
      <c r="W11" s="33"/>
      <c r="X11" s="25">
        <f>tbl_AUSWERTUNG[[#This Row],[AP-S]]-tbl_AUSWERTUNG[[#This Row],[AP-L]]</f>
        <v>0</v>
      </c>
      <c r="Y11" s="27">
        <f>SUMIFS(tbl_SEIN[Time],
            tbl_SEIN[Week], $B11,
            tbl_SEIN[Subject], $C11,
            tbl_SEIN[Process], Y$9)</f>
        <v>0</v>
      </c>
      <c r="Z11" s="33"/>
      <c r="AA11" s="27">
        <f>tbl_AUSWERTUNG[[#This Row],[PRES-S]]-tbl_AUSWERTUNG[[#This Row],[PRES-L]]</f>
        <v>0</v>
      </c>
      <c r="AB11" s="47">
        <f t="shared" si="0"/>
        <v>0</v>
      </c>
      <c r="AC11" s="48">
        <f t="shared" si="1"/>
        <v>0</v>
      </c>
      <c r="AD11" s="26">
        <f>tbl_AUSWERTUNG[[#This Row],[S]]-tbl_AUSWERTUNG[[#This Row],[L]]</f>
        <v>0</v>
      </c>
      <c r="AE11" s="27">
        <f>tbl_AUSWERTUNG[[#This Row],[∆]]-SUM(L11,O11)</f>
        <v>0</v>
      </c>
    </row>
    <row r="12" spans="2:31" x14ac:dyDescent="0.2">
      <c r="B12" s="49" t="s">
        <v>65</v>
      </c>
      <c r="C12" s="50" t="s">
        <v>107</v>
      </c>
      <c r="D12" s="53">
        <f>SUMIFS(tbl_SEIN[Time],
            tbl_SEIN[Week], $B12,
            tbl_SEIN[Subject], $C12,
            tbl_SEIN[Process], D$9)</f>
        <v>0</v>
      </c>
      <c r="E12" s="51"/>
      <c r="F12" s="52">
        <f>tbl_AUSWERTUNG[[#This Row],[AQ-S]]-tbl_AUSWERTUNG[[#This Row],[AQ-L]]</f>
        <v>0</v>
      </c>
      <c r="G12" s="53">
        <f>SUMIFS(tbl_SEIN[Time],
            tbl_SEIN[Week], $B12,
            tbl_SEIN[Subject], $C12,
            tbl_SEIN[Process], G$9)</f>
        <v>0</v>
      </c>
      <c r="H12" s="51"/>
      <c r="I12" s="52">
        <f>tbl_AUSWERTUNG[[#This Row],[MON-S]]-tbl_AUSWERTUNG[[#This Row],[MON-L]]</f>
        <v>0</v>
      </c>
      <c r="J12" s="53">
        <f>SUMIFS(tbl_SEIN[Time],
            tbl_SEIN[Week], $B12,
            tbl_SEIN[Subject], $C12,
            tbl_SEIN[Process], J$9)</f>
        <v>0</v>
      </c>
      <c r="K12" s="51"/>
      <c r="L12" s="52">
        <f>tbl_AUSWERTUNG[[#This Row],[VL-S]]-tbl_AUSWERTUNG[[#This Row],[VL-L]]</f>
        <v>0</v>
      </c>
      <c r="M12" s="53">
        <f>SUMIFS(tbl_SEIN[Time],
            tbl_SEIN[Week], $B12,
            tbl_SEIN[Subject], $C12,
            tbl_SEIN[Process], M$9)</f>
        <v>0</v>
      </c>
      <c r="N12" s="51"/>
      <c r="O12" s="52">
        <f>tbl_AUSWERTUNG[[#This Row],[EX-S]]-tbl_AUSWERTUNG[[#This Row],[EX-L]]</f>
        <v>0</v>
      </c>
      <c r="P12" s="53">
        <f>SUMIFS(tbl_SEIN[Time],
            tbl_SEIN[Week], $B12,
            tbl_SEIN[Subject], $C12,
            tbl_SEIN[Process], P$9)</f>
        <v>0</v>
      </c>
      <c r="Q12" s="51"/>
      <c r="R12" s="52">
        <f>tbl_AUSWERTUNG[[#This Row],[ST-S]]-tbl_AUSWERTUNG[[#This Row],[ST-L]]</f>
        <v>0</v>
      </c>
      <c r="S12" s="53">
        <f>SUMIFS(tbl_SEIN[Time],
            tbl_SEIN[Week], $B12,
            tbl_SEIN[Subject], $C12,
            tbl_SEIN[Process], S$9)</f>
        <v>0</v>
      </c>
      <c r="T12" s="51"/>
      <c r="U12" s="52">
        <f>tbl_AUSWERTUNG[[#This Row],[LRN-S]]-tbl_AUSWERTUNG[[#This Row],[LRN-L]]</f>
        <v>0</v>
      </c>
      <c r="V12" s="53">
        <f>SUMIFS(tbl_SEIN[Time],
            tbl_SEIN[Week], $B12,
            tbl_SEIN[Subject], $C12,
            tbl_SEIN[Process], V$9)</f>
        <v>0</v>
      </c>
      <c r="W12" s="51"/>
      <c r="X12" s="52">
        <f>tbl_AUSWERTUNG[[#This Row],[AP-S]]-tbl_AUSWERTUNG[[#This Row],[AP-L]]</f>
        <v>0</v>
      </c>
      <c r="Y12" s="53">
        <f>SUMIFS(tbl_SEIN[Time],
            tbl_SEIN[Week], $B12,
            tbl_SEIN[Subject], $C12,
            tbl_SEIN[Process], Y$9)</f>
        <v>0</v>
      </c>
      <c r="Z12" s="51"/>
      <c r="AA12" s="53">
        <f>tbl_AUSWERTUNG[[#This Row],[PRES-S]]-tbl_AUSWERTUNG[[#This Row],[PRES-L]]</f>
        <v>0</v>
      </c>
      <c r="AB12" s="26">
        <f t="shared" si="0"/>
        <v>0</v>
      </c>
      <c r="AC12" s="27">
        <f t="shared" si="1"/>
        <v>0</v>
      </c>
      <c r="AD12" s="54">
        <f>tbl_AUSWERTUNG[[#This Row],[S]]-tbl_AUSWERTUNG[[#This Row],[L]]</f>
        <v>0</v>
      </c>
      <c r="AE12" s="53">
        <f>tbl_AUSWERTUNG[[#This Row],[∆]]-SUM(L12,O12)</f>
        <v>0</v>
      </c>
    </row>
    <row r="13" spans="2:31" x14ac:dyDescent="0.2">
      <c r="B13" t="s">
        <v>65</v>
      </c>
      <c r="C13" s="24" t="s">
        <v>119</v>
      </c>
      <c r="D13" s="27">
        <f>SUMIFS(tbl_SEIN[Time],
            tbl_SEIN[Week], $B13,
            tbl_SEIN[Subject], $C13,
            tbl_SEIN[Process], D$9)</f>
        <v>0</v>
      </c>
      <c r="E13" s="33"/>
      <c r="F13" s="25">
        <f>tbl_AUSWERTUNG[[#This Row],[AQ-S]]-tbl_AUSWERTUNG[[#This Row],[AQ-L]]</f>
        <v>0</v>
      </c>
      <c r="G13" s="27">
        <f>SUMIFS(tbl_SEIN[Time],
            tbl_SEIN[Week], $B13,
            tbl_SEIN[Subject], $C13,
            tbl_SEIN[Process], G$9)</f>
        <v>0</v>
      </c>
      <c r="H13" s="33"/>
      <c r="I13" s="25">
        <f>tbl_AUSWERTUNG[[#This Row],[MON-S]]-tbl_AUSWERTUNG[[#This Row],[MON-L]]</f>
        <v>0</v>
      </c>
      <c r="J13" s="27">
        <f>SUMIFS(tbl_SEIN[Time],
            tbl_SEIN[Week], $B13,
            tbl_SEIN[Subject], $C13,
            tbl_SEIN[Process], J$9)</f>
        <v>0</v>
      </c>
      <c r="K13" s="33"/>
      <c r="L13" s="25">
        <f>tbl_AUSWERTUNG[[#This Row],[VL-S]]-tbl_AUSWERTUNG[[#This Row],[VL-L]]</f>
        <v>0</v>
      </c>
      <c r="M13" s="27">
        <f>SUMIFS(tbl_SEIN[Time],
            tbl_SEIN[Week], $B13,
            tbl_SEIN[Subject], $C13,
            tbl_SEIN[Process], M$9)</f>
        <v>0</v>
      </c>
      <c r="N13" s="33"/>
      <c r="O13" s="25">
        <f>tbl_AUSWERTUNG[[#This Row],[EX-S]]-tbl_AUSWERTUNG[[#This Row],[EX-L]]</f>
        <v>0</v>
      </c>
      <c r="P13" s="27">
        <f>SUMIFS(tbl_SEIN[Time],
            tbl_SEIN[Week], $B13,
            tbl_SEIN[Subject], $C13,
            tbl_SEIN[Process], P$9)</f>
        <v>0</v>
      </c>
      <c r="Q13" s="33"/>
      <c r="R13" s="25">
        <f>tbl_AUSWERTUNG[[#This Row],[ST-S]]-tbl_AUSWERTUNG[[#This Row],[ST-L]]</f>
        <v>0</v>
      </c>
      <c r="S13" s="27">
        <f>SUMIFS(tbl_SEIN[Time],
            tbl_SEIN[Week], $B13,
            tbl_SEIN[Subject], $C13,
            tbl_SEIN[Process], S$9)</f>
        <v>0</v>
      </c>
      <c r="T13" s="33"/>
      <c r="U13" s="25">
        <f>tbl_AUSWERTUNG[[#This Row],[LRN-S]]-tbl_AUSWERTUNG[[#This Row],[LRN-L]]</f>
        <v>0</v>
      </c>
      <c r="V13" s="27">
        <f>SUMIFS(tbl_SEIN[Time],
            tbl_SEIN[Week], $B13,
            tbl_SEIN[Subject], $C13,
            tbl_SEIN[Process], V$9)</f>
        <v>0</v>
      </c>
      <c r="W13" s="33"/>
      <c r="X13" s="25">
        <f>tbl_AUSWERTUNG[[#This Row],[AP-S]]-tbl_AUSWERTUNG[[#This Row],[AP-L]]</f>
        <v>0</v>
      </c>
      <c r="Y13" s="27">
        <f>SUMIFS(tbl_SEIN[Time],
            tbl_SEIN[Week], $B13,
            tbl_SEIN[Subject], $C13,
            tbl_SEIN[Process], Y$9)</f>
        <v>0</v>
      </c>
      <c r="Z13" s="33"/>
      <c r="AA13" s="27">
        <f>tbl_AUSWERTUNG[[#This Row],[PRES-S]]-tbl_AUSWERTUNG[[#This Row],[PRES-L]]</f>
        <v>0</v>
      </c>
      <c r="AB13" s="26">
        <f t="shared" si="0"/>
        <v>0</v>
      </c>
      <c r="AC13" s="27">
        <f t="shared" si="1"/>
        <v>0</v>
      </c>
      <c r="AD13" s="26">
        <f>tbl_AUSWERTUNG[[#This Row],[S]]-tbl_AUSWERTUNG[[#This Row],[L]]</f>
        <v>0</v>
      </c>
      <c r="AE13" s="27">
        <f>tbl_AUSWERTUNG[[#This Row],[∆]]-SUM(L13,O13)</f>
        <v>0</v>
      </c>
    </row>
    <row r="14" spans="2:31" x14ac:dyDescent="0.2">
      <c r="B14" t="s">
        <v>65</v>
      </c>
      <c r="C14" s="24" t="s">
        <v>100</v>
      </c>
      <c r="D14" s="27">
        <f>SUMIFS(tbl_SEIN[Time],
            tbl_SEIN[Week], $B14,
            tbl_SEIN[Subject], $C14,
            tbl_SEIN[Process], D$9)</f>
        <v>0</v>
      </c>
      <c r="E14" s="33"/>
      <c r="F14" s="25">
        <f>tbl_AUSWERTUNG[[#This Row],[AQ-S]]-tbl_AUSWERTUNG[[#This Row],[AQ-L]]</f>
        <v>0</v>
      </c>
      <c r="G14" s="27">
        <f>SUMIFS(tbl_SEIN[Time],
            tbl_SEIN[Week], $B14,
            tbl_SEIN[Subject], $C14,
            tbl_SEIN[Process], G$9)</f>
        <v>0</v>
      </c>
      <c r="H14" s="33"/>
      <c r="I14" s="25">
        <f>tbl_AUSWERTUNG[[#This Row],[MON-S]]-tbl_AUSWERTUNG[[#This Row],[MON-L]]</f>
        <v>0</v>
      </c>
      <c r="J14" s="27">
        <f>SUMIFS(tbl_SEIN[Time],
            tbl_SEIN[Week], $B14,
            tbl_SEIN[Subject], $C14,
            tbl_SEIN[Process], J$9)</f>
        <v>0</v>
      </c>
      <c r="K14" s="33"/>
      <c r="L14" s="25">
        <f>tbl_AUSWERTUNG[[#This Row],[VL-S]]-tbl_AUSWERTUNG[[#This Row],[VL-L]]</f>
        <v>0</v>
      </c>
      <c r="M14" s="27">
        <f>SUMIFS(tbl_SEIN[Time],
            tbl_SEIN[Week], $B14,
            tbl_SEIN[Subject], $C14,
            tbl_SEIN[Process], M$9)</f>
        <v>0</v>
      </c>
      <c r="N14" s="33"/>
      <c r="O14" s="25">
        <f>tbl_AUSWERTUNG[[#This Row],[EX-S]]-tbl_AUSWERTUNG[[#This Row],[EX-L]]</f>
        <v>0</v>
      </c>
      <c r="P14" s="27">
        <f>SUMIFS(tbl_SEIN[Time],
            tbl_SEIN[Week], $B14,
            tbl_SEIN[Subject], $C14,
            tbl_SEIN[Process], P$9)</f>
        <v>0</v>
      </c>
      <c r="Q14" s="33"/>
      <c r="R14" s="25">
        <f>tbl_AUSWERTUNG[[#This Row],[ST-S]]-tbl_AUSWERTUNG[[#This Row],[ST-L]]</f>
        <v>0</v>
      </c>
      <c r="S14" s="27">
        <f>SUMIFS(tbl_SEIN[Time],
            tbl_SEIN[Week], $B14,
            tbl_SEIN[Subject], $C14,
            tbl_SEIN[Process], S$9)</f>
        <v>0</v>
      </c>
      <c r="T14" s="33"/>
      <c r="U14" s="25">
        <f>tbl_AUSWERTUNG[[#This Row],[LRN-S]]-tbl_AUSWERTUNG[[#This Row],[LRN-L]]</f>
        <v>0</v>
      </c>
      <c r="V14" s="27">
        <f>SUMIFS(tbl_SEIN[Time],
            tbl_SEIN[Week], $B14,
            tbl_SEIN[Subject], $C14,
            tbl_SEIN[Process], V$9)</f>
        <v>0</v>
      </c>
      <c r="W14" s="33"/>
      <c r="X14" s="25">
        <f>tbl_AUSWERTUNG[[#This Row],[AP-S]]-tbl_AUSWERTUNG[[#This Row],[AP-L]]</f>
        <v>0</v>
      </c>
      <c r="Y14" s="27">
        <f>SUMIFS(tbl_SEIN[Time],
            tbl_SEIN[Week], $B14,
            tbl_SEIN[Subject], $C14,
            tbl_SEIN[Process], Y$9)</f>
        <v>0</v>
      </c>
      <c r="Z14" s="33"/>
      <c r="AA14" s="27">
        <f>tbl_AUSWERTUNG[[#This Row],[PRES-S]]-tbl_AUSWERTUNG[[#This Row],[PRES-L]]</f>
        <v>0</v>
      </c>
      <c r="AB14" s="26">
        <f t="shared" si="0"/>
        <v>0</v>
      </c>
      <c r="AC14" s="27">
        <f t="shared" si="1"/>
        <v>0</v>
      </c>
      <c r="AD14" s="26">
        <f>tbl_AUSWERTUNG[[#This Row],[S]]-tbl_AUSWERTUNG[[#This Row],[L]]</f>
        <v>0</v>
      </c>
      <c r="AE14" s="27">
        <f>tbl_AUSWERTUNG[[#This Row],[∆]]-SUM(L14,O14)</f>
        <v>0</v>
      </c>
    </row>
    <row r="15" spans="2:31" x14ac:dyDescent="0.2">
      <c r="B15" t="s">
        <v>65</v>
      </c>
      <c r="C15" s="55" t="s">
        <v>20</v>
      </c>
      <c r="D15" s="27">
        <f>SUMIFS(tbl_SEIN[Time],
            tbl_SEIN[Week], $B15,
            tbl_SEIN[Subject], $C15,
            tbl_SEIN[Process], D$9)</f>
        <v>0</v>
      </c>
      <c r="E15" s="33"/>
      <c r="F15" s="25">
        <f>tbl_AUSWERTUNG[[#This Row],[AQ-S]]-tbl_AUSWERTUNG[[#This Row],[AQ-L]]</f>
        <v>0</v>
      </c>
      <c r="G15" s="27">
        <f>SUMIFS(tbl_SEIN[Time],
            tbl_SEIN[Week], $B15,
            tbl_SEIN[Subject], $C15,
            tbl_SEIN[Process], G$9)</f>
        <v>0</v>
      </c>
      <c r="H15" s="33"/>
      <c r="I15" s="25">
        <f>tbl_AUSWERTUNG[[#This Row],[MON-S]]-tbl_AUSWERTUNG[[#This Row],[MON-L]]</f>
        <v>0</v>
      </c>
      <c r="J15" s="27">
        <f>SUMIFS(tbl_SEIN[Time],
            tbl_SEIN[Week], $B15,
            tbl_SEIN[Subject], $C15,
            tbl_SEIN[Process], J$9)</f>
        <v>0</v>
      </c>
      <c r="K15" s="33"/>
      <c r="L15" s="25">
        <f>tbl_AUSWERTUNG[[#This Row],[VL-S]]-tbl_AUSWERTUNG[[#This Row],[VL-L]]</f>
        <v>0</v>
      </c>
      <c r="M15" s="27">
        <f>SUMIFS(tbl_SEIN[Time],
            tbl_SEIN[Week], $B15,
            tbl_SEIN[Subject], $C15,
            tbl_SEIN[Process], M$9)</f>
        <v>0</v>
      </c>
      <c r="N15" s="33"/>
      <c r="O15" s="25">
        <f>tbl_AUSWERTUNG[[#This Row],[EX-S]]-tbl_AUSWERTUNG[[#This Row],[EX-L]]</f>
        <v>0</v>
      </c>
      <c r="P15" s="27">
        <f>SUMIFS(tbl_SEIN[Time],
            tbl_SEIN[Week], $B15,
            tbl_SEIN[Subject], $C15,
            tbl_SEIN[Process], P$9)</f>
        <v>0</v>
      </c>
      <c r="Q15" s="33"/>
      <c r="R15" s="25">
        <f>tbl_AUSWERTUNG[[#This Row],[ST-S]]-tbl_AUSWERTUNG[[#This Row],[ST-L]]</f>
        <v>0</v>
      </c>
      <c r="S15" s="27">
        <f>SUMIFS(tbl_SEIN[Time],
            tbl_SEIN[Week], $B15,
            tbl_SEIN[Subject], $C15,
            tbl_SEIN[Process], S$9)</f>
        <v>0</v>
      </c>
      <c r="T15" s="33"/>
      <c r="U15" s="25">
        <f>tbl_AUSWERTUNG[[#This Row],[LRN-S]]-tbl_AUSWERTUNG[[#This Row],[LRN-L]]</f>
        <v>0</v>
      </c>
      <c r="V15" s="27">
        <f>SUMIFS(tbl_SEIN[Time],
            tbl_SEIN[Week], $B15,
            tbl_SEIN[Subject], $C15,
            tbl_SEIN[Process], V$9)</f>
        <v>0</v>
      </c>
      <c r="W15" s="33"/>
      <c r="X15" s="25">
        <f>tbl_AUSWERTUNG[[#This Row],[AP-S]]-tbl_AUSWERTUNG[[#This Row],[AP-L]]</f>
        <v>0</v>
      </c>
      <c r="Y15" s="27">
        <f>SUMIFS(tbl_SEIN[Time],
            tbl_SEIN[Week], $B15,
            tbl_SEIN[Subject], $C15,
            tbl_SEIN[Process], Y$9)</f>
        <v>0</v>
      </c>
      <c r="Z15" s="33"/>
      <c r="AA15" s="27">
        <f>tbl_AUSWERTUNG[[#This Row],[PRES-S]]-tbl_AUSWERTUNG[[#This Row],[PRES-L]]</f>
        <v>0</v>
      </c>
      <c r="AB15" s="26">
        <f t="shared" si="0"/>
        <v>0</v>
      </c>
      <c r="AC15" s="27">
        <f t="shared" si="1"/>
        <v>0</v>
      </c>
      <c r="AD15" s="26">
        <f>tbl_AUSWERTUNG[[#This Row],[S]]-tbl_AUSWERTUNG[[#This Row],[L]]</f>
        <v>0</v>
      </c>
      <c r="AE15" s="27">
        <f>tbl_AUSWERTUNG[[#This Row],[∆]]-SUM(L15,O15)</f>
        <v>0</v>
      </c>
    </row>
    <row r="16" spans="2:31" x14ac:dyDescent="0.2">
      <c r="B16" t="s">
        <v>65</v>
      </c>
      <c r="C16" s="24" t="s">
        <v>108</v>
      </c>
      <c r="D16" s="27">
        <f>SUMIFS(tbl_SEIN[Time],
            tbl_SEIN[Week], $B16,
            tbl_SEIN[Subject], $C16,
            tbl_SEIN[Process], D$9)</f>
        <v>0</v>
      </c>
      <c r="E16" s="33"/>
      <c r="F16" s="25">
        <f>tbl_AUSWERTUNG[[#This Row],[AQ-S]]-tbl_AUSWERTUNG[[#This Row],[AQ-L]]</f>
        <v>0</v>
      </c>
      <c r="G16" s="27">
        <f>SUMIFS(tbl_SEIN[Time],
            tbl_SEIN[Week], $B16,
            tbl_SEIN[Subject], $C16,
            tbl_SEIN[Process], G$9)</f>
        <v>0</v>
      </c>
      <c r="H16" s="33"/>
      <c r="I16" s="25">
        <f>tbl_AUSWERTUNG[[#This Row],[MON-S]]-tbl_AUSWERTUNG[[#This Row],[MON-L]]</f>
        <v>0</v>
      </c>
      <c r="J16" s="27">
        <f>SUMIFS(tbl_SEIN[Time],
            tbl_SEIN[Week], $B16,
            tbl_SEIN[Subject], $C16,
            tbl_SEIN[Process], J$9)</f>
        <v>0</v>
      </c>
      <c r="K16" s="33"/>
      <c r="L16" s="25">
        <f>tbl_AUSWERTUNG[[#This Row],[VL-S]]-tbl_AUSWERTUNG[[#This Row],[VL-L]]</f>
        <v>0</v>
      </c>
      <c r="M16" s="27">
        <f>SUMIFS(tbl_SEIN[Time],
            tbl_SEIN[Week], $B16,
            tbl_SEIN[Subject], $C16,
            tbl_SEIN[Process], M$9)</f>
        <v>0</v>
      </c>
      <c r="N16" s="33"/>
      <c r="O16" s="25">
        <f>tbl_AUSWERTUNG[[#This Row],[EX-S]]-tbl_AUSWERTUNG[[#This Row],[EX-L]]</f>
        <v>0</v>
      </c>
      <c r="P16" s="27">
        <f>SUMIFS(tbl_SEIN[Time],
            tbl_SEIN[Week], $B16,
            tbl_SEIN[Subject], $C16,
            tbl_SEIN[Process], P$9)</f>
        <v>0</v>
      </c>
      <c r="Q16" s="33"/>
      <c r="R16" s="25">
        <f>tbl_AUSWERTUNG[[#This Row],[ST-S]]-tbl_AUSWERTUNG[[#This Row],[ST-L]]</f>
        <v>0</v>
      </c>
      <c r="S16" s="27">
        <f>SUMIFS(tbl_SEIN[Time],
            tbl_SEIN[Week], $B16,
            tbl_SEIN[Subject], $C16,
            tbl_SEIN[Process], S$9)</f>
        <v>0</v>
      </c>
      <c r="T16" s="33"/>
      <c r="U16" s="25">
        <f>tbl_AUSWERTUNG[[#This Row],[LRN-S]]-tbl_AUSWERTUNG[[#This Row],[LRN-L]]</f>
        <v>0</v>
      </c>
      <c r="V16" s="27">
        <f>SUMIFS(tbl_SEIN[Time],
            tbl_SEIN[Week], $B16,
            tbl_SEIN[Subject], $C16,
            tbl_SEIN[Process], V$9)</f>
        <v>0</v>
      </c>
      <c r="W16" s="33"/>
      <c r="X16" s="25">
        <f>tbl_AUSWERTUNG[[#This Row],[AP-S]]-tbl_AUSWERTUNG[[#This Row],[AP-L]]</f>
        <v>0</v>
      </c>
      <c r="Y16" s="27">
        <f>SUMIFS(tbl_SEIN[Time],
            tbl_SEIN[Week], $B16,
            tbl_SEIN[Subject], $C16,
            tbl_SEIN[Process], Y$9)</f>
        <v>0</v>
      </c>
      <c r="Z16" s="33"/>
      <c r="AA16" s="27">
        <f>tbl_AUSWERTUNG[[#This Row],[PRES-S]]-tbl_AUSWERTUNG[[#This Row],[PRES-L]]</f>
        <v>0</v>
      </c>
      <c r="AB16" s="26">
        <f t="shared" si="0"/>
        <v>0</v>
      </c>
      <c r="AC16" s="27">
        <f t="shared" si="1"/>
        <v>0</v>
      </c>
      <c r="AD16" s="26">
        <f>tbl_AUSWERTUNG[[#This Row],[S]]-tbl_AUSWERTUNG[[#This Row],[L]]</f>
        <v>0</v>
      </c>
      <c r="AE16" s="27">
        <f>tbl_AUSWERTUNG[[#This Row],[∆]]-SUM(L16,O16)</f>
        <v>0</v>
      </c>
    </row>
    <row r="17" spans="2:39" x14ac:dyDescent="0.2">
      <c r="B17" t="s">
        <v>65</v>
      </c>
      <c r="C17" s="24" t="s">
        <v>106</v>
      </c>
      <c r="D17" s="27">
        <f>SUMIFS(tbl_SEIN[Time],
            tbl_SEIN[Week], $B17,
            tbl_SEIN[Subject], $C17,
            tbl_SEIN[Process], D$9)</f>
        <v>0</v>
      </c>
      <c r="E17" s="33"/>
      <c r="F17" s="25">
        <f>tbl_AUSWERTUNG[[#This Row],[AQ-S]]-tbl_AUSWERTUNG[[#This Row],[AQ-L]]</f>
        <v>0</v>
      </c>
      <c r="G17" s="27">
        <f>SUMIFS(tbl_SEIN[Time],
            tbl_SEIN[Week], $B17,
            tbl_SEIN[Subject], $C17,
            tbl_SEIN[Process], G$9)</f>
        <v>0</v>
      </c>
      <c r="H17" s="33"/>
      <c r="I17" s="25">
        <f>tbl_AUSWERTUNG[[#This Row],[MON-S]]-tbl_AUSWERTUNG[[#This Row],[MON-L]]</f>
        <v>0</v>
      </c>
      <c r="J17" s="27">
        <f>SUMIFS(tbl_SEIN[Time],
            tbl_SEIN[Week], $B17,
            tbl_SEIN[Subject], $C17,
            tbl_SEIN[Process], J$9)</f>
        <v>0</v>
      </c>
      <c r="K17" s="33"/>
      <c r="L17" s="25">
        <f>tbl_AUSWERTUNG[[#This Row],[VL-S]]-tbl_AUSWERTUNG[[#This Row],[VL-L]]</f>
        <v>0</v>
      </c>
      <c r="M17" s="27">
        <f>SUMIFS(tbl_SEIN[Time],
            tbl_SEIN[Week], $B17,
            tbl_SEIN[Subject], $C17,
            tbl_SEIN[Process], M$9)</f>
        <v>0</v>
      </c>
      <c r="N17" s="33"/>
      <c r="O17" s="25">
        <f>tbl_AUSWERTUNG[[#This Row],[EX-S]]-tbl_AUSWERTUNG[[#This Row],[EX-L]]</f>
        <v>0</v>
      </c>
      <c r="P17" s="27">
        <f>SUMIFS(tbl_SEIN[Time],
            tbl_SEIN[Week], $B17,
            tbl_SEIN[Subject], $C17,
            tbl_SEIN[Process], P$9)</f>
        <v>0</v>
      </c>
      <c r="Q17" s="33"/>
      <c r="R17" s="25">
        <f>tbl_AUSWERTUNG[[#This Row],[ST-S]]-tbl_AUSWERTUNG[[#This Row],[ST-L]]</f>
        <v>0</v>
      </c>
      <c r="S17" s="27">
        <f>SUMIFS(tbl_SEIN[Time],
            tbl_SEIN[Week], $B17,
            tbl_SEIN[Subject], $C17,
            tbl_SEIN[Process], S$9)</f>
        <v>0</v>
      </c>
      <c r="T17" s="33"/>
      <c r="U17" s="25">
        <f>tbl_AUSWERTUNG[[#This Row],[LRN-S]]-tbl_AUSWERTUNG[[#This Row],[LRN-L]]</f>
        <v>0</v>
      </c>
      <c r="V17" s="27">
        <f>SUMIFS(tbl_SEIN[Time],
            tbl_SEIN[Week], $B17,
            tbl_SEIN[Subject], $C17,
            tbl_SEIN[Process], V$9)</f>
        <v>0</v>
      </c>
      <c r="W17" s="33"/>
      <c r="X17" s="25">
        <f>tbl_AUSWERTUNG[[#This Row],[AP-S]]-tbl_AUSWERTUNG[[#This Row],[AP-L]]</f>
        <v>0</v>
      </c>
      <c r="Y17" s="27">
        <f>SUMIFS(tbl_SEIN[Time],
            tbl_SEIN[Week], $B17,
            tbl_SEIN[Subject], $C17,
            tbl_SEIN[Process], Y$9)</f>
        <v>0</v>
      </c>
      <c r="Z17" s="33"/>
      <c r="AA17" s="27">
        <f>tbl_AUSWERTUNG[[#This Row],[PRES-S]]-tbl_AUSWERTUNG[[#This Row],[PRES-L]]</f>
        <v>0</v>
      </c>
      <c r="AB17" s="26">
        <f t="shared" si="0"/>
        <v>0</v>
      </c>
      <c r="AC17" s="27">
        <f t="shared" si="1"/>
        <v>0</v>
      </c>
      <c r="AD17" s="26">
        <f>tbl_AUSWERTUNG[[#This Row],[S]]-tbl_AUSWERTUNG[[#This Row],[L]]</f>
        <v>0</v>
      </c>
      <c r="AE17" s="27">
        <f>tbl_AUSWERTUNG[[#This Row],[∆]]-SUM(L17,O17)</f>
        <v>0</v>
      </c>
    </row>
    <row r="18" spans="2:39" x14ac:dyDescent="0.2">
      <c r="B18" t="s">
        <v>65</v>
      </c>
      <c r="C18" s="24" t="s">
        <v>109</v>
      </c>
      <c r="D18" s="27">
        <f>SUMIFS(tbl_SEIN[Time],
            tbl_SEIN[Week], $B18,
            tbl_SEIN[Subject], $C18,
            tbl_SEIN[Process], D$9)</f>
        <v>0</v>
      </c>
      <c r="E18" s="33"/>
      <c r="F18" s="25">
        <f>tbl_AUSWERTUNG[[#This Row],[AQ-S]]-tbl_AUSWERTUNG[[#This Row],[AQ-L]]</f>
        <v>0</v>
      </c>
      <c r="G18" s="27">
        <f>SUMIFS(tbl_SEIN[Time],
            tbl_SEIN[Week], $B18,
            tbl_SEIN[Subject], $C18,
            tbl_SEIN[Process], G$9)</f>
        <v>0</v>
      </c>
      <c r="H18" s="33"/>
      <c r="I18" s="25">
        <f>tbl_AUSWERTUNG[[#This Row],[MON-S]]-tbl_AUSWERTUNG[[#This Row],[MON-L]]</f>
        <v>0</v>
      </c>
      <c r="J18" s="27">
        <f>SUMIFS(tbl_SEIN[Time],
            tbl_SEIN[Week], $B18,
            tbl_SEIN[Subject], $C18,
            tbl_SEIN[Process], J$9)</f>
        <v>0</v>
      </c>
      <c r="K18" s="33"/>
      <c r="L18" s="25">
        <f>tbl_AUSWERTUNG[[#This Row],[VL-S]]-tbl_AUSWERTUNG[[#This Row],[VL-L]]</f>
        <v>0</v>
      </c>
      <c r="M18" s="27">
        <f>SUMIFS(tbl_SEIN[Time],
            tbl_SEIN[Week], $B18,
            tbl_SEIN[Subject], $C18,
            tbl_SEIN[Process], M$9)</f>
        <v>0</v>
      </c>
      <c r="N18" s="33"/>
      <c r="O18" s="25">
        <f>tbl_AUSWERTUNG[[#This Row],[EX-S]]-tbl_AUSWERTUNG[[#This Row],[EX-L]]</f>
        <v>0</v>
      </c>
      <c r="P18" s="27">
        <f>SUMIFS(tbl_SEIN[Time],
            tbl_SEIN[Week], $B18,
            tbl_SEIN[Subject], $C18,
            tbl_SEIN[Process], P$9)</f>
        <v>0</v>
      </c>
      <c r="Q18" s="33"/>
      <c r="R18" s="25">
        <f>tbl_AUSWERTUNG[[#This Row],[ST-S]]-tbl_AUSWERTUNG[[#This Row],[ST-L]]</f>
        <v>0</v>
      </c>
      <c r="S18" s="27">
        <f>SUMIFS(tbl_SEIN[Time],
            tbl_SEIN[Week], $B18,
            tbl_SEIN[Subject], $C18,
            tbl_SEIN[Process], S$9)</f>
        <v>0</v>
      </c>
      <c r="T18" s="33"/>
      <c r="U18" s="25">
        <f>tbl_AUSWERTUNG[[#This Row],[LRN-S]]-tbl_AUSWERTUNG[[#This Row],[LRN-L]]</f>
        <v>0</v>
      </c>
      <c r="V18" s="27">
        <f>SUMIFS(tbl_SEIN[Time],
            tbl_SEIN[Week], $B18,
            tbl_SEIN[Subject], $C18,
            tbl_SEIN[Process], V$9)</f>
        <v>0</v>
      </c>
      <c r="W18" s="33"/>
      <c r="X18" s="25">
        <f>tbl_AUSWERTUNG[[#This Row],[AP-S]]-tbl_AUSWERTUNG[[#This Row],[AP-L]]</f>
        <v>0</v>
      </c>
      <c r="Y18" s="27">
        <f>SUMIFS(tbl_SEIN[Time],
            tbl_SEIN[Week], $B18,
            tbl_SEIN[Subject], $C18,
            tbl_SEIN[Process], Y$9)</f>
        <v>0</v>
      </c>
      <c r="Z18" s="33"/>
      <c r="AA18" s="27">
        <f>tbl_AUSWERTUNG[[#This Row],[PRES-S]]-tbl_AUSWERTUNG[[#This Row],[PRES-L]]</f>
        <v>0</v>
      </c>
      <c r="AB18" s="26">
        <f t="shared" si="0"/>
        <v>0</v>
      </c>
      <c r="AC18" s="27">
        <f t="shared" si="1"/>
        <v>0</v>
      </c>
      <c r="AD18" s="26">
        <f>tbl_AUSWERTUNG[[#This Row],[S]]-tbl_AUSWERTUNG[[#This Row],[L]]</f>
        <v>0</v>
      </c>
      <c r="AE18" s="27">
        <f>tbl_AUSWERTUNG[[#This Row],[∆]]-SUM(L18,O18)</f>
        <v>0</v>
      </c>
    </row>
    <row r="19" spans="2:39" x14ac:dyDescent="0.2">
      <c r="B19" t="s">
        <v>65</v>
      </c>
      <c r="C19" s="24" t="s">
        <v>110</v>
      </c>
      <c r="D19" s="27">
        <f>SUMIFS(tbl_SEIN[Time],
            tbl_SEIN[Week], $B19,
            tbl_SEIN[Subject], $C19,
            tbl_SEIN[Process], D$9)</f>
        <v>0</v>
      </c>
      <c r="E19" s="33"/>
      <c r="F19" s="25">
        <f>tbl_AUSWERTUNG[[#This Row],[AQ-S]]-tbl_AUSWERTUNG[[#This Row],[AQ-L]]</f>
        <v>0</v>
      </c>
      <c r="G19" s="27">
        <f>SUMIFS(tbl_SEIN[Time],
            tbl_SEIN[Week], $B19,
            tbl_SEIN[Subject], $C19,
            tbl_SEIN[Process], G$9)</f>
        <v>0</v>
      </c>
      <c r="H19" s="33"/>
      <c r="I19" s="25">
        <f>tbl_AUSWERTUNG[[#This Row],[MON-S]]-tbl_AUSWERTUNG[[#This Row],[MON-L]]</f>
        <v>0</v>
      </c>
      <c r="J19" s="27">
        <f>SUMIFS(tbl_SEIN[Time],
            tbl_SEIN[Week], $B19,
            tbl_SEIN[Subject], $C19,
            tbl_SEIN[Process], J$9)</f>
        <v>0</v>
      </c>
      <c r="K19" s="33"/>
      <c r="L19" s="25">
        <f>tbl_AUSWERTUNG[[#This Row],[VL-S]]-tbl_AUSWERTUNG[[#This Row],[VL-L]]</f>
        <v>0</v>
      </c>
      <c r="M19" s="27">
        <f>SUMIFS(tbl_SEIN[Time],
            tbl_SEIN[Week], $B19,
            tbl_SEIN[Subject], $C19,
            tbl_SEIN[Process], M$9)</f>
        <v>0</v>
      </c>
      <c r="N19" s="33"/>
      <c r="O19" s="25">
        <f>tbl_AUSWERTUNG[[#This Row],[EX-S]]-tbl_AUSWERTUNG[[#This Row],[EX-L]]</f>
        <v>0</v>
      </c>
      <c r="P19" s="27">
        <f>SUMIFS(tbl_SEIN[Time],
            tbl_SEIN[Week], $B19,
            tbl_SEIN[Subject], $C19,
            tbl_SEIN[Process], P$9)</f>
        <v>0</v>
      </c>
      <c r="Q19" s="33"/>
      <c r="R19" s="25">
        <f>tbl_AUSWERTUNG[[#This Row],[ST-S]]-tbl_AUSWERTUNG[[#This Row],[ST-L]]</f>
        <v>0</v>
      </c>
      <c r="S19" s="27">
        <f>SUMIFS(tbl_SEIN[Time],
            tbl_SEIN[Week], $B19,
            tbl_SEIN[Subject], $C19,
            tbl_SEIN[Process], S$9)</f>
        <v>0</v>
      </c>
      <c r="T19" s="33"/>
      <c r="U19" s="25">
        <f>tbl_AUSWERTUNG[[#This Row],[LRN-S]]-tbl_AUSWERTUNG[[#This Row],[LRN-L]]</f>
        <v>0</v>
      </c>
      <c r="V19" s="27">
        <f>SUMIFS(tbl_SEIN[Time],
            tbl_SEIN[Week], $B19,
            tbl_SEIN[Subject], $C19,
            tbl_SEIN[Process], V$9)</f>
        <v>0</v>
      </c>
      <c r="W19" s="33"/>
      <c r="X19" s="25">
        <f>tbl_AUSWERTUNG[[#This Row],[AP-S]]-tbl_AUSWERTUNG[[#This Row],[AP-L]]</f>
        <v>0</v>
      </c>
      <c r="Y19" s="27">
        <f>SUMIFS(tbl_SEIN[Time],
            tbl_SEIN[Week], $B19,
            tbl_SEIN[Subject], $C19,
            tbl_SEIN[Process], Y$9)</f>
        <v>0</v>
      </c>
      <c r="Z19" s="33"/>
      <c r="AA19" s="27">
        <f>tbl_AUSWERTUNG[[#This Row],[PRES-S]]-tbl_AUSWERTUNG[[#This Row],[PRES-L]]</f>
        <v>0</v>
      </c>
      <c r="AB19" s="26">
        <f t="shared" si="0"/>
        <v>0</v>
      </c>
      <c r="AC19" s="27">
        <f t="shared" si="1"/>
        <v>0</v>
      </c>
      <c r="AD19" s="26">
        <f>tbl_AUSWERTUNG[[#This Row],[S]]-tbl_AUSWERTUNG[[#This Row],[L]]</f>
        <v>0</v>
      </c>
      <c r="AE19" s="27">
        <f>tbl_AUSWERTUNG[[#This Row],[∆]]-SUM(L19,O19)</f>
        <v>0</v>
      </c>
    </row>
    <row r="20" spans="2:39" x14ac:dyDescent="0.2">
      <c r="B20" t="s">
        <v>65</v>
      </c>
      <c r="C20" s="24" t="s">
        <v>111</v>
      </c>
      <c r="D20" s="27">
        <f>SUMIFS(tbl_SEIN[Time],
            tbl_SEIN[Week], $B20,
            tbl_SEIN[Subject], $C20,
            tbl_SEIN[Process], D$9)</f>
        <v>0</v>
      </c>
      <c r="E20" s="33"/>
      <c r="F20" s="25">
        <f>tbl_AUSWERTUNG[[#This Row],[AQ-S]]-tbl_AUSWERTUNG[[#This Row],[AQ-L]]</f>
        <v>0</v>
      </c>
      <c r="G20" s="27">
        <f>SUMIFS(tbl_SEIN[Time],
            tbl_SEIN[Week], $B20,
            tbl_SEIN[Subject], $C20,
            tbl_SEIN[Process], G$9)</f>
        <v>0</v>
      </c>
      <c r="H20" s="33"/>
      <c r="I20" s="25">
        <f>tbl_AUSWERTUNG[[#This Row],[MON-S]]-tbl_AUSWERTUNG[[#This Row],[MON-L]]</f>
        <v>0</v>
      </c>
      <c r="J20" s="27">
        <f>SUMIFS(tbl_SEIN[Time],
            tbl_SEIN[Week], $B20,
            tbl_SEIN[Subject], $C20,
            tbl_SEIN[Process], J$9)</f>
        <v>0</v>
      </c>
      <c r="K20" s="33"/>
      <c r="L20" s="25">
        <f>tbl_AUSWERTUNG[[#This Row],[VL-S]]-tbl_AUSWERTUNG[[#This Row],[VL-L]]</f>
        <v>0</v>
      </c>
      <c r="M20" s="27">
        <f>SUMIFS(tbl_SEIN[Time],
            tbl_SEIN[Week], $B20,
            tbl_SEIN[Subject], $C20,
            tbl_SEIN[Process], M$9)</f>
        <v>0</v>
      </c>
      <c r="N20" s="33"/>
      <c r="O20" s="25">
        <f>tbl_AUSWERTUNG[[#This Row],[EX-S]]-tbl_AUSWERTUNG[[#This Row],[EX-L]]</f>
        <v>0</v>
      </c>
      <c r="P20" s="27">
        <f>SUMIFS(tbl_SEIN[Time],
            tbl_SEIN[Week], $B20,
            tbl_SEIN[Subject], $C20,
            tbl_SEIN[Process], P$9)</f>
        <v>0</v>
      </c>
      <c r="Q20" s="33"/>
      <c r="R20" s="25">
        <f>tbl_AUSWERTUNG[[#This Row],[ST-S]]-tbl_AUSWERTUNG[[#This Row],[ST-L]]</f>
        <v>0</v>
      </c>
      <c r="S20" s="27">
        <f>SUMIFS(tbl_SEIN[Time],
            tbl_SEIN[Week], $B20,
            tbl_SEIN[Subject], $C20,
            tbl_SEIN[Process], S$9)</f>
        <v>0</v>
      </c>
      <c r="T20" s="33"/>
      <c r="U20" s="25">
        <f>tbl_AUSWERTUNG[[#This Row],[LRN-S]]-tbl_AUSWERTUNG[[#This Row],[LRN-L]]</f>
        <v>0</v>
      </c>
      <c r="V20" s="27">
        <f>SUMIFS(tbl_SEIN[Time],
            tbl_SEIN[Week], $B20,
            tbl_SEIN[Subject], $C20,
            tbl_SEIN[Process], V$9)</f>
        <v>0</v>
      </c>
      <c r="W20" s="33"/>
      <c r="X20" s="25">
        <f>tbl_AUSWERTUNG[[#This Row],[AP-S]]-tbl_AUSWERTUNG[[#This Row],[AP-L]]</f>
        <v>0</v>
      </c>
      <c r="Y20" s="27">
        <f>SUMIFS(tbl_SEIN[Time],
            tbl_SEIN[Week], $B20,
            tbl_SEIN[Subject], $C20,
            tbl_SEIN[Process], Y$9)</f>
        <v>0</v>
      </c>
      <c r="Z20" s="33"/>
      <c r="AA20" s="27">
        <f>tbl_AUSWERTUNG[[#This Row],[PRES-S]]-tbl_AUSWERTUNG[[#This Row],[PRES-L]]</f>
        <v>0</v>
      </c>
      <c r="AB20" s="26">
        <f t="shared" si="0"/>
        <v>0</v>
      </c>
      <c r="AC20" s="27">
        <f t="shared" si="1"/>
        <v>0</v>
      </c>
      <c r="AD20" s="26">
        <f>tbl_AUSWERTUNG[[#This Row],[S]]-tbl_AUSWERTUNG[[#This Row],[L]]</f>
        <v>0</v>
      </c>
      <c r="AE20" s="27">
        <f>tbl_AUSWERTUNG[[#This Row],[∆]]-SUM(L20,O20)</f>
        <v>0</v>
      </c>
    </row>
    <row r="21" spans="2:39" x14ac:dyDescent="0.2">
      <c r="B21" t="s">
        <v>65</v>
      </c>
      <c r="C21" s="24" t="s">
        <v>112</v>
      </c>
      <c r="D21" s="27">
        <f>SUMIFS(tbl_SEIN[Time],
            tbl_SEIN[Week], $B21,
            tbl_SEIN[Subject], $C21,
            tbl_SEIN[Process], D$9)</f>
        <v>0</v>
      </c>
      <c r="E21" s="33"/>
      <c r="F21" s="25">
        <f>tbl_AUSWERTUNG[[#This Row],[AQ-S]]-tbl_AUSWERTUNG[[#This Row],[AQ-L]]</f>
        <v>0</v>
      </c>
      <c r="G21" s="27">
        <f>SUMIFS(tbl_SEIN[Time],
            tbl_SEIN[Week], $B21,
            tbl_SEIN[Subject], $C21,
            tbl_SEIN[Process], G$9)</f>
        <v>0</v>
      </c>
      <c r="H21" s="33"/>
      <c r="I21" s="25">
        <f>tbl_AUSWERTUNG[[#This Row],[MON-S]]-tbl_AUSWERTUNG[[#This Row],[MON-L]]</f>
        <v>0</v>
      </c>
      <c r="J21" s="27">
        <f>SUMIFS(tbl_SEIN[Time],
            tbl_SEIN[Week], $B21,
            tbl_SEIN[Subject], $C21,
            tbl_SEIN[Process], J$9)</f>
        <v>0</v>
      </c>
      <c r="K21" s="33"/>
      <c r="L21" s="25">
        <f>tbl_AUSWERTUNG[[#This Row],[VL-S]]-tbl_AUSWERTUNG[[#This Row],[VL-L]]</f>
        <v>0</v>
      </c>
      <c r="M21" s="27">
        <f>SUMIFS(tbl_SEIN[Time],
            tbl_SEIN[Week], $B21,
            tbl_SEIN[Subject], $C21,
            tbl_SEIN[Process], M$9)</f>
        <v>0</v>
      </c>
      <c r="N21" s="33"/>
      <c r="O21" s="25">
        <f>tbl_AUSWERTUNG[[#This Row],[EX-S]]-tbl_AUSWERTUNG[[#This Row],[EX-L]]</f>
        <v>0</v>
      </c>
      <c r="P21" s="27">
        <f>SUMIFS(tbl_SEIN[Time],
            tbl_SEIN[Week], $B21,
            tbl_SEIN[Subject], $C21,
            tbl_SEIN[Process], P$9)</f>
        <v>0</v>
      </c>
      <c r="Q21" s="33"/>
      <c r="R21" s="25">
        <f>tbl_AUSWERTUNG[[#This Row],[ST-S]]-tbl_AUSWERTUNG[[#This Row],[ST-L]]</f>
        <v>0</v>
      </c>
      <c r="S21" s="27">
        <f>SUMIFS(tbl_SEIN[Time],
            tbl_SEIN[Week], $B21,
            tbl_SEIN[Subject], $C21,
            tbl_SEIN[Process], S$9)</f>
        <v>0</v>
      </c>
      <c r="T21" s="33"/>
      <c r="U21" s="25">
        <f>tbl_AUSWERTUNG[[#This Row],[LRN-S]]-tbl_AUSWERTUNG[[#This Row],[LRN-L]]</f>
        <v>0</v>
      </c>
      <c r="V21" s="27">
        <f>SUMIFS(tbl_SEIN[Time],
            tbl_SEIN[Week], $B21,
            tbl_SEIN[Subject], $C21,
            tbl_SEIN[Process], V$9)</f>
        <v>0</v>
      </c>
      <c r="W21" s="33"/>
      <c r="X21" s="25">
        <f>tbl_AUSWERTUNG[[#This Row],[AP-S]]-tbl_AUSWERTUNG[[#This Row],[AP-L]]</f>
        <v>0</v>
      </c>
      <c r="Y21" s="27">
        <f>SUMIFS(tbl_SEIN[Time],
            tbl_SEIN[Week], $B21,
            tbl_SEIN[Subject], $C21,
            tbl_SEIN[Process], Y$9)</f>
        <v>0</v>
      </c>
      <c r="Z21" s="33"/>
      <c r="AA21" s="27">
        <f>tbl_AUSWERTUNG[[#This Row],[PRES-S]]-tbl_AUSWERTUNG[[#This Row],[PRES-L]]</f>
        <v>0</v>
      </c>
      <c r="AB21" s="26">
        <f t="shared" si="0"/>
        <v>0</v>
      </c>
      <c r="AC21" s="27">
        <f t="shared" si="1"/>
        <v>0</v>
      </c>
      <c r="AD21" s="26">
        <f>tbl_AUSWERTUNG[[#This Row],[S]]-tbl_AUSWERTUNG[[#This Row],[L]]</f>
        <v>0</v>
      </c>
      <c r="AE21" s="27">
        <f>tbl_AUSWERTUNG[[#This Row],[∆]]-SUM(L21,O21)</f>
        <v>0</v>
      </c>
    </row>
    <row r="22" spans="2:39" x14ac:dyDescent="0.2">
      <c r="B22" t="s">
        <v>65</v>
      </c>
      <c r="C22" s="55" t="s">
        <v>24</v>
      </c>
      <c r="D22" s="27">
        <f>SUMIFS(tbl_SEIN[Time],
            tbl_SEIN[Week], $B22,
            tbl_SEIN[Subject], $C22,
            tbl_SEIN[Process], D$9)</f>
        <v>0</v>
      </c>
      <c r="E22" s="33"/>
      <c r="F22" s="25">
        <f>tbl_AUSWERTUNG[[#This Row],[AQ-S]]-tbl_AUSWERTUNG[[#This Row],[AQ-L]]</f>
        <v>0</v>
      </c>
      <c r="G22" s="27">
        <f>SUMIFS(tbl_SEIN[Time],
            tbl_SEIN[Week], $B22,
            tbl_SEIN[Subject], $C22,
            tbl_SEIN[Process], G$9)</f>
        <v>0</v>
      </c>
      <c r="H22" s="33"/>
      <c r="I22" s="25">
        <f>tbl_AUSWERTUNG[[#This Row],[MON-S]]-tbl_AUSWERTUNG[[#This Row],[MON-L]]</f>
        <v>0</v>
      </c>
      <c r="J22" s="27">
        <f>SUMIFS(tbl_SEIN[Time],
            tbl_SEIN[Week], $B22,
            tbl_SEIN[Subject], $C22,
            tbl_SEIN[Process], J$9)</f>
        <v>0</v>
      </c>
      <c r="K22" s="33"/>
      <c r="L22" s="25">
        <f>tbl_AUSWERTUNG[[#This Row],[VL-S]]-tbl_AUSWERTUNG[[#This Row],[VL-L]]</f>
        <v>0</v>
      </c>
      <c r="M22" s="27">
        <f>SUMIFS(tbl_SEIN[Time],
            tbl_SEIN[Week], $B22,
            tbl_SEIN[Subject], $C22,
            tbl_SEIN[Process], M$9)</f>
        <v>0</v>
      </c>
      <c r="N22" s="33"/>
      <c r="O22" s="25">
        <f>tbl_AUSWERTUNG[[#This Row],[EX-S]]-tbl_AUSWERTUNG[[#This Row],[EX-L]]</f>
        <v>0</v>
      </c>
      <c r="P22" s="27">
        <f>SUMIFS(tbl_SEIN[Time],
            tbl_SEIN[Week], $B22,
            tbl_SEIN[Subject], $C22,
            tbl_SEIN[Process], P$9)</f>
        <v>0</v>
      </c>
      <c r="Q22" s="33"/>
      <c r="R22" s="25">
        <f>tbl_AUSWERTUNG[[#This Row],[ST-S]]-tbl_AUSWERTUNG[[#This Row],[ST-L]]</f>
        <v>0</v>
      </c>
      <c r="S22" s="27">
        <f>SUMIFS(tbl_SEIN[Time],
            tbl_SEIN[Week], $B22,
            tbl_SEIN[Subject], $C22,
            tbl_SEIN[Process], S$9)</f>
        <v>0</v>
      </c>
      <c r="T22" s="33"/>
      <c r="U22" s="25">
        <f>tbl_AUSWERTUNG[[#This Row],[LRN-S]]-tbl_AUSWERTUNG[[#This Row],[LRN-L]]</f>
        <v>0</v>
      </c>
      <c r="V22" s="27">
        <f>SUMIFS(tbl_SEIN[Time],
            tbl_SEIN[Week], $B22,
            tbl_SEIN[Subject], $C22,
            tbl_SEIN[Process], V$9)</f>
        <v>0</v>
      </c>
      <c r="W22" s="33"/>
      <c r="X22" s="25">
        <f>tbl_AUSWERTUNG[[#This Row],[AP-S]]-tbl_AUSWERTUNG[[#This Row],[AP-L]]</f>
        <v>0</v>
      </c>
      <c r="Y22" s="27">
        <f>SUMIFS(tbl_SEIN[Time],
            tbl_SEIN[Week], $B22,
            tbl_SEIN[Subject], $C22,
            tbl_SEIN[Process], Y$9)</f>
        <v>0</v>
      </c>
      <c r="Z22" s="33"/>
      <c r="AA22" s="27">
        <f>tbl_AUSWERTUNG[[#This Row],[PRES-S]]-tbl_AUSWERTUNG[[#This Row],[PRES-L]]</f>
        <v>0</v>
      </c>
      <c r="AB22" s="47">
        <f t="shared" si="0"/>
        <v>0</v>
      </c>
      <c r="AC22" s="48">
        <f t="shared" si="1"/>
        <v>0</v>
      </c>
      <c r="AD22" s="26">
        <f>tbl_AUSWERTUNG[[#This Row],[S]]-tbl_AUSWERTUNG[[#This Row],[L]]</f>
        <v>0</v>
      </c>
      <c r="AE22" s="27">
        <f>tbl_AUSWERTUNG[[#This Row],[∆]]-SUM(L22,O22)</f>
        <v>0</v>
      </c>
    </row>
    <row r="23" spans="2:39" x14ac:dyDescent="0.2">
      <c r="B23" s="49" t="s">
        <v>64</v>
      </c>
      <c r="C23" s="50" t="s">
        <v>107</v>
      </c>
      <c r="D23" s="53">
        <f>SUMIFS(tbl_SEIN[Time],
            tbl_SEIN[Week], $B23,
            tbl_SEIN[Subject], $C23,
            tbl_SEIN[Process], D$9)</f>
        <v>0</v>
      </c>
      <c r="E23" s="51"/>
      <c r="F23" s="52">
        <f>tbl_AUSWERTUNG[[#This Row],[AQ-S]]-tbl_AUSWERTUNG[[#This Row],[AQ-L]]</f>
        <v>0</v>
      </c>
      <c r="G23" s="53">
        <f>SUMIFS(tbl_SEIN[Time],
            tbl_SEIN[Week], $B23,
            tbl_SEIN[Subject], $C23,
            tbl_SEIN[Process], G$9)</f>
        <v>0</v>
      </c>
      <c r="H23" s="51"/>
      <c r="I23" s="52">
        <f>tbl_AUSWERTUNG[[#This Row],[MON-S]]-tbl_AUSWERTUNG[[#This Row],[MON-L]]</f>
        <v>0</v>
      </c>
      <c r="J23" s="53">
        <f>SUMIFS(tbl_SEIN[Time],
            tbl_SEIN[Week], $B23,
            tbl_SEIN[Subject], $C23,
            tbl_SEIN[Process], J$9)</f>
        <v>0</v>
      </c>
      <c r="K23" s="51"/>
      <c r="L23" s="52">
        <f>tbl_AUSWERTUNG[[#This Row],[VL-S]]-tbl_AUSWERTUNG[[#This Row],[VL-L]]</f>
        <v>0</v>
      </c>
      <c r="M23" s="53">
        <f>SUMIFS(tbl_SEIN[Time],
            tbl_SEIN[Week], $B23,
            tbl_SEIN[Subject], $C23,
            tbl_SEIN[Process], M$9)</f>
        <v>0</v>
      </c>
      <c r="N23" s="51"/>
      <c r="O23" s="52">
        <f>tbl_AUSWERTUNG[[#This Row],[EX-S]]-tbl_AUSWERTUNG[[#This Row],[EX-L]]</f>
        <v>0</v>
      </c>
      <c r="P23" s="53">
        <f>SUMIFS(tbl_SEIN[Time],
            tbl_SEIN[Week], $B23,
            tbl_SEIN[Subject], $C23,
            tbl_SEIN[Process], P$9)</f>
        <v>0</v>
      </c>
      <c r="Q23" s="51"/>
      <c r="R23" s="52">
        <f>tbl_AUSWERTUNG[[#This Row],[ST-S]]-tbl_AUSWERTUNG[[#This Row],[ST-L]]</f>
        <v>0</v>
      </c>
      <c r="S23" s="53">
        <f>SUMIFS(tbl_SEIN[Time],
            tbl_SEIN[Week], $B23,
            tbl_SEIN[Subject], $C23,
            tbl_SEIN[Process], S$9)</f>
        <v>0</v>
      </c>
      <c r="T23" s="51"/>
      <c r="U23" s="52">
        <f>tbl_AUSWERTUNG[[#This Row],[LRN-S]]-tbl_AUSWERTUNG[[#This Row],[LRN-L]]</f>
        <v>0</v>
      </c>
      <c r="V23" s="53">
        <f>SUMIFS(tbl_SEIN[Time],
            tbl_SEIN[Week], $B23,
            tbl_SEIN[Subject], $C23,
            tbl_SEIN[Process], V$9)</f>
        <v>0</v>
      </c>
      <c r="W23" s="51"/>
      <c r="X23" s="52">
        <f>tbl_AUSWERTUNG[[#This Row],[AP-S]]-tbl_AUSWERTUNG[[#This Row],[AP-L]]</f>
        <v>0</v>
      </c>
      <c r="Y23" s="53">
        <f>SUMIFS(tbl_SEIN[Time],
            tbl_SEIN[Week], $B23,
            tbl_SEIN[Subject], $C23,
            tbl_SEIN[Process], Y$9)</f>
        <v>0</v>
      </c>
      <c r="Z23" s="51"/>
      <c r="AA23" s="53">
        <f>tbl_AUSWERTUNG[[#This Row],[PRES-S]]-tbl_AUSWERTUNG[[#This Row],[PRES-L]]</f>
        <v>0</v>
      </c>
      <c r="AB23" s="26">
        <f t="shared" si="0"/>
        <v>0</v>
      </c>
      <c r="AC23" s="27">
        <f t="shared" si="1"/>
        <v>0</v>
      </c>
      <c r="AD23" s="54">
        <f>tbl_AUSWERTUNG[[#This Row],[S]]-tbl_AUSWERTUNG[[#This Row],[L]]</f>
        <v>0</v>
      </c>
      <c r="AE23" s="53">
        <f>tbl_AUSWERTUNG[[#This Row],[∆]]-SUM(L23,O23)</f>
        <v>0</v>
      </c>
    </row>
    <row r="24" spans="2:39" x14ac:dyDescent="0.2">
      <c r="B24" t="s">
        <v>64</v>
      </c>
      <c r="C24" s="24" t="s">
        <v>100</v>
      </c>
      <c r="D24" s="27">
        <f>SUMIFS(tbl_SEIN[Time],
            tbl_SEIN[Week], $B24,
            tbl_SEIN[Subject], $C24,
            tbl_SEIN[Process], D$9)</f>
        <v>0.28819444444444442</v>
      </c>
      <c r="E24" s="33"/>
      <c r="F24" s="25">
        <f>tbl_AUSWERTUNG[[#This Row],[AQ-S]]-tbl_AUSWERTUNG[[#This Row],[AQ-L]]</f>
        <v>0.28819444444444442</v>
      </c>
      <c r="G24" s="27">
        <f>SUMIFS(tbl_SEIN[Time],
            tbl_SEIN[Week], $B24,
            tbl_SEIN[Subject], $C24,
            tbl_SEIN[Process], G$9)</f>
        <v>0</v>
      </c>
      <c r="H24" s="33"/>
      <c r="I24" s="25">
        <f>tbl_AUSWERTUNG[[#This Row],[MON-S]]-tbl_AUSWERTUNG[[#This Row],[MON-L]]</f>
        <v>0</v>
      </c>
      <c r="J24" s="27">
        <f>SUMIFS(tbl_SEIN[Time],
            tbl_SEIN[Week], $B24,
            tbl_SEIN[Subject], $C24,
            tbl_SEIN[Process], J$9)</f>
        <v>0</v>
      </c>
      <c r="K24" s="33"/>
      <c r="L24" s="25">
        <f>tbl_AUSWERTUNG[[#This Row],[VL-S]]-tbl_AUSWERTUNG[[#This Row],[VL-L]]</f>
        <v>0</v>
      </c>
      <c r="M24" s="27">
        <f>SUMIFS(tbl_SEIN[Time],
            tbl_SEIN[Week], $B24,
            tbl_SEIN[Subject], $C24,
            tbl_SEIN[Process], M$9)</f>
        <v>0</v>
      </c>
      <c r="N24" s="33"/>
      <c r="O24" s="25">
        <f>tbl_AUSWERTUNG[[#This Row],[EX-S]]-tbl_AUSWERTUNG[[#This Row],[EX-L]]</f>
        <v>0</v>
      </c>
      <c r="P24" s="27">
        <f>SUMIFS(tbl_SEIN[Time],
            tbl_SEIN[Week], $B24,
            tbl_SEIN[Subject], $C24,
            tbl_SEIN[Process], P$9)</f>
        <v>4.8611111111111105E-2</v>
      </c>
      <c r="Q24" s="33"/>
      <c r="R24" s="25">
        <f>tbl_AUSWERTUNG[[#This Row],[ST-S]]-tbl_AUSWERTUNG[[#This Row],[ST-L]]</f>
        <v>4.8611111111111105E-2</v>
      </c>
      <c r="S24" s="27">
        <f>SUMIFS(tbl_SEIN[Time],
            tbl_SEIN[Week], $B24,
            tbl_SEIN[Subject], $C24,
            tbl_SEIN[Process], S$9)</f>
        <v>0</v>
      </c>
      <c r="T24" s="33"/>
      <c r="U24" s="25">
        <f>tbl_AUSWERTUNG[[#This Row],[LRN-S]]-tbl_AUSWERTUNG[[#This Row],[LRN-L]]</f>
        <v>0</v>
      </c>
      <c r="V24" s="27">
        <f>SUMIFS(tbl_SEIN[Time],
            tbl_SEIN[Week], $B24,
            tbl_SEIN[Subject], $C24,
            tbl_SEIN[Process], V$9)</f>
        <v>0</v>
      </c>
      <c r="W24" s="33"/>
      <c r="X24" s="25">
        <f>tbl_AUSWERTUNG[[#This Row],[AP-S]]-tbl_AUSWERTUNG[[#This Row],[AP-L]]</f>
        <v>0</v>
      </c>
      <c r="Y24" s="27">
        <f>SUMIFS(tbl_SEIN[Time],
            tbl_SEIN[Week], $B24,
            tbl_SEIN[Subject], $C24,
            tbl_SEIN[Process], Y$9)</f>
        <v>0</v>
      </c>
      <c r="Z24" s="33"/>
      <c r="AA24" s="27">
        <f>tbl_AUSWERTUNG[[#This Row],[PRES-S]]-tbl_AUSWERTUNG[[#This Row],[PRES-L]]</f>
        <v>0</v>
      </c>
      <c r="AB24" s="26">
        <f t="shared" si="0"/>
        <v>0.33680555555555552</v>
      </c>
      <c r="AC24" s="27">
        <f t="shared" si="1"/>
        <v>0</v>
      </c>
      <c r="AD24" s="26">
        <f>tbl_AUSWERTUNG[[#This Row],[S]]-tbl_AUSWERTUNG[[#This Row],[L]]</f>
        <v>0.33680555555555552</v>
      </c>
      <c r="AE24" s="27">
        <f>tbl_AUSWERTUNG[[#This Row],[∆]]-SUM(L24,O24)</f>
        <v>0.33680555555555552</v>
      </c>
    </row>
    <row r="25" spans="2:39" x14ac:dyDescent="0.2">
      <c r="B25" t="s">
        <v>64</v>
      </c>
      <c r="C25" s="24" t="s">
        <v>119</v>
      </c>
      <c r="D25" s="27">
        <f>SUMIFS(tbl_SEIN[Time],
            tbl_SEIN[Week], $B25,
            tbl_SEIN[Subject], $C25,
            tbl_SEIN[Process], D$9)</f>
        <v>0.3298611111111111</v>
      </c>
      <c r="E25" s="33"/>
      <c r="F25" s="25">
        <f>tbl_AUSWERTUNG[[#This Row],[AQ-S]]-tbl_AUSWERTUNG[[#This Row],[AQ-L]]</f>
        <v>0.3298611111111111</v>
      </c>
      <c r="G25" s="27">
        <f>SUMIFS(tbl_SEIN[Time],
            tbl_SEIN[Week], $B25,
            tbl_SEIN[Subject], $C25,
            tbl_SEIN[Process], G$9)</f>
        <v>0</v>
      </c>
      <c r="H25" s="33"/>
      <c r="I25" s="25">
        <f>tbl_AUSWERTUNG[[#This Row],[MON-S]]-tbl_AUSWERTUNG[[#This Row],[MON-L]]</f>
        <v>0</v>
      </c>
      <c r="J25" s="27">
        <f>SUMIFS(tbl_SEIN[Time],
            tbl_SEIN[Week], $B25,
            tbl_SEIN[Subject], $C25,
            tbl_SEIN[Process], J$9)</f>
        <v>0</v>
      </c>
      <c r="K25" s="33"/>
      <c r="L25" s="25">
        <f>tbl_AUSWERTUNG[[#This Row],[VL-S]]-tbl_AUSWERTUNG[[#This Row],[VL-L]]</f>
        <v>0</v>
      </c>
      <c r="M25" s="27">
        <f>SUMIFS(tbl_SEIN[Time],
            tbl_SEIN[Week], $B25,
            tbl_SEIN[Subject], $C25,
            tbl_SEIN[Process], M$9)</f>
        <v>0</v>
      </c>
      <c r="N25" s="33"/>
      <c r="O25" s="25">
        <f>tbl_AUSWERTUNG[[#This Row],[EX-S]]-tbl_AUSWERTUNG[[#This Row],[EX-L]]</f>
        <v>0</v>
      </c>
      <c r="P25" s="27">
        <f>SUMIFS(tbl_SEIN[Time],
            tbl_SEIN[Week], $B25,
            tbl_SEIN[Subject], $C25,
            tbl_SEIN[Process], P$9)</f>
        <v>0.25694444444444442</v>
      </c>
      <c r="Q25" s="33"/>
      <c r="R25" s="25">
        <f>tbl_AUSWERTUNG[[#This Row],[ST-S]]-tbl_AUSWERTUNG[[#This Row],[ST-L]]</f>
        <v>0.25694444444444442</v>
      </c>
      <c r="S25" s="27">
        <f>SUMIFS(tbl_SEIN[Time],
            tbl_SEIN[Week], $B25,
            tbl_SEIN[Subject], $C25,
            tbl_SEIN[Process], S$9)</f>
        <v>0</v>
      </c>
      <c r="T25" s="33"/>
      <c r="U25" s="25">
        <f>tbl_AUSWERTUNG[[#This Row],[LRN-S]]-tbl_AUSWERTUNG[[#This Row],[LRN-L]]</f>
        <v>0</v>
      </c>
      <c r="V25" s="27">
        <f>SUMIFS(tbl_SEIN[Time],
            tbl_SEIN[Week], $B25,
            tbl_SEIN[Subject], $C25,
            tbl_SEIN[Process], V$9)</f>
        <v>0</v>
      </c>
      <c r="W25" s="33"/>
      <c r="X25" s="25">
        <f>tbl_AUSWERTUNG[[#This Row],[AP-S]]-tbl_AUSWERTUNG[[#This Row],[AP-L]]</f>
        <v>0</v>
      </c>
      <c r="Y25" s="27">
        <f>SUMIFS(tbl_SEIN[Time],
            tbl_SEIN[Week], $B25,
            tbl_SEIN[Subject], $C25,
            tbl_SEIN[Process], Y$9)</f>
        <v>0</v>
      </c>
      <c r="Z25" s="33"/>
      <c r="AA25" s="27">
        <f>tbl_AUSWERTUNG[[#This Row],[PRES-S]]-tbl_AUSWERTUNG[[#This Row],[PRES-L]]</f>
        <v>0</v>
      </c>
      <c r="AB25" s="26">
        <f t="shared" si="0"/>
        <v>0.58680555555555558</v>
      </c>
      <c r="AC25" s="27">
        <f t="shared" si="1"/>
        <v>0</v>
      </c>
      <c r="AD25" s="26">
        <f>tbl_AUSWERTUNG[[#This Row],[S]]-tbl_AUSWERTUNG[[#This Row],[L]]</f>
        <v>0.58680555555555558</v>
      </c>
      <c r="AE25" s="27">
        <f>tbl_AUSWERTUNG[[#This Row],[∆]]-SUM(L25,O25)</f>
        <v>0.58680555555555558</v>
      </c>
    </row>
    <row r="26" spans="2:39" x14ac:dyDescent="0.2">
      <c r="B26" t="s">
        <v>64</v>
      </c>
      <c r="C26" s="55" t="s">
        <v>20</v>
      </c>
      <c r="D26" s="27">
        <f>SUMIFS(tbl_SEIN[Time],
            tbl_SEIN[Week], $B26,
            tbl_SEIN[Subject], $C26,
            tbl_SEIN[Process], D$9)</f>
        <v>0</v>
      </c>
      <c r="E26" s="33"/>
      <c r="F26" s="25">
        <f>tbl_AUSWERTUNG[[#This Row],[AQ-S]]-tbl_AUSWERTUNG[[#This Row],[AQ-L]]</f>
        <v>0</v>
      </c>
      <c r="G26" s="27">
        <f>SUMIFS(tbl_SEIN[Time],
            tbl_SEIN[Week], $B26,
            tbl_SEIN[Subject], $C26,
            tbl_SEIN[Process], G$9)</f>
        <v>0</v>
      </c>
      <c r="H26" s="33"/>
      <c r="I26" s="25">
        <f>tbl_AUSWERTUNG[[#This Row],[MON-S]]-tbl_AUSWERTUNG[[#This Row],[MON-L]]</f>
        <v>0</v>
      </c>
      <c r="J26" s="27">
        <f>SUMIFS(tbl_SEIN[Time],
            tbl_SEIN[Week], $B26,
            tbl_SEIN[Subject], $C26,
            tbl_SEIN[Process], J$9)</f>
        <v>0</v>
      </c>
      <c r="K26" s="33"/>
      <c r="L26" s="25">
        <f>tbl_AUSWERTUNG[[#This Row],[VL-S]]-tbl_AUSWERTUNG[[#This Row],[VL-L]]</f>
        <v>0</v>
      </c>
      <c r="M26" s="27">
        <f>SUMIFS(tbl_SEIN[Time],
            tbl_SEIN[Week], $B26,
            tbl_SEIN[Subject], $C26,
            tbl_SEIN[Process], M$9)</f>
        <v>0</v>
      </c>
      <c r="N26" s="33"/>
      <c r="O26" s="25">
        <f>tbl_AUSWERTUNG[[#This Row],[EX-S]]-tbl_AUSWERTUNG[[#This Row],[EX-L]]</f>
        <v>0</v>
      </c>
      <c r="P26" s="27">
        <f>SUMIFS(tbl_SEIN[Time],
            tbl_SEIN[Week], $B26,
            tbl_SEIN[Subject], $C26,
            tbl_SEIN[Process], P$9)</f>
        <v>0</v>
      </c>
      <c r="Q26" s="33"/>
      <c r="R26" s="25">
        <f>tbl_AUSWERTUNG[[#This Row],[ST-S]]-tbl_AUSWERTUNG[[#This Row],[ST-L]]</f>
        <v>0</v>
      </c>
      <c r="S26" s="27">
        <f>SUMIFS(tbl_SEIN[Time],
            tbl_SEIN[Week], $B26,
            tbl_SEIN[Subject], $C26,
            tbl_SEIN[Process], S$9)</f>
        <v>0</v>
      </c>
      <c r="T26" s="33"/>
      <c r="U26" s="25">
        <f>tbl_AUSWERTUNG[[#This Row],[LRN-S]]-tbl_AUSWERTUNG[[#This Row],[LRN-L]]</f>
        <v>0</v>
      </c>
      <c r="V26" s="27">
        <f>SUMIFS(tbl_SEIN[Time],
            tbl_SEIN[Week], $B26,
            tbl_SEIN[Subject], $C26,
            tbl_SEIN[Process], V$9)</f>
        <v>0</v>
      </c>
      <c r="W26" s="33"/>
      <c r="X26" s="25">
        <f>tbl_AUSWERTUNG[[#This Row],[AP-S]]-tbl_AUSWERTUNG[[#This Row],[AP-L]]</f>
        <v>0</v>
      </c>
      <c r="Y26" s="27">
        <f>SUMIFS(tbl_SEIN[Time],
            tbl_SEIN[Week], $B26,
            tbl_SEIN[Subject], $C26,
            tbl_SEIN[Process], Y$9)</f>
        <v>0</v>
      </c>
      <c r="Z26" s="33"/>
      <c r="AA26" s="27">
        <f>tbl_AUSWERTUNG[[#This Row],[PRES-S]]-tbl_AUSWERTUNG[[#This Row],[PRES-L]]</f>
        <v>0</v>
      </c>
      <c r="AB26" s="26">
        <f t="shared" si="0"/>
        <v>0</v>
      </c>
      <c r="AC26" s="27">
        <f t="shared" si="1"/>
        <v>0</v>
      </c>
      <c r="AD26" s="26">
        <f>tbl_AUSWERTUNG[[#This Row],[S]]-tbl_AUSWERTUNG[[#This Row],[L]]</f>
        <v>0</v>
      </c>
      <c r="AE26" s="27">
        <f>tbl_AUSWERTUNG[[#This Row],[∆]]-SUM(L26,O26)</f>
        <v>0</v>
      </c>
    </row>
    <row r="27" spans="2:39" x14ac:dyDescent="0.2">
      <c r="B27" t="s">
        <v>64</v>
      </c>
      <c r="C27" s="24" t="s">
        <v>108</v>
      </c>
      <c r="D27" s="27">
        <f>SUMIFS(tbl_SEIN[Time],
            tbl_SEIN[Week], $B27,
            tbl_SEIN[Subject], $C27,
            tbl_SEIN[Process], D$9)</f>
        <v>0</v>
      </c>
      <c r="E27" s="33"/>
      <c r="F27" s="25">
        <f>tbl_AUSWERTUNG[[#This Row],[AQ-S]]-tbl_AUSWERTUNG[[#This Row],[AQ-L]]</f>
        <v>0</v>
      </c>
      <c r="G27" s="27">
        <f>SUMIFS(tbl_SEIN[Time],
            tbl_SEIN[Week], $B27,
            tbl_SEIN[Subject], $C27,
            tbl_SEIN[Process], G$9)</f>
        <v>0</v>
      </c>
      <c r="H27" s="33"/>
      <c r="I27" s="25">
        <f>tbl_AUSWERTUNG[[#This Row],[MON-S]]-tbl_AUSWERTUNG[[#This Row],[MON-L]]</f>
        <v>0</v>
      </c>
      <c r="J27" s="27">
        <f>SUMIFS(tbl_SEIN[Time],
            tbl_SEIN[Week], $B27,
            tbl_SEIN[Subject], $C27,
            tbl_SEIN[Process], J$9)</f>
        <v>0</v>
      </c>
      <c r="K27" s="33"/>
      <c r="L27" s="25">
        <f>tbl_AUSWERTUNG[[#This Row],[VL-S]]-tbl_AUSWERTUNG[[#This Row],[VL-L]]</f>
        <v>0</v>
      </c>
      <c r="M27" s="27">
        <f>SUMIFS(tbl_SEIN[Time],
            tbl_SEIN[Week], $B27,
            tbl_SEIN[Subject], $C27,
            tbl_SEIN[Process], M$9)</f>
        <v>0</v>
      </c>
      <c r="N27" s="33"/>
      <c r="O27" s="25">
        <f>tbl_AUSWERTUNG[[#This Row],[EX-S]]-tbl_AUSWERTUNG[[#This Row],[EX-L]]</f>
        <v>0</v>
      </c>
      <c r="P27" s="27">
        <f>SUMIFS(tbl_SEIN[Time],
            tbl_SEIN[Week], $B27,
            tbl_SEIN[Subject], $C27,
            tbl_SEIN[Process], P$9)</f>
        <v>0</v>
      </c>
      <c r="Q27" s="33"/>
      <c r="R27" s="25">
        <f>tbl_AUSWERTUNG[[#This Row],[ST-S]]-tbl_AUSWERTUNG[[#This Row],[ST-L]]</f>
        <v>0</v>
      </c>
      <c r="S27" s="27">
        <f>SUMIFS(tbl_SEIN[Time],
            tbl_SEIN[Week], $B27,
            tbl_SEIN[Subject], $C27,
            tbl_SEIN[Process], S$9)</f>
        <v>0</v>
      </c>
      <c r="T27" s="33"/>
      <c r="U27" s="25">
        <f>tbl_AUSWERTUNG[[#This Row],[LRN-S]]-tbl_AUSWERTUNG[[#This Row],[LRN-L]]</f>
        <v>0</v>
      </c>
      <c r="V27" s="27">
        <f>SUMIFS(tbl_SEIN[Time],
            tbl_SEIN[Week], $B27,
            tbl_SEIN[Subject], $C27,
            tbl_SEIN[Process], V$9)</f>
        <v>0</v>
      </c>
      <c r="W27" s="33"/>
      <c r="X27" s="25">
        <f>tbl_AUSWERTUNG[[#This Row],[AP-S]]-tbl_AUSWERTUNG[[#This Row],[AP-L]]</f>
        <v>0</v>
      </c>
      <c r="Y27" s="27">
        <f>SUMIFS(tbl_SEIN[Time],
            tbl_SEIN[Week], $B27,
            tbl_SEIN[Subject], $C27,
            tbl_SEIN[Process], Y$9)</f>
        <v>0</v>
      </c>
      <c r="Z27" s="33"/>
      <c r="AA27" s="27">
        <f>tbl_AUSWERTUNG[[#This Row],[PRES-S]]-tbl_AUSWERTUNG[[#This Row],[PRES-L]]</f>
        <v>0</v>
      </c>
      <c r="AB27" s="26">
        <f t="shared" si="0"/>
        <v>0</v>
      </c>
      <c r="AC27" s="27">
        <f t="shared" si="1"/>
        <v>0</v>
      </c>
      <c r="AD27" s="26">
        <f>tbl_AUSWERTUNG[[#This Row],[S]]-tbl_AUSWERTUNG[[#This Row],[L]]</f>
        <v>0</v>
      </c>
      <c r="AE27" s="27">
        <f>tbl_AUSWERTUNG[[#This Row],[∆]]-SUM(L27,O27)</f>
        <v>0</v>
      </c>
      <c r="AI27" s="4"/>
      <c r="AJ27" s="56"/>
      <c r="AK27" s="56"/>
      <c r="AL27" s="56"/>
      <c r="AM27" s="56"/>
    </row>
    <row r="28" spans="2:39" x14ac:dyDescent="0.2">
      <c r="B28" t="s">
        <v>64</v>
      </c>
      <c r="C28" s="24" t="s">
        <v>106</v>
      </c>
      <c r="D28" s="27">
        <f>SUMIFS(tbl_SEIN[Time],
            tbl_SEIN[Week], $B28,
            tbl_SEIN[Subject], $C28,
            tbl_SEIN[Process], D$9)</f>
        <v>0</v>
      </c>
      <c r="E28" s="33"/>
      <c r="F28" s="25">
        <f>tbl_AUSWERTUNG[[#This Row],[AQ-S]]-tbl_AUSWERTUNG[[#This Row],[AQ-L]]</f>
        <v>0</v>
      </c>
      <c r="G28" s="27">
        <f>SUMIFS(tbl_SEIN[Time],
            tbl_SEIN[Week], $B28,
            tbl_SEIN[Subject], $C28,
            tbl_SEIN[Process], G$9)</f>
        <v>0</v>
      </c>
      <c r="H28" s="33"/>
      <c r="I28" s="25">
        <f>tbl_AUSWERTUNG[[#This Row],[MON-S]]-tbl_AUSWERTUNG[[#This Row],[MON-L]]</f>
        <v>0</v>
      </c>
      <c r="J28" s="27">
        <f>SUMIFS(tbl_SEIN[Time],
            tbl_SEIN[Week], $B28,
            tbl_SEIN[Subject], $C28,
            tbl_SEIN[Process], J$9)</f>
        <v>0</v>
      </c>
      <c r="K28" s="33"/>
      <c r="L28" s="25">
        <f>tbl_AUSWERTUNG[[#This Row],[VL-S]]-tbl_AUSWERTUNG[[#This Row],[VL-L]]</f>
        <v>0</v>
      </c>
      <c r="M28" s="27">
        <f>SUMIFS(tbl_SEIN[Time],
            tbl_SEIN[Week], $B28,
            tbl_SEIN[Subject], $C28,
            tbl_SEIN[Process], M$9)</f>
        <v>0</v>
      </c>
      <c r="N28" s="33"/>
      <c r="O28" s="25">
        <f>tbl_AUSWERTUNG[[#This Row],[EX-S]]-tbl_AUSWERTUNG[[#This Row],[EX-L]]</f>
        <v>0</v>
      </c>
      <c r="P28" s="27">
        <f>SUMIFS(tbl_SEIN[Time],
            tbl_SEIN[Week], $B28,
            tbl_SEIN[Subject], $C28,
            tbl_SEIN[Process], P$9)</f>
        <v>0</v>
      </c>
      <c r="Q28" s="33"/>
      <c r="R28" s="25">
        <f>tbl_AUSWERTUNG[[#This Row],[ST-S]]-tbl_AUSWERTUNG[[#This Row],[ST-L]]</f>
        <v>0</v>
      </c>
      <c r="S28" s="27">
        <f>SUMIFS(tbl_SEIN[Time],
            tbl_SEIN[Week], $B28,
            tbl_SEIN[Subject], $C28,
            tbl_SEIN[Process], S$9)</f>
        <v>0</v>
      </c>
      <c r="T28" s="33"/>
      <c r="U28" s="25">
        <f>tbl_AUSWERTUNG[[#This Row],[LRN-S]]-tbl_AUSWERTUNG[[#This Row],[LRN-L]]</f>
        <v>0</v>
      </c>
      <c r="V28" s="27">
        <f>SUMIFS(tbl_SEIN[Time],
            tbl_SEIN[Week], $B28,
            tbl_SEIN[Subject], $C28,
            tbl_SEIN[Process], V$9)</f>
        <v>0</v>
      </c>
      <c r="W28" s="33"/>
      <c r="X28" s="25">
        <f>tbl_AUSWERTUNG[[#This Row],[AP-S]]-tbl_AUSWERTUNG[[#This Row],[AP-L]]</f>
        <v>0</v>
      </c>
      <c r="Y28" s="27">
        <f>SUMIFS(tbl_SEIN[Time],
            tbl_SEIN[Week], $B28,
            tbl_SEIN[Subject], $C28,
            tbl_SEIN[Process], Y$9)</f>
        <v>0</v>
      </c>
      <c r="Z28" s="33"/>
      <c r="AA28" s="27">
        <f>tbl_AUSWERTUNG[[#This Row],[PRES-S]]-tbl_AUSWERTUNG[[#This Row],[PRES-L]]</f>
        <v>0</v>
      </c>
      <c r="AB28" s="26">
        <f t="shared" si="0"/>
        <v>0</v>
      </c>
      <c r="AC28" s="27">
        <f t="shared" si="1"/>
        <v>0</v>
      </c>
      <c r="AD28" s="26">
        <f>tbl_AUSWERTUNG[[#This Row],[S]]-tbl_AUSWERTUNG[[#This Row],[L]]</f>
        <v>0</v>
      </c>
      <c r="AE28" s="27">
        <f>tbl_AUSWERTUNG[[#This Row],[∆]]-SUM(L28,O28)</f>
        <v>0</v>
      </c>
      <c r="AI28" s="4"/>
      <c r="AJ28" s="56"/>
      <c r="AK28" s="56"/>
      <c r="AL28" s="56"/>
      <c r="AM28" s="56"/>
    </row>
    <row r="29" spans="2:39" x14ac:dyDescent="0.2">
      <c r="B29" t="s">
        <v>64</v>
      </c>
      <c r="C29" s="24" t="s">
        <v>109</v>
      </c>
      <c r="D29" s="27">
        <f>SUMIFS(tbl_SEIN[Time],
            tbl_SEIN[Week], $B29,
            tbl_SEIN[Subject], $C29,
            tbl_SEIN[Process], D$9)</f>
        <v>0</v>
      </c>
      <c r="E29" s="33"/>
      <c r="F29" s="25">
        <f>tbl_AUSWERTUNG[[#This Row],[AQ-S]]-tbl_AUSWERTUNG[[#This Row],[AQ-L]]</f>
        <v>0</v>
      </c>
      <c r="G29" s="27">
        <f>SUMIFS(tbl_SEIN[Time],
            tbl_SEIN[Week], $B29,
            tbl_SEIN[Subject], $C29,
            tbl_SEIN[Process], G$9)</f>
        <v>0</v>
      </c>
      <c r="H29" s="33"/>
      <c r="I29" s="25">
        <f>tbl_AUSWERTUNG[[#This Row],[MON-S]]-tbl_AUSWERTUNG[[#This Row],[MON-L]]</f>
        <v>0</v>
      </c>
      <c r="J29" s="27">
        <f>SUMIFS(tbl_SEIN[Time],
            tbl_SEIN[Week], $B29,
            tbl_SEIN[Subject], $C29,
            tbl_SEIN[Process], J$9)</f>
        <v>0</v>
      </c>
      <c r="K29" s="33"/>
      <c r="L29" s="25">
        <f>tbl_AUSWERTUNG[[#This Row],[VL-S]]-tbl_AUSWERTUNG[[#This Row],[VL-L]]</f>
        <v>0</v>
      </c>
      <c r="M29" s="27">
        <f>SUMIFS(tbl_SEIN[Time],
            tbl_SEIN[Week], $B29,
            tbl_SEIN[Subject], $C29,
            tbl_SEIN[Process], M$9)</f>
        <v>0</v>
      </c>
      <c r="N29" s="33"/>
      <c r="O29" s="25">
        <f>tbl_AUSWERTUNG[[#This Row],[EX-S]]-tbl_AUSWERTUNG[[#This Row],[EX-L]]</f>
        <v>0</v>
      </c>
      <c r="P29" s="27">
        <f>SUMIFS(tbl_SEIN[Time],
            tbl_SEIN[Week], $B29,
            tbl_SEIN[Subject], $C29,
            tbl_SEIN[Process], P$9)</f>
        <v>0</v>
      </c>
      <c r="Q29" s="33"/>
      <c r="R29" s="25">
        <f>tbl_AUSWERTUNG[[#This Row],[ST-S]]-tbl_AUSWERTUNG[[#This Row],[ST-L]]</f>
        <v>0</v>
      </c>
      <c r="S29" s="27">
        <f>SUMIFS(tbl_SEIN[Time],
            tbl_SEIN[Week], $B29,
            tbl_SEIN[Subject], $C29,
            tbl_SEIN[Process], S$9)</f>
        <v>0</v>
      </c>
      <c r="T29" s="33"/>
      <c r="U29" s="25">
        <f>tbl_AUSWERTUNG[[#This Row],[LRN-S]]-tbl_AUSWERTUNG[[#This Row],[LRN-L]]</f>
        <v>0</v>
      </c>
      <c r="V29" s="27">
        <f>SUMIFS(tbl_SEIN[Time],
            tbl_SEIN[Week], $B29,
            tbl_SEIN[Subject], $C29,
            tbl_SEIN[Process], V$9)</f>
        <v>0</v>
      </c>
      <c r="W29" s="33"/>
      <c r="X29" s="25">
        <f>tbl_AUSWERTUNG[[#This Row],[AP-S]]-tbl_AUSWERTUNG[[#This Row],[AP-L]]</f>
        <v>0</v>
      </c>
      <c r="Y29" s="27">
        <f>SUMIFS(tbl_SEIN[Time],
            tbl_SEIN[Week], $B29,
            tbl_SEIN[Subject], $C29,
            tbl_SEIN[Process], Y$9)</f>
        <v>0</v>
      </c>
      <c r="Z29" s="33"/>
      <c r="AA29" s="27">
        <f>tbl_AUSWERTUNG[[#This Row],[PRES-S]]-tbl_AUSWERTUNG[[#This Row],[PRES-L]]</f>
        <v>0</v>
      </c>
      <c r="AB29" s="26">
        <f t="shared" si="0"/>
        <v>0</v>
      </c>
      <c r="AC29" s="27">
        <f t="shared" si="1"/>
        <v>0</v>
      </c>
      <c r="AD29" s="26">
        <f>tbl_AUSWERTUNG[[#This Row],[S]]-tbl_AUSWERTUNG[[#This Row],[L]]</f>
        <v>0</v>
      </c>
      <c r="AE29" s="27">
        <f>tbl_AUSWERTUNG[[#This Row],[∆]]-SUM(L29,O29)</f>
        <v>0</v>
      </c>
      <c r="AI29" s="4"/>
      <c r="AJ29" s="56"/>
      <c r="AK29" s="56"/>
      <c r="AL29" s="56"/>
      <c r="AM29" s="56"/>
    </row>
    <row r="30" spans="2:39" x14ac:dyDescent="0.2">
      <c r="B30" t="s">
        <v>64</v>
      </c>
      <c r="C30" s="24" t="s">
        <v>110</v>
      </c>
      <c r="D30" s="27">
        <f>SUMIFS(tbl_SEIN[Time],
            tbl_SEIN[Week], $B30,
            tbl_SEIN[Subject], $C30,
            tbl_SEIN[Process], D$9)</f>
        <v>0</v>
      </c>
      <c r="E30" s="33"/>
      <c r="F30" s="25">
        <f>tbl_AUSWERTUNG[[#This Row],[AQ-S]]-tbl_AUSWERTUNG[[#This Row],[AQ-L]]</f>
        <v>0</v>
      </c>
      <c r="G30" s="27">
        <f>SUMIFS(tbl_SEIN[Time],
            tbl_SEIN[Week], $B30,
            tbl_SEIN[Subject], $C30,
            tbl_SEIN[Process], G$9)</f>
        <v>0</v>
      </c>
      <c r="H30" s="33"/>
      <c r="I30" s="25">
        <f>tbl_AUSWERTUNG[[#This Row],[MON-S]]-tbl_AUSWERTUNG[[#This Row],[MON-L]]</f>
        <v>0</v>
      </c>
      <c r="J30" s="27">
        <f>SUMIFS(tbl_SEIN[Time],
            tbl_SEIN[Week], $B30,
            tbl_SEIN[Subject], $C30,
            tbl_SEIN[Process], J$9)</f>
        <v>0</v>
      </c>
      <c r="K30" s="33"/>
      <c r="L30" s="25">
        <f>tbl_AUSWERTUNG[[#This Row],[VL-S]]-tbl_AUSWERTUNG[[#This Row],[VL-L]]</f>
        <v>0</v>
      </c>
      <c r="M30" s="27">
        <f>SUMIFS(tbl_SEIN[Time],
            tbl_SEIN[Week], $B30,
            tbl_SEIN[Subject], $C30,
            tbl_SEIN[Process], M$9)</f>
        <v>0</v>
      </c>
      <c r="N30" s="33"/>
      <c r="O30" s="25">
        <f>tbl_AUSWERTUNG[[#This Row],[EX-S]]-tbl_AUSWERTUNG[[#This Row],[EX-L]]</f>
        <v>0</v>
      </c>
      <c r="P30" s="27">
        <f>SUMIFS(tbl_SEIN[Time],
            tbl_SEIN[Week], $B30,
            tbl_SEIN[Subject], $C30,
            tbl_SEIN[Process], P$9)</f>
        <v>0</v>
      </c>
      <c r="Q30" s="33"/>
      <c r="R30" s="25">
        <f>tbl_AUSWERTUNG[[#This Row],[ST-S]]-tbl_AUSWERTUNG[[#This Row],[ST-L]]</f>
        <v>0</v>
      </c>
      <c r="S30" s="27">
        <f>SUMIFS(tbl_SEIN[Time],
            tbl_SEIN[Week], $B30,
            tbl_SEIN[Subject], $C30,
            tbl_SEIN[Process], S$9)</f>
        <v>0</v>
      </c>
      <c r="T30" s="33"/>
      <c r="U30" s="25">
        <f>tbl_AUSWERTUNG[[#This Row],[LRN-S]]-tbl_AUSWERTUNG[[#This Row],[LRN-L]]</f>
        <v>0</v>
      </c>
      <c r="V30" s="27">
        <f>SUMIFS(tbl_SEIN[Time],
            tbl_SEIN[Week], $B30,
            tbl_SEIN[Subject], $C30,
            tbl_SEIN[Process], V$9)</f>
        <v>0</v>
      </c>
      <c r="W30" s="33"/>
      <c r="X30" s="25">
        <f>tbl_AUSWERTUNG[[#This Row],[AP-S]]-tbl_AUSWERTUNG[[#This Row],[AP-L]]</f>
        <v>0</v>
      </c>
      <c r="Y30" s="27">
        <f>SUMIFS(tbl_SEIN[Time],
            tbl_SEIN[Week], $B30,
            tbl_SEIN[Subject], $C30,
            tbl_SEIN[Process], Y$9)</f>
        <v>0</v>
      </c>
      <c r="Z30" s="33"/>
      <c r="AA30" s="27">
        <f>tbl_AUSWERTUNG[[#This Row],[PRES-S]]-tbl_AUSWERTUNG[[#This Row],[PRES-L]]</f>
        <v>0</v>
      </c>
      <c r="AB30" s="26">
        <f t="shared" si="0"/>
        <v>0</v>
      </c>
      <c r="AC30" s="27">
        <f t="shared" si="1"/>
        <v>0</v>
      </c>
      <c r="AD30" s="26">
        <f>tbl_AUSWERTUNG[[#This Row],[S]]-tbl_AUSWERTUNG[[#This Row],[L]]</f>
        <v>0</v>
      </c>
      <c r="AE30" s="27">
        <f>tbl_AUSWERTUNG[[#This Row],[∆]]-SUM(L30,O30)</f>
        <v>0</v>
      </c>
      <c r="AI30" s="4"/>
      <c r="AJ30" s="56"/>
      <c r="AK30" s="56"/>
      <c r="AL30" s="56"/>
      <c r="AM30" s="56"/>
    </row>
    <row r="31" spans="2:39" x14ac:dyDescent="0.2">
      <c r="B31" t="s">
        <v>64</v>
      </c>
      <c r="C31" s="24" t="s">
        <v>111</v>
      </c>
      <c r="D31" s="27">
        <f>SUMIFS(tbl_SEIN[Time],
            tbl_SEIN[Week], $B31,
            tbl_SEIN[Subject], $C31,
            tbl_SEIN[Process], D$9)</f>
        <v>0</v>
      </c>
      <c r="E31" s="33"/>
      <c r="F31" s="25">
        <f>tbl_AUSWERTUNG[[#This Row],[AQ-S]]-tbl_AUSWERTUNG[[#This Row],[AQ-L]]</f>
        <v>0</v>
      </c>
      <c r="G31" s="27">
        <f>SUMIFS(tbl_SEIN[Time],
            tbl_SEIN[Week], $B31,
            tbl_SEIN[Subject], $C31,
            tbl_SEIN[Process], G$9)</f>
        <v>0</v>
      </c>
      <c r="H31" s="33"/>
      <c r="I31" s="25">
        <f>tbl_AUSWERTUNG[[#This Row],[MON-S]]-tbl_AUSWERTUNG[[#This Row],[MON-L]]</f>
        <v>0</v>
      </c>
      <c r="J31" s="27">
        <f>SUMIFS(tbl_SEIN[Time],
            tbl_SEIN[Week], $B31,
            tbl_SEIN[Subject], $C31,
            tbl_SEIN[Process], J$9)</f>
        <v>0</v>
      </c>
      <c r="K31" s="33"/>
      <c r="L31" s="25">
        <f>tbl_AUSWERTUNG[[#This Row],[VL-S]]-tbl_AUSWERTUNG[[#This Row],[VL-L]]</f>
        <v>0</v>
      </c>
      <c r="M31" s="27">
        <f>SUMIFS(tbl_SEIN[Time],
            tbl_SEIN[Week], $B31,
            tbl_SEIN[Subject], $C31,
            tbl_SEIN[Process], M$9)</f>
        <v>0</v>
      </c>
      <c r="N31" s="33"/>
      <c r="O31" s="25">
        <f>tbl_AUSWERTUNG[[#This Row],[EX-S]]-tbl_AUSWERTUNG[[#This Row],[EX-L]]</f>
        <v>0</v>
      </c>
      <c r="P31" s="27">
        <f>SUMIFS(tbl_SEIN[Time],
            tbl_SEIN[Week], $B31,
            tbl_SEIN[Subject], $C31,
            tbl_SEIN[Process], P$9)</f>
        <v>0</v>
      </c>
      <c r="Q31" s="33"/>
      <c r="R31" s="25">
        <f>tbl_AUSWERTUNG[[#This Row],[ST-S]]-tbl_AUSWERTUNG[[#This Row],[ST-L]]</f>
        <v>0</v>
      </c>
      <c r="S31" s="27">
        <f>SUMIFS(tbl_SEIN[Time],
            tbl_SEIN[Week], $B31,
            tbl_SEIN[Subject], $C31,
            tbl_SEIN[Process], S$9)</f>
        <v>0</v>
      </c>
      <c r="T31" s="33"/>
      <c r="U31" s="25">
        <f>tbl_AUSWERTUNG[[#This Row],[LRN-S]]-tbl_AUSWERTUNG[[#This Row],[LRN-L]]</f>
        <v>0</v>
      </c>
      <c r="V31" s="27">
        <f>SUMIFS(tbl_SEIN[Time],
            tbl_SEIN[Week], $B31,
            tbl_SEIN[Subject], $C31,
            tbl_SEIN[Process], V$9)</f>
        <v>0</v>
      </c>
      <c r="W31" s="33"/>
      <c r="X31" s="25">
        <f>tbl_AUSWERTUNG[[#This Row],[AP-S]]-tbl_AUSWERTUNG[[#This Row],[AP-L]]</f>
        <v>0</v>
      </c>
      <c r="Y31" s="27">
        <f>SUMIFS(tbl_SEIN[Time],
            tbl_SEIN[Week], $B31,
            tbl_SEIN[Subject], $C31,
            tbl_SEIN[Process], Y$9)</f>
        <v>0</v>
      </c>
      <c r="Z31" s="33"/>
      <c r="AA31" s="27">
        <f>tbl_AUSWERTUNG[[#This Row],[PRES-S]]-tbl_AUSWERTUNG[[#This Row],[PRES-L]]</f>
        <v>0</v>
      </c>
      <c r="AB31" s="26">
        <f t="shared" si="0"/>
        <v>0</v>
      </c>
      <c r="AC31" s="27">
        <f t="shared" si="1"/>
        <v>0</v>
      </c>
      <c r="AD31" s="26">
        <f>tbl_AUSWERTUNG[[#This Row],[S]]-tbl_AUSWERTUNG[[#This Row],[L]]</f>
        <v>0</v>
      </c>
      <c r="AE31" s="27">
        <f>tbl_AUSWERTUNG[[#This Row],[∆]]-SUM(L31,O31)</f>
        <v>0</v>
      </c>
      <c r="AI31" s="4"/>
      <c r="AJ31" s="56"/>
      <c r="AK31" s="56"/>
      <c r="AL31" s="56"/>
      <c r="AM31" s="56"/>
    </row>
    <row r="32" spans="2:39" x14ac:dyDescent="0.2">
      <c r="B32" t="s">
        <v>64</v>
      </c>
      <c r="C32" s="24" t="s">
        <v>112</v>
      </c>
      <c r="D32" s="27">
        <f>SUMIFS(tbl_SEIN[Time],
            tbl_SEIN[Week], $B32,
            tbl_SEIN[Subject], $C32,
            tbl_SEIN[Process], D$9)</f>
        <v>0</v>
      </c>
      <c r="E32" s="33"/>
      <c r="F32" s="25">
        <f>tbl_AUSWERTUNG[[#This Row],[AQ-S]]-tbl_AUSWERTUNG[[#This Row],[AQ-L]]</f>
        <v>0</v>
      </c>
      <c r="G32" s="27">
        <f>SUMIFS(tbl_SEIN[Time],
            tbl_SEIN[Week], $B32,
            tbl_SEIN[Subject], $C32,
            tbl_SEIN[Process], G$9)</f>
        <v>0</v>
      </c>
      <c r="H32" s="33"/>
      <c r="I32" s="25">
        <f>tbl_AUSWERTUNG[[#This Row],[MON-S]]-tbl_AUSWERTUNG[[#This Row],[MON-L]]</f>
        <v>0</v>
      </c>
      <c r="J32" s="27">
        <f>SUMIFS(tbl_SEIN[Time],
            tbl_SEIN[Week], $B32,
            tbl_SEIN[Subject], $C32,
            tbl_SEIN[Process], J$9)</f>
        <v>0</v>
      </c>
      <c r="K32" s="33"/>
      <c r="L32" s="25">
        <f>tbl_AUSWERTUNG[[#This Row],[VL-S]]-tbl_AUSWERTUNG[[#This Row],[VL-L]]</f>
        <v>0</v>
      </c>
      <c r="M32" s="27">
        <f>SUMIFS(tbl_SEIN[Time],
            tbl_SEIN[Week], $B32,
            tbl_SEIN[Subject], $C32,
            tbl_SEIN[Process], M$9)</f>
        <v>0</v>
      </c>
      <c r="N32" s="33"/>
      <c r="O32" s="25">
        <f>tbl_AUSWERTUNG[[#This Row],[EX-S]]-tbl_AUSWERTUNG[[#This Row],[EX-L]]</f>
        <v>0</v>
      </c>
      <c r="P32" s="27">
        <f>SUMIFS(tbl_SEIN[Time],
            tbl_SEIN[Week], $B32,
            tbl_SEIN[Subject], $C32,
            tbl_SEIN[Process], P$9)</f>
        <v>0</v>
      </c>
      <c r="Q32" s="33"/>
      <c r="R32" s="25">
        <f>tbl_AUSWERTUNG[[#This Row],[ST-S]]-tbl_AUSWERTUNG[[#This Row],[ST-L]]</f>
        <v>0</v>
      </c>
      <c r="S32" s="27">
        <f>SUMIFS(tbl_SEIN[Time],
            tbl_SEIN[Week], $B32,
            tbl_SEIN[Subject], $C32,
            tbl_SEIN[Process], S$9)</f>
        <v>0</v>
      </c>
      <c r="T32" s="33"/>
      <c r="U32" s="25">
        <f>tbl_AUSWERTUNG[[#This Row],[LRN-S]]-tbl_AUSWERTUNG[[#This Row],[LRN-L]]</f>
        <v>0</v>
      </c>
      <c r="V32" s="27">
        <f>SUMIFS(tbl_SEIN[Time],
            tbl_SEIN[Week], $B32,
            tbl_SEIN[Subject], $C32,
            tbl_SEIN[Process], V$9)</f>
        <v>0</v>
      </c>
      <c r="W32" s="33"/>
      <c r="X32" s="25">
        <f>tbl_AUSWERTUNG[[#This Row],[AP-S]]-tbl_AUSWERTUNG[[#This Row],[AP-L]]</f>
        <v>0</v>
      </c>
      <c r="Y32" s="27">
        <f>SUMIFS(tbl_SEIN[Time],
            tbl_SEIN[Week], $B32,
            tbl_SEIN[Subject], $C32,
            tbl_SEIN[Process], Y$9)</f>
        <v>0</v>
      </c>
      <c r="Z32" s="33"/>
      <c r="AA32" s="27">
        <f>tbl_AUSWERTUNG[[#This Row],[PRES-S]]-tbl_AUSWERTUNG[[#This Row],[PRES-L]]</f>
        <v>0</v>
      </c>
      <c r="AB32" s="26">
        <f t="shared" si="0"/>
        <v>0</v>
      </c>
      <c r="AC32" s="27">
        <f t="shared" si="1"/>
        <v>0</v>
      </c>
      <c r="AD32" s="26">
        <f>tbl_AUSWERTUNG[[#This Row],[S]]-tbl_AUSWERTUNG[[#This Row],[L]]</f>
        <v>0</v>
      </c>
      <c r="AE32" s="27">
        <f>tbl_AUSWERTUNG[[#This Row],[∆]]-SUM(L32,O32)</f>
        <v>0</v>
      </c>
      <c r="AI32" s="4"/>
      <c r="AJ32" s="56"/>
      <c r="AK32" s="56"/>
      <c r="AL32" s="56"/>
      <c r="AM32" s="56"/>
    </row>
    <row r="33" spans="2:37" x14ac:dyDescent="0.2">
      <c r="B33" t="s">
        <v>64</v>
      </c>
      <c r="C33" s="55" t="s">
        <v>24</v>
      </c>
      <c r="D33" s="27">
        <f>SUMIFS(tbl_SEIN[Time],
            tbl_SEIN[Week], $B33,
            tbl_SEIN[Subject], $C33,
            tbl_SEIN[Process], D$9)</f>
        <v>0</v>
      </c>
      <c r="E33" s="33"/>
      <c r="F33" s="25">
        <f>tbl_AUSWERTUNG[[#This Row],[AQ-S]]-tbl_AUSWERTUNG[[#This Row],[AQ-L]]</f>
        <v>0</v>
      </c>
      <c r="G33" s="27">
        <f>SUMIFS(tbl_SEIN[Time],
            tbl_SEIN[Week], $B33,
            tbl_SEIN[Subject], $C33,
            tbl_SEIN[Process], G$9)</f>
        <v>0</v>
      </c>
      <c r="H33" s="33"/>
      <c r="I33" s="25">
        <f>tbl_AUSWERTUNG[[#This Row],[MON-S]]-tbl_AUSWERTUNG[[#This Row],[MON-L]]</f>
        <v>0</v>
      </c>
      <c r="J33" s="27">
        <f>SUMIFS(tbl_SEIN[Time],
            tbl_SEIN[Week], $B33,
            tbl_SEIN[Subject], $C33,
            tbl_SEIN[Process], J$9)</f>
        <v>0</v>
      </c>
      <c r="K33" s="33"/>
      <c r="L33" s="25">
        <f>tbl_AUSWERTUNG[[#This Row],[VL-S]]-tbl_AUSWERTUNG[[#This Row],[VL-L]]</f>
        <v>0</v>
      </c>
      <c r="M33" s="27">
        <f>SUMIFS(tbl_SEIN[Time],
            tbl_SEIN[Week], $B33,
            tbl_SEIN[Subject], $C33,
            tbl_SEIN[Process], M$9)</f>
        <v>0</v>
      </c>
      <c r="N33" s="33"/>
      <c r="O33" s="25">
        <f>tbl_AUSWERTUNG[[#This Row],[EX-S]]-tbl_AUSWERTUNG[[#This Row],[EX-L]]</f>
        <v>0</v>
      </c>
      <c r="P33" s="27">
        <f>SUMIFS(tbl_SEIN[Time],
            tbl_SEIN[Week], $B33,
            tbl_SEIN[Subject], $C33,
            tbl_SEIN[Process], P$9)</f>
        <v>0</v>
      </c>
      <c r="Q33" s="33"/>
      <c r="R33" s="25">
        <f>tbl_AUSWERTUNG[[#This Row],[ST-S]]-tbl_AUSWERTUNG[[#This Row],[ST-L]]</f>
        <v>0</v>
      </c>
      <c r="S33" s="27">
        <f>SUMIFS(tbl_SEIN[Time],
            tbl_SEIN[Week], $B33,
            tbl_SEIN[Subject], $C33,
            tbl_SEIN[Process], S$9)</f>
        <v>0</v>
      </c>
      <c r="T33" s="33"/>
      <c r="U33" s="25">
        <f>tbl_AUSWERTUNG[[#This Row],[LRN-S]]-tbl_AUSWERTUNG[[#This Row],[LRN-L]]</f>
        <v>0</v>
      </c>
      <c r="V33" s="27">
        <f>SUMIFS(tbl_SEIN[Time],
            tbl_SEIN[Week], $B33,
            tbl_SEIN[Subject], $C33,
            tbl_SEIN[Process], V$9)</f>
        <v>0</v>
      </c>
      <c r="W33" s="33"/>
      <c r="X33" s="25">
        <f>tbl_AUSWERTUNG[[#This Row],[AP-S]]-tbl_AUSWERTUNG[[#This Row],[AP-L]]</f>
        <v>0</v>
      </c>
      <c r="Y33" s="27">
        <f>SUMIFS(tbl_SEIN[Time],
            tbl_SEIN[Week], $B33,
            tbl_SEIN[Subject], $C33,
            tbl_SEIN[Process], Y$9)</f>
        <v>0</v>
      </c>
      <c r="Z33" s="33"/>
      <c r="AA33" s="27">
        <f>tbl_AUSWERTUNG[[#This Row],[PRES-S]]-tbl_AUSWERTUNG[[#This Row],[PRES-L]]</f>
        <v>0</v>
      </c>
      <c r="AB33" s="47">
        <f t="shared" si="0"/>
        <v>0</v>
      </c>
      <c r="AC33" s="48">
        <f t="shared" si="1"/>
        <v>0</v>
      </c>
      <c r="AD33" s="26">
        <f>tbl_AUSWERTUNG[[#This Row],[S]]-tbl_AUSWERTUNG[[#This Row],[L]]</f>
        <v>0</v>
      </c>
      <c r="AE33" s="27">
        <f>tbl_AUSWERTUNG[[#This Row],[∆]]-SUM(L33,O33)</f>
        <v>0</v>
      </c>
      <c r="AI33" s="4"/>
    </row>
    <row r="34" spans="2:37" x14ac:dyDescent="0.2">
      <c r="B34" s="49" t="s">
        <v>84</v>
      </c>
      <c r="C34" s="50" t="s">
        <v>107</v>
      </c>
      <c r="D34" s="53">
        <f>SUMIFS(tbl_SEIN[Time],
            tbl_SEIN[Week], $B34,
            tbl_SEIN[Subject], $C34,
            tbl_SEIN[Process], D$9)</f>
        <v>0</v>
      </c>
      <c r="E34" s="51"/>
      <c r="F34" s="52">
        <f>tbl_AUSWERTUNG[[#This Row],[AQ-S]]-tbl_AUSWERTUNG[[#This Row],[AQ-L]]</f>
        <v>0</v>
      </c>
      <c r="G34" s="53">
        <f>SUMIFS(tbl_SEIN[Time],
            tbl_SEIN[Week], $B34,
            tbl_SEIN[Subject], $C34,
            tbl_SEIN[Process], G$9)</f>
        <v>3.4722222222222224E-2</v>
      </c>
      <c r="H34" s="51"/>
      <c r="I34" s="52">
        <f>tbl_AUSWERTUNG[[#This Row],[MON-S]]-tbl_AUSWERTUNG[[#This Row],[MON-L]]</f>
        <v>3.4722222222222224E-2</v>
      </c>
      <c r="J34" s="53">
        <f>SUMIFS(tbl_SEIN[Time],
            tbl_SEIN[Week], $B34,
            tbl_SEIN[Subject], $C34,
            tbl_SEIN[Process], J$9)</f>
        <v>0</v>
      </c>
      <c r="K34" s="51"/>
      <c r="L34" s="52">
        <f>tbl_AUSWERTUNG[[#This Row],[VL-S]]-tbl_AUSWERTUNG[[#This Row],[VL-L]]</f>
        <v>0</v>
      </c>
      <c r="M34" s="53">
        <f>SUMIFS(tbl_SEIN[Time],
            tbl_SEIN[Week], $B34,
            tbl_SEIN[Subject], $C34,
            tbl_SEIN[Process], M$9)</f>
        <v>0</v>
      </c>
      <c r="N34" s="51"/>
      <c r="O34" s="52">
        <f>tbl_AUSWERTUNG[[#This Row],[EX-S]]-tbl_AUSWERTUNG[[#This Row],[EX-L]]</f>
        <v>0</v>
      </c>
      <c r="P34" s="53">
        <f>SUMIFS(tbl_SEIN[Time],
            tbl_SEIN[Week], $B34,
            tbl_SEIN[Subject], $C34,
            tbl_SEIN[Process], P$9)</f>
        <v>0</v>
      </c>
      <c r="Q34" s="51"/>
      <c r="R34" s="52">
        <f>tbl_AUSWERTUNG[[#This Row],[ST-S]]-tbl_AUSWERTUNG[[#This Row],[ST-L]]</f>
        <v>0</v>
      </c>
      <c r="S34" s="53">
        <f>SUMIFS(tbl_SEIN[Time],
            tbl_SEIN[Week], $B34,
            tbl_SEIN[Subject], $C34,
            tbl_SEIN[Process], S$9)</f>
        <v>0</v>
      </c>
      <c r="T34" s="51"/>
      <c r="U34" s="52">
        <f>tbl_AUSWERTUNG[[#This Row],[LRN-S]]-tbl_AUSWERTUNG[[#This Row],[LRN-L]]</f>
        <v>0</v>
      </c>
      <c r="V34" s="53">
        <f>SUMIFS(tbl_SEIN[Time],
            tbl_SEIN[Week], $B34,
            tbl_SEIN[Subject], $C34,
            tbl_SEIN[Process], V$9)</f>
        <v>0</v>
      </c>
      <c r="W34" s="51"/>
      <c r="X34" s="52">
        <f>tbl_AUSWERTUNG[[#This Row],[AP-S]]-tbl_AUSWERTUNG[[#This Row],[AP-L]]</f>
        <v>0</v>
      </c>
      <c r="Y34" s="53">
        <f>SUMIFS(tbl_SEIN[Time],
            tbl_SEIN[Week], $B34,
            tbl_SEIN[Subject], $C34,
            tbl_SEIN[Process], Y$9)</f>
        <v>0</v>
      </c>
      <c r="Z34" s="51"/>
      <c r="AA34" s="53">
        <f>tbl_AUSWERTUNG[[#This Row],[PRES-S]]-tbl_AUSWERTUNG[[#This Row],[PRES-L]]</f>
        <v>0</v>
      </c>
      <c r="AB34" s="26">
        <f t="shared" si="0"/>
        <v>3.4722222222222224E-2</v>
      </c>
      <c r="AC34" s="27">
        <f t="shared" si="1"/>
        <v>0</v>
      </c>
      <c r="AD34" s="57">
        <f>tbl_AUSWERTUNG[[#This Row],[S]]-tbl_AUSWERTUNG[[#This Row],[L]]</f>
        <v>3.4722222222222224E-2</v>
      </c>
      <c r="AE34" s="58">
        <f>tbl_AUSWERTUNG[[#This Row],[∆]]-SUM(L34,O34)</f>
        <v>3.4722222222222224E-2</v>
      </c>
      <c r="AI34" s="4"/>
    </row>
    <row r="35" spans="2:37" x14ac:dyDescent="0.2">
      <c r="B35" t="s">
        <v>84</v>
      </c>
      <c r="C35" s="55" t="s">
        <v>20</v>
      </c>
      <c r="D35" s="27">
        <f>SUMIFS(tbl_SEIN[Time],
            tbl_SEIN[Week], $B35,
            tbl_SEIN[Subject], $C35,
            tbl_SEIN[Process], D$9)</f>
        <v>0</v>
      </c>
      <c r="E35" s="33"/>
      <c r="F35" s="25">
        <f>tbl_AUSWERTUNG[[#This Row],[AQ-S]]-tbl_AUSWERTUNG[[#This Row],[AQ-L]]</f>
        <v>0</v>
      </c>
      <c r="G35" s="27">
        <f>SUMIFS(tbl_SEIN[Time],
            tbl_SEIN[Week], $B35,
            tbl_SEIN[Subject], $C35,
            tbl_SEIN[Process], G$9)</f>
        <v>0</v>
      </c>
      <c r="H35" s="33"/>
      <c r="I35" s="25">
        <f>tbl_AUSWERTUNG[[#This Row],[MON-S]]-tbl_AUSWERTUNG[[#This Row],[MON-L]]</f>
        <v>0</v>
      </c>
      <c r="J35" s="27">
        <f>SUMIFS(tbl_SEIN[Time],
            tbl_SEIN[Week], $B35,
            tbl_SEIN[Subject], $C35,
            tbl_SEIN[Process], J$9)</f>
        <v>0</v>
      </c>
      <c r="K35" s="33"/>
      <c r="L35" s="25">
        <f>tbl_AUSWERTUNG[[#This Row],[VL-S]]-tbl_AUSWERTUNG[[#This Row],[VL-L]]</f>
        <v>0</v>
      </c>
      <c r="M35" s="27">
        <f>SUMIFS(tbl_SEIN[Time],
            tbl_SEIN[Week], $B35,
            tbl_SEIN[Subject], $C35,
            tbl_SEIN[Process], M$9)</f>
        <v>0</v>
      </c>
      <c r="N35" s="33"/>
      <c r="O35" s="25">
        <f>tbl_AUSWERTUNG[[#This Row],[EX-S]]-tbl_AUSWERTUNG[[#This Row],[EX-L]]</f>
        <v>0</v>
      </c>
      <c r="P35" s="27">
        <f>SUMIFS(tbl_SEIN[Time],
            tbl_SEIN[Week], $B35,
            tbl_SEIN[Subject], $C35,
            tbl_SEIN[Process], P$9)</f>
        <v>0</v>
      </c>
      <c r="Q35" s="33"/>
      <c r="R35" s="25">
        <f>tbl_AUSWERTUNG[[#This Row],[ST-S]]-tbl_AUSWERTUNG[[#This Row],[ST-L]]</f>
        <v>0</v>
      </c>
      <c r="S35" s="27">
        <f>SUMIFS(tbl_SEIN[Time],
            tbl_SEIN[Week], $B35,
            tbl_SEIN[Subject], $C35,
            tbl_SEIN[Process], S$9)</f>
        <v>0</v>
      </c>
      <c r="T35" s="33"/>
      <c r="U35" s="25">
        <f>tbl_AUSWERTUNG[[#This Row],[LRN-S]]-tbl_AUSWERTUNG[[#This Row],[LRN-L]]</f>
        <v>0</v>
      </c>
      <c r="V35" s="27">
        <f>SUMIFS(tbl_SEIN[Time],
            tbl_SEIN[Week], $B35,
            tbl_SEIN[Subject], $C35,
            tbl_SEIN[Process], V$9)</f>
        <v>0</v>
      </c>
      <c r="W35" s="33"/>
      <c r="X35" s="25">
        <f>tbl_AUSWERTUNG[[#This Row],[AP-S]]-tbl_AUSWERTUNG[[#This Row],[AP-L]]</f>
        <v>0</v>
      </c>
      <c r="Y35" s="27">
        <f>SUMIFS(tbl_SEIN[Time],
            tbl_SEIN[Week], $B35,
            tbl_SEIN[Subject], $C35,
            tbl_SEIN[Process], Y$9)</f>
        <v>0</v>
      </c>
      <c r="Z35" s="33"/>
      <c r="AA35" s="27">
        <f>tbl_AUSWERTUNG[[#This Row],[PRES-S]]-tbl_AUSWERTUNG[[#This Row],[PRES-L]]</f>
        <v>0</v>
      </c>
      <c r="AB35" s="26">
        <f t="shared" si="0"/>
        <v>0</v>
      </c>
      <c r="AC35" s="27">
        <f t="shared" si="1"/>
        <v>0</v>
      </c>
      <c r="AD35" s="28">
        <f>tbl_AUSWERTUNG[[#This Row],[S]]-tbl_AUSWERTUNG[[#This Row],[L]]</f>
        <v>0</v>
      </c>
      <c r="AE35" s="34">
        <f>tbl_AUSWERTUNG[[#This Row],[∆]]-SUM(L35,O35)</f>
        <v>0</v>
      </c>
      <c r="AI35" t="s">
        <v>85</v>
      </c>
      <c r="AJ35" s="7">
        <f>SUM(AC40:AC42)</f>
        <v>0.52083333333333326</v>
      </c>
      <c r="AK35" s="7">
        <f>SUM(AE40:AE42)</f>
        <v>-6.2499999999999972E-2</v>
      </c>
    </row>
    <row r="36" spans="2:37" x14ac:dyDescent="0.2">
      <c r="B36" t="s">
        <v>84</v>
      </c>
      <c r="C36" s="24" t="s">
        <v>108</v>
      </c>
      <c r="D36" s="27">
        <f>SUMIFS(tbl_SEIN[Time],
            tbl_SEIN[Week], $B36,
            tbl_SEIN[Subject], $C36,
            tbl_SEIN[Process], D$9)</f>
        <v>0</v>
      </c>
      <c r="E36" s="33"/>
      <c r="F36" s="25">
        <f>tbl_AUSWERTUNG[[#This Row],[AQ-S]]-tbl_AUSWERTUNG[[#This Row],[AQ-L]]</f>
        <v>0</v>
      </c>
      <c r="G36" s="27">
        <f>SUMIFS(tbl_SEIN[Time],
            tbl_SEIN[Week], $B36,
            tbl_SEIN[Subject], $C36,
            tbl_SEIN[Process], G$9)</f>
        <v>0</v>
      </c>
      <c r="H36" s="33"/>
      <c r="I36" s="25">
        <f>tbl_AUSWERTUNG[[#This Row],[MON-S]]-tbl_AUSWERTUNG[[#This Row],[MON-L]]</f>
        <v>0</v>
      </c>
      <c r="J36" s="27">
        <f>SUMIFS(tbl_SEIN[Time],
            tbl_SEIN[Week], $B36,
            tbl_SEIN[Subject], $C36,
            tbl_SEIN[Process], J$9)</f>
        <v>0</v>
      </c>
      <c r="K36" s="33">
        <v>7.2916666666666671E-2</v>
      </c>
      <c r="L36" s="25">
        <f>tbl_AUSWERTUNG[[#This Row],[VL-S]]-tbl_AUSWERTUNG[[#This Row],[VL-L]]</f>
        <v>-7.2916666666666671E-2</v>
      </c>
      <c r="M36" s="27">
        <f>SUMIFS(tbl_SEIN[Time],
            tbl_SEIN[Week], $B36,
            tbl_SEIN[Subject], $C36,
            tbl_SEIN[Process], M$9)</f>
        <v>0</v>
      </c>
      <c r="N36" s="33"/>
      <c r="O36" s="25">
        <f>tbl_AUSWERTUNG[[#This Row],[EX-S]]-tbl_AUSWERTUNG[[#This Row],[EX-L]]</f>
        <v>0</v>
      </c>
      <c r="P36" s="27">
        <f>SUMIFS(tbl_SEIN[Time],
            tbl_SEIN[Week], $B36,
            tbl_SEIN[Subject], $C36,
            tbl_SEIN[Process], P$9)</f>
        <v>0</v>
      </c>
      <c r="Q36" s="33"/>
      <c r="R36" s="25">
        <f>tbl_AUSWERTUNG[[#This Row],[ST-S]]-tbl_AUSWERTUNG[[#This Row],[ST-L]]</f>
        <v>0</v>
      </c>
      <c r="S36" s="27">
        <f>SUMIFS(tbl_SEIN[Time],
            tbl_SEIN[Week], $B36,
            tbl_SEIN[Subject], $C36,
            tbl_SEIN[Process], S$9)</f>
        <v>0</v>
      </c>
      <c r="T36" s="33"/>
      <c r="U36" s="25">
        <f>tbl_AUSWERTUNG[[#This Row],[LRN-S]]-tbl_AUSWERTUNG[[#This Row],[LRN-L]]</f>
        <v>0</v>
      </c>
      <c r="V36" s="27">
        <f>SUMIFS(tbl_SEIN[Time],
            tbl_SEIN[Week], $B36,
            tbl_SEIN[Subject], $C36,
            tbl_SEIN[Process], V$9)</f>
        <v>0</v>
      </c>
      <c r="W36" s="33"/>
      <c r="X36" s="25">
        <f>tbl_AUSWERTUNG[[#This Row],[AP-S]]-tbl_AUSWERTUNG[[#This Row],[AP-L]]</f>
        <v>0</v>
      </c>
      <c r="Y36" s="27">
        <f>SUMIFS(tbl_SEIN[Time],
            tbl_SEIN[Week], $B36,
            tbl_SEIN[Subject], $C36,
            tbl_SEIN[Process], Y$9)</f>
        <v>0</v>
      </c>
      <c r="Z36" s="33"/>
      <c r="AA36" s="27">
        <f>tbl_AUSWERTUNG[[#This Row],[PRES-S]]-tbl_AUSWERTUNG[[#This Row],[PRES-L]]</f>
        <v>0</v>
      </c>
      <c r="AB36" s="26">
        <f t="shared" si="0"/>
        <v>0</v>
      </c>
      <c r="AC36" s="27">
        <f t="shared" si="1"/>
        <v>7.2916666666666671E-2</v>
      </c>
      <c r="AD36" s="28">
        <f>tbl_AUSWERTUNG[[#This Row],[S]]-tbl_AUSWERTUNG[[#This Row],[L]]</f>
        <v>-7.2916666666666671E-2</v>
      </c>
      <c r="AE36" s="34">
        <f>tbl_AUSWERTUNG[[#This Row],[∆]]-SUM(L36,O36)</f>
        <v>0</v>
      </c>
      <c r="AI36" t="s">
        <v>86</v>
      </c>
      <c r="AJ36" s="7">
        <f>SUM(AC34:AC39)</f>
        <v>0.20833333333333337</v>
      </c>
      <c r="AK36" s="7">
        <f>SUM(AE34:AE39)</f>
        <v>0.17361111111111105</v>
      </c>
    </row>
    <row r="37" spans="2:37" x14ac:dyDescent="0.2">
      <c r="B37" t="s">
        <v>84</v>
      </c>
      <c r="C37" s="24" t="s">
        <v>106</v>
      </c>
      <c r="D37" s="27">
        <f>SUMIFS(tbl_SEIN[Time],
            tbl_SEIN[Week], $B37,
            tbl_SEIN[Subject], $C37,
            tbl_SEIN[Process], D$9)</f>
        <v>0.18402777777777776</v>
      </c>
      <c r="E37" s="33">
        <v>6.25E-2</v>
      </c>
      <c r="F37" s="25">
        <f>tbl_AUSWERTUNG[[#This Row],[AQ-S]]-tbl_AUSWERTUNG[[#This Row],[AQ-L]]</f>
        <v>0.12152777777777776</v>
      </c>
      <c r="G37" s="27">
        <f>SUMIFS(tbl_SEIN[Time],
            tbl_SEIN[Week], $B37,
            tbl_SEIN[Subject], $C37,
            tbl_SEIN[Process], G$9)</f>
        <v>0</v>
      </c>
      <c r="H37" s="33"/>
      <c r="I37" s="25">
        <f>tbl_AUSWERTUNG[[#This Row],[MON-S]]-tbl_AUSWERTUNG[[#This Row],[MON-L]]</f>
        <v>0</v>
      </c>
      <c r="J37" s="27">
        <f>SUMIFS(tbl_SEIN[Time],
            tbl_SEIN[Week], $B37,
            tbl_SEIN[Subject], $C37,
            tbl_SEIN[Process], J$9)</f>
        <v>7.2916666666666671E-2</v>
      </c>
      <c r="K37" s="33">
        <v>7.2916666666666671E-2</v>
      </c>
      <c r="L37" s="25">
        <f>tbl_AUSWERTUNG[[#This Row],[VL-S]]-tbl_AUSWERTUNG[[#This Row],[VL-L]]</f>
        <v>0</v>
      </c>
      <c r="M37" s="27">
        <f>SUMIFS(tbl_SEIN[Time],
            tbl_SEIN[Week], $B37,
            tbl_SEIN[Subject], $C37,
            tbl_SEIN[Process], M$9)</f>
        <v>0</v>
      </c>
      <c r="N37" s="33"/>
      <c r="O37" s="25">
        <f>tbl_AUSWERTUNG[[#This Row],[EX-S]]-tbl_AUSWERTUNG[[#This Row],[EX-L]]</f>
        <v>0</v>
      </c>
      <c r="P37" s="27">
        <f>SUMIFS(tbl_SEIN[Time],
            tbl_SEIN[Week], $B37,
            tbl_SEIN[Subject], $C37,
            tbl_SEIN[Process], P$9)</f>
        <v>0</v>
      </c>
      <c r="Q37" s="33"/>
      <c r="R37" s="25">
        <f>tbl_AUSWERTUNG[[#This Row],[ST-S]]-tbl_AUSWERTUNG[[#This Row],[ST-L]]</f>
        <v>0</v>
      </c>
      <c r="S37" s="27">
        <f>SUMIFS(tbl_SEIN[Time],
            tbl_SEIN[Week], $B37,
            tbl_SEIN[Subject], $C37,
            tbl_SEIN[Process], S$9)</f>
        <v>0</v>
      </c>
      <c r="T37" s="33"/>
      <c r="U37" s="25">
        <f>tbl_AUSWERTUNG[[#This Row],[LRN-S]]-tbl_AUSWERTUNG[[#This Row],[LRN-L]]</f>
        <v>0</v>
      </c>
      <c r="V37" s="27">
        <f>SUMIFS(tbl_SEIN[Time],
            tbl_SEIN[Week], $B37,
            tbl_SEIN[Subject], $C37,
            tbl_SEIN[Process], V$9)</f>
        <v>0</v>
      </c>
      <c r="W37" s="33"/>
      <c r="X37" s="25">
        <f>tbl_AUSWERTUNG[[#This Row],[AP-S]]-tbl_AUSWERTUNG[[#This Row],[AP-L]]</f>
        <v>0</v>
      </c>
      <c r="Y37" s="27">
        <f>SUMIFS(tbl_SEIN[Time],
            tbl_SEIN[Week], $B37,
            tbl_SEIN[Subject], $C37,
            tbl_SEIN[Process], Y$9)</f>
        <v>1.7361111111111112E-2</v>
      </c>
      <c r="Z37" s="33"/>
      <c r="AA37" s="27">
        <f>tbl_AUSWERTUNG[[#This Row],[PRES-S]]-tbl_AUSWERTUNG[[#This Row],[PRES-L]]</f>
        <v>1.7361111111111112E-2</v>
      </c>
      <c r="AB37" s="26">
        <f t="shared" si="0"/>
        <v>0.27430555555555552</v>
      </c>
      <c r="AC37" s="27">
        <f t="shared" si="1"/>
        <v>0.13541666666666669</v>
      </c>
      <c r="AD37" s="28">
        <f>tbl_AUSWERTUNG[[#This Row],[S]]-tbl_AUSWERTUNG[[#This Row],[L]]</f>
        <v>0.13888888888888884</v>
      </c>
      <c r="AE37" s="34">
        <f>tbl_AUSWERTUNG[[#This Row],[∆]]-SUM(L37,O37)</f>
        <v>0.13888888888888884</v>
      </c>
      <c r="AG37" s="7"/>
    </row>
    <row r="38" spans="2:37" x14ac:dyDescent="0.2">
      <c r="B38" t="s">
        <v>84</v>
      </c>
      <c r="C38" s="24" t="s">
        <v>109</v>
      </c>
      <c r="D38" s="27">
        <f>SUMIFS(tbl_SEIN[Time],
            tbl_SEIN[Week], $B38,
            tbl_SEIN[Subject], $C38,
            tbl_SEIN[Process], D$9)</f>
        <v>0</v>
      </c>
      <c r="E38" s="33"/>
      <c r="F38" s="25">
        <f>tbl_AUSWERTUNG[[#This Row],[AQ-S]]-tbl_AUSWERTUNG[[#This Row],[AQ-L]]</f>
        <v>0</v>
      </c>
      <c r="G38" s="27">
        <f>SUMIFS(tbl_SEIN[Time],
            tbl_SEIN[Week], $B38,
            tbl_SEIN[Subject], $C38,
            tbl_SEIN[Process], G$9)</f>
        <v>0</v>
      </c>
      <c r="H38" s="33"/>
      <c r="I38" s="25">
        <f>tbl_AUSWERTUNG[[#This Row],[MON-S]]-tbl_AUSWERTUNG[[#This Row],[MON-L]]</f>
        <v>0</v>
      </c>
      <c r="J38" s="27">
        <f>SUMIFS(tbl_SEIN[Time],
            tbl_SEIN[Week], $B38,
            tbl_SEIN[Subject], $C38,
            tbl_SEIN[Process], J$9)</f>
        <v>0</v>
      </c>
      <c r="K38" s="33"/>
      <c r="L38" s="25">
        <f>tbl_AUSWERTUNG[[#This Row],[VL-S]]-tbl_AUSWERTUNG[[#This Row],[VL-L]]</f>
        <v>0</v>
      </c>
      <c r="M38" s="27">
        <f>SUMIFS(tbl_SEIN[Time],
            tbl_SEIN[Week], $B38,
            tbl_SEIN[Subject], $C38,
            tbl_SEIN[Process], M$9)</f>
        <v>0</v>
      </c>
      <c r="N38" s="33"/>
      <c r="O38" s="25">
        <f>tbl_AUSWERTUNG[[#This Row],[EX-S]]-tbl_AUSWERTUNG[[#This Row],[EX-L]]</f>
        <v>0</v>
      </c>
      <c r="P38" s="27">
        <f>SUMIFS(tbl_SEIN[Time],
            tbl_SEIN[Week], $B38,
            tbl_SEIN[Subject], $C38,
            tbl_SEIN[Process], P$9)</f>
        <v>0</v>
      </c>
      <c r="Q38" s="33"/>
      <c r="R38" s="25">
        <f>tbl_AUSWERTUNG[[#This Row],[ST-S]]-tbl_AUSWERTUNG[[#This Row],[ST-L]]</f>
        <v>0</v>
      </c>
      <c r="S38" s="27">
        <f>SUMIFS(tbl_SEIN[Time],
            tbl_SEIN[Week], $B38,
            tbl_SEIN[Subject], $C38,
            tbl_SEIN[Process], S$9)</f>
        <v>0</v>
      </c>
      <c r="T38" s="33"/>
      <c r="U38" s="25">
        <f>tbl_AUSWERTUNG[[#This Row],[LRN-S]]-tbl_AUSWERTUNG[[#This Row],[LRN-L]]</f>
        <v>0</v>
      </c>
      <c r="V38" s="27">
        <f>SUMIFS(tbl_SEIN[Time],
            tbl_SEIN[Week], $B38,
            tbl_SEIN[Subject], $C38,
            tbl_SEIN[Process], V$9)</f>
        <v>0</v>
      </c>
      <c r="W38" s="33"/>
      <c r="X38" s="25">
        <f>tbl_AUSWERTUNG[[#This Row],[AP-S]]-tbl_AUSWERTUNG[[#This Row],[AP-L]]</f>
        <v>0</v>
      </c>
      <c r="Y38" s="27">
        <f>SUMIFS(tbl_SEIN[Time],
            tbl_SEIN[Week], $B38,
            tbl_SEIN[Subject], $C38,
            tbl_SEIN[Process], Y$9)</f>
        <v>0</v>
      </c>
      <c r="Z38" s="33"/>
      <c r="AA38" s="27">
        <f>tbl_AUSWERTUNG[[#This Row],[PRES-S]]-tbl_AUSWERTUNG[[#This Row],[PRES-L]]</f>
        <v>0</v>
      </c>
      <c r="AB38" s="26">
        <f t="shared" si="0"/>
        <v>0</v>
      </c>
      <c r="AC38" s="27">
        <f t="shared" si="1"/>
        <v>0</v>
      </c>
      <c r="AD38" s="28">
        <f>tbl_AUSWERTUNG[[#This Row],[S]]-tbl_AUSWERTUNG[[#This Row],[L]]</f>
        <v>0</v>
      </c>
      <c r="AE38" s="34">
        <f>tbl_AUSWERTUNG[[#This Row],[∆]]-SUM(L38,O38)</f>
        <v>0</v>
      </c>
    </row>
    <row r="39" spans="2:37" x14ac:dyDescent="0.2">
      <c r="B39" t="s">
        <v>84</v>
      </c>
      <c r="C39" s="24" t="s">
        <v>110</v>
      </c>
      <c r="D39" s="27">
        <f>SUMIFS(tbl_SEIN[Time],
            tbl_SEIN[Week], $B39,
            tbl_SEIN[Subject], $C39,
            tbl_SEIN[Process], D$9)</f>
        <v>0</v>
      </c>
      <c r="E39" s="33"/>
      <c r="F39" s="25">
        <f>tbl_AUSWERTUNG[[#This Row],[AQ-S]]-tbl_AUSWERTUNG[[#This Row],[AQ-L]]</f>
        <v>0</v>
      </c>
      <c r="G39" s="27">
        <f>SUMIFS(tbl_SEIN[Time],
            tbl_SEIN[Week], $B39,
            tbl_SEIN[Subject], $C39,
            tbl_SEIN[Process], G$9)</f>
        <v>0</v>
      </c>
      <c r="H39" s="33"/>
      <c r="I39" s="25">
        <f>tbl_AUSWERTUNG[[#This Row],[MON-S]]-tbl_AUSWERTUNG[[#This Row],[MON-L]]</f>
        <v>0</v>
      </c>
      <c r="J39" s="27">
        <f>SUMIFS(tbl_SEIN[Time],
            tbl_SEIN[Week], $B39,
            tbl_SEIN[Subject], $C39,
            tbl_SEIN[Process], J$9)</f>
        <v>0</v>
      </c>
      <c r="K39" s="33"/>
      <c r="L39" s="25">
        <f>tbl_AUSWERTUNG[[#This Row],[VL-S]]-tbl_AUSWERTUNG[[#This Row],[VL-L]]</f>
        <v>0</v>
      </c>
      <c r="M39" s="27">
        <f>SUMIFS(tbl_SEIN[Time],
            tbl_SEIN[Week], $B39,
            tbl_SEIN[Subject], $C39,
            tbl_SEIN[Process], M$9)</f>
        <v>0</v>
      </c>
      <c r="N39" s="33"/>
      <c r="O39" s="25">
        <f>tbl_AUSWERTUNG[[#This Row],[EX-S]]-tbl_AUSWERTUNG[[#This Row],[EX-L]]</f>
        <v>0</v>
      </c>
      <c r="P39" s="27">
        <f>SUMIFS(tbl_SEIN[Time],
            tbl_SEIN[Week], $B39,
            tbl_SEIN[Subject], $C39,
            tbl_SEIN[Process], P$9)</f>
        <v>0</v>
      </c>
      <c r="Q39" s="33"/>
      <c r="R39" s="25">
        <f>tbl_AUSWERTUNG[[#This Row],[ST-S]]-tbl_AUSWERTUNG[[#This Row],[ST-L]]</f>
        <v>0</v>
      </c>
      <c r="S39" s="27">
        <f>SUMIFS(tbl_SEIN[Time],
            tbl_SEIN[Week], $B39,
            tbl_SEIN[Subject], $C39,
            tbl_SEIN[Process], S$9)</f>
        <v>0</v>
      </c>
      <c r="T39" s="33"/>
      <c r="U39" s="25">
        <f>tbl_AUSWERTUNG[[#This Row],[LRN-S]]-tbl_AUSWERTUNG[[#This Row],[LRN-L]]</f>
        <v>0</v>
      </c>
      <c r="V39" s="27">
        <f>SUMIFS(tbl_SEIN[Time],
            tbl_SEIN[Week], $B39,
            tbl_SEIN[Subject], $C39,
            tbl_SEIN[Process], V$9)</f>
        <v>0</v>
      </c>
      <c r="W39" s="33"/>
      <c r="X39" s="25">
        <f>tbl_AUSWERTUNG[[#This Row],[AP-S]]-tbl_AUSWERTUNG[[#This Row],[AP-L]]</f>
        <v>0</v>
      </c>
      <c r="Y39" s="27">
        <f>SUMIFS(tbl_SEIN[Time],
            tbl_SEIN[Week], $B39,
            tbl_SEIN[Subject], $C39,
            tbl_SEIN[Process], Y$9)</f>
        <v>0</v>
      </c>
      <c r="Z39" s="33"/>
      <c r="AA39" s="27">
        <f>tbl_AUSWERTUNG[[#This Row],[PRES-S]]-tbl_AUSWERTUNG[[#This Row],[PRES-L]]</f>
        <v>0</v>
      </c>
      <c r="AB39" s="26">
        <f t="shared" si="0"/>
        <v>0</v>
      </c>
      <c r="AC39" s="27">
        <f t="shared" si="1"/>
        <v>0</v>
      </c>
      <c r="AD39" s="28">
        <f>tbl_AUSWERTUNG[[#This Row],[S]]-tbl_AUSWERTUNG[[#This Row],[L]]</f>
        <v>0</v>
      </c>
      <c r="AE39" s="34">
        <f>tbl_AUSWERTUNG[[#This Row],[∆]]-SUM(L39,O39)</f>
        <v>0</v>
      </c>
    </row>
    <row r="40" spans="2:37" x14ac:dyDescent="0.2">
      <c r="B40" t="s">
        <v>84</v>
      </c>
      <c r="C40" s="24" t="s">
        <v>453</v>
      </c>
      <c r="D40" s="27">
        <f>SUMIFS(tbl_SEIN[Time],
            tbl_SEIN[Week], $B40,
            tbl_SEIN[Subject], $C40,
            tbl_SEIN[Process], D$9)</f>
        <v>7.6388888888888895E-2</v>
      </c>
      <c r="E40" s="33">
        <v>6.25E-2</v>
      </c>
      <c r="F40" s="25">
        <f>tbl_AUSWERTUNG[[#This Row],[AQ-S]]-tbl_AUSWERTUNG[[#This Row],[AQ-L]]</f>
        <v>1.3888888888888895E-2</v>
      </c>
      <c r="G40" s="27">
        <f>SUMIFS(tbl_SEIN[Time],
            tbl_SEIN[Week], $B40,
            tbl_SEIN[Subject], $C40,
            tbl_SEIN[Process], G$9)</f>
        <v>0</v>
      </c>
      <c r="H40" s="33"/>
      <c r="I40" s="25">
        <f>tbl_AUSWERTUNG[[#This Row],[MON-S]]-tbl_AUSWERTUNG[[#This Row],[MON-L]]</f>
        <v>0</v>
      </c>
      <c r="J40" s="27">
        <f>SUMIFS(tbl_SEIN[Time],
            tbl_SEIN[Week], $B40,
            tbl_SEIN[Subject], $C40,
            tbl_SEIN[Process], J$9)</f>
        <v>0</v>
      </c>
      <c r="K40" s="33"/>
      <c r="L40" s="25">
        <f>tbl_AUSWERTUNG[[#This Row],[VL-S]]-tbl_AUSWERTUNG[[#This Row],[VL-L]]</f>
        <v>0</v>
      </c>
      <c r="M40" s="27">
        <f>SUMIFS(tbl_SEIN[Time],
            tbl_SEIN[Week], $B40,
            tbl_SEIN[Subject], $C40,
            tbl_SEIN[Process], M$9)</f>
        <v>0</v>
      </c>
      <c r="N40" s="33"/>
      <c r="O40" s="25">
        <f>tbl_AUSWERTUNG[[#This Row],[EX-S]]-tbl_AUSWERTUNG[[#This Row],[EX-L]]</f>
        <v>0</v>
      </c>
      <c r="P40" s="27">
        <f>SUMIFS(tbl_SEIN[Time],
            tbl_SEIN[Week], $B40,
            tbl_SEIN[Subject], $C40,
            tbl_SEIN[Process], P$9)</f>
        <v>0</v>
      </c>
      <c r="Q40" s="33"/>
      <c r="R40" s="25">
        <f>tbl_AUSWERTUNG[[#This Row],[ST-S]]-tbl_AUSWERTUNG[[#This Row],[ST-L]]</f>
        <v>0</v>
      </c>
      <c r="S40" s="27">
        <f>SUMIFS(tbl_SEIN[Time],
            tbl_SEIN[Week], $B40,
            tbl_SEIN[Subject], $C40,
            tbl_SEIN[Process], S$9)</f>
        <v>0</v>
      </c>
      <c r="T40" s="33"/>
      <c r="U40" s="25">
        <f>tbl_AUSWERTUNG[[#This Row],[LRN-S]]-tbl_AUSWERTUNG[[#This Row],[LRN-L]]</f>
        <v>0</v>
      </c>
      <c r="V40" s="27">
        <f>SUMIFS(tbl_SEIN[Time],
            tbl_SEIN[Week], $B40,
            tbl_SEIN[Subject], $C40,
            tbl_SEIN[Process], V$9)</f>
        <v>7.9861111111111105E-2</v>
      </c>
      <c r="W40" s="33">
        <v>6.25E-2</v>
      </c>
      <c r="X40" s="25">
        <f>tbl_AUSWERTUNG[[#This Row],[AP-S]]-tbl_AUSWERTUNG[[#This Row],[AP-L]]</f>
        <v>1.7361111111111105E-2</v>
      </c>
      <c r="Y40" s="27">
        <f>SUMIFS(tbl_SEIN[Time],
            tbl_SEIN[Week], $B40,
            tbl_SEIN[Subject], $C40,
            tbl_SEIN[Process], Y$9)</f>
        <v>0</v>
      </c>
      <c r="Z40" s="33"/>
      <c r="AA40" s="27">
        <f>tbl_AUSWERTUNG[[#This Row],[PRES-S]]-tbl_AUSWERTUNG[[#This Row],[PRES-L]]</f>
        <v>0</v>
      </c>
      <c r="AB40" s="26">
        <f t="shared" si="0"/>
        <v>0.15625</v>
      </c>
      <c r="AC40" s="27">
        <f t="shared" si="1"/>
        <v>0.125</v>
      </c>
      <c r="AD40" s="28">
        <f>tbl_AUSWERTUNG[[#This Row],[S]]-tbl_AUSWERTUNG[[#This Row],[L]]</f>
        <v>3.125E-2</v>
      </c>
      <c r="AE40" s="34">
        <f>tbl_AUSWERTUNG[[#This Row],[∆]]-SUM(L40,O40)</f>
        <v>3.125E-2</v>
      </c>
    </row>
    <row r="41" spans="2:37" x14ac:dyDescent="0.2">
      <c r="B41" t="s">
        <v>84</v>
      </c>
      <c r="C41" s="24" t="s">
        <v>361</v>
      </c>
      <c r="D41" s="27">
        <f>SUMIFS(tbl_SEIN[Time],
            tbl_SEIN[Week], $B41,
            tbl_SEIN[Subject], $C41,
            tbl_SEIN[Process], D$9)</f>
        <v>4.1666666666666664E-2</v>
      </c>
      <c r="E41" s="33">
        <v>8.3333333333333329E-2</v>
      </c>
      <c r="F41" s="25">
        <f>tbl_AUSWERTUNG[[#This Row],[AQ-S]]-tbl_AUSWERTUNG[[#This Row],[AQ-L]]</f>
        <v>-4.1666666666666664E-2</v>
      </c>
      <c r="G41" s="27">
        <f>SUMIFS(tbl_SEIN[Time],
            tbl_SEIN[Week], $B41,
            tbl_SEIN[Subject], $C41,
            tbl_SEIN[Process], G$9)</f>
        <v>2.7777777777777776E-2</v>
      </c>
      <c r="H41" s="33"/>
      <c r="I41" s="25">
        <f>tbl_AUSWERTUNG[[#This Row],[MON-S]]-tbl_AUSWERTUNG[[#This Row],[MON-L]]</f>
        <v>2.7777777777777776E-2</v>
      </c>
      <c r="J41" s="27">
        <f>SUMIFS(tbl_SEIN[Time],
            tbl_SEIN[Week], $B41,
            tbl_SEIN[Subject], $C41,
            tbl_SEIN[Process], J$9)</f>
        <v>0</v>
      </c>
      <c r="K41" s="33">
        <v>7.2916666666666671E-2</v>
      </c>
      <c r="L41" s="25">
        <f>tbl_AUSWERTUNG[[#This Row],[VL-S]]-tbl_AUSWERTUNG[[#This Row],[VL-L]]</f>
        <v>-7.2916666666666671E-2</v>
      </c>
      <c r="M41" s="27">
        <f>SUMIFS(tbl_SEIN[Time],
            tbl_SEIN[Week], $B41,
            tbl_SEIN[Subject], $C41,
            tbl_SEIN[Process], M$9)</f>
        <v>0</v>
      </c>
      <c r="N41" s="33"/>
      <c r="O41" s="25">
        <f>tbl_AUSWERTUNG[[#This Row],[EX-S]]-tbl_AUSWERTUNG[[#This Row],[EX-L]]</f>
        <v>0</v>
      </c>
      <c r="P41" s="27">
        <f>SUMIFS(tbl_SEIN[Time],
            tbl_SEIN[Week], $B41,
            tbl_SEIN[Subject], $C41,
            tbl_SEIN[Process], P$9)</f>
        <v>0</v>
      </c>
      <c r="Q41" s="33"/>
      <c r="R41" s="25">
        <f>tbl_AUSWERTUNG[[#This Row],[ST-S]]-tbl_AUSWERTUNG[[#This Row],[ST-L]]</f>
        <v>0</v>
      </c>
      <c r="S41" s="27">
        <f>SUMIFS(tbl_SEIN[Time],
            tbl_SEIN[Week], $B41,
            tbl_SEIN[Subject], $C41,
            tbl_SEIN[Process], S$9)</f>
        <v>0</v>
      </c>
      <c r="T41" s="33"/>
      <c r="U41" s="25">
        <f>tbl_AUSWERTUNG[[#This Row],[LRN-S]]-tbl_AUSWERTUNG[[#This Row],[LRN-L]]</f>
        <v>0</v>
      </c>
      <c r="V41" s="27">
        <f>SUMIFS(tbl_SEIN[Time],
            tbl_SEIN[Week], $B41,
            tbl_SEIN[Subject], $C41,
            tbl_SEIN[Process], V$9)</f>
        <v>8.6805555555555566E-2</v>
      </c>
      <c r="W41" s="33">
        <v>8.3333333333333329E-2</v>
      </c>
      <c r="X41" s="25">
        <f>tbl_AUSWERTUNG[[#This Row],[AP-S]]-tbl_AUSWERTUNG[[#This Row],[AP-L]]</f>
        <v>3.4722222222222376E-3</v>
      </c>
      <c r="Y41" s="27">
        <f>SUMIFS(tbl_SEIN[Time],
            tbl_SEIN[Week], $B41,
            tbl_SEIN[Subject], $C41,
            tbl_SEIN[Process], Y$9)</f>
        <v>0</v>
      </c>
      <c r="Z41" s="33"/>
      <c r="AA41" s="27">
        <f>tbl_AUSWERTUNG[[#This Row],[PRES-S]]-tbl_AUSWERTUNG[[#This Row],[PRES-L]]</f>
        <v>0</v>
      </c>
      <c r="AB41" s="26">
        <f t="shared" si="0"/>
        <v>0.15625</v>
      </c>
      <c r="AC41" s="27">
        <f t="shared" si="1"/>
        <v>0.23958333333333331</v>
      </c>
      <c r="AD41" s="28">
        <f>tbl_AUSWERTUNG[[#This Row],[S]]-tbl_AUSWERTUNG[[#This Row],[L]]</f>
        <v>-8.3333333333333315E-2</v>
      </c>
      <c r="AE41" s="34">
        <f>tbl_AUSWERTUNG[[#This Row],[∆]]-SUM(L41,O41)</f>
        <v>-1.0416666666666644E-2</v>
      </c>
      <c r="AI41" s="7"/>
    </row>
    <row r="42" spans="2:37" x14ac:dyDescent="0.2">
      <c r="B42" t="s">
        <v>84</v>
      </c>
      <c r="C42" s="55" t="s">
        <v>24</v>
      </c>
      <c r="D42" s="27">
        <f>SUMIFS(tbl_SEIN[Time],
            tbl_SEIN[Week], $B42,
            tbl_SEIN[Subject], $C42,
            tbl_SEIN[Process], D$9)</f>
        <v>0</v>
      </c>
      <c r="E42" s="33">
        <v>2.0833333333333332E-2</v>
      </c>
      <c r="F42" s="25">
        <f>tbl_AUSWERTUNG[[#This Row],[AQ-S]]-tbl_AUSWERTUNG[[#This Row],[AQ-L]]</f>
        <v>-2.0833333333333332E-2</v>
      </c>
      <c r="G42" s="27">
        <f>SUMIFS(tbl_SEIN[Time],
            tbl_SEIN[Week], $B42,
            tbl_SEIN[Subject], $C42,
            tbl_SEIN[Process], G$9)</f>
        <v>0</v>
      </c>
      <c r="H42" s="33"/>
      <c r="I42" s="25">
        <f>tbl_AUSWERTUNG[[#This Row],[MON-S]]-tbl_AUSWERTUNG[[#This Row],[MON-L]]</f>
        <v>0</v>
      </c>
      <c r="J42" s="27">
        <f>SUMIFS(tbl_SEIN[Time],
            tbl_SEIN[Week], $B42,
            tbl_SEIN[Subject], $C42,
            tbl_SEIN[Process], J$9)</f>
        <v>7.2916666666666671E-2</v>
      </c>
      <c r="K42" s="33">
        <v>7.2916666666666671E-2</v>
      </c>
      <c r="L42" s="25">
        <f>tbl_AUSWERTUNG[[#This Row],[VL-S]]-tbl_AUSWERTUNG[[#This Row],[VL-L]]</f>
        <v>0</v>
      </c>
      <c r="M42" s="27">
        <f>SUMIFS(tbl_SEIN[Time],
            tbl_SEIN[Week], $B42,
            tbl_SEIN[Subject], $C42,
            tbl_SEIN[Process], M$9)</f>
        <v>0</v>
      </c>
      <c r="N42" s="33"/>
      <c r="O42" s="25">
        <f>tbl_AUSWERTUNG[[#This Row],[EX-S]]-tbl_AUSWERTUNG[[#This Row],[EX-L]]</f>
        <v>0</v>
      </c>
      <c r="P42" s="27">
        <f>SUMIFS(tbl_SEIN[Time],
            tbl_SEIN[Week], $B42,
            tbl_SEIN[Subject], $C42,
            tbl_SEIN[Process], P$9)</f>
        <v>0</v>
      </c>
      <c r="Q42" s="33"/>
      <c r="R42" s="25">
        <f>tbl_AUSWERTUNG[[#This Row],[ST-S]]-tbl_AUSWERTUNG[[#This Row],[ST-L]]</f>
        <v>0</v>
      </c>
      <c r="S42" s="27">
        <f>SUMIFS(tbl_SEIN[Time],
            tbl_SEIN[Week], $B42,
            tbl_SEIN[Subject], $C42,
            tbl_SEIN[Process], S$9)</f>
        <v>0</v>
      </c>
      <c r="T42" s="33"/>
      <c r="U42" s="25">
        <f>tbl_AUSWERTUNG[[#This Row],[LRN-S]]-tbl_AUSWERTUNG[[#This Row],[LRN-L]]</f>
        <v>0</v>
      </c>
      <c r="V42" s="27">
        <f>SUMIFS(tbl_SEIN[Time],
            tbl_SEIN[Week], $B42,
            tbl_SEIN[Subject], $C42,
            tbl_SEIN[Process], V$9)</f>
        <v>0</v>
      </c>
      <c r="W42" s="33">
        <v>6.25E-2</v>
      </c>
      <c r="X42" s="25">
        <f>tbl_AUSWERTUNG[[#This Row],[AP-S]]-tbl_AUSWERTUNG[[#This Row],[AP-L]]</f>
        <v>-6.25E-2</v>
      </c>
      <c r="Y42" s="27">
        <f>SUMIFS(tbl_SEIN[Time],
            tbl_SEIN[Week], $B42,
            tbl_SEIN[Subject], $C42,
            tbl_SEIN[Process], Y$9)</f>
        <v>0</v>
      </c>
      <c r="Z42" s="33"/>
      <c r="AA42" s="27">
        <f>tbl_AUSWERTUNG[[#This Row],[PRES-S]]-tbl_AUSWERTUNG[[#This Row],[PRES-L]]</f>
        <v>0</v>
      </c>
      <c r="AB42" s="26">
        <f t="shared" si="0"/>
        <v>7.2916666666666671E-2</v>
      </c>
      <c r="AC42" s="27">
        <f t="shared" si="1"/>
        <v>0.15625</v>
      </c>
      <c r="AD42" s="28">
        <f>tbl_AUSWERTUNG[[#This Row],[S]]-tbl_AUSWERTUNG[[#This Row],[L]]</f>
        <v>-8.3333333333333329E-2</v>
      </c>
      <c r="AE42" s="34">
        <f>tbl_AUSWERTUNG[[#This Row],[∆]]-SUM(L42,O42)</f>
        <v>-8.3333333333333329E-2</v>
      </c>
    </row>
    <row r="43" spans="2:37" x14ac:dyDescent="0.2">
      <c r="B43" s="49" t="s">
        <v>584</v>
      </c>
      <c r="C43" s="50" t="s">
        <v>107</v>
      </c>
      <c r="D43" s="53">
        <f>SUMIFS(tbl_SEIN[Time],
            tbl_SEIN[Week], $B43,
            tbl_SEIN[Subject], $C43,
            tbl_SEIN[Process], D$9)</f>
        <v>0</v>
      </c>
      <c r="E43" s="51">
        <v>7.2916666666666671E-2</v>
      </c>
      <c r="F43" s="52">
        <f>tbl_AUSWERTUNG[[#This Row],[AQ-S]]-tbl_AUSWERTUNG[[#This Row],[AQ-L]]</f>
        <v>-7.2916666666666671E-2</v>
      </c>
      <c r="G43" s="53">
        <f>SUMIFS(tbl_SEIN[Time],
            tbl_SEIN[Week], $B43,
            tbl_SEIN[Subject], $C43,
            tbl_SEIN[Process], G$9)</f>
        <v>0</v>
      </c>
      <c r="H43" s="53"/>
      <c r="I43" s="52">
        <f>tbl_AUSWERTUNG[[#This Row],[MON-S]]-tbl_AUSWERTUNG[[#This Row],[MON-L]]</f>
        <v>0</v>
      </c>
      <c r="J43" s="53">
        <f>SUMIFS(tbl_SEIN[Time],
            tbl_SEIN[Week], $B43,
            tbl_SEIN[Subject], $C43,
            tbl_SEIN[Process], J$9)</f>
        <v>0</v>
      </c>
      <c r="K43" s="51">
        <v>7.2916666666666671E-2</v>
      </c>
      <c r="L43" s="52">
        <f>tbl_AUSWERTUNG[[#This Row],[VL-S]]-tbl_AUSWERTUNG[[#This Row],[VL-L]]</f>
        <v>-7.2916666666666671E-2</v>
      </c>
      <c r="M43" s="53">
        <f>SUMIFS(tbl_SEIN[Time],
            tbl_SEIN[Week], $B43,
            tbl_SEIN[Subject], $C43,
            tbl_SEIN[Process], M$9)</f>
        <v>0</v>
      </c>
      <c r="N43" s="51">
        <v>3.125E-2</v>
      </c>
      <c r="O43" s="52">
        <f>tbl_AUSWERTUNG[[#This Row],[EX-S]]-tbl_AUSWERTUNG[[#This Row],[EX-L]]</f>
        <v>-3.125E-2</v>
      </c>
      <c r="P43" s="53">
        <f>SUMIFS(tbl_SEIN[Time],
            tbl_SEIN[Week], $B43,
            tbl_SEIN[Subject], $C43,
            tbl_SEIN[Process], P$9)</f>
        <v>0</v>
      </c>
      <c r="Q43" s="51"/>
      <c r="R43" s="52">
        <f>tbl_AUSWERTUNG[[#This Row],[ST-S]]-tbl_AUSWERTUNG[[#This Row],[ST-L]]</f>
        <v>0</v>
      </c>
      <c r="S43" s="53">
        <f>SUMIFS(tbl_SEIN[Time],
            tbl_SEIN[Week], $B43,
            tbl_SEIN[Subject], $C43,
            tbl_SEIN[Process], S$9)</f>
        <v>0</v>
      </c>
      <c r="T43" s="51"/>
      <c r="U43" s="52">
        <f>tbl_AUSWERTUNG[[#This Row],[LRN-S]]-tbl_AUSWERTUNG[[#This Row],[LRN-L]]</f>
        <v>0</v>
      </c>
      <c r="V43" s="53">
        <f>SUMIFS(tbl_SEIN[Time],
            tbl_SEIN[Week], $B43,
            tbl_SEIN[Subject], $C43,
            tbl_SEIN[Process], V$9)</f>
        <v>6.9444444444444434E-2</v>
      </c>
      <c r="W43" s="51">
        <v>6.25E-2</v>
      </c>
      <c r="X43" s="52">
        <f>tbl_AUSWERTUNG[[#This Row],[AP-S]]-tbl_AUSWERTUNG[[#This Row],[AP-L]]</f>
        <v>6.9444444444444337E-3</v>
      </c>
      <c r="Y43" s="53">
        <f>SUMIFS(tbl_SEIN[Time],
            tbl_SEIN[Week], $B43,
            tbl_SEIN[Subject], $C43,
            tbl_SEIN[Process], Y$9)</f>
        <v>0</v>
      </c>
      <c r="Z43" s="51"/>
      <c r="AA43" s="53">
        <f>tbl_AUSWERTUNG[[#This Row],[PRES-S]]-tbl_AUSWERTUNG[[#This Row],[PRES-L]]</f>
        <v>0</v>
      </c>
      <c r="AB43" s="54">
        <f t="shared" ref="AB43:AB51" si="2">SUM(D43,J43,M43,P43,S43,V43,Y43,G43)</f>
        <v>6.9444444444444434E-2</v>
      </c>
      <c r="AC43" s="52">
        <f t="shared" ref="AC43:AC51" si="3">SUM(E43,K43,N43,Q43,T43,W43,Z43,H43)</f>
        <v>0.23958333333333334</v>
      </c>
      <c r="AD43" s="57">
        <f>tbl_AUSWERTUNG[[#This Row],[S]]-tbl_AUSWERTUNG[[#This Row],[L]]</f>
        <v>-0.1701388888888889</v>
      </c>
      <c r="AE43" s="58">
        <f>tbl_AUSWERTUNG[[#This Row],[∆]]-SUM(L43,O43)</f>
        <v>-6.5972222222222224E-2</v>
      </c>
      <c r="AI43" s="7"/>
    </row>
    <row r="44" spans="2:37" x14ac:dyDescent="0.2">
      <c r="B44" t="s">
        <v>584</v>
      </c>
      <c r="C44" s="55" t="s">
        <v>20</v>
      </c>
      <c r="D44" s="27">
        <f>SUMIFS(tbl_SEIN[Time],
            tbl_SEIN[Week], $B44,
            tbl_SEIN[Subject], $C44,
            tbl_SEIN[Process], D$9)</f>
        <v>0</v>
      </c>
      <c r="E44" s="33">
        <v>8.3333333333333329E-2</v>
      </c>
      <c r="F44" s="25">
        <f>tbl_AUSWERTUNG[[#This Row],[AQ-S]]-tbl_AUSWERTUNG[[#This Row],[AQ-L]]</f>
        <v>-8.3333333333333329E-2</v>
      </c>
      <c r="G44" s="27">
        <f>SUMIFS(tbl_SEIN[Time],
            tbl_SEIN[Week], $B44,
            tbl_SEIN[Subject], $C44,
            tbl_SEIN[Process], G$9)</f>
        <v>4.8611111111111112E-2</v>
      </c>
      <c r="H44" s="27"/>
      <c r="I44" s="25">
        <f>tbl_AUSWERTUNG[[#This Row],[MON-S]]-tbl_AUSWERTUNG[[#This Row],[MON-L]]</f>
        <v>4.8611111111111112E-2</v>
      </c>
      <c r="J44" s="27">
        <f>SUMIFS(tbl_SEIN[Time],
            tbl_SEIN[Week], $B44,
            tbl_SEIN[Subject], $C44,
            tbl_SEIN[Process], J$9)</f>
        <v>0</v>
      </c>
      <c r="K44" s="33"/>
      <c r="L44" s="25">
        <f>tbl_AUSWERTUNG[[#This Row],[VL-S]]-tbl_AUSWERTUNG[[#This Row],[VL-L]]</f>
        <v>0</v>
      </c>
      <c r="M44" s="27">
        <f>SUMIFS(tbl_SEIN[Time],
            tbl_SEIN[Week], $B44,
            tbl_SEIN[Subject], $C44,
            tbl_SEIN[Process], M$9)</f>
        <v>0</v>
      </c>
      <c r="N44" s="33"/>
      <c r="O44" s="25">
        <f>tbl_AUSWERTUNG[[#This Row],[EX-S]]-tbl_AUSWERTUNG[[#This Row],[EX-L]]</f>
        <v>0</v>
      </c>
      <c r="P44" s="27">
        <f>SUMIFS(tbl_SEIN[Time],
            tbl_SEIN[Week], $B44,
            tbl_SEIN[Subject], $C44,
            tbl_SEIN[Process], P$9)</f>
        <v>0</v>
      </c>
      <c r="Q44" s="33"/>
      <c r="R44" s="25">
        <f>tbl_AUSWERTUNG[[#This Row],[ST-S]]-tbl_AUSWERTUNG[[#This Row],[ST-L]]</f>
        <v>0</v>
      </c>
      <c r="S44" s="27">
        <f>SUMIFS(tbl_SEIN[Time],
            tbl_SEIN[Week], $B44,
            tbl_SEIN[Subject], $C44,
            tbl_SEIN[Process], S$9)</f>
        <v>0</v>
      </c>
      <c r="T44" s="33"/>
      <c r="U44" s="25">
        <f>tbl_AUSWERTUNG[[#This Row],[LRN-S]]-tbl_AUSWERTUNG[[#This Row],[LRN-L]]</f>
        <v>0</v>
      </c>
      <c r="V44" s="27">
        <f>SUMIFS(tbl_SEIN[Time],
            tbl_SEIN[Week], $B44,
            tbl_SEIN[Subject], $C44,
            tbl_SEIN[Process], V$9)</f>
        <v>0</v>
      </c>
      <c r="W44" s="33"/>
      <c r="X44" s="25">
        <f>tbl_AUSWERTUNG[[#This Row],[AP-S]]-tbl_AUSWERTUNG[[#This Row],[AP-L]]</f>
        <v>0</v>
      </c>
      <c r="Y44" s="27">
        <f>SUMIFS(tbl_SEIN[Time],
            tbl_SEIN[Week], $B44,
            tbl_SEIN[Subject], $C44,
            tbl_SEIN[Process], Y$9)</f>
        <v>0</v>
      </c>
      <c r="Z44" s="33"/>
      <c r="AA44" s="27">
        <f>tbl_AUSWERTUNG[[#This Row],[PRES-S]]-tbl_AUSWERTUNG[[#This Row],[PRES-L]]</f>
        <v>0</v>
      </c>
      <c r="AB44" s="26">
        <f t="shared" si="2"/>
        <v>4.8611111111111112E-2</v>
      </c>
      <c r="AC44" s="27">
        <f t="shared" si="3"/>
        <v>8.3333333333333329E-2</v>
      </c>
      <c r="AD44" s="28">
        <f>tbl_AUSWERTUNG[[#This Row],[S]]-tbl_AUSWERTUNG[[#This Row],[L]]</f>
        <v>-3.4722222222222217E-2</v>
      </c>
      <c r="AE44" s="34">
        <f>tbl_AUSWERTUNG[[#This Row],[∆]]-SUM(L44,O44)</f>
        <v>-3.4722222222222217E-2</v>
      </c>
    </row>
    <row r="45" spans="2:37" x14ac:dyDescent="0.2">
      <c r="B45" t="s">
        <v>584</v>
      </c>
      <c r="C45" s="24" t="s">
        <v>108</v>
      </c>
      <c r="D45" s="27">
        <f>SUMIFS(tbl_SEIN[Time],
            tbl_SEIN[Week], $B45,
            tbl_SEIN[Subject], $C45,
            tbl_SEIN[Process], D$9)</f>
        <v>0</v>
      </c>
      <c r="E45" s="33">
        <v>6.25E-2</v>
      </c>
      <c r="F45" s="25">
        <f>tbl_AUSWERTUNG[[#This Row],[AQ-S]]-tbl_AUSWERTUNG[[#This Row],[AQ-L]]</f>
        <v>-6.25E-2</v>
      </c>
      <c r="G45" s="27">
        <f>SUMIFS(tbl_SEIN[Time],
            tbl_SEIN[Week], $B45,
            tbl_SEIN[Subject], $C45,
            tbl_SEIN[Process], G$9)</f>
        <v>4.1666666666666664E-2</v>
      </c>
      <c r="H45" s="27"/>
      <c r="I45" s="25">
        <f>tbl_AUSWERTUNG[[#This Row],[MON-S]]-tbl_AUSWERTUNG[[#This Row],[MON-L]]</f>
        <v>4.1666666666666664E-2</v>
      </c>
      <c r="J45" s="27">
        <f>SUMIFS(tbl_SEIN[Time],
            tbl_SEIN[Week], $B45,
            tbl_SEIN[Subject], $C45,
            tbl_SEIN[Process], J$9)</f>
        <v>0</v>
      </c>
      <c r="K45" s="33">
        <v>7.2916666666666671E-2</v>
      </c>
      <c r="L45" s="25">
        <f>tbl_AUSWERTUNG[[#This Row],[VL-S]]-tbl_AUSWERTUNG[[#This Row],[VL-L]]</f>
        <v>-7.2916666666666671E-2</v>
      </c>
      <c r="M45" s="27">
        <f>SUMIFS(tbl_SEIN[Time],
            tbl_SEIN[Week], $B45,
            tbl_SEIN[Subject], $C45,
            tbl_SEIN[Process], M$9)</f>
        <v>0</v>
      </c>
      <c r="N45" s="33"/>
      <c r="O45" s="25">
        <f>tbl_AUSWERTUNG[[#This Row],[EX-S]]-tbl_AUSWERTUNG[[#This Row],[EX-L]]</f>
        <v>0</v>
      </c>
      <c r="P45" s="27">
        <f>SUMIFS(tbl_SEIN[Time],
            tbl_SEIN[Week], $B45,
            tbl_SEIN[Subject], $C45,
            tbl_SEIN[Process], P$9)</f>
        <v>0</v>
      </c>
      <c r="Q45" s="33"/>
      <c r="R45" s="25">
        <f>tbl_AUSWERTUNG[[#This Row],[ST-S]]-tbl_AUSWERTUNG[[#This Row],[ST-L]]</f>
        <v>0</v>
      </c>
      <c r="S45" s="27">
        <f>SUMIFS(tbl_SEIN[Time],
            tbl_SEIN[Week], $B45,
            tbl_SEIN[Subject], $C45,
            tbl_SEIN[Process], S$9)</f>
        <v>0</v>
      </c>
      <c r="T45" s="33"/>
      <c r="U45" s="25">
        <f>tbl_AUSWERTUNG[[#This Row],[LRN-S]]-tbl_AUSWERTUNG[[#This Row],[LRN-L]]</f>
        <v>0</v>
      </c>
      <c r="V45" s="27">
        <f>SUMIFS(tbl_SEIN[Time],
            tbl_SEIN[Week], $B45,
            tbl_SEIN[Subject], $C45,
            tbl_SEIN[Process], V$9)</f>
        <v>0</v>
      </c>
      <c r="W45" s="33"/>
      <c r="X45" s="25">
        <f>tbl_AUSWERTUNG[[#This Row],[AP-S]]-tbl_AUSWERTUNG[[#This Row],[AP-L]]</f>
        <v>0</v>
      </c>
      <c r="Y45" s="27">
        <f>SUMIFS(tbl_SEIN[Time],
            tbl_SEIN[Week], $B45,
            tbl_SEIN[Subject], $C45,
            tbl_SEIN[Process], Y$9)</f>
        <v>0</v>
      </c>
      <c r="Z45" s="33"/>
      <c r="AA45" s="27">
        <f>tbl_AUSWERTUNG[[#This Row],[PRES-S]]-tbl_AUSWERTUNG[[#This Row],[PRES-L]]</f>
        <v>0</v>
      </c>
      <c r="AB45" s="26">
        <f t="shared" si="2"/>
        <v>4.1666666666666664E-2</v>
      </c>
      <c r="AC45" s="27">
        <f t="shared" si="3"/>
        <v>0.13541666666666669</v>
      </c>
      <c r="AD45" s="28">
        <f>tbl_AUSWERTUNG[[#This Row],[S]]-tbl_AUSWERTUNG[[#This Row],[L]]</f>
        <v>-9.3750000000000028E-2</v>
      </c>
      <c r="AE45" s="34">
        <f>tbl_AUSWERTUNG[[#This Row],[∆]]-SUM(L45,O45)</f>
        <v>-2.0833333333333356E-2</v>
      </c>
    </row>
    <row r="46" spans="2:37" x14ac:dyDescent="0.2">
      <c r="B46" t="s">
        <v>584</v>
      </c>
      <c r="C46" s="24" t="s">
        <v>106</v>
      </c>
      <c r="D46" s="27">
        <f>SUMIFS(tbl_SEIN[Time],
            tbl_SEIN[Week], $B46,
            tbl_SEIN[Subject], $C46,
            tbl_SEIN[Process], D$9)</f>
        <v>0.13194444444444445</v>
      </c>
      <c r="E46" s="33">
        <v>0.12847222222222224</v>
      </c>
      <c r="F46" s="25">
        <f>tbl_AUSWERTUNG[[#This Row],[AQ-S]]-tbl_AUSWERTUNG[[#This Row],[AQ-L]]</f>
        <v>3.4722222222222099E-3</v>
      </c>
      <c r="G46" s="27">
        <f>SUMIFS(tbl_SEIN[Time],
            tbl_SEIN[Week], $B46,
            tbl_SEIN[Subject], $C46,
            tbl_SEIN[Process], G$9)</f>
        <v>0</v>
      </c>
      <c r="H46" s="27"/>
      <c r="I46" s="25">
        <f>tbl_AUSWERTUNG[[#This Row],[MON-S]]-tbl_AUSWERTUNG[[#This Row],[MON-L]]</f>
        <v>0</v>
      </c>
      <c r="J46" s="27">
        <f>SUMIFS(tbl_SEIN[Time],
            tbl_SEIN[Week], $B46,
            tbl_SEIN[Subject], $C46,
            tbl_SEIN[Process], J$9)</f>
        <v>6.25E-2</v>
      </c>
      <c r="K46" s="33">
        <v>7.2916666666666671E-2</v>
      </c>
      <c r="L46" s="25">
        <f>tbl_AUSWERTUNG[[#This Row],[VL-S]]-tbl_AUSWERTUNG[[#This Row],[VL-L]]</f>
        <v>-1.0416666666666671E-2</v>
      </c>
      <c r="M46" s="27">
        <f>SUMIFS(tbl_SEIN[Time],
            tbl_SEIN[Week], $B46,
            tbl_SEIN[Subject], $C46,
            tbl_SEIN[Process], M$9)</f>
        <v>0</v>
      </c>
      <c r="N46" s="33"/>
      <c r="O46" s="25">
        <f>tbl_AUSWERTUNG[[#This Row],[EX-S]]-tbl_AUSWERTUNG[[#This Row],[EX-L]]</f>
        <v>0</v>
      </c>
      <c r="P46" s="27">
        <f>SUMIFS(tbl_SEIN[Time],
            tbl_SEIN[Week], $B46,
            tbl_SEIN[Subject], $C46,
            tbl_SEIN[Process], P$9)</f>
        <v>0.13194444444444442</v>
      </c>
      <c r="Q46" s="33"/>
      <c r="R46" s="25">
        <f>tbl_AUSWERTUNG[[#This Row],[ST-S]]-tbl_AUSWERTUNG[[#This Row],[ST-L]]</f>
        <v>0.13194444444444442</v>
      </c>
      <c r="S46" s="27">
        <f>SUMIFS(tbl_SEIN[Time],
            tbl_SEIN[Week], $B46,
            tbl_SEIN[Subject], $C46,
            tbl_SEIN[Process], S$9)</f>
        <v>0</v>
      </c>
      <c r="T46" s="33"/>
      <c r="U46" s="25">
        <f>tbl_AUSWERTUNG[[#This Row],[LRN-S]]-tbl_AUSWERTUNG[[#This Row],[LRN-L]]</f>
        <v>0</v>
      </c>
      <c r="V46" s="27">
        <f>SUMIFS(tbl_SEIN[Time],
            tbl_SEIN[Week], $B46,
            tbl_SEIN[Subject], $C46,
            tbl_SEIN[Process], V$9)</f>
        <v>0</v>
      </c>
      <c r="W46" s="33"/>
      <c r="X46" s="25">
        <f>tbl_AUSWERTUNG[[#This Row],[AP-S]]-tbl_AUSWERTUNG[[#This Row],[AP-L]]</f>
        <v>0</v>
      </c>
      <c r="Y46" s="27">
        <f>SUMIFS(tbl_SEIN[Time],
            tbl_SEIN[Week], $B46,
            tbl_SEIN[Subject], $C46,
            tbl_SEIN[Process], Y$9)</f>
        <v>0</v>
      </c>
      <c r="Z46" s="33">
        <v>1.7361111111111112E-2</v>
      </c>
      <c r="AA46" s="27">
        <f>tbl_AUSWERTUNG[[#This Row],[PRES-S]]-tbl_AUSWERTUNG[[#This Row],[PRES-L]]</f>
        <v>-1.7361111111111112E-2</v>
      </c>
      <c r="AB46" s="26">
        <f t="shared" si="2"/>
        <v>0.32638888888888884</v>
      </c>
      <c r="AC46" s="27">
        <f t="shared" si="3"/>
        <v>0.21875</v>
      </c>
      <c r="AD46" s="28">
        <f>tbl_AUSWERTUNG[[#This Row],[S]]-tbl_AUSWERTUNG[[#This Row],[L]]</f>
        <v>0.10763888888888884</v>
      </c>
      <c r="AE46" s="34">
        <f>tbl_AUSWERTUNG[[#This Row],[∆]]-SUM(L46,O46)</f>
        <v>0.11805555555555551</v>
      </c>
      <c r="AI46" s="7"/>
    </row>
    <row r="47" spans="2:37" x14ac:dyDescent="0.2">
      <c r="B47" t="s">
        <v>584</v>
      </c>
      <c r="C47" s="24" t="s">
        <v>109</v>
      </c>
      <c r="D47" s="27">
        <f>SUMIFS(tbl_SEIN[Time],
            tbl_SEIN[Week], $B47,
            tbl_SEIN[Subject], $C47,
            tbl_SEIN[Process], D$9)</f>
        <v>0</v>
      </c>
      <c r="E47" s="33">
        <v>0</v>
      </c>
      <c r="F47" s="25">
        <f>tbl_AUSWERTUNG[[#This Row],[AQ-S]]-tbl_AUSWERTUNG[[#This Row],[AQ-L]]</f>
        <v>0</v>
      </c>
      <c r="G47" s="27">
        <f>SUMIFS(tbl_SEIN[Time],
            tbl_SEIN[Week], $B47,
            tbl_SEIN[Subject], $C47,
            tbl_SEIN[Process], G$9)</f>
        <v>0</v>
      </c>
      <c r="H47" s="27"/>
      <c r="I47" s="25">
        <f>tbl_AUSWERTUNG[[#This Row],[MON-S]]-tbl_AUSWERTUNG[[#This Row],[MON-L]]</f>
        <v>0</v>
      </c>
      <c r="J47" s="27">
        <f>SUMIFS(tbl_SEIN[Time],
            tbl_SEIN[Week], $B47,
            tbl_SEIN[Subject], $C47,
            tbl_SEIN[Process], J$9)</f>
        <v>0</v>
      </c>
      <c r="K47" s="33">
        <v>4.1666666666666664E-2</v>
      </c>
      <c r="L47" s="25">
        <f>tbl_AUSWERTUNG[[#This Row],[VL-S]]-tbl_AUSWERTUNG[[#This Row],[VL-L]]</f>
        <v>-4.1666666666666664E-2</v>
      </c>
      <c r="M47" s="27">
        <f>SUMIFS(tbl_SEIN[Time],
            tbl_SEIN[Week], $B47,
            tbl_SEIN[Subject], $C47,
            tbl_SEIN[Process], M$9)</f>
        <v>0</v>
      </c>
      <c r="N47" s="33"/>
      <c r="O47" s="25">
        <f>tbl_AUSWERTUNG[[#This Row],[EX-S]]-tbl_AUSWERTUNG[[#This Row],[EX-L]]</f>
        <v>0</v>
      </c>
      <c r="P47" s="27">
        <f>SUMIFS(tbl_SEIN[Time],
            tbl_SEIN[Week], $B47,
            tbl_SEIN[Subject], $C47,
            tbl_SEIN[Process], P$9)</f>
        <v>0</v>
      </c>
      <c r="Q47" s="33"/>
      <c r="R47" s="25">
        <f>tbl_AUSWERTUNG[[#This Row],[ST-S]]-tbl_AUSWERTUNG[[#This Row],[ST-L]]</f>
        <v>0</v>
      </c>
      <c r="S47" s="27">
        <f>SUMIFS(tbl_SEIN[Time],
            tbl_SEIN[Week], $B47,
            tbl_SEIN[Subject], $C47,
            tbl_SEIN[Process], S$9)</f>
        <v>0</v>
      </c>
      <c r="T47" s="33"/>
      <c r="U47" s="25">
        <f>tbl_AUSWERTUNG[[#This Row],[LRN-S]]-tbl_AUSWERTUNG[[#This Row],[LRN-L]]</f>
        <v>0</v>
      </c>
      <c r="V47" s="27">
        <f>SUMIFS(tbl_SEIN[Time],
            tbl_SEIN[Week], $B47,
            tbl_SEIN[Subject], $C47,
            tbl_SEIN[Process], V$9)</f>
        <v>0</v>
      </c>
      <c r="W47" s="33"/>
      <c r="X47" s="25">
        <f>tbl_AUSWERTUNG[[#This Row],[AP-S]]-tbl_AUSWERTUNG[[#This Row],[AP-L]]</f>
        <v>0</v>
      </c>
      <c r="Y47" s="27">
        <f>SUMIFS(tbl_SEIN[Time],
            tbl_SEIN[Week], $B47,
            tbl_SEIN[Subject], $C47,
            tbl_SEIN[Process], Y$9)</f>
        <v>0</v>
      </c>
      <c r="Z47" s="33"/>
      <c r="AA47" s="27">
        <f>tbl_AUSWERTUNG[[#This Row],[PRES-S]]-tbl_AUSWERTUNG[[#This Row],[PRES-L]]</f>
        <v>0</v>
      </c>
      <c r="AB47" s="26">
        <f t="shared" si="2"/>
        <v>0</v>
      </c>
      <c r="AC47" s="27">
        <f t="shared" si="3"/>
        <v>4.1666666666666664E-2</v>
      </c>
      <c r="AD47" s="28">
        <f>tbl_AUSWERTUNG[[#This Row],[S]]-tbl_AUSWERTUNG[[#This Row],[L]]</f>
        <v>-4.1666666666666664E-2</v>
      </c>
      <c r="AE47" s="34">
        <f>tbl_AUSWERTUNG[[#This Row],[∆]]-SUM(L47,O47)</f>
        <v>0</v>
      </c>
    </row>
    <row r="48" spans="2:37" x14ac:dyDescent="0.2">
      <c r="B48" t="s">
        <v>584</v>
      </c>
      <c r="C48" s="24" t="s">
        <v>110</v>
      </c>
      <c r="D48" s="27">
        <f>SUMIFS(tbl_SEIN[Time],
            tbl_SEIN[Week], $B48,
            tbl_SEIN[Subject], $C48,
            tbl_SEIN[Process], D$9)</f>
        <v>0</v>
      </c>
      <c r="E48" s="33">
        <v>0</v>
      </c>
      <c r="F48" s="25">
        <f>tbl_AUSWERTUNG[[#This Row],[AQ-S]]-tbl_AUSWERTUNG[[#This Row],[AQ-L]]</f>
        <v>0</v>
      </c>
      <c r="G48" s="27">
        <f>SUMIFS(tbl_SEIN[Time],
            tbl_SEIN[Week], $B48,
            tbl_SEIN[Subject], $C48,
            tbl_SEIN[Process], G$9)</f>
        <v>0</v>
      </c>
      <c r="H48" s="27"/>
      <c r="I48" s="25">
        <f>tbl_AUSWERTUNG[[#This Row],[MON-S]]-tbl_AUSWERTUNG[[#This Row],[MON-L]]</f>
        <v>0</v>
      </c>
      <c r="J48" s="27">
        <f>SUMIFS(tbl_SEIN[Time],
            tbl_SEIN[Week], $B48,
            tbl_SEIN[Subject], $C48,
            tbl_SEIN[Process], J$9)</f>
        <v>0</v>
      </c>
      <c r="K48" s="33">
        <v>0</v>
      </c>
      <c r="L48" s="25">
        <f>tbl_AUSWERTUNG[[#This Row],[VL-S]]-tbl_AUSWERTUNG[[#This Row],[VL-L]]</f>
        <v>0</v>
      </c>
      <c r="M48" s="27">
        <f>SUMIFS(tbl_SEIN[Time],
            tbl_SEIN[Week], $B48,
            tbl_SEIN[Subject], $C48,
            tbl_SEIN[Process], M$9)</f>
        <v>0</v>
      </c>
      <c r="N48" s="33"/>
      <c r="O48" s="25">
        <f>tbl_AUSWERTUNG[[#This Row],[EX-S]]-tbl_AUSWERTUNG[[#This Row],[EX-L]]</f>
        <v>0</v>
      </c>
      <c r="P48" s="27">
        <f>SUMIFS(tbl_SEIN[Time],
            tbl_SEIN[Week], $B48,
            tbl_SEIN[Subject], $C48,
            tbl_SEIN[Process], P$9)</f>
        <v>0</v>
      </c>
      <c r="Q48" s="33"/>
      <c r="R48" s="25">
        <f>tbl_AUSWERTUNG[[#This Row],[ST-S]]-tbl_AUSWERTUNG[[#This Row],[ST-L]]</f>
        <v>0</v>
      </c>
      <c r="S48" s="27">
        <f>SUMIFS(tbl_SEIN[Time],
            tbl_SEIN[Week], $B48,
            tbl_SEIN[Subject], $C48,
            tbl_SEIN[Process], S$9)</f>
        <v>0</v>
      </c>
      <c r="T48" s="33"/>
      <c r="U48" s="25">
        <f>tbl_AUSWERTUNG[[#This Row],[LRN-S]]-tbl_AUSWERTUNG[[#This Row],[LRN-L]]</f>
        <v>0</v>
      </c>
      <c r="V48" s="27">
        <f>SUMIFS(tbl_SEIN[Time],
            tbl_SEIN[Week], $B48,
            tbl_SEIN[Subject], $C48,
            tbl_SEIN[Process], V$9)</f>
        <v>0</v>
      </c>
      <c r="W48" s="33"/>
      <c r="X48" s="25">
        <f>tbl_AUSWERTUNG[[#This Row],[AP-S]]-tbl_AUSWERTUNG[[#This Row],[AP-L]]</f>
        <v>0</v>
      </c>
      <c r="Y48" s="27">
        <f>SUMIFS(tbl_SEIN[Time],
            tbl_SEIN[Week], $B48,
            tbl_SEIN[Subject], $C48,
            tbl_SEIN[Process], Y$9)</f>
        <v>0</v>
      </c>
      <c r="Z48" s="33"/>
      <c r="AA48" s="27">
        <f>tbl_AUSWERTUNG[[#This Row],[PRES-S]]-tbl_AUSWERTUNG[[#This Row],[PRES-L]]</f>
        <v>0</v>
      </c>
      <c r="AB48" s="26">
        <f t="shared" si="2"/>
        <v>0</v>
      </c>
      <c r="AC48" s="27">
        <f t="shared" si="3"/>
        <v>0</v>
      </c>
      <c r="AD48" s="28">
        <f>tbl_AUSWERTUNG[[#This Row],[S]]-tbl_AUSWERTUNG[[#This Row],[L]]</f>
        <v>0</v>
      </c>
      <c r="AE48" s="34">
        <f>tbl_AUSWERTUNG[[#This Row],[∆]]-SUM(L48,O48)</f>
        <v>0</v>
      </c>
    </row>
    <row r="49" spans="2:33" x14ac:dyDescent="0.2">
      <c r="B49" t="s">
        <v>584</v>
      </c>
      <c r="C49" s="24" t="s">
        <v>453</v>
      </c>
      <c r="D49" s="27">
        <f>SUMIFS(tbl_SEIN[Time],
            tbl_SEIN[Week], $B49,
            tbl_SEIN[Subject], $C49,
            tbl_SEIN[Process], D$9)</f>
        <v>1.7361111111111112E-2</v>
      </c>
      <c r="E49" s="33">
        <v>6.25E-2</v>
      </c>
      <c r="F49" s="25">
        <f>tbl_AUSWERTUNG[[#This Row],[AQ-S]]-tbl_AUSWERTUNG[[#This Row],[AQ-L]]</f>
        <v>-4.5138888888888888E-2</v>
      </c>
      <c r="G49" s="27">
        <f>SUMIFS(tbl_SEIN[Time],
            tbl_SEIN[Week], $B49,
            tbl_SEIN[Subject], $C49,
            tbl_SEIN[Process], G$9)</f>
        <v>0</v>
      </c>
      <c r="H49" s="27"/>
      <c r="I49" s="25">
        <f>tbl_AUSWERTUNG[[#This Row],[MON-S]]-tbl_AUSWERTUNG[[#This Row],[MON-L]]</f>
        <v>0</v>
      </c>
      <c r="J49" s="27">
        <f>SUMIFS(tbl_SEIN[Time],
            tbl_SEIN[Week], $B49,
            tbl_SEIN[Subject], $C49,
            tbl_SEIN[Process], J$9)</f>
        <v>0</v>
      </c>
      <c r="K49" s="33"/>
      <c r="L49" s="25">
        <f>tbl_AUSWERTUNG[[#This Row],[VL-S]]-tbl_AUSWERTUNG[[#This Row],[VL-L]]</f>
        <v>0</v>
      </c>
      <c r="M49" s="27">
        <f>SUMIFS(tbl_SEIN[Time],
            tbl_SEIN[Week], $B49,
            tbl_SEIN[Subject], $C49,
            tbl_SEIN[Process], M$9)</f>
        <v>0</v>
      </c>
      <c r="N49" s="33">
        <v>7.2916666666666671E-2</v>
      </c>
      <c r="O49" s="25">
        <f>tbl_AUSWERTUNG[[#This Row],[EX-S]]-tbl_AUSWERTUNG[[#This Row],[EX-L]]</f>
        <v>-7.2916666666666671E-2</v>
      </c>
      <c r="P49" s="27">
        <f>SUMIFS(tbl_SEIN[Time],
            tbl_SEIN[Week], $B49,
            tbl_SEIN[Subject], $C49,
            tbl_SEIN[Process], P$9)</f>
        <v>0</v>
      </c>
      <c r="Q49" s="33"/>
      <c r="R49" s="25">
        <f>tbl_AUSWERTUNG[[#This Row],[ST-S]]-tbl_AUSWERTUNG[[#This Row],[ST-L]]</f>
        <v>0</v>
      </c>
      <c r="S49" s="27">
        <f>SUMIFS(tbl_SEIN[Time],
            tbl_SEIN[Week], $B49,
            tbl_SEIN[Subject], $C49,
            tbl_SEIN[Process], S$9)</f>
        <v>0</v>
      </c>
      <c r="T49" s="33"/>
      <c r="U49" s="25">
        <f>tbl_AUSWERTUNG[[#This Row],[LRN-S]]-tbl_AUSWERTUNG[[#This Row],[LRN-L]]</f>
        <v>0</v>
      </c>
      <c r="V49" s="27">
        <f>SUMIFS(tbl_SEIN[Time],
            tbl_SEIN[Week], $B49,
            tbl_SEIN[Subject], $C49,
            tbl_SEIN[Process], V$9)</f>
        <v>0.11458333333333333</v>
      </c>
      <c r="W49" s="33">
        <v>6.25E-2</v>
      </c>
      <c r="X49" s="25">
        <f>tbl_AUSWERTUNG[[#This Row],[AP-S]]-tbl_AUSWERTUNG[[#This Row],[AP-L]]</f>
        <v>5.2083333333333329E-2</v>
      </c>
      <c r="Y49" s="27">
        <f>SUMIFS(tbl_SEIN[Time],
            tbl_SEIN[Week], $B49,
            tbl_SEIN[Subject], $C49,
            tbl_SEIN[Process], Y$9)</f>
        <v>0</v>
      </c>
      <c r="Z49" s="33"/>
      <c r="AA49" s="27">
        <f>tbl_AUSWERTUNG[[#This Row],[PRES-S]]-tbl_AUSWERTUNG[[#This Row],[PRES-L]]</f>
        <v>0</v>
      </c>
      <c r="AB49" s="26">
        <f t="shared" si="2"/>
        <v>0.13194444444444445</v>
      </c>
      <c r="AC49" s="27">
        <f t="shared" si="3"/>
        <v>0.19791666666666669</v>
      </c>
      <c r="AD49" s="28">
        <f>tbl_AUSWERTUNG[[#This Row],[S]]-tbl_AUSWERTUNG[[#This Row],[L]]</f>
        <v>-6.5972222222222238E-2</v>
      </c>
      <c r="AE49" s="34">
        <f>tbl_AUSWERTUNG[[#This Row],[∆]]-SUM(L49,O49)</f>
        <v>6.9444444444444337E-3</v>
      </c>
    </row>
    <row r="50" spans="2:33" x14ac:dyDescent="0.2">
      <c r="B50" t="s">
        <v>584</v>
      </c>
      <c r="C50" s="24" t="s">
        <v>361</v>
      </c>
      <c r="D50" s="27">
        <f>SUMIFS(tbl_SEIN[Time],
            tbl_SEIN[Week], $B50,
            tbl_SEIN[Subject], $C50,
            tbl_SEIN[Process], D$9)</f>
        <v>0.10763888888888888</v>
      </c>
      <c r="E50" s="33">
        <v>8.3333333333333329E-2</v>
      </c>
      <c r="F50" s="25">
        <f>tbl_AUSWERTUNG[[#This Row],[AQ-S]]-tbl_AUSWERTUNG[[#This Row],[AQ-L]]</f>
        <v>2.4305555555555552E-2</v>
      </c>
      <c r="G50" s="27">
        <f>SUMIFS(tbl_SEIN[Time],
            tbl_SEIN[Week], $B50,
            tbl_SEIN[Subject], $C50,
            tbl_SEIN[Process], G$9)</f>
        <v>4.1666666666666664E-2</v>
      </c>
      <c r="H50" s="27"/>
      <c r="I50" s="25">
        <f>tbl_AUSWERTUNG[[#This Row],[MON-S]]-tbl_AUSWERTUNG[[#This Row],[MON-L]]</f>
        <v>4.1666666666666664E-2</v>
      </c>
      <c r="J50" s="27">
        <f>SUMIFS(tbl_SEIN[Time],
            tbl_SEIN[Week], $B50,
            tbl_SEIN[Subject], $C50,
            tbl_SEIN[Process], J$9)</f>
        <v>0</v>
      </c>
      <c r="K50" s="33">
        <v>7.2916666666666671E-2</v>
      </c>
      <c r="L50" s="25">
        <f>tbl_AUSWERTUNG[[#This Row],[VL-S]]-tbl_AUSWERTUNG[[#This Row],[VL-L]]</f>
        <v>-7.2916666666666671E-2</v>
      </c>
      <c r="M50" s="27">
        <f>SUMIFS(tbl_SEIN[Time],
            tbl_SEIN[Week], $B50,
            tbl_SEIN[Subject], $C50,
            tbl_SEIN[Process], M$9)</f>
        <v>6.25E-2</v>
      </c>
      <c r="N50" s="33">
        <v>7.2916666666666671E-2</v>
      </c>
      <c r="O50" s="25">
        <f>tbl_AUSWERTUNG[[#This Row],[EX-S]]-tbl_AUSWERTUNG[[#This Row],[EX-L]]</f>
        <v>-1.0416666666666671E-2</v>
      </c>
      <c r="P50" s="27">
        <f>SUMIFS(tbl_SEIN[Time],
            tbl_SEIN[Week], $B50,
            tbl_SEIN[Subject], $C50,
            tbl_SEIN[Process], P$9)</f>
        <v>0</v>
      </c>
      <c r="Q50" s="33"/>
      <c r="R50" s="25">
        <f>tbl_AUSWERTUNG[[#This Row],[ST-S]]-tbl_AUSWERTUNG[[#This Row],[ST-L]]</f>
        <v>0</v>
      </c>
      <c r="S50" s="27">
        <f>SUMIFS(tbl_SEIN[Time],
            tbl_SEIN[Week], $B50,
            tbl_SEIN[Subject], $C50,
            tbl_SEIN[Process], S$9)</f>
        <v>0</v>
      </c>
      <c r="T50" s="33"/>
      <c r="U50" s="25">
        <f>tbl_AUSWERTUNG[[#This Row],[LRN-S]]-tbl_AUSWERTUNG[[#This Row],[LRN-L]]</f>
        <v>0</v>
      </c>
      <c r="V50" s="27">
        <f>SUMIFS(tbl_SEIN[Time],
            tbl_SEIN[Week], $B50,
            tbl_SEIN[Subject], $C50,
            tbl_SEIN[Process], V$9)</f>
        <v>0.1111111111111111</v>
      </c>
      <c r="W50" s="33">
        <v>8.3333333333333329E-2</v>
      </c>
      <c r="X50" s="25">
        <f>tbl_AUSWERTUNG[[#This Row],[AP-S]]-tbl_AUSWERTUNG[[#This Row],[AP-L]]</f>
        <v>2.7777777777777776E-2</v>
      </c>
      <c r="Y50" s="27">
        <f>SUMIFS(tbl_SEIN[Time],
            tbl_SEIN[Week], $B50,
            tbl_SEIN[Subject], $C50,
            tbl_SEIN[Process], Y$9)</f>
        <v>0</v>
      </c>
      <c r="Z50" s="33"/>
      <c r="AA50" s="27">
        <f>tbl_AUSWERTUNG[[#This Row],[PRES-S]]-tbl_AUSWERTUNG[[#This Row],[PRES-L]]</f>
        <v>0</v>
      </c>
      <c r="AB50" s="26">
        <f t="shared" si="2"/>
        <v>0.32291666666666669</v>
      </c>
      <c r="AC50" s="27">
        <f t="shared" si="3"/>
        <v>0.3125</v>
      </c>
      <c r="AD50" s="28">
        <f>tbl_AUSWERTUNG[[#This Row],[S]]-tbl_AUSWERTUNG[[#This Row],[L]]</f>
        <v>1.0416666666666685E-2</v>
      </c>
      <c r="AE50" s="34">
        <f>tbl_AUSWERTUNG[[#This Row],[∆]]-SUM(L50,O50)</f>
        <v>9.3750000000000028E-2</v>
      </c>
    </row>
    <row r="51" spans="2:33" x14ac:dyDescent="0.2">
      <c r="B51" t="s">
        <v>584</v>
      </c>
      <c r="C51" s="55" t="s">
        <v>24</v>
      </c>
      <c r="D51" s="27">
        <f>SUMIFS(tbl_SEIN[Time],
            tbl_SEIN[Week], $B51,
            tbl_SEIN[Subject], $C51,
            tbl_SEIN[Process], D$9)</f>
        <v>0</v>
      </c>
      <c r="E51" s="33">
        <v>3.125E-2</v>
      </c>
      <c r="F51" s="25">
        <f>tbl_AUSWERTUNG[[#This Row],[AQ-S]]-tbl_AUSWERTUNG[[#This Row],[AQ-L]]</f>
        <v>-3.125E-2</v>
      </c>
      <c r="G51" s="27">
        <f>SUMIFS(tbl_SEIN[Time],
            tbl_SEIN[Week], $B51,
            tbl_SEIN[Subject], $C51,
            tbl_SEIN[Process], G$9)</f>
        <v>0</v>
      </c>
      <c r="H51" s="27"/>
      <c r="I51" s="25">
        <f>tbl_AUSWERTUNG[[#This Row],[MON-S]]-tbl_AUSWERTUNG[[#This Row],[MON-L]]</f>
        <v>0</v>
      </c>
      <c r="J51" s="27">
        <f>SUMIFS(tbl_SEIN[Time],
            tbl_SEIN[Week], $B51,
            tbl_SEIN[Subject], $C51,
            tbl_SEIN[Process], J$9)</f>
        <v>0</v>
      </c>
      <c r="K51" s="33">
        <v>7.2916666666666671E-2</v>
      </c>
      <c r="L51" s="25">
        <f>tbl_AUSWERTUNG[[#This Row],[VL-S]]-tbl_AUSWERTUNG[[#This Row],[VL-L]]</f>
        <v>-7.2916666666666671E-2</v>
      </c>
      <c r="M51" s="27">
        <f>SUMIFS(tbl_SEIN[Time],
            tbl_SEIN[Week], $B51,
            tbl_SEIN[Subject], $C51,
            tbl_SEIN[Process], M$9)</f>
        <v>0</v>
      </c>
      <c r="N51" s="33"/>
      <c r="O51" s="25">
        <f>tbl_AUSWERTUNG[[#This Row],[EX-S]]-tbl_AUSWERTUNG[[#This Row],[EX-L]]</f>
        <v>0</v>
      </c>
      <c r="P51" s="27">
        <f>SUMIFS(tbl_SEIN[Time],
            tbl_SEIN[Week], $B51,
            tbl_SEIN[Subject], $C51,
            tbl_SEIN[Process], P$9)</f>
        <v>0</v>
      </c>
      <c r="Q51" s="33"/>
      <c r="R51" s="25">
        <f>tbl_AUSWERTUNG[[#This Row],[ST-S]]-tbl_AUSWERTUNG[[#This Row],[ST-L]]</f>
        <v>0</v>
      </c>
      <c r="S51" s="27">
        <f>SUMIFS(tbl_SEIN[Time],
            tbl_SEIN[Week], $B51,
            tbl_SEIN[Subject], $C51,
            tbl_SEIN[Process], S$9)</f>
        <v>0</v>
      </c>
      <c r="T51" s="33"/>
      <c r="U51" s="25">
        <f>tbl_AUSWERTUNG[[#This Row],[LRN-S]]-tbl_AUSWERTUNG[[#This Row],[LRN-L]]</f>
        <v>0</v>
      </c>
      <c r="V51" s="27">
        <f>SUMIFS(tbl_SEIN[Time],
            tbl_SEIN[Week], $B51,
            tbl_SEIN[Subject], $C51,
            tbl_SEIN[Process], V$9)</f>
        <v>0</v>
      </c>
      <c r="W51" s="33">
        <v>5.2083333333333336E-2</v>
      </c>
      <c r="X51" s="25">
        <f>tbl_AUSWERTUNG[[#This Row],[AP-S]]-tbl_AUSWERTUNG[[#This Row],[AP-L]]</f>
        <v>-5.2083333333333336E-2</v>
      </c>
      <c r="Y51" s="27">
        <f>SUMIFS(tbl_SEIN[Time],
            tbl_SEIN[Week], $B51,
            tbl_SEIN[Subject], $C51,
            tbl_SEIN[Process], Y$9)</f>
        <v>0</v>
      </c>
      <c r="Z51" s="33"/>
      <c r="AA51" s="27">
        <f>tbl_AUSWERTUNG[[#This Row],[PRES-S]]-tbl_AUSWERTUNG[[#This Row],[PRES-L]]</f>
        <v>0</v>
      </c>
      <c r="AB51" s="26">
        <f t="shared" si="2"/>
        <v>0</v>
      </c>
      <c r="AC51" s="27">
        <f t="shared" si="3"/>
        <v>0.15625</v>
      </c>
      <c r="AD51" s="28">
        <f>tbl_AUSWERTUNG[[#This Row],[S]]-tbl_AUSWERTUNG[[#This Row],[L]]</f>
        <v>-0.15625</v>
      </c>
      <c r="AE51" s="34">
        <f>tbl_AUSWERTUNG[[#This Row],[∆]]-SUM(L51,O51)</f>
        <v>-8.3333333333333329E-2</v>
      </c>
    </row>
    <row r="52" spans="2:33" x14ac:dyDescent="0.2">
      <c r="B52" s="72" t="s">
        <v>824</v>
      </c>
      <c r="C52" s="74" t="s">
        <v>107</v>
      </c>
      <c r="D52" s="77">
        <f>SUMIFS(tbl_SEIN[Time],
            tbl_SEIN[Week], $B52,
            tbl_SEIN[Subject], $C52,
            tbl_SEIN[Process], D$9)</f>
        <v>0</v>
      </c>
      <c r="E52" s="79">
        <v>7.2916666666666671E-2</v>
      </c>
      <c r="F52" s="81">
        <f>tbl_AUSWERTUNG[[#This Row],[AQ-S]]-tbl_AUSWERTUNG[[#This Row],[AQ-L]]</f>
        <v>-7.2916666666666671E-2</v>
      </c>
      <c r="G52" s="77">
        <f>SUMIFS(tbl_SEIN[Time],
            tbl_SEIN[Week], $B52,
            tbl_SEIN[Subject], $C52,
            tbl_SEIN[Process], G$9)</f>
        <v>0</v>
      </c>
      <c r="H52" s="77"/>
      <c r="I52" s="81">
        <f>tbl_AUSWERTUNG[[#This Row],[MON-S]]-tbl_AUSWERTUNG[[#This Row],[MON-L]]</f>
        <v>0</v>
      </c>
      <c r="J52" s="77">
        <f>SUMIFS(tbl_SEIN[Time],
            tbl_SEIN[Week], $B52,
            tbl_SEIN[Subject], $C52,
            tbl_SEIN[Process], J$9)</f>
        <v>0</v>
      </c>
      <c r="K52" s="79">
        <v>7.2916666666666671E-2</v>
      </c>
      <c r="L52" s="81">
        <f>tbl_AUSWERTUNG[[#This Row],[VL-S]]-tbl_AUSWERTUNG[[#This Row],[VL-L]]</f>
        <v>-7.2916666666666671E-2</v>
      </c>
      <c r="M52" s="77">
        <f>SUMIFS(tbl_SEIN[Time],
            tbl_SEIN[Week], $B52,
            tbl_SEIN[Subject], $C52,
            tbl_SEIN[Process], M$9)</f>
        <v>0</v>
      </c>
      <c r="N52" s="79">
        <v>3.125E-2</v>
      </c>
      <c r="O52" s="81">
        <f>tbl_AUSWERTUNG[[#This Row],[EX-S]]-tbl_AUSWERTUNG[[#This Row],[EX-L]]</f>
        <v>-3.125E-2</v>
      </c>
      <c r="P52" s="77">
        <f>SUMIFS(tbl_SEIN[Time],
            tbl_SEIN[Week], $B52,
            tbl_SEIN[Subject], $C52,
            tbl_SEIN[Process], P$9)</f>
        <v>0</v>
      </c>
      <c r="Q52" s="79"/>
      <c r="R52" s="81">
        <f>tbl_AUSWERTUNG[[#This Row],[ST-S]]-tbl_AUSWERTUNG[[#This Row],[ST-L]]</f>
        <v>0</v>
      </c>
      <c r="S52" s="77">
        <f>SUMIFS(tbl_SEIN[Time],
            tbl_SEIN[Week], $B52,
            tbl_SEIN[Subject], $C52,
            tbl_SEIN[Process], S$9)</f>
        <v>0</v>
      </c>
      <c r="T52" s="79"/>
      <c r="U52" s="81">
        <f>tbl_AUSWERTUNG[[#This Row],[LRN-S]]-tbl_AUSWERTUNG[[#This Row],[LRN-L]]</f>
        <v>0</v>
      </c>
      <c r="V52" s="77">
        <f>SUMIFS(tbl_SEIN[Time],
            tbl_SEIN[Week], $B52,
            tbl_SEIN[Subject], $C52,
            tbl_SEIN[Process], V$9)</f>
        <v>7.2916666666666671E-2</v>
      </c>
      <c r="W52" s="79">
        <v>6.25E-2</v>
      </c>
      <c r="X52" s="81">
        <f>tbl_AUSWERTUNG[[#This Row],[AP-S]]-tbl_AUSWERTUNG[[#This Row],[AP-L]]</f>
        <v>1.0416666666666671E-2</v>
      </c>
      <c r="Y52" s="77">
        <f>SUMIFS(tbl_SEIN[Time],
            tbl_SEIN[Week], $B52,
            tbl_SEIN[Subject], $C52,
            tbl_SEIN[Process], Y$9)</f>
        <v>0</v>
      </c>
      <c r="Z52" s="79"/>
      <c r="AA52" s="77">
        <f>tbl_AUSWERTUNG[[#This Row],[PRES-S]]-tbl_AUSWERTUNG[[#This Row],[PRES-L]]</f>
        <v>0</v>
      </c>
      <c r="AB52" s="83">
        <f t="shared" ref="AB52:AB61" si="4">SUM(D52,J52,M52,P52,S52,V52,Y52,G52)</f>
        <v>7.2916666666666671E-2</v>
      </c>
      <c r="AC52" s="81">
        <f t="shared" ref="AC52:AC61" si="5">SUM(E52,K52,N52,Q52,T52,W52,Z52,H52)</f>
        <v>0.23958333333333334</v>
      </c>
      <c r="AD52" s="85">
        <f>tbl_AUSWERTUNG[[#This Row],[S]]-tbl_AUSWERTUNG[[#This Row],[L]]</f>
        <v>-0.16666666666666669</v>
      </c>
      <c r="AE52" s="87">
        <f>tbl_AUSWERTUNG[[#This Row],[∆]]-SUM(L52,O52)</f>
        <v>-6.2500000000000014E-2</v>
      </c>
    </row>
    <row r="53" spans="2:33" x14ac:dyDescent="0.2">
      <c r="B53" s="73" t="s">
        <v>824</v>
      </c>
      <c r="C53" s="75" t="s">
        <v>20</v>
      </c>
      <c r="D53" s="78">
        <f>SUMIFS(tbl_SEIN[Time],
            tbl_SEIN[Week], $B53,
            tbl_SEIN[Subject], $C53,
            tbl_SEIN[Process], D$9)</f>
        <v>0</v>
      </c>
      <c r="E53" s="80">
        <v>8.3333333333333329E-2</v>
      </c>
      <c r="F53" s="82">
        <f>tbl_AUSWERTUNG[[#This Row],[AQ-S]]-tbl_AUSWERTUNG[[#This Row],[AQ-L]]</f>
        <v>-8.3333333333333329E-2</v>
      </c>
      <c r="G53" s="78">
        <f>SUMIFS(tbl_SEIN[Time],
            tbl_SEIN[Week], $B53,
            tbl_SEIN[Subject], $C53,
            tbl_SEIN[Process], G$9)</f>
        <v>0</v>
      </c>
      <c r="H53" s="78"/>
      <c r="I53" s="82">
        <f>tbl_AUSWERTUNG[[#This Row],[MON-S]]-tbl_AUSWERTUNG[[#This Row],[MON-L]]</f>
        <v>0</v>
      </c>
      <c r="J53" s="78">
        <f>SUMIFS(tbl_SEIN[Time],
            tbl_SEIN[Week], $B53,
            tbl_SEIN[Subject], $C53,
            tbl_SEIN[Process], J$9)</f>
        <v>0</v>
      </c>
      <c r="K53" s="80"/>
      <c r="L53" s="82">
        <f>tbl_AUSWERTUNG[[#This Row],[VL-S]]-tbl_AUSWERTUNG[[#This Row],[VL-L]]</f>
        <v>0</v>
      </c>
      <c r="M53" s="78">
        <f>SUMIFS(tbl_SEIN[Time],
            tbl_SEIN[Week], $B53,
            tbl_SEIN[Subject], $C53,
            tbl_SEIN[Process], M$9)</f>
        <v>0</v>
      </c>
      <c r="N53" s="80"/>
      <c r="O53" s="82">
        <f>tbl_AUSWERTUNG[[#This Row],[EX-S]]-tbl_AUSWERTUNG[[#This Row],[EX-L]]</f>
        <v>0</v>
      </c>
      <c r="P53" s="78">
        <f>SUMIFS(tbl_SEIN[Time],
            tbl_SEIN[Week], $B53,
            tbl_SEIN[Subject], $C53,
            tbl_SEIN[Process], P$9)</f>
        <v>0</v>
      </c>
      <c r="Q53" s="80"/>
      <c r="R53" s="82">
        <f>tbl_AUSWERTUNG[[#This Row],[ST-S]]-tbl_AUSWERTUNG[[#This Row],[ST-L]]</f>
        <v>0</v>
      </c>
      <c r="S53" s="78">
        <f>SUMIFS(tbl_SEIN[Time],
            tbl_SEIN[Week], $B53,
            tbl_SEIN[Subject], $C53,
            tbl_SEIN[Process], S$9)</f>
        <v>0</v>
      </c>
      <c r="T53" s="80"/>
      <c r="U53" s="82">
        <f>tbl_AUSWERTUNG[[#This Row],[LRN-S]]-tbl_AUSWERTUNG[[#This Row],[LRN-L]]</f>
        <v>0</v>
      </c>
      <c r="V53" s="78">
        <f>SUMIFS(tbl_SEIN[Time],
            tbl_SEIN[Week], $B53,
            tbl_SEIN[Subject], $C53,
            tbl_SEIN[Process], V$9)</f>
        <v>0</v>
      </c>
      <c r="W53" s="80"/>
      <c r="X53" s="82">
        <f>tbl_AUSWERTUNG[[#This Row],[AP-S]]-tbl_AUSWERTUNG[[#This Row],[AP-L]]</f>
        <v>0</v>
      </c>
      <c r="Y53" s="78">
        <f>SUMIFS(tbl_SEIN[Time],
            tbl_SEIN[Week], $B53,
            tbl_SEIN[Subject], $C53,
            tbl_SEIN[Process], Y$9)</f>
        <v>0</v>
      </c>
      <c r="Z53" s="80"/>
      <c r="AA53" s="78">
        <f>tbl_AUSWERTUNG[[#This Row],[PRES-S]]-tbl_AUSWERTUNG[[#This Row],[PRES-L]]</f>
        <v>0</v>
      </c>
      <c r="AB53" s="84">
        <f t="shared" si="4"/>
        <v>0</v>
      </c>
      <c r="AC53" s="78">
        <f t="shared" si="5"/>
        <v>8.3333333333333329E-2</v>
      </c>
      <c r="AD53" s="86">
        <f>tbl_AUSWERTUNG[[#This Row],[S]]-tbl_AUSWERTUNG[[#This Row],[L]]</f>
        <v>-8.3333333333333329E-2</v>
      </c>
      <c r="AE53" s="88">
        <f>tbl_AUSWERTUNG[[#This Row],[∆]]-SUM(L53,O53)</f>
        <v>-8.3333333333333329E-2</v>
      </c>
    </row>
    <row r="54" spans="2:33" x14ac:dyDescent="0.2">
      <c r="B54" s="73" t="s">
        <v>824</v>
      </c>
      <c r="C54" s="76" t="s">
        <v>108</v>
      </c>
      <c r="D54" s="78">
        <f>SUMIFS(tbl_SEIN[Time],
            tbl_SEIN[Week], $B54,
            tbl_SEIN[Subject], $C54,
            tbl_SEIN[Process], D$9)</f>
        <v>0</v>
      </c>
      <c r="E54" s="80">
        <v>6.25E-2</v>
      </c>
      <c r="F54" s="82">
        <f>tbl_AUSWERTUNG[[#This Row],[AQ-S]]-tbl_AUSWERTUNG[[#This Row],[AQ-L]]</f>
        <v>-6.25E-2</v>
      </c>
      <c r="G54" s="78">
        <f>SUMIFS(tbl_SEIN[Time],
            tbl_SEIN[Week], $B54,
            tbl_SEIN[Subject], $C54,
            tbl_SEIN[Process], G$9)</f>
        <v>0</v>
      </c>
      <c r="H54" s="78"/>
      <c r="I54" s="82">
        <f>tbl_AUSWERTUNG[[#This Row],[MON-S]]-tbl_AUSWERTUNG[[#This Row],[MON-L]]</f>
        <v>0</v>
      </c>
      <c r="J54" s="78">
        <f>SUMIFS(tbl_SEIN[Time],
            tbl_SEIN[Week], $B54,
            tbl_SEIN[Subject], $C54,
            tbl_SEIN[Process], J$9)</f>
        <v>6.25E-2</v>
      </c>
      <c r="K54" s="80">
        <v>7.2916666666666671E-2</v>
      </c>
      <c r="L54" s="82">
        <f>tbl_AUSWERTUNG[[#This Row],[VL-S]]-tbl_AUSWERTUNG[[#This Row],[VL-L]]</f>
        <v>-1.0416666666666671E-2</v>
      </c>
      <c r="M54" s="78">
        <f>SUMIFS(tbl_SEIN[Time],
            tbl_SEIN[Week], $B54,
            tbl_SEIN[Subject], $C54,
            tbl_SEIN[Process], M$9)</f>
        <v>0</v>
      </c>
      <c r="N54" s="80"/>
      <c r="O54" s="82">
        <f>tbl_AUSWERTUNG[[#This Row],[EX-S]]-tbl_AUSWERTUNG[[#This Row],[EX-L]]</f>
        <v>0</v>
      </c>
      <c r="P54" s="78">
        <f>SUMIFS(tbl_SEIN[Time],
            tbl_SEIN[Week], $B54,
            tbl_SEIN[Subject], $C54,
            tbl_SEIN[Process], P$9)</f>
        <v>0</v>
      </c>
      <c r="Q54" s="80"/>
      <c r="R54" s="82">
        <f>tbl_AUSWERTUNG[[#This Row],[ST-S]]-tbl_AUSWERTUNG[[#This Row],[ST-L]]</f>
        <v>0</v>
      </c>
      <c r="S54" s="78">
        <f>SUMIFS(tbl_SEIN[Time],
            tbl_SEIN[Week], $B54,
            tbl_SEIN[Subject], $C54,
            tbl_SEIN[Process], S$9)</f>
        <v>0</v>
      </c>
      <c r="T54" s="80"/>
      <c r="U54" s="82">
        <f>tbl_AUSWERTUNG[[#This Row],[LRN-S]]-tbl_AUSWERTUNG[[#This Row],[LRN-L]]</f>
        <v>0</v>
      </c>
      <c r="V54" s="78">
        <f>SUMIFS(tbl_SEIN[Time],
            tbl_SEIN[Week], $B54,
            tbl_SEIN[Subject], $C54,
            tbl_SEIN[Process], V$9)</f>
        <v>4.1666666666666664E-2</v>
      </c>
      <c r="W54" s="80"/>
      <c r="X54" s="82">
        <f>tbl_AUSWERTUNG[[#This Row],[AP-S]]-tbl_AUSWERTUNG[[#This Row],[AP-L]]</f>
        <v>4.1666666666666664E-2</v>
      </c>
      <c r="Y54" s="78">
        <f>SUMIFS(tbl_SEIN[Time],
            tbl_SEIN[Week], $B54,
            tbl_SEIN[Subject], $C54,
            tbl_SEIN[Process], Y$9)</f>
        <v>0</v>
      </c>
      <c r="Z54" s="80"/>
      <c r="AA54" s="78">
        <f>tbl_AUSWERTUNG[[#This Row],[PRES-S]]-tbl_AUSWERTUNG[[#This Row],[PRES-L]]</f>
        <v>0</v>
      </c>
      <c r="AB54" s="84">
        <f t="shared" si="4"/>
        <v>0.10416666666666666</v>
      </c>
      <c r="AC54" s="78">
        <f t="shared" si="5"/>
        <v>0.13541666666666669</v>
      </c>
      <c r="AD54" s="86">
        <f>tbl_AUSWERTUNG[[#This Row],[S]]-tbl_AUSWERTUNG[[#This Row],[L]]</f>
        <v>-3.1250000000000028E-2</v>
      </c>
      <c r="AE54" s="88">
        <f>tbl_AUSWERTUNG[[#This Row],[∆]]-SUM(L54,O54)</f>
        <v>-2.0833333333333356E-2</v>
      </c>
    </row>
    <row r="55" spans="2:33" x14ac:dyDescent="0.2">
      <c r="B55" s="73" t="s">
        <v>824</v>
      </c>
      <c r="C55" s="76" t="s">
        <v>106</v>
      </c>
      <c r="D55" s="78">
        <f>SUMIFS(tbl_SEIN[Time],
            tbl_SEIN[Week], $B55,
            tbl_SEIN[Subject], $C55,
            tbl_SEIN[Process], D$9)</f>
        <v>0.1736111111111111</v>
      </c>
      <c r="E55" s="80">
        <v>0.12847222222222224</v>
      </c>
      <c r="F55" s="82">
        <f>tbl_AUSWERTUNG[[#This Row],[AQ-S]]-tbl_AUSWERTUNG[[#This Row],[AQ-L]]</f>
        <v>4.5138888888888867E-2</v>
      </c>
      <c r="G55" s="78">
        <f>SUMIFS(tbl_SEIN[Time],
            tbl_SEIN[Week], $B55,
            tbl_SEIN[Subject], $C55,
            tbl_SEIN[Process], G$9)</f>
        <v>0</v>
      </c>
      <c r="H55" s="78"/>
      <c r="I55" s="82">
        <f>tbl_AUSWERTUNG[[#This Row],[MON-S]]-tbl_AUSWERTUNG[[#This Row],[MON-L]]</f>
        <v>0</v>
      </c>
      <c r="J55" s="78">
        <f>SUMIFS(tbl_SEIN[Time],
            tbl_SEIN[Week], $B55,
            tbl_SEIN[Subject], $C55,
            tbl_SEIN[Process], J$9)</f>
        <v>6.25E-2</v>
      </c>
      <c r="K55" s="80">
        <v>7.2916666666666671E-2</v>
      </c>
      <c r="L55" s="82">
        <f>tbl_AUSWERTUNG[[#This Row],[VL-S]]-tbl_AUSWERTUNG[[#This Row],[VL-L]]</f>
        <v>-1.0416666666666671E-2</v>
      </c>
      <c r="M55" s="78">
        <f>SUMIFS(tbl_SEIN[Time],
            tbl_SEIN[Week], $B55,
            tbl_SEIN[Subject], $C55,
            tbl_SEIN[Process], M$9)</f>
        <v>0</v>
      </c>
      <c r="N55" s="80"/>
      <c r="O55" s="82">
        <f>tbl_AUSWERTUNG[[#This Row],[EX-S]]-tbl_AUSWERTUNG[[#This Row],[EX-L]]</f>
        <v>0</v>
      </c>
      <c r="P55" s="78">
        <f>SUMIFS(tbl_SEIN[Time],
            tbl_SEIN[Week], $B55,
            tbl_SEIN[Subject], $C55,
            tbl_SEIN[Process], P$9)</f>
        <v>7.6388888888888895E-2</v>
      </c>
      <c r="Q55" s="80"/>
      <c r="R55" s="82">
        <f>tbl_AUSWERTUNG[[#This Row],[ST-S]]-tbl_AUSWERTUNG[[#This Row],[ST-L]]</f>
        <v>7.6388888888888895E-2</v>
      </c>
      <c r="S55" s="78">
        <f>SUMIFS(tbl_SEIN[Time],
            tbl_SEIN[Week], $B55,
            tbl_SEIN[Subject], $C55,
            tbl_SEIN[Process], S$9)</f>
        <v>0</v>
      </c>
      <c r="T55" s="80"/>
      <c r="U55" s="82">
        <f>tbl_AUSWERTUNG[[#This Row],[LRN-S]]-tbl_AUSWERTUNG[[#This Row],[LRN-L]]</f>
        <v>0</v>
      </c>
      <c r="V55" s="78">
        <f>SUMIFS(tbl_SEIN[Time],
            tbl_SEIN[Week], $B55,
            tbl_SEIN[Subject], $C55,
            tbl_SEIN[Process], V$9)</f>
        <v>0</v>
      </c>
      <c r="W55" s="80"/>
      <c r="X55" s="82">
        <f>tbl_AUSWERTUNG[[#This Row],[AP-S]]-tbl_AUSWERTUNG[[#This Row],[AP-L]]</f>
        <v>0</v>
      </c>
      <c r="Y55" s="78">
        <f>SUMIFS(tbl_SEIN[Time],
            tbl_SEIN[Week], $B55,
            tbl_SEIN[Subject], $C55,
            tbl_SEIN[Process], Y$9)</f>
        <v>0</v>
      </c>
      <c r="Z55" s="80">
        <v>1.7361111111111112E-2</v>
      </c>
      <c r="AA55" s="78">
        <f>tbl_AUSWERTUNG[[#This Row],[PRES-S]]-tbl_AUSWERTUNG[[#This Row],[PRES-L]]</f>
        <v>-1.7361111111111112E-2</v>
      </c>
      <c r="AB55" s="84">
        <f t="shared" si="4"/>
        <v>0.3125</v>
      </c>
      <c r="AC55" s="78">
        <f t="shared" si="5"/>
        <v>0.21875</v>
      </c>
      <c r="AD55" s="86">
        <f>tbl_AUSWERTUNG[[#This Row],[S]]-tbl_AUSWERTUNG[[#This Row],[L]]</f>
        <v>9.375E-2</v>
      </c>
      <c r="AE55" s="88">
        <f>tbl_AUSWERTUNG[[#This Row],[∆]]-SUM(L55,O55)</f>
        <v>0.10416666666666667</v>
      </c>
      <c r="AG55" s="7"/>
    </row>
    <row r="56" spans="2:33" x14ac:dyDescent="0.2">
      <c r="B56" s="73" t="s">
        <v>824</v>
      </c>
      <c r="C56" s="76" t="s">
        <v>109</v>
      </c>
      <c r="D56" s="78">
        <f>SUMIFS(tbl_SEIN[Time],
            tbl_SEIN[Week], $B56,
            tbl_SEIN[Subject], $C56,
            tbl_SEIN[Process], D$9)</f>
        <v>0</v>
      </c>
      <c r="E56" s="80">
        <v>0</v>
      </c>
      <c r="F56" s="82">
        <f>tbl_AUSWERTUNG[[#This Row],[AQ-S]]-tbl_AUSWERTUNG[[#This Row],[AQ-L]]</f>
        <v>0</v>
      </c>
      <c r="G56" s="78">
        <f>SUMIFS(tbl_SEIN[Time],
            tbl_SEIN[Week], $B56,
            tbl_SEIN[Subject], $C56,
            tbl_SEIN[Process], G$9)</f>
        <v>0</v>
      </c>
      <c r="H56" s="78"/>
      <c r="I56" s="82">
        <f>tbl_AUSWERTUNG[[#This Row],[MON-S]]-tbl_AUSWERTUNG[[#This Row],[MON-L]]</f>
        <v>0</v>
      </c>
      <c r="J56" s="78">
        <f>SUMIFS(tbl_SEIN[Time],
            tbl_SEIN[Week], $B56,
            tbl_SEIN[Subject], $C56,
            tbl_SEIN[Process], J$9)</f>
        <v>0</v>
      </c>
      <c r="K56" s="80">
        <v>4.1666666666666664E-2</v>
      </c>
      <c r="L56" s="82">
        <f>tbl_AUSWERTUNG[[#This Row],[VL-S]]-tbl_AUSWERTUNG[[#This Row],[VL-L]]</f>
        <v>-4.1666666666666664E-2</v>
      </c>
      <c r="M56" s="78">
        <f>SUMIFS(tbl_SEIN[Time],
            tbl_SEIN[Week], $B56,
            tbl_SEIN[Subject], $C56,
            tbl_SEIN[Process], M$9)</f>
        <v>0</v>
      </c>
      <c r="N56" s="80"/>
      <c r="O56" s="82">
        <f>tbl_AUSWERTUNG[[#This Row],[EX-S]]-tbl_AUSWERTUNG[[#This Row],[EX-L]]</f>
        <v>0</v>
      </c>
      <c r="P56" s="78">
        <f>SUMIFS(tbl_SEIN[Time],
            tbl_SEIN[Week], $B56,
            tbl_SEIN[Subject], $C56,
            tbl_SEIN[Process], P$9)</f>
        <v>0</v>
      </c>
      <c r="Q56" s="80"/>
      <c r="R56" s="82">
        <f>tbl_AUSWERTUNG[[#This Row],[ST-S]]-tbl_AUSWERTUNG[[#This Row],[ST-L]]</f>
        <v>0</v>
      </c>
      <c r="S56" s="78">
        <f>SUMIFS(tbl_SEIN[Time],
            tbl_SEIN[Week], $B56,
            tbl_SEIN[Subject], $C56,
            tbl_SEIN[Process], S$9)</f>
        <v>0</v>
      </c>
      <c r="T56" s="80"/>
      <c r="U56" s="82">
        <f>tbl_AUSWERTUNG[[#This Row],[LRN-S]]-tbl_AUSWERTUNG[[#This Row],[LRN-L]]</f>
        <v>0</v>
      </c>
      <c r="V56" s="78">
        <f>SUMIFS(tbl_SEIN[Time],
            tbl_SEIN[Week], $B56,
            tbl_SEIN[Subject], $C56,
            tbl_SEIN[Process], V$9)</f>
        <v>0</v>
      </c>
      <c r="W56" s="80"/>
      <c r="X56" s="82">
        <f>tbl_AUSWERTUNG[[#This Row],[AP-S]]-tbl_AUSWERTUNG[[#This Row],[AP-L]]</f>
        <v>0</v>
      </c>
      <c r="Y56" s="78">
        <f>SUMIFS(tbl_SEIN[Time],
            tbl_SEIN[Week], $B56,
            tbl_SEIN[Subject], $C56,
            tbl_SEIN[Process], Y$9)</f>
        <v>0</v>
      </c>
      <c r="Z56" s="80"/>
      <c r="AA56" s="78">
        <f>tbl_AUSWERTUNG[[#This Row],[PRES-S]]-tbl_AUSWERTUNG[[#This Row],[PRES-L]]</f>
        <v>0</v>
      </c>
      <c r="AB56" s="84">
        <f t="shared" si="4"/>
        <v>0</v>
      </c>
      <c r="AC56" s="78">
        <f t="shared" si="5"/>
        <v>4.1666666666666664E-2</v>
      </c>
      <c r="AD56" s="86">
        <f>tbl_AUSWERTUNG[[#This Row],[S]]-tbl_AUSWERTUNG[[#This Row],[L]]</f>
        <v>-4.1666666666666664E-2</v>
      </c>
      <c r="AE56" s="88">
        <f>tbl_AUSWERTUNG[[#This Row],[∆]]-SUM(L56,O56)</f>
        <v>0</v>
      </c>
    </row>
    <row r="57" spans="2:33" x14ac:dyDescent="0.2">
      <c r="B57" s="73" t="s">
        <v>824</v>
      </c>
      <c r="C57" s="76" t="s">
        <v>110</v>
      </c>
      <c r="D57" s="78">
        <f>SUMIFS(tbl_SEIN[Time],
            tbl_SEIN[Week], $B57,
            tbl_SEIN[Subject], $C57,
            tbl_SEIN[Process], D$9)</f>
        <v>0</v>
      </c>
      <c r="E57" s="80">
        <v>0</v>
      </c>
      <c r="F57" s="82">
        <f>tbl_AUSWERTUNG[[#This Row],[AQ-S]]-tbl_AUSWERTUNG[[#This Row],[AQ-L]]</f>
        <v>0</v>
      </c>
      <c r="G57" s="78">
        <f>SUMIFS(tbl_SEIN[Time],
            tbl_SEIN[Week], $B57,
            tbl_SEIN[Subject], $C57,
            tbl_SEIN[Process], G$9)</f>
        <v>0</v>
      </c>
      <c r="H57" s="78"/>
      <c r="I57" s="82">
        <f>tbl_AUSWERTUNG[[#This Row],[MON-S]]-tbl_AUSWERTUNG[[#This Row],[MON-L]]</f>
        <v>0</v>
      </c>
      <c r="J57" s="78">
        <f>SUMIFS(tbl_SEIN[Time],
            tbl_SEIN[Week], $B57,
            tbl_SEIN[Subject], $C57,
            tbl_SEIN[Process], J$9)</f>
        <v>0</v>
      </c>
      <c r="K57" s="80">
        <v>0</v>
      </c>
      <c r="L57" s="82">
        <f>tbl_AUSWERTUNG[[#This Row],[VL-S]]-tbl_AUSWERTUNG[[#This Row],[VL-L]]</f>
        <v>0</v>
      </c>
      <c r="M57" s="78">
        <f>SUMIFS(tbl_SEIN[Time],
            tbl_SEIN[Week], $B57,
            tbl_SEIN[Subject], $C57,
            tbl_SEIN[Process], M$9)</f>
        <v>0</v>
      </c>
      <c r="N57" s="80"/>
      <c r="O57" s="82">
        <f>tbl_AUSWERTUNG[[#This Row],[EX-S]]-tbl_AUSWERTUNG[[#This Row],[EX-L]]</f>
        <v>0</v>
      </c>
      <c r="P57" s="78">
        <f>SUMIFS(tbl_SEIN[Time],
            tbl_SEIN[Week], $B57,
            tbl_SEIN[Subject], $C57,
            tbl_SEIN[Process], P$9)</f>
        <v>0</v>
      </c>
      <c r="Q57" s="80"/>
      <c r="R57" s="82">
        <f>tbl_AUSWERTUNG[[#This Row],[ST-S]]-tbl_AUSWERTUNG[[#This Row],[ST-L]]</f>
        <v>0</v>
      </c>
      <c r="S57" s="78">
        <f>SUMIFS(tbl_SEIN[Time],
            tbl_SEIN[Week], $B57,
            tbl_SEIN[Subject], $C57,
            tbl_SEIN[Process], S$9)</f>
        <v>0</v>
      </c>
      <c r="T57" s="80"/>
      <c r="U57" s="82">
        <f>tbl_AUSWERTUNG[[#This Row],[LRN-S]]-tbl_AUSWERTUNG[[#This Row],[LRN-L]]</f>
        <v>0</v>
      </c>
      <c r="V57" s="78">
        <f>SUMIFS(tbl_SEIN[Time],
            tbl_SEIN[Week], $B57,
            tbl_SEIN[Subject], $C57,
            tbl_SEIN[Process], V$9)</f>
        <v>0</v>
      </c>
      <c r="W57" s="80"/>
      <c r="X57" s="82">
        <f>tbl_AUSWERTUNG[[#This Row],[AP-S]]-tbl_AUSWERTUNG[[#This Row],[AP-L]]</f>
        <v>0</v>
      </c>
      <c r="Y57" s="78">
        <f>SUMIFS(tbl_SEIN[Time],
            tbl_SEIN[Week], $B57,
            tbl_SEIN[Subject], $C57,
            tbl_SEIN[Process], Y$9)</f>
        <v>0</v>
      </c>
      <c r="Z57" s="80"/>
      <c r="AA57" s="78">
        <f>tbl_AUSWERTUNG[[#This Row],[PRES-S]]-tbl_AUSWERTUNG[[#This Row],[PRES-L]]</f>
        <v>0</v>
      </c>
      <c r="AB57" s="84">
        <f t="shared" si="4"/>
        <v>0</v>
      </c>
      <c r="AC57" s="78">
        <f t="shared" si="5"/>
        <v>0</v>
      </c>
      <c r="AD57" s="86">
        <f>tbl_AUSWERTUNG[[#This Row],[S]]-tbl_AUSWERTUNG[[#This Row],[L]]</f>
        <v>0</v>
      </c>
      <c r="AE57" s="88">
        <f>tbl_AUSWERTUNG[[#This Row],[∆]]-SUM(L57,O57)</f>
        <v>0</v>
      </c>
    </row>
    <row r="58" spans="2:33" x14ac:dyDescent="0.2">
      <c r="B58" s="73" t="s">
        <v>824</v>
      </c>
      <c r="C58" s="76" t="s">
        <v>880</v>
      </c>
      <c r="D58" s="78">
        <f>SUMIFS(tbl_SEIN[Time],
            tbl_SEIN[Week], $B58,
            tbl_SEIN[Subject], $C58,
            tbl_SEIN[Process], D$9)</f>
        <v>0.11458333333333333</v>
      </c>
      <c r="E58" s="80">
        <v>0</v>
      </c>
      <c r="F58" s="82">
        <f>tbl_AUSWERTUNG[[#This Row],[AQ-S]]-tbl_AUSWERTUNG[[#This Row],[AQ-L]]</f>
        <v>0.11458333333333333</v>
      </c>
      <c r="G58" s="78">
        <f>SUMIFS(tbl_SEIN[Time],
            tbl_SEIN[Week], $B58,
            tbl_SEIN[Subject], $C58,
            tbl_SEIN[Process], G$9)</f>
        <v>0</v>
      </c>
      <c r="H58" s="78"/>
      <c r="I58" s="82">
        <f>tbl_AUSWERTUNG[[#This Row],[MON-S]]-tbl_AUSWERTUNG[[#This Row],[MON-L]]</f>
        <v>0</v>
      </c>
      <c r="J58" s="78">
        <f>SUMIFS(tbl_SEIN[Time],
            tbl_SEIN[Week], $B58,
            tbl_SEIN[Subject], $C58,
            tbl_SEIN[Process], J$9)</f>
        <v>0</v>
      </c>
      <c r="K58" s="80">
        <v>0</v>
      </c>
      <c r="L58" s="82">
        <f>tbl_AUSWERTUNG[[#This Row],[VL-S]]-tbl_AUSWERTUNG[[#This Row],[VL-L]]</f>
        <v>0</v>
      </c>
      <c r="M58" s="78">
        <f>SUMIFS(tbl_SEIN[Time],
            tbl_SEIN[Week], $B58,
            tbl_SEIN[Subject], $C58,
            tbl_SEIN[Process], M$9)</f>
        <v>0</v>
      </c>
      <c r="N58" s="80"/>
      <c r="O58" s="82">
        <f>tbl_AUSWERTUNG[[#This Row],[EX-S]]-tbl_AUSWERTUNG[[#This Row],[EX-L]]</f>
        <v>0</v>
      </c>
      <c r="P58" s="78">
        <f>SUMIFS(tbl_SEIN[Time],
            tbl_SEIN[Week], $B58,
            tbl_SEIN[Subject], $C58,
            tbl_SEIN[Process], P$9)</f>
        <v>0</v>
      </c>
      <c r="Q58" s="80"/>
      <c r="R58" s="82">
        <f>tbl_AUSWERTUNG[[#This Row],[ST-S]]-tbl_AUSWERTUNG[[#This Row],[ST-L]]</f>
        <v>0</v>
      </c>
      <c r="S58" s="78">
        <f>SUMIFS(tbl_SEIN[Time],
            tbl_SEIN[Week], $B58,
            tbl_SEIN[Subject], $C58,
            tbl_SEIN[Process], S$9)</f>
        <v>0</v>
      </c>
      <c r="T58" s="80"/>
      <c r="U58" s="82">
        <f>tbl_AUSWERTUNG[[#This Row],[LRN-S]]-tbl_AUSWERTUNG[[#This Row],[LRN-L]]</f>
        <v>0</v>
      </c>
      <c r="V58" s="78">
        <f>SUMIFS(tbl_SEIN[Time],
            tbl_SEIN[Week], $B58,
            tbl_SEIN[Subject], $C58,
            tbl_SEIN[Process], V$9)</f>
        <v>0</v>
      </c>
      <c r="W58" s="80"/>
      <c r="X58" s="82">
        <f>tbl_AUSWERTUNG[[#This Row],[AP-S]]-tbl_AUSWERTUNG[[#This Row],[AP-L]]</f>
        <v>0</v>
      </c>
      <c r="Y58" s="78">
        <f>SUMIFS(tbl_SEIN[Time],
            tbl_SEIN[Week], $B58,
            tbl_SEIN[Subject], $C58,
            tbl_SEIN[Process], Y$9)</f>
        <v>0</v>
      </c>
      <c r="Z58" s="80"/>
      <c r="AA58" s="78">
        <f>tbl_AUSWERTUNG[[#This Row],[PRES-S]]-tbl_AUSWERTUNG[[#This Row],[PRES-L]]</f>
        <v>0</v>
      </c>
      <c r="AB58" s="84">
        <f t="shared" ref="AB58" si="6">SUM(D58,J58,M58,P58,S58,V58,Y58,G58)</f>
        <v>0.11458333333333333</v>
      </c>
      <c r="AC58" s="78">
        <f t="shared" ref="AC58" si="7">SUM(E58,K58,N58,Q58,T58,W58,Z58,H58)</f>
        <v>0</v>
      </c>
      <c r="AD58" s="86">
        <f>tbl_AUSWERTUNG[[#This Row],[S]]-tbl_AUSWERTUNG[[#This Row],[L]]</f>
        <v>0.11458333333333333</v>
      </c>
      <c r="AE58" s="88">
        <f>tbl_AUSWERTUNG[[#This Row],[∆]]-SUM(L58,O58)</f>
        <v>0.11458333333333333</v>
      </c>
    </row>
    <row r="59" spans="2:33" x14ac:dyDescent="0.2">
      <c r="B59" s="73" t="s">
        <v>824</v>
      </c>
      <c r="C59" s="76" t="s">
        <v>453</v>
      </c>
      <c r="D59" s="78">
        <f>SUMIFS(tbl_SEIN[Time],
            tbl_SEIN[Week], $B59,
            tbl_SEIN[Subject], $C59,
            tbl_SEIN[Process], D$9)</f>
        <v>0</v>
      </c>
      <c r="E59" s="80">
        <v>6.25E-2</v>
      </c>
      <c r="F59" s="82">
        <f>tbl_AUSWERTUNG[[#This Row],[AQ-S]]-tbl_AUSWERTUNG[[#This Row],[AQ-L]]</f>
        <v>-6.25E-2</v>
      </c>
      <c r="G59" s="78">
        <f>SUMIFS(tbl_SEIN[Time],
            tbl_SEIN[Week], $B59,
            tbl_SEIN[Subject], $C59,
            tbl_SEIN[Process], G$9)</f>
        <v>0</v>
      </c>
      <c r="H59" s="78"/>
      <c r="I59" s="82">
        <f>tbl_AUSWERTUNG[[#This Row],[MON-S]]-tbl_AUSWERTUNG[[#This Row],[MON-L]]</f>
        <v>0</v>
      </c>
      <c r="J59" s="78">
        <f>SUMIFS(tbl_SEIN[Time],
            tbl_SEIN[Week], $B59,
            tbl_SEIN[Subject], $C59,
            tbl_SEIN[Process], J$9)</f>
        <v>0</v>
      </c>
      <c r="K59" s="80"/>
      <c r="L59" s="82">
        <f>tbl_AUSWERTUNG[[#This Row],[VL-S]]-tbl_AUSWERTUNG[[#This Row],[VL-L]]</f>
        <v>0</v>
      </c>
      <c r="M59" s="78">
        <f>SUMIFS(tbl_SEIN[Time],
            tbl_SEIN[Week], $B59,
            tbl_SEIN[Subject], $C59,
            tbl_SEIN[Process], M$9)</f>
        <v>6.25E-2</v>
      </c>
      <c r="N59" s="80">
        <v>7.2916666666666671E-2</v>
      </c>
      <c r="O59" s="82">
        <f>tbl_AUSWERTUNG[[#This Row],[EX-S]]-tbl_AUSWERTUNG[[#This Row],[EX-L]]</f>
        <v>-1.0416666666666671E-2</v>
      </c>
      <c r="P59" s="78">
        <f>SUMIFS(tbl_SEIN[Time],
            tbl_SEIN[Week], $B59,
            tbl_SEIN[Subject], $C59,
            tbl_SEIN[Process], P$9)</f>
        <v>0</v>
      </c>
      <c r="Q59" s="80"/>
      <c r="R59" s="82">
        <f>tbl_AUSWERTUNG[[#This Row],[ST-S]]-tbl_AUSWERTUNG[[#This Row],[ST-L]]</f>
        <v>0</v>
      </c>
      <c r="S59" s="78">
        <f>SUMIFS(tbl_SEIN[Time],
            tbl_SEIN[Week], $B59,
            tbl_SEIN[Subject], $C59,
            tbl_SEIN[Process], S$9)</f>
        <v>0</v>
      </c>
      <c r="T59" s="80"/>
      <c r="U59" s="82">
        <f>tbl_AUSWERTUNG[[#This Row],[LRN-S]]-tbl_AUSWERTUNG[[#This Row],[LRN-L]]</f>
        <v>0</v>
      </c>
      <c r="V59" s="78">
        <f>SUMIFS(tbl_SEIN[Time],
            tbl_SEIN[Week], $B59,
            tbl_SEIN[Subject], $C59,
            tbl_SEIN[Process], V$9)</f>
        <v>0</v>
      </c>
      <c r="W59" s="80">
        <v>6.25E-2</v>
      </c>
      <c r="X59" s="82">
        <f>tbl_AUSWERTUNG[[#This Row],[AP-S]]-tbl_AUSWERTUNG[[#This Row],[AP-L]]</f>
        <v>-6.25E-2</v>
      </c>
      <c r="Y59" s="78">
        <f>SUMIFS(tbl_SEIN[Time],
            tbl_SEIN[Week], $B59,
            tbl_SEIN[Subject], $C59,
            tbl_SEIN[Process], Y$9)</f>
        <v>0</v>
      </c>
      <c r="Z59" s="80"/>
      <c r="AA59" s="78">
        <f>tbl_AUSWERTUNG[[#This Row],[PRES-S]]-tbl_AUSWERTUNG[[#This Row],[PRES-L]]</f>
        <v>0</v>
      </c>
      <c r="AB59" s="84">
        <f t="shared" si="4"/>
        <v>6.25E-2</v>
      </c>
      <c r="AC59" s="78">
        <f t="shared" si="5"/>
        <v>0.19791666666666669</v>
      </c>
      <c r="AD59" s="86">
        <f>tbl_AUSWERTUNG[[#This Row],[S]]-tbl_AUSWERTUNG[[#This Row],[L]]</f>
        <v>-0.13541666666666669</v>
      </c>
      <c r="AE59" s="88">
        <f>tbl_AUSWERTUNG[[#This Row],[∆]]-SUM(L59,O59)</f>
        <v>-0.125</v>
      </c>
    </row>
    <row r="60" spans="2:33" x14ac:dyDescent="0.2">
      <c r="B60" s="73" t="s">
        <v>824</v>
      </c>
      <c r="C60" s="76" t="s">
        <v>361</v>
      </c>
      <c r="D60" s="78">
        <f>SUMIFS(tbl_SEIN[Time],
            tbl_SEIN[Week], $B60,
            tbl_SEIN[Subject], $C60,
            tbl_SEIN[Process], D$9)</f>
        <v>5.5555555555555559E-2</v>
      </c>
      <c r="E60" s="80">
        <v>8.3333333333333329E-2</v>
      </c>
      <c r="F60" s="82">
        <f>tbl_AUSWERTUNG[[#This Row],[AQ-S]]-tbl_AUSWERTUNG[[#This Row],[AQ-L]]</f>
        <v>-2.7777777777777769E-2</v>
      </c>
      <c r="G60" s="78">
        <f>SUMIFS(tbl_SEIN[Time],
            tbl_SEIN[Week], $B60,
            tbl_SEIN[Subject], $C60,
            tbl_SEIN[Process], G$9)</f>
        <v>0</v>
      </c>
      <c r="H60" s="78"/>
      <c r="I60" s="82">
        <f>tbl_AUSWERTUNG[[#This Row],[MON-S]]-tbl_AUSWERTUNG[[#This Row],[MON-L]]</f>
        <v>0</v>
      </c>
      <c r="J60" s="78">
        <f>SUMIFS(tbl_SEIN[Time],
            tbl_SEIN[Week], $B60,
            tbl_SEIN[Subject], $C60,
            tbl_SEIN[Process], J$9)</f>
        <v>0</v>
      </c>
      <c r="K60" s="80">
        <v>7.2916666666666671E-2</v>
      </c>
      <c r="L60" s="82">
        <f>tbl_AUSWERTUNG[[#This Row],[VL-S]]-tbl_AUSWERTUNG[[#This Row],[VL-L]]</f>
        <v>-7.2916666666666671E-2</v>
      </c>
      <c r="M60" s="78">
        <f>SUMIFS(tbl_SEIN[Time],
            tbl_SEIN[Week], $B60,
            tbl_SEIN[Subject], $C60,
            tbl_SEIN[Process], M$9)</f>
        <v>0</v>
      </c>
      <c r="N60" s="80">
        <v>7.2916666666666671E-2</v>
      </c>
      <c r="O60" s="82">
        <f>tbl_AUSWERTUNG[[#This Row],[EX-S]]-tbl_AUSWERTUNG[[#This Row],[EX-L]]</f>
        <v>-7.2916666666666671E-2</v>
      </c>
      <c r="P60" s="78">
        <f>SUMIFS(tbl_SEIN[Time],
            tbl_SEIN[Week], $B60,
            tbl_SEIN[Subject], $C60,
            tbl_SEIN[Process], P$9)</f>
        <v>0</v>
      </c>
      <c r="Q60" s="80"/>
      <c r="R60" s="82">
        <f>tbl_AUSWERTUNG[[#This Row],[ST-S]]-tbl_AUSWERTUNG[[#This Row],[ST-L]]</f>
        <v>0</v>
      </c>
      <c r="S60" s="78">
        <f>SUMIFS(tbl_SEIN[Time],
            tbl_SEIN[Week], $B60,
            tbl_SEIN[Subject], $C60,
            tbl_SEIN[Process], S$9)</f>
        <v>0</v>
      </c>
      <c r="T60" s="80"/>
      <c r="U60" s="82">
        <f>tbl_AUSWERTUNG[[#This Row],[LRN-S]]-tbl_AUSWERTUNG[[#This Row],[LRN-L]]</f>
        <v>0</v>
      </c>
      <c r="V60" s="78">
        <f>SUMIFS(tbl_SEIN[Time],
            tbl_SEIN[Week], $B60,
            tbl_SEIN[Subject], $C60,
            tbl_SEIN[Process], V$9)</f>
        <v>0.10416666666666667</v>
      </c>
      <c r="W60" s="80">
        <v>8.3333333333333329E-2</v>
      </c>
      <c r="X60" s="82">
        <f>tbl_AUSWERTUNG[[#This Row],[AP-S]]-tbl_AUSWERTUNG[[#This Row],[AP-L]]</f>
        <v>2.0833333333333343E-2</v>
      </c>
      <c r="Y60" s="78">
        <f>SUMIFS(tbl_SEIN[Time],
            tbl_SEIN[Week], $B60,
            tbl_SEIN[Subject], $C60,
            tbl_SEIN[Process], Y$9)</f>
        <v>0</v>
      </c>
      <c r="Z60" s="80"/>
      <c r="AA60" s="78">
        <f>tbl_AUSWERTUNG[[#This Row],[PRES-S]]-tbl_AUSWERTUNG[[#This Row],[PRES-L]]</f>
        <v>0</v>
      </c>
      <c r="AB60" s="84">
        <f t="shared" si="4"/>
        <v>0.15972222222222224</v>
      </c>
      <c r="AC60" s="78">
        <f t="shared" si="5"/>
        <v>0.3125</v>
      </c>
      <c r="AD60" s="86">
        <f>tbl_AUSWERTUNG[[#This Row],[S]]-tbl_AUSWERTUNG[[#This Row],[L]]</f>
        <v>-0.15277777777777776</v>
      </c>
      <c r="AE60" s="88">
        <f>tbl_AUSWERTUNG[[#This Row],[∆]]-SUM(L60,O60)</f>
        <v>-6.9444444444444198E-3</v>
      </c>
    </row>
    <row r="61" spans="2:33" x14ac:dyDescent="0.2">
      <c r="B61" s="73" t="s">
        <v>824</v>
      </c>
      <c r="C61" s="75" t="s">
        <v>24</v>
      </c>
      <c r="D61" s="78">
        <f>SUMIFS(tbl_SEIN[Time],
            tbl_SEIN[Week], $B61,
            tbl_SEIN[Subject], $C61,
            tbl_SEIN[Process], D$9)</f>
        <v>0</v>
      </c>
      <c r="E61" s="80">
        <v>3.125E-2</v>
      </c>
      <c r="F61" s="82">
        <f>tbl_AUSWERTUNG[[#This Row],[AQ-S]]-tbl_AUSWERTUNG[[#This Row],[AQ-L]]</f>
        <v>-3.125E-2</v>
      </c>
      <c r="G61" s="78">
        <f>SUMIFS(tbl_SEIN[Time],
            tbl_SEIN[Week], $B61,
            tbl_SEIN[Subject], $C61,
            tbl_SEIN[Process], G$9)</f>
        <v>0</v>
      </c>
      <c r="H61" s="78"/>
      <c r="I61" s="82">
        <f>tbl_AUSWERTUNG[[#This Row],[MON-S]]-tbl_AUSWERTUNG[[#This Row],[MON-L]]</f>
        <v>0</v>
      </c>
      <c r="J61" s="78">
        <f>SUMIFS(tbl_SEIN[Time],
            tbl_SEIN[Week], $B61,
            tbl_SEIN[Subject], $C61,
            tbl_SEIN[Process], J$9)</f>
        <v>6.25E-2</v>
      </c>
      <c r="K61" s="80">
        <v>7.2916666666666671E-2</v>
      </c>
      <c r="L61" s="82">
        <f>tbl_AUSWERTUNG[[#This Row],[VL-S]]-tbl_AUSWERTUNG[[#This Row],[VL-L]]</f>
        <v>-1.0416666666666671E-2</v>
      </c>
      <c r="M61" s="78">
        <f>SUMIFS(tbl_SEIN[Time],
            tbl_SEIN[Week], $B61,
            tbl_SEIN[Subject], $C61,
            tbl_SEIN[Process], M$9)</f>
        <v>0</v>
      </c>
      <c r="N61" s="80"/>
      <c r="O61" s="82">
        <f>tbl_AUSWERTUNG[[#This Row],[EX-S]]-tbl_AUSWERTUNG[[#This Row],[EX-L]]</f>
        <v>0</v>
      </c>
      <c r="P61" s="78">
        <f>SUMIFS(tbl_SEIN[Time],
            tbl_SEIN[Week], $B61,
            tbl_SEIN[Subject], $C61,
            tbl_SEIN[Process], P$9)</f>
        <v>0</v>
      </c>
      <c r="Q61" s="80"/>
      <c r="R61" s="82">
        <f>tbl_AUSWERTUNG[[#This Row],[ST-S]]-tbl_AUSWERTUNG[[#This Row],[ST-L]]</f>
        <v>0</v>
      </c>
      <c r="S61" s="78">
        <f>SUMIFS(tbl_SEIN[Time],
            tbl_SEIN[Week], $B61,
            tbl_SEIN[Subject], $C61,
            tbl_SEIN[Process], S$9)</f>
        <v>0</v>
      </c>
      <c r="T61" s="80"/>
      <c r="U61" s="82">
        <f>tbl_AUSWERTUNG[[#This Row],[LRN-S]]-tbl_AUSWERTUNG[[#This Row],[LRN-L]]</f>
        <v>0</v>
      </c>
      <c r="V61" s="78">
        <f>SUMIFS(tbl_SEIN[Time],
            tbl_SEIN[Week], $B61,
            tbl_SEIN[Subject], $C61,
            tbl_SEIN[Process], V$9)</f>
        <v>7.2916666666666657E-2</v>
      </c>
      <c r="W61" s="80">
        <v>5.2083333333333336E-2</v>
      </c>
      <c r="X61" s="82">
        <f>tbl_AUSWERTUNG[[#This Row],[AP-S]]-tbl_AUSWERTUNG[[#This Row],[AP-L]]</f>
        <v>2.0833333333333322E-2</v>
      </c>
      <c r="Y61" s="78">
        <f>SUMIFS(tbl_SEIN[Time],
            tbl_SEIN[Week], $B61,
            tbl_SEIN[Subject], $C61,
            tbl_SEIN[Process], Y$9)</f>
        <v>0</v>
      </c>
      <c r="Z61" s="80"/>
      <c r="AA61" s="78">
        <f>tbl_AUSWERTUNG[[#This Row],[PRES-S]]-tbl_AUSWERTUNG[[#This Row],[PRES-L]]</f>
        <v>0</v>
      </c>
      <c r="AB61" s="84">
        <f t="shared" si="4"/>
        <v>0.13541666666666666</v>
      </c>
      <c r="AC61" s="78">
        <f t="shared" si="5"/>
        <v>0.15625</v>
      </c>
      <c r="AD61" s="86">
        <f>tbl_AUSWERTUNG[[#This Row],[S]]-tbl_AUSWERTUNG[[#This Row],[L]]</f>
        <v>-2.0833333333333343E-2</v>
      </c>
      <c r="AE61" s="88">
        <f>tbl_AUSWERTUNG[[#This Row],[∆]]-SUM(L61,O61)</f>
        <v>-1.0416666666666671E-2</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98E8-4A9E-4445-8B59-ABA5B20DE0CA}">
  <dimension ref="D7:AG113"/>
  <sheetViews>
    <sheetView topLeftCell="A41" zoomScale="85" workbookViewId="0">
      <selection activeCell="V45" sqref="V45"/>
    </sheetView>
    <sheetView workbookViewId="1"/>
  </sheetViews>
  <sheetFormatPr baseColWidth="10" defaultRowHeight="16" x14ac:dyDescent="0.2"/>
  <cols>
    <col min="4" max="4" width="78.1640625" bestFit="1" customWidth="1"/>
    <col min="5" max="5" width="22.6640625" bestFit="1" customWidth="1"/>
    <col min="6" max="6" width="4.83203125" bestFit="1" customWidth="1"/>
    <col min="7" max="7" width="15.33203125" bestFit="1" customWidth="1"/>
    <col min="8" max="8" width="9.5" bestFit="1" customWidth="1"/>
    <col min="9" max="9" width="5.5" bestFit="1" customWidth="1"/>
    <col min="10" max="10" width="4.83203125" bestFit="1" customWidth="1"/>
    <col min="11" max="11" width="7" bestFit="1" customWidth="1"/>
    <col min="12" max="12" width="5" bestFit="1" customWidth="1"/>
    <col min="13" max="13" width="7.1640625" bestFit="1" customWidth="1"/>
    <col min="14" max="14" width="15.33203125" bestFit="1" customWidth="1"/>
    <col min="15" max="15" width="9.5" bestFit="1" customWidth="1"/>
    <col min="16" max="16" width="5.5" bestFit="1" customWidth="1"/>
    <col min="17" max="17" width="4.83203125" bestFit="1" customWidth="1"/>
    <col min="18" max="18" width="7" bestFit="1" customWidth="1"/>
    <col min="19" max="19" width="5" bestFit="1" customWidth="1"/>
    <col min="20" max="20" width="4.83203125" bestFit="1" customWidth="1"/>
    <col min="21" max="21" width="15.33203125" bestFit="1" customWidth="1"/>
    <col min="22" max="22" width="9.5" bestFit="1" customWidth="1"/>
    <col min="23" max="23" width="5.5" bestFit="1" customWidth="1"/>
    <col min="24" max="24" width="4.83203125" bestFit="1" customWidth="1"/>
    <col min="25" max="25" width="5" bestFit="1" customWidth="1"/>
    <col min="26" max="26" width="4.83203125" bestFit="1" customWidth="1"/>
    <col min="27" max="27" width="15.33203125" bestFit="1" customWidth="1"/>
    <col min="28" max="28" width="9.5" bestFit="1" customWidth="1"/>
    <col min="29" max="29" width="5.5" bestFit="1" customWidth="1"/>
    <col min="30" max="30" width="5" bestFit="1" customWidth="1"/>
    <col min="31" max="31" width="4.83203125" bestFit="1" customWidth="1"/>
    <col min="32" max="32" width="15.33203125" bestFit="1" customWidth="1"/>
    <col min="33" max="33" width="15" bestFit="1" customWidth="1"/>
  </cols>
  <sheetData>
    <row r="7" spans="4:33" x14ac:dyDescent="0.2">
      <c r="D7" s="1" t="s">
        <v>13</v>
      </c>
      <c r="E7" s="1" t="s">
        <v>14</v>
      </c>
    </row>
    <row r="8" spans="4:33" x14ac:dyDescent="0.2">
      <c r="E8" t="s">
        <v>64</v>
      </c>
      <c r="G8" t="s">
        <v>129</v>
      </c>
      <c r="H8" t="s">
        <v>84</v>
      </c>
      <c r="N8" t="s">
        <v>458</v>
      </c>
      <c r="O8" t="s">
        <v>584</v>
      </c>
      <c r="U8" t="s">
        <v>694</v>
      </c>
      <c r="V8" t="s">
        <v>824</v>
      </c>
      <c r="AA8" t="s">
        <v>970</v>
      </c>
      <c r="AB8" t="s">
        <v>971</v>
      </c>
      <c r="AF8" t="s">
        <v>972</v>
      </c>
      <c r="AG8" t="s">
        <v>11</v>
      </c>
    </row>
    <row r="9" spans="4:33" x14ac:dyDescent="0.2">
      <c r="D9" s="1" t="s">
        <v>10</v>
      </c>
      <c r="E9" t="s">
        <v>87</v>
      </c>
      <c r="F9" t="s">
        <v>68</v>
      </c>
      <c r="H9" t="s">
        <v>71</v>
      </c>
      <c r="I9" t="s">
        <v>87</v>
      </c>
      <c r="J9" t="s">
        <v>68</v>
      </c>
      <c r="K9" t="s">
        <v>207</v>
      </c>
      <c r="L9" t="s">
        <v>58</v>
      </c>
      <c r="M9" t="s">
        <v>51</v>
      </c>
      <c r="O9" t="s">
        <v>71</v>
      </c>
      <c r="P9" t="s">
        <v>87</v>
      </c>
      <c r="Q9" t="s">
        <v>68</v>
      </c>
      <c r="R9" t="s">
        <v>207</v>
      </c>
      <c r="S9" t="s">
        <v>58</v>
      </c>
      <c r="T9" t="s">
        <v>63</v>
      </c>
      <c r="V9" t="s">
        <v>71</v>
      </c>
      <c r="W9" t="s">
        <v>87</v>
      </c>
      <c r="X9" t="s">
        <v>68</v>
      </c>
      <c r="Y9" t="s">
        <v>58</v>
      </c>
      <c r="Z9" t="s">
        <v>63</v>
      </c>
      <c r="AB9" t="s">
        <v>71</v>
      </c>
      <c r="AC9" t="s">
        <v>87</v>
      </c>
      <c r="AD9" t="s">
        <v>58</v>
      </c>
      <c r="AE9" t="s">
        <v>63</v>
      </c>
    </row>
    <row r="10" spans="4:33" x14ac:dyDescent="0.2">
      <c r="D10" s="2" t="s">
        <v>100</v>
      </c>
      <c r="E10" s="7">
        <v>0.28819444444444442</v>
      </c>
      <c r="F10" s="7">
        <v>4.8611111111111105E-2</v>
      </c>
      <c r="G10" s="7">
        <v>0.33680555555555558</v>
      </c>
      <c r="H10" s="7"/>
      <c r="I10" s="7">
        <v>8.3333333333333343E-2</v>
      </c>
      <c r="J10" s="7">
        <v>3.8194444444444441E-2</v>
      </c>
      <c r="K10" s="7"/>
      <c r="L10" s="7"/>
      <c r="M10" s="7"/>
      <c r="N10" s="7">
        <v>0.12152777777777779</v>
      </c>
      <c r="O10" s="7"/>
      <c r="P10" s="7"/>
      <c r="Q10" s="7"/>
      <c r="R10" s="7"/>
      <c r="S10" s="7"/>
      <c r="T10" s="7"/>
      <c r="U10" s="7"/>
      <c r="V10" s="7"/>
      <c r="W10" s="7"/>
      <c r="X10" s="7"/>
      <c r="Y10" s="7"/>
      <c r="Z10" s="7"/>
      <c r="AA10" s="7"/>
      <c r="AB10" s="7"/>
      <c r="AC10" s="7"/>
      <c r="AD10" s="7"/>
      <c r="AE10" s="7"/>
      <c r="AF10" s="7"/>
      <c r="AG10" s="7">
        <v>0.45833333333333337</v>
      </c>
    </row>
    <row r="11" spans="4:33" x14ac:dyDescent="0.2">
      <c r="D11" s="3">
        <v>1</v>
      </c>
      <c r="E11" s="7">
        <v>0.28819444444444442</v>
      </c>
      <c r="F11" s="7">
        <v>4.8611111111111105E-2</v>
      </c>
      <c r="G11" s="7">
        <v>0.33680555555555558</v>
      </c>
      <c r="H11" s="7"/>
      <c r="I11" s="7">
        <v>8.3333333333333343E-2</v>
      </c>
      <c r="J11" s="7">
        <v>3.8194444444444441E-2</v>
      </c>
      <c r="K11" s="7"/>
      <c r="L11" s="7"/>
      <c r="M11" s="7"/>
      <c r="N11" s="7">
        <v>0.12152777777777779</v>
      </c>
      <c r="O11" s="7"/>
      <c r="P11" s="7"/>
      <c r="Q11" s="7"/>
      <c r="R11" s="7"/>
      <c r="S11" s="7"/>
      <c r="T11" s="7"/>
      <c r="U11" s="7"/>
      <c r="V11" s="7"/>
      <c r="W11" s="7"/>
      <c r="X11" s="7"/>
      <c r="Y11" s="7"/>
      <c r="Z11" s="7"/>
      <c r="AA11" s="7"/>
      <c r="AB11" s="7"/>
      <c r="AC11" s="7"/>
      <c r="AD11" s="7"/>
      <c r="AE11" s="7"/>
      <c r="AF11" s="7"/>
      <c r="AG11" s="7">
        <v>0.45833333333333337</v>
      </c>
    </row>
    <row r="12" spans="4:33" x14ac:dyDescent="0.2">
      <c r="D12" s="5">
        <v>0</v>
      </c>
      <c r="E12" s="7"/>
      <c r="F12" s="7"/>
      <c r="G12" s="7"/>
      <c r="H12" s="7"/>
      <c r="I12" s="7">
        <v>3.8194444444444448E-2</v>
      </c>
      <c r="J12" s="7"/>
      <c r="K12" s="7"/>
      <c r="L12" s="7"/>
      <c r="M12" s="7"/>
      <c r="N12" s="7">
        <v>3.8194444444444448E-2</v>
      </c>
      <c r="O12" s="7"/>
      <c r="P12" s="7"/>
      <c r="Q12" s="7"/>
      <c r="R12" s="7"/>
      <c r="S12" s="7"/>
      <c r="T12" s="7"/>
      <c r="U12" s="7"/>
      <c r="V12" s="7"/>
      <c r="W12" s="7"/>
      <c r="X12" s="7"/>
      <c r="Y12" s="7"/>
      <c r="Z12" s="7"/>
      <c r="AA12" s="7"/>
      <c r="AB12" s="7"/>
      <c r="AC12" s="7"/>
      <c r="AD12" s="7"/>
      <c r="AE12" s="7"/>
      <c r="AF12" s="7"/>
      <c r="AG12" s="7">
        <v>3.8194444444444448E-2</v>
      </c>
    </row>
    <row r="13" spans="4:33" x14ac:dyDescent="0.2">
      <c r="D13" s="23" t="s">
        <v>122</v>
      </c>
      <c r="E13" s="7"/>
      <c r="F13" s="7"/>
      <c r="G13" s="7"/>
      <c r="H13" s="7"/>
      <c r="I13" s="7">
        <v>2.0833333333333332E-2</v>
      </c>
      <c r="J13" s="7"/>
      <c r="K13" s="7"/>
      <c r="L13" s="7"/>
      <c r="M13" s="7"/>
      <c r="N13" s="7">
        <v>2.0833333333333332E-2</v>
      </c>
      <c r="O13" s="7"/>
      <c r="P13" s="7"/>
      <c r="Q13" s="7"/>
      <c r="R13" s="7"/>
      <c r="S13" s="7"/>
      <c r="T13" s="7"/>
      <c r="U13" s="7"/>
      <c r="V13" s="7"/>
      <c r="W13" s="7"/>
      <c r="X13" s="7"/>
      <c r="Y13" s="7"/>
      <c r="Z13" s="7"/>
      <c r="AA13" s="7"/>
      <c r="AB13" s="7"/>
      <c r="AC13" s="7"/>
      <c r="AD13" s="7"/>
      <c r="AE13" s="7"/>
      <c r="AF13" s="7"/>
      <c r="AG13" s="7">
        <v>2.0833333333333332E-2</v>
      </c>
    </row>
    <row r="14" spans="4:33" x14ac:dyDescent="0.2">
      <c r="D14" s="23" t="s">
        <v>124</v>
      </c>
      <c r="E14" s="7"/>
      <c r="F14" s="7"/>
      <c r="G14" s="7"/>
      <c r="H14" s="7"/>
      <c r="I14" s="7">
        <v>1.7361111111111112E-2</v>
      </c>
      <c r="J14" s="7"/>
      <c r="K14" s="7"/>
      <c r="L14" s="7"/>
      <c r="M14" s="7"/>
      <c r="N14" s="7">
        <v>1.7361111111111112E-2</v>
      </c>
      <c r="O14" s="7"/>
      <c r="P14" s="7"/>
      <c r="Q14" s="7"/>
      <c r="R14" s="7"/>
      <c r="S14" s="7"/>
      <c r="T14" s="7"/>
      <c r="U14" s="7"/>
      <c r="V14" s="7"/>
      <c r="W14" s="7"/>
      <c r="X14" s="7"/>
      <c r="Y14" s="7"/>
      <c r="Z14" s="7"/>
      <c r="AA14" s="7"/>
      <c r="AB14" s="7"/>
      <c r="AC14" s="7"/>
      <c r="AD14" s="7"/>
      <c r="AE14" s="7"/>
      <c r="AF14" s="7"/>
      <c r="AG14" s="7">
        <v>1.7361111111111112E-2</v>
      </c>
    </row>
    <row r="15" spans="4:33" x14ac:dyDescent="0.2">
      <c r="D15" s="5" t="s">
        <v>104</v>
      </c>
      <c r="E15" s="7">
        <v>0.18055555555555555</v>
      </c>
      <c r="F15" s="7">
        <v>4.8611111111111105E-2</v>
      </c>
      <c r="G15" s="7">
        <v>0.22916666666666669</v>
      </c>
      <c r="H15" s="7"/>
      <c r="I15" s="7">
        <v>4.5138888888888888E-2</v>
      </c>
      <c r="J15" s="7">
        <v>3.8194444444444441E-2</v>
      </c>
      <c r="K15" s="7"/>
      <c r="L15" s="7"/>
      <c r="M15" s="7"/>
      <c r="N15" s="7">
        <v>8.3333333333333329E-2</v>
      </c>
      <c r="O15" s="7"/>
      <c r="P15" s="7"/>
      <c r="Q15" s="7"/>
      <c r="R15" s="7"/>
      <c r="S15" s="7"/>
      <c r="T15" s="7"/>
      <c r="U15" s="7"/>
      <c r="V15" s="7"/>
      <c r="W15" s="7"/>
      <c r="X15" s="7"/>
      <c r="Y15" s="7"/>
      <c r="Z15" s="7"/>
      <c r="AA15" s="7"/>
      <c r="AB15" s="7"/>
      <c r="AC15" s="7"/>
      <c r="AD15" s="7"/>
      <c r="AE15" s="7"/>
      <c r="AF15" s="7"/>
      <c r="AG15" s="7">
        <v>0.3125</v>
      </c>
    </row>
    <row r="16" spans="4:33" x14ac:dyDescent="0.2">
      <c r="D16" s="23" t="s">
        <v>102</v>
      </c>
      <c r="E16" s="7">
        <v>9.7222222222222224E-2</v>
      </c>
      <c r="F16" s="7"/>
      <c r="G16" s="7">
        <v>9.7222222222222224E-2</v>
      </c>
      <c r="H16" s="7"/>
      <c r="I16" s="7"/>
      <c r="J16" s="7">
        <v>3.8194444444444441E-2</v>
      </c>
      <c r="K16" s="7"/>
      <c r="L16" s="7"/>
      <c r="M16" s="7"/>
      <c r="N16" s="7">
        <v>3.8194444444444441E-2</v>
      </c>
      <c r="O16" s="7"/>
      <c r="P16" s="7"/>
      <c r="Q16" s="7"/>
      <c r="R16" s="7"/>
      <c r="S16" s="7"/>
      <c r="T16" s="7"/>
      <c r="U16" s="7"/>
      <c r="V16" s="7"/>
      <c r="W16" s="7"/>
      <c r="X16" s="7"/>
      <c r="Y16" s="7"/>
      <c r="Z16" s="7"/>
      <c r="AA16" s="7"/>
      <c r="AB16" s="7"/>
      <c r="AC16" s="7"/>
      <c r="AD16" s="7"/>
      <c r="AE16" s="7"/>
      <c r="AF16" s="7"/>
      <c r="AG16" s="7">
        <v>0.13541666666666666</v>
      </c>
    </row>
    <row r="17" spans="4:33" x14ac:dyDescent="0.2">
      <c r="D17" s="23" t="s">
        <v>101</v>
      </c>
      <c r="E17" s="7">
        <v>8.3333333333333329E-2</v>
      </c>
      <c r="F17" s="7">
        <v>2.0833333333333332E-2</v>
      </c>
      <c r="G17" s="7">
        <v>0.10416666666666666</v>
      </c>
      <c r="H17" s="7"/>
      <c r="I17" s="7"/>
      <c r="J17" s="7"/>
      <c r="K17" s="7"/>
      <c r="L17" s="7"/>
      <c r="M17" s="7"/>
      <c r="N17" s="7"/>
      <c r="O17" s="7"/>
      <c r="P17" s="7"/>
      <c r="Q17" s="7"/>
      <c r="R17" s="7"/>
      <c r="S17" s="7"/>
      <c r="T17" s="7"/>
      <c r="U17" s="7"/>
      <c r="V17" s="7"/>
      <c r="W17" s="7"/>
      <c r="X17" s="7"/>
      <c r="Y17" s="7"/>
      <c r="Z17" s="7"/>
      <c r="AA17" s="7"/>
      <c r="AB17" s="7"/>
      <c r="AC17" s="7"/>
      <c r="AD17" s="7"/>
      <c r="AE17" s="7"/>
      <c r="AF17" s="7"/>
      <c r="AG17" s="7">
        <v>0.10416666666666666</v>
      </c>
    </row>
    <row r="18" spans="4:33" x14ac:dyDescent="0.2">
      <c r="D18" s="23" t="s">
        <v>120</v>
      </c>
      <c r="E18" s="7"/>
      <c r="F18" s="7">
        <v>2.7777777777777776E-2</v>
      </c>
      <c r="G18" s="7">
        <v>2.7777777777777776E-2</v>
      </c>
      <c r="H18" s="7"/>
      <c r="I18" s="7"/>
      <c r="J18" s="7"/>
      <c r="K18" s="7"/>
      <c r="L18" s="7"/>
      <c r="M18" s="7"/>
      <c r="N18" s="7"/>
      <c r="O18" s="7"/>
      <c r="P18" s="7"/>
      <c r="Q18" s="7"/>
      <c r="R18" s="7"/>
      <c r="S18" s="7"/>
      <c r="T18" s="7"/>
      <c r="U18" s="7"/>
      <c r="V18" s="7"/>
      <c r="W18" s="7"/>
      <c r="X18" s="7"/>
      <c r="Y18" s="7"/>
      <c r="Z18" s="7"/>
      <c r="AA18" s="7"/>
      <c r="AB18" s="7"/>
      <c r="AC18" s="7"/>
      <c r="AD18" s="7"/>
      <c r="AE18" s="7"/>
      <c r="AF18" s="7"/>
      <c r="AG18" s="7">
        <v>2.7777777777777776E-2</v>
      </c>
    </row>
    <row r="19" spans="4:33" x14ac:dyDescent="0.2">
      <c r="D19" s="23" t="s">
        <v>103</v>
      </c>
      <c r="E19" s="7"/>
      <c r="F19" s="7"/>
      <c r="G19" s="7"/>
      <c r="H19" s="7"/>
      <c r="I19" s="7">
        <v>4.5138888888888888E-2</v>
      </c>
      <c r="J19" s="7"/>
      <c r="K19" s="7"/>
      <c r="L19" s="7"/>
      <c r="M19" s="7"/>
      <c r="N19" s="7">
        <v>4.5138888888888888E-2</v>
      </c>
      <c r="O19" s="7"/>
      <c r="P19" s="7"/>
      <c r="Q19" s="7"/>
      <c r="R19" s="7"/>
      <c r="S19" s="7"/>
      <c r="T19" s="7"/>
      <c r="U19" s="7"/>
      <c r="V19" s="7"/>
      <c r="W19" s="7"/>
      <c r="X19" s="7"/>
      <c r="Y19" s="7"/>
      <c r="Z19" s="7"/>
      <c r="AA19" s="7"/>
      <c r="AB19" s="7"/>
      <c r="AC19" s="7"/>
      <c r="AD19" s="7"/>
      <c r="AE19" s="7"/>
      <c r="AF19" s="7"/>
      <c r="AG19" s="7">
        <v>4.5138888888888888E-2</v>
      </c>
    </row>
    <row r="20" spans="4:33" x14ac:dyDescent="0.2">
      <c r="D20" s="5" t="s">
        <v>105</v>
      </c>
      <c r="E20" s="7">
        <v>0.1076388888888889</v>
      </c>
      <c r="F20" s="7"/>
      <c r="G20" s="7">
        <v>0.1076388888888889</v>
      </c>
      <c r="H20" s="7"/>
      <c r="I20" s="7"/>
      <c r="J20" s="7"/>
      <c r="K20" s="7"/>
      <c r="L20" s="7"/>
      <c r="M20" s="7"/>
      <c r="N20" s="7"/>
      <c r="O20" s="7"/>
      <c r="P20" s="7"/>
      <c r="Q20" s="7"/>
      <c r="R20" s="7"/>
      <c r="S20" s="7"/>
      <c r="T20" s="7"/>
      <c r="U20" s="7"/>
      <c r="V20" s="7"/>
      <c r="W20" s="7"/>
      <c r="X20" s="7"/>
      <c r="Y20" s="7"/>
      <c r="Z20" s="7"/>
      <c r="AA20" s="7"/>
      <c r="AB20" s="7"/>
      <c r="AC20" s="7"/>
      <c r="AD20" s="7"/>
      <c r="AE20" s="7"/>
      <c r="AF20" s="7"/>
      <c r="AG20" s="7">
        <v>0.1076388888888889</v>
      </c>
    </row>
    <row r="21" spans="4:33" x14ac:dyDescent="0.2">
      <c r="D21" s="23" t="s">
        <v>117</v>
      </c>
      <c r="E21" s="7">
        <v>7.6388888888888895E-2</v>
      </c>
      <c r="F21" s="7"/>
      <c r="G21" s="7">
        <v>7.6388888888888895E-2</v>
      </c>
      <c r="H21" s="7"/>
      <c r="I21" s="7"/>
      <c r="J21" s="7"/>
      <c r="K21" s="7"/>
      <c r="L21" s="7"/>
      <c r="M21" s="7"/>
      <c r="N21" s="7"/>
      <c r="O21" s="7"/>
      <c r="P21" s="7"/>
      <c r="Q21" s="7"/>
      <c r="R21" s="7"/>
      <c r="S21" s="7"/>
      <c r="T21" s="7"/>
      <c r="U21" s="7"/>
      <c r="V21" s="7"/>
      <c r="W21" s="7"/>
      <c r="X21" s="7"/>
      <c r="Y21" s="7"/>
      <c r="Z21" s="7"/>
      <c r="AA21" s="7"/>
      <c r="AB21" s="7"/>
      <c r="AC21" s="7"/>
      <c r="AD21" s="7"/>
      <c r="AE21" s="7"/>
      <c r="AF21" s="7"/>
      <c r="AG21" s="7">
        <v>7.6388888888888895E-2</v>
      </c>
    </row>
    <row r="22" spans="4:33" x14ac:dyDescent="0.2">
      <c r="D22" s="23" t="s">
        <v>118</v>
      </c>
      <c r="E22" s="7">
        <v>3.125E-2</v>
      </c>
      <c r="F22" s="7"/>
      <c r="G22" s="7">
        <v>3.125E-2</v>
      </c>
      <c r="H22" s="7"/>
      <c r="I22" s="7"/>
      <c r="J22" s="7"/>
      <c r="K22" s="7"/>
      <c r="L22" s="7"/>
      <c r="M22" s="7"/>
      <c r="N22" s="7"/>
      <c r="O22" s="7"/>
      <c r="P22" s="7"/>
      <c r="Q22" s="7"/>
      <c r="R22" s="7"/>
      <c r="S22" s="7"/>
      <c r="T22" s="7"/>
      <c r="U22" s="7"/>
      <c r="V22" s="7"/>
      <c r="W22" s="7"/>
      <c r="X22" s="7"/>
      <c r="Y22" s="7"/>
      <c r="Z22" s="7"/>
      <c r="AA22" s="7"/>
      <c r="AB22" s="7"/>
      <c r="AC22" s="7"/>
      <c r="AD22" s="7"/>
      <c r="AE22" s="7"/>
      <c r="AF22" s="7"/>
      <c r="AG22" s="7">
        <v>3.125E-2</v>
      </c>
    </row>
    <row r="23" spans="4:33" x14ac:dyDescent="0.2">
      <c r="D23" s="2" t="s">
        <v>119</v>
      </c>
      <c r="E23" s="7">
        <v>0.3298611111111111</v>
      </c>
      <c r="F23" s="7">
        <v>0.25694444444444442</v>
      </c>
      <c r="G23" s="7">
        <v>0.58680555555555547</v>
      </c>
      <c r="H23" s="7"/>
      <c r="I23" s="7"/>
      <c r="J23" s="7"/>
      <c r="K23" s="7"/>
      <c r="L23" s="7"/>
      <c r="M23" s="7"/>
      <c r="N23" s="7"/>
      <c r="O23" s="7"/>
      <c r="P23" s="7"/>
      <c r="Q23" s="7"/>
      <c r="R23" s="7"/>
      <c r="S23" s="7"/>
      <c r="T23" s="7"/>
      <c r="U23" s="7"/>
      <c r="V23" s="7"/>
      <c r="W23" s="7"/>
      <c r="X23" s="7"/>
      <c r="Y23" s="7"/>
      <c r="Z23" s="7"/>
      <c r="AA23" s="7"/>
      <c r="AB23" s="7"/>
      <c r="AC23" s="7"/>
      <c r="AD23" s="7"/>
      <c r="AE23" s="7"/>
      <c r="AF23" s="7"/>
      <c r="AG23" s="7">
        <v>0.58680555555555547</v>
      </c>
    </row>
    <row r="24" spans="4:33" x14ac:dyDescent="0.2">
      <c r="D24" s="3">
        <v>1</v>
      </c>
      <c r="E24" s="7">
        <v>0.3298611111111111</v>
      </c>
      <c r="F24" s="7">
        <v>0.25694444444444442</v>
      </c>
      <c r="G24" s="7">
        <v>0.58680555555555547</v>
      </c>
      <c r="H24" s="7"/>
      <c r="I24" s="7"/>
      <c r="J24" s="7"/>
      <c r="K24" s="7"/>
      <c r="L24" s="7"/>
      <c r="M24" s="7"/>
      <c r="N24" s="7"/>
      <c r="O24" s="7"/>
      <c r="P24" s="7"/>
      <c r="Q24" s="7"/>
      <c r="R24" s="7"/>
      <c r="S24" s="7"/>
      <c r="T24" s="7"/>
      <c r="U24" s="7"/>
      <c r="V24" s="7"/>
      <c r="W24" s="7"/>
      <c r="X24" s="7"/>
      <c r="Y24" s="7"/>
      <c r="Z24" s="7"/>
      <c r="AA24" s="7"/>
      <c r="AB24" s="7"/>
      <c r="AC24" s="7"/>
      <c r="AD24" s="7"/>
      <c r="AE24" s="7"/>
      <c r="AF24" s="7"/>
      <c r="AG24" s="7">
        <v>0.58680555555555547</v>
      </c>
    </row>
    <row r="25" spans="4:33" x14ac:dyDescent="0.2">
      <c r="D25" s="5">
        <v>0</v>
      </c>
      <c r="E25" s="7">
        <v>0.3298611111111111</v>
      </c>
      <c r="F25" s="7">
        <v>0.25694444444444442</v>
      </c>
      <c r="G25" s="7">
        <v>0.58680555555555547</v>
      </c>
      <c r="H25" s="7"/>
      <c r="I25" s="7"/>
      <c r="J25" s="7"/>
      <c r="K25" s="7"/>
      <c r="L25" s="7"/>
      <c r="M25" s="7"/>
      <c r="N25" s="7"/>
      <c r="O25" s="7"/>
      <c r="P25" s="7"/>
      <c r="Q25" s="7"/>
      <c r="R25" s="7"/>
      <c r="S25" s="7"/>
      <c r="T25" s="7"/>
      <c r="U25" s="7"/>
      <c r="V25" s="7"/>
      <c r="W25" s="7"/>
      <c r="X25" s="7"/>
      <c r="Y25" s="7"/>
      <c r="Z25" s="7"/>
      <c r="AA25" s="7"/>
      <c r="AB25" s="7"/>
      <c r="AC25" s="7"/>
      <c r="AD25" s="7"/>
      <c r="AE25" s="7"/>
      <c r="AF25" s="7"/>
      <c r="AG25" s="7">
        <v>0.58680555555555547</v>
      </c>
    </row>
    <row r="26" spans="4:33" x14ac:dyDescent="0.2">
      <c r="D26" s="23" t="s">
        <v>131</v>
      </c>
      <c r="E26" s="7"/>
      <c r="F26" s="7">
        <v>9.0277777777777776E-2</v>
      </c>
      <c r="G26" s="7">
        <v>9.0277777777777776E-2</v>
      </c>
      <c r="H26" s="7"/>
      <c r="I26" s="7"/>
      <c r="J26" s="7"/>
      <c r="K26" s="7"/>
      <c r="L26" s="7"/>
      <c r="M26" s="7"/>
      <c r="N26" s="7"/>
      <c r="O26" s="7"/>
      <c r="P26" s="7"/>
      <c r="Q26" s="7"/>
      <c r="R26" s="7"/>
      <c r="S26" s="7"/>
      <c r="T26" s="7"/>
      <c r="U26" s="7"/>
      <c r="V26" s="7"/>
      <c r="W26" s="7"/>
      <c r="X26" s="7"/>
      <c r="Y26" s="7"/>
      <c r="Z26" s="7"/>
      <c r="AA26" s="7"/>
      <c r="AB26" s="7"/>
      <c r="AC26" s="7"/>
      <c r="AD26" s="7"/>
      <c r="AE26" s="7"/>
      <c r="AF26" s="7"/>
      <c r="AG26" s="7">
        <v>9.0277777777777776E-2</v>
      </c>
    </row>
    <row r="27" spans="4:33" x14ac:dyDescent="0.2">
      <c r="D27" s="23" t="s">
        <v>132</v>
      </c>
      <c r="E27" s="7">
        <v>1.7361111111111112E-2</v>
      </c>
      <c r="F27" s="7"/>
      <c r="G27" s="7">
        <v>1.7361111111111112E-2</v>
      </c>
      <c r="H27" s="7"/>
      <c r="I27" s="7"/>
      <c r="J27" s="7"/>
      <c r="K27" s="7"/>
      <c r="L27" s="7"/>
      <c r="M27" s="7"/>
      <c r="N27" s="7"/>
      <c r="O27" s="7"/>
      <c r="P27" s="7"/>
      <c r="Q27" s="7"/>
      <c r="R27" s="7"/>
      <c r="S27" s="7"/>
      <c r="T27" s="7"/>
      <c r="U27" s="7"/>
      <c r="V27" s="7"/>
      <c r="W27" s="7"/>
      <c r="X27" s="7"/>
      <c r="Y27" s="7"/>
      <c r="Z27" s="7"/>
      <c r="AA27" s="7"/>
      <c r="AB27" s="7"/>
      <c r="AC27" s="7"/>
      <c r="AD27" s="7"/>
      <c r="AE27" s="7"/>
      <c r="AF27" s="7"/>
      <c r="AG27" s="7">
        <v>1.7361111111111112E-2</v>
      </c>
    </row>
    <row r="28" spans="4:33" x14ac:dyDescent="0.2">
      <c r="D28" s="23" t="s">
        <v>133</v>
      </c>
      <c r="E28" s="7">
        <v>1.7361111111111112E-2</v>
      </c>
      <c r="F28" s="7"/>
      <c r="G28" s="7">
        <v>1.7361111111111112E-2</v>
      </c>
      <c r="H28" s="7"/>
      <c r="I28" s="7"/>
      <c r="J28" s="7"/>
      <c r="K28" s="7"/>
      <c r="L28" s="7"/>
      <c r="M28" s="7"/>
      <c r="N28" s="7"/>
      <c r="O28" s="7"/>
      <c r="P28" s="7"/>
      <c r="Q28" s="7"/>
      <c r="R28" s="7"/>
      <c r="S28" s="7"/>
      <c r="T28" s="7"/>
      <c r="U28" s="7"/>
      <c r="V28" s="7"/>
      <c r="W28" s="7"/>
      <c r="X28" s="7"/>
      <c r="Y28" s="7"/>
      <c r="Z28" s="7"/>
      <c r="AA28" s="7"/>
      <c r="AB28" s="7"/>
      <c r="AC28" s="7"/>
      <c r="AD28" s="7"/>
      <c r="AE28" s="7"/>
      <c r="AF28" s="7"/>
      <c r="AG28" s="7">
        <v>1.7361111111111112E-2</v>
      </c>
    </row>
    <row r="29" spans="4:33" x14ac:dyDescent="0.2">
      <c r="D29" s="23" t="s">
        <v>134</v>
      </c>
      <c r="E29" s="7">
        <v>3.125E-2</v>
      </c>
      <c r="F29" s="7">
        <v>2.7777777777777776E-2</v>
      </c>
      <c r="G29" s="7">
        <v>5.9027777777777776E-2</v>
      </c>
      <c r="H29" s="7"/>
      <c r="I29" s="7"/>
      <c r="J29" s="7"/>
      <c r="K29" s="7"/>
      <c r="L29" s="7"/>
      <c r="M29" s="7"/>
      <c r="N29" s="7"/>
      <c r="O29" s="7"/>
      <c r="P29" s="7"/>
      <c r="Q29" s="7"/>
      <c r="R29" s="7"/>
      <c r="S29" s="7"/>
      <c r="T29" s="7"/>
      <c r="U29" s="7"/>
      <c r="V29" s="7"/>
      <c r="W29" s="7"/>
      <c r="X29" s="7"/>
      <c r="Y29" s="7"/>
      <c r="Z29" s="7"/>
      <c r="AA29" s="7"/>
      <c r="AB29" s="7"/>
      <c r="AC29" s="7"/>
      <c r="AD29" s="7"/>
      <c r="AE29" s="7"/>
      <c r="AF29" s="7"/>
      <c r="AG29" s="7">
        <v>5.9027777777777776E-2</v>
      </c>
    </row>
    <row r="30" spans="4:33" x14ac:dyDescent="0.2">
      <c r="D30" s="23" t="s">
        <v>140</v>
      </c>
      <c r="E30" s="7">
        <v>2.0833333333333332E-2</v>
      </c>
      <c r="F30" s="7">
        <v>2.4305555555555556E-2</v>
      </c>
      <c r="G30" s="7">
        <v>4.5138888888888888E-2</v>
      </c>
      <c r="H30" s="7"/>
      <c r="I30" s="7"/>
      <c r="J30" s="7"/>
      <c r="K30" s="7"/>
      <c r="L30" s="7"/>
      <c r="M30" s="7"/>
      <c r="N30" s="7"/>
      <c r="O30" s="7"/>
      <c r="P30" s="7"/>
      <c r="Q30" s="7"/>
      <c r="R30" s="7"/>
      <c r="S30" s="7"/>
      <c r="T30" s="7"/>
      <c r="U30" s="7"/>
      <c r="V30" s="7"/>
      <c r="W30" s="7"/>
      <c r="X30" s="7"/>
      <c r="Y30" s="7"/>
      <c r="Z30" s="7"/>
      <c r="AA30" s="7"/>
      <c r="AB30" s="7"/>
      <c r="AC30" s="7"/>
      <c r="AD30" s="7"/>
      <c r="AE30" s="7"/>
      <c r="AF30" s="7"/>
      <c r="AG30" s="7">
        <v>4.5138888888888888E-2</v>
      </c>
    </row>
    <row r="31" spans="4:33" x14ac:dyDescent="0.2">
      <c r="D31" s="23" t="s">
        <v>141</v>
      </c>
      <c r="E31" s="7">
        <v>0.10069444444444443</v>
      </c>
      <c r="F31" s="7">
        <v>6.25E-2</v>
      </c>
      <c r="G31" s="7">
        <v>0.16319444444444442</v>
      </c>
      <c r="H31" s="7"/>
      <c r="I31" s="7"/>
      <c r="J31" s="7"/>
      <c r="K31" s="7"/>
      <c r="L31" s="7"/>
      <c r="M31" s="7"/>
      <c r="N31" s="7"/>
      <c r="O31" s="7"/>
      <c r="P31" s="7"/>
      <c r="Q31" s="7"/>
      <c r="R31" s="7"/>
      <c r="S31" s="7"/>
      <c r="T31" s="7"/>
      <c r="U31" s="7"/>
      <c r="V31" s="7"/>
      <c r="W31" s="7"/>
      <c r="X31" s="7"/>
      <c r="Y31" s="7"/>
      <c r="Z31" s="7"/>
      <c r="AA31" s="7"/>
      <c r="AB31" s="7"/>
      <c r="AC31" s="7"/>
      <c r="AD31" s="7"/>
      <c r="AE31" s="7"/>
      <c r="AF31" s="7"/>
      <c r="AG31" s="7">
        <v>0.16319444444444442</v>
      </c>
    </row>
    <row r="32" spans="4:33" x14ac:dyDescent="0.2">
      <c r="D32" s="23" t="s">
        <v>459</v>
      </c>
      <c r="E32" s="7">
        <v>9.7222222222222224E-2</v>
      </c>
      <c r="F32" s="7">
        <v>5.2083333333333336E-2</v>
      </c>
      <c r="G32" s="7">
        <v>0.14930555555555555</v>
      </c>
      <c r="H32" s="7"/>
      <c r="I32" s="7"/>
      <c r="J32" s="7"/>
      <c r="K32" s="7"/>
      <c r="L32" s="7"/>
      <c r="M32" s="7"/>
      <c r="N32" s="7"/>
      <c r="O32" s="7"/>
      <c r="P32" s="7"/>
      <c r="Q32" s="7"/>
      <c r="R32" s="7"/>
      <c r="S32" s="7"/>
      <c r="T32" s="7"/>
      <c r="U32" s="7"/>
      <c r="V32" s="7"/>
      <c r="W32" s="7"/>
      <c r="X32" s="7"/>
      <c r="Y32" s="7"/>
      <c r="Z32" s="7"/>
      <c r="AA32" s="7"/>
      <c r="AB32" s="7"/>
      <c r="AC32" s="7"/>
      <c r="AD32" s="7"/>
      <c r="AE32" s="7"/>
      <c r="AF32" s="7"/>
      <c r="AG32" s="7">
        <v>0.14930555555555555</v>
      </c>
    </row>
    <row r="33" spans="4:33" x14ac:dyDescent="0.2">
      <c r="D33" s="23" t="s">
        <v>123</v>
      </c>
      <c r="E33" s="7">
        <v>6.9444444444444441E-3</v>
      </c>
      <c r="F33" s="7"/>
      <c r="G33" s="7">
        <v>6.9444444444444441E-3</v>
      </c>
      <c r="H33" s="7"/>
      <c r="I33" s="7"/>
      <c r="J33" s="7"/>
      <c r="K33" s="7"/>
      <c r="L33" s="7"/>
      <c r="M33" s="7"/>
      <c r="N33" s="7"/>
      <c r="O33" s="7"/>
      <c r="P33" s="7"/>
      <c r="Q33" s="7"/>
      <c r="R33" s="7"/>
      <c r="S33" s="7"/>
      <c r="T33" s="7"/>
      <c r="U33" s="7"/>
      <c r="V33" s="7"/>
      <c r="W33" s="7"/>
      <c r="X33" s="7"/>
      <c r="Y33" s="7"/>
      <c r="Z33" s="7"/>
      <c r="AA33" s="7"/>
      <c r="AB33" s="7"/>
      <c r="AC33" s="7"/>
      <c r="AD33" s="7"/>
      <c r="AE33" s="7"/>
      <c r="AF33" s="7"/>
      <c r="AG33" s="7">
        <v>6.9444444444444441E-3</v>
      </c>
    </row>
    <row r="34" spans="4:33" x14ac:dyDescent="0.2">
      <c r="D34" s="23" t="s">
        <v>169</v>
      </c>
      <c r="E34" s="7">
        <v>2.4305555555555556E-2</v>
      </c>
      <c r="F34" s="7"/>
      <c r="G34" s="7">
        <v>2.4305555555555556E-2</v>
      </c>
      <c r="H34" s="7"/>
      <c r="I34" s="7"/>
      <c r="J34" s="7"/>
      <c r="K34" s="7"/>
      <c r="L34" s="7"/>
      <c r="M34" s="7"/>
      <c r="N34" s="7"/>
      <c r="O34" s="7"/>
      <c r="P34" s="7"/>
      <c r="Q34" s="7"/>
      <c r="R34" s="7"/>
      <c r="S34" s="7"/>
      <c r="T34" s="7"/>
      <c r="U34" s="7"/>
      <c r="V34" s="7"/>
      <c r="W34" s="7"/>
      <c r="X34" s="7"/>
      <c r="Y34" s="7"/>
      <c r="Z34" s="7"/>
      <c r="AA34" s="7"/>
      <c r="AB34" s="7"/>
      <c r="AC34" s="7"/>
      <c r="AD34" s="7"/>
      <c r="AE34" s="7"/>
      <c r="AF34" s="7"/>
      <c r="AG34" s="7">
        <v>2.4305555555555556E-2</v>
      </c>
    </row>
    <row r="35" spans="4:33" x14ac:dyDescent="0.2">
      <c r="D35" s="23" t="s">
        <v>121</v>
      </c>
      <c r="E35" s="7">
        <v>1.3888888888888888E-2</v>
      </c>
      <c r="F35" s="7"/>
      <c r="G35" s="7">
        <v>1.3888888888888888E-2</v>
      </c>
      <c r="H35" s="7"/>
      <c r="I35" s="7"/>
      <c r="J35" s="7"/>
      <c r="K35" s="7"/>
      <c r="L35" s="7"/>
      <c r="M35" s="7"/>
      <c r="N35" s="7"/>
      <c r="O35" s="7"/>
      <c r="P35" s="7"/>
      <c r="Q35" s="7"/>
      <c r="R35" s="7"/>
      <c r="S35" s="7"/>
      <c r="T35" s="7"/>
      <c r="U35" s="7"/>
      <c r="V35" s="7"/>
      <c r="W35" s="7"/>
      <c r="X35" s="7"/>
      <c r="Y35" s="7"/>
      <c r="Z35" s="7"/>
      <c r="AA35" s="7"/>
      <c r="AB35" s="7"/>
      <c r="AC35" s="7"/>
      <c r="AD35" s="7"/>
      <c r="AE35" s="7"/>
      <c r="AF35" s="7"/>
      <c r="AG35" s="7">
        <v>1.3888888888888888E-2</v>
      </c>
    </row>
    <row r="36" spans="4:33" x14ac:dyDescent="0.2">
      <c r="D36" s="2" t="s">
        <v>106</v>
      </c>
      <c r="E36" s="7"/>
      <c r="F36" s="7"/>
      <c r="G36" s="7"/>
      <c r="H36" s="7"/>
      <c r="I36" s="7">
        <v>0.18402777777777779</v>
      </c>
      <c r="J36" s="7"/>
      <c r="K36" s="7"/>
      <c r="L36" s="7">
        <v>7.2916666666666671E-2</v>
      </c>
      <c r="M36" s="7">
        <v>1.7361111111111112E-2</v>
      </c>
      <c r="N36" s="7">
        <v>0.27430555555555558</v>
      </c>
      <c r="O36" s="7"/>
      <c r="P36" s="7">
        <v>0.13194444444444445</v>
      </c>
      <c r="Q36" s="7">
        <v>0.13194444444444442</v>
      </c>
      <c r="R36" s="7"/>
      <c r="S36" s="7">
        <v>6.25E-2</v>
      </c>
      <c r="T36" s="7"/>
      <c r="U36" s="7">
        <v>0.3263888888888889</v>
      </c>
      <c r="V36" s="7"/>
      <c r="W36" s="7">
        <v>0.1736111111111111</v>
      </c>
      <c r="X36" s="7">
        <v>7.6388888888888895E-2</v>
      </c>
      <c r="Y36" s="7">
        <v>6.25E-2</v>
      </c>
      <c r="Z36" s="7"/>
      <c r="AA36" s="7">
        <v>0.3125</v>
      </c>
      <c r="AB36" s="7"/>
      <c r="AC36" s="7"/>
      <c r="AD36" s="7"/>
      <c r="AE36" s="7"/>
      <c r="AF36" s="7"/>
      <c r="AG36" s="7">
        <v>0.91319444444444442</v>
      </c>
    </row>
    <row r="37" spans="4:33" x14ac:dyDescent="0.2">
      <c r="D37" s="3">
        <v>1</v>
      </c>
      <c r="E37" s="7"/>
      <c r="F37" s="7"/>
      <c r="G37" s="7"/>
      <c r="H37" s="7"/>
      <c r="I37" s="7">
        <v>0.18402777777777779</v>
      </c>
      <c r="J37" s="7"/>
      <c r="K37" s="7"/>
      <c r="L37" s="7">
        <v>7.2916666666666671E-2</v>
      </c>
      <c r="M37" s="7">
        <v>1.7361111111111112E-2</v>
      </c>
      <c r="N37" s="7">
        <v>0.27430555555555558</v>
      </c>
      <c r="O37" s="7"/>
      <c r="P37" s="7">
        <v>0.13194444444444445</v>
      </c>
      <c r="Q37" s="7">
        <v>0.13194444444444442</v>
      </c>
      <c r="R37" s="7"/>
      <c r="S37" s="7">
        <v>6.25E-2</v>
      </c>
      <c r="T37" s="7"/>
      <c r="U37" s="7">
        <v>0.3263888888888889</v>
      </c>
      <c r="V37" s="7"/>
      <c r="W37" s="7">
        <v>0.1736111111111111</v>
      </c>
      <c r="X37" s="7">
        <v>7.6388888888888895E-2</v>
      </c>
      <c r="Y37" s="7">
        <v>6.25E-2</v>
      </c>
      <c r="Z37" s="7"/>
      <c r="AA37" s="7">
        <v>0.3125</v>
      </c>
      <c r="AB37" s="7"/>
      <c r="AC37" s="7"/>
      <c r="AD37" s="7"/>
      <c r="AE37" s="7"/>
      <c r="AF37" s="7"/>
      <c r="AG37" s="7">
        <v>0.91319444444444442</v>
      </c>
    </row>
    <row r="38" spans="4:33" x14ac:dyDescent="0.2">
      <c r="D38" s="5">
        <v>0</v>
      </c>
      <c r="E38" s="7"/>
      <c r="F38" s="7"/>
      <c r="G38" s="7"/>
      <c r="H38" s="7"/>
      <c r="I38" s="7">
        <v>2.0833333333333332E-2</v>
      </c>
      <c r="J38" s="7"/>
      <c r="K38" s="7"/>
      <c r="L38" s="7">
        <v>7.2916666666666671E-2</v>
      </c>
      <c r="M38" s="7">
        <v>1.7361111111111112E-2</v>
      </c>
      <c r="N38" s="7">
        <v>0.11111111111111112</v>
      </c>
      <c r="O38" s="7"/>
      <c r="P38" s="7"/>
      <c r="Q38" s="7"/>
      <c r="R38" s="7"/>
      <c r="S38" s="7"/>
      <c r="T38" s="7"/>
      <c r="U38" s="7"/>
      <c r="V38" s="7"/>
      <c r="W38" s="7"/>
      <c r="X38" s="7"/>
      <c r="Y38" s="7"/>
      <c r="Z38" s="7"/>
      <c r="AA38" s="7"/>
      <c r="AB38" s="7"/>
      <c r="AC38" s="7"/>
      <c r="AD38" s="7"/>
      <c r="AE38" s="7"/>
      <c r="AF38" s="7"/>
      <c r="AG38" s="7">
        <v>0.11111111111111112</v>
      </c>
    </row>
    <row r="39" spans="4:33" x14ac:dyDescent="0.2">
      <c r="D39" s="23" t="s">
        <v>329</v>
      </c>
      <c r="E39" s="7"/>
      <c r="F39" s="7"/>
      <c r="G39" s="7"/>
      <c r="H39" s="7"/>
      <c r="I39" s="7">
        <v>2.0833333333333332E-2</v>
      </c>
      <c r="J39" s="7"/>
      <c r="K39" s="7"/>
      <c r="L39" s="7"/>
      <c r="M39" s="7"/>
      <c r="N39" s="7">
        <v>2.0833333333333332E-2</v>
      </c>
      <c r="O39" s="7"/>
      <c r="P39" s="7"/>
      <c r="Q39" s="7"/>
      <c r="R39" s="7"/>
      <c r="S39" s="7"/>
      <c r="T39" s="7"/>
      <c r="U39" s="7"/>
      <c r="V39" s="7"/>
      <c r="W39" s="7"/>
      <c r="X39" s="7"/>
      <c r="Y39" s="7"/>
      <c r="Z39" s="7"/>
      <c r="AA39" s="7"/>
      <c r="AB39" s="7"/>
      <c r="AC39" s="7"/>
      <c r="AD39" s="7"/>
      <c r="AE39" s="7"/>
      <c r="AF39" s="7"/>
      <c r="AG39" s="7">
        <v>2.0833333333333332E-2</v>
      </c>
    </row>
    <row r="40" spans="4:33" x14ac:dyDescent="0.2">
      <c r="D40" s="23" t="s">
        <v>330</v>
      </c>
      <c r="E40" s="7"/>
      <c r="F40" s="7"/>
      <c r="G40" s="7"/>
      <c r="H40" s="7"/>
      <c r="I40" s="7"/>
      <c r="J40" s="7"/>
      <c r="K40" s="7"/>
      <c r="L40" s="7">
        <v>7.2916666666666671E-2</v>
      </c>
      <c r="M40" s="7">
        <v>1.7361111111111112E-2</v>
      </c>
      <c r="N40" s="7">
        <v>9.027777777777779E-2</v>
      </c>
      <c r="O40" s="7"/>
      <c r="P40" s="7"/>
      <c r="Q40" s="7"/>
      <c r="R40" s="7"/>
      <c r="S40" s="7"/>
      <c r="T40" s="7"/>
      <c r="U40" s="7"/>
      <c r="V40" s="7"/>
      <c r="W40" s="7"/>
      <c r="X40" s="7"/>
      <c r="Y40" s="7"/>
      <c r="Z40" s="7"/>
      <c r="AA40" s="7"/>
      <c r="AB40" s="7"/>
      <c r="AC40" s="7"/>
      <c r="AD40" s="7"/>
      <c r="AE40" s="7"/>
      <c r="AF40" s="7"/>
      <c r="AG40" s="7">
        <v>9.027777777777779E-2</v>
      </c>
    </row>
    <row r="41" spans="4:33" x14ac:dyDescent="0.2">
      <c r="D41" s="5" t="s">
        <v>330</v>
      </c>
      <c r="E41" s="7"/>
      <c r="F41" s="7"/>
      <c r="G41" s="7"/>
      <c r="H41" s="7"/>
      <c r="I41" s="7">
        <v>0.16319444444444445</v>
      </c>
      <c r="J41" s="7"/>
      <c r="K41" s="7"/>
      <c r="L41" s="7"/>
      <c r="M41" s="7"/>
      <c r="N41" s="7">
        <v>0.16319444444444445</v>
      </c>
      <c r="O41" s="7"/>
      <c r="P41" s="7">
        <v>0.13194444444444445</v>
      </c>
      <c r="Q41" s="7">
        <v>0.13194444444444442</v>
      </c>
      <c r="R41" s="7"/>
      <c r="S41" s="7">
        <v>6.25E-2</v>
      </c>
      <c r="T41" s="7"/>
      <c r="U41" s="7">
        <v>0.3263888888888889</v>
      </c>
      <c r="V41" s="7"/>
      <c r="W41" s="7">
        <v>6.25E-2</v>
      </c>
      <c r="X41" s="7"/>
      <c r="Y41" s="7"/>
      <c r="Z41" s="7"/>
      <c r="AA41" s="7">
        <v>6.25E-2</v>
      </c>
      <c r="AB41" s="7"/>
      <c r="AC41" s="7"/>
      <c r="AD41" s="7"/>
      <c r="AE41" s="7"/>
      <c r="AF41" s="7"/>
      <c r="AG41" s="7">
        <v>0.55208333333333337</v>
      </c>
    </row>
    <row r="42" spans="4:33" x14ac:dyDescent="0.2">
      <c r="D42" s="23" t="s">
        <v>332</v>
      </c>
      <c r="E42" s="7"/>
      <c r="F42" s="7"/>
      <c r="G42" s="7"/>
      <c r="H42" s="7"/>
      <c r="I42" s="7">
        <v>7.6388888888888895E-2</v>
      </c>
      <c r="J42" s="7"/>
      <c r="K42" s="7"/>
      <c r="L42" s="7"/>
      <c r="M42" s="7"/>
      <c r="N42" s="7">
        <v>7.6388888888888895E-2</v>
      </c>
      <c r="O42" s="7"/>
      <c r="P42" s="7"/>
      <c r="Q42" s="7"/>
      <c r="R42" s="7"/>
      <c r="S42" s="7"/>
      <c r="T42" s="7"/>
      <c r="U42" s="7"/>
      <c r="V42" s="7"/>
      <c r="W42" s="7"/>
      <c r="X42" s="7"/>
      <c r="Y42" s="7"/>
      <c r="Z42" s="7"/>
      <c r="AA42" s="7"/>
      <c r="AB42" s="7"/>
      <c r="AC42" s="7"/>
      <c r="AD42" s="7"/>
      <c r="AE42" s="7"/>
      <c r="AF42" s="7"/>
      <c r="AG42" s="7">
        <v>7.6388888888888895E-2</v>
      </c>
    </row>
    <row r="43" spans="4:33" x14ac:dyDescent="0.2">
      <c r="D43" s="23" t="s">
        <v>333</v>
      </c>
      <c r="E43" s="7"/>
      <c r="F43" s="7"/>
      <c r="G43" s="7"/>
      <c r="H43" s="7"/>
      <c r="I43" s="7">
        <v>8.6805555555555552E-2</v>
      </c>
      <c r="J43" s="7"/>
      <c r="K43" s="7"/>
      <c r="L43" s="7"/>
      <c r="M43" s="7"/>
      <c r="N43" s="7">
        <v>8.6805555555555552E-2</v>
      </c>
      <c r="O43" s="7"/>
      <c r="P43" s="7">
        <v>1.3888888888888888E-2</v>
      </c>
      <c r="Q43" s="7">
        <v>6.9444444444444434E-2</v>
      </c>
      <c r="R43" s="7"/>
      <c r="S43" s="7"/>
      <c r="T43" s="7"/>
      <c r="U43" s="7">
        <v>8.3333333333333315E-2</v>
      </c>
      <c r="V43" s="7"/>
      <c r="W43" s="7"/>
      <c r="X43" s="7"/>
      <c r="Y43" s="7"/>
      <c r="Z43" s="7"/>
      <c r="AA43" s="7"/>
      <c r="AB43" s="7"/>
      <c r="AC43" s="7"/>
      <c r="AD43" s="7"/>
      <c r="AE43" s="7"/>
      <c r="AF43" s="7"/>
      <c r="AG43" s="7">
        <v>0.1701388888888889</v>
      </c>
    </row>
    <row r="44" spans="4:33" x14ac:dyDescent="0.2">
      <c r="D44" s="23" t="s">
        <v>456</v>
      </c>
      <c r="E44" s="7"/>
      <c r="F44" s="7"/>
      <c r="G44" s="7"/>
      <c r="H44" s="7"/>
      <c r="I44" s="7"/>
      <c r="J44" s="7"/>
      <c r="K44" s="7"/>
      <c r="L44" s="7"/>
      <c r="M44" s="7"/>
      <c r="N44" s="7"/>
      <c r="O44" s="7"/>
      <c r="P44" s="7">
        <v>0.11805555555555557</v>
      </c>
      <c r="Q44" s="7">
        <v>6.25E-2</v>
      </c>
      <c r="R44" s="7"/>
      <c r="S44" s="7">
        <v>6.25E-2</v>
      </c>
      <c r="T44" s="7"/>
      <c r="U44" s="7">
        <v>0.24305555555555558</v>
      </c>
      <c r="V44" s="7"/>
      <c r="W44" s="7"/>
      <c r="X44" s="7"/>
      <c r="Y44" s="7"/>
      <c r="Z44" s="7"/>
      <c r="AA44" s="7"/>
      <c r="AB44" s="7"/>
      <c r="AC44" s="7"/>
      <c r="AD44" s="7"/>
      <c r="AE44" s="7"/>
      <c r="AF44" s="7"/>
      <c r="AG44" s="7">
        <v>0.24305555555555558</v>
      </c>
    </row>
    <row r="45" spans="4:33" x14ac:dyDescent="0.2">
      <c r="D45" s="23" t="s">
        <v>457</v>
      </c>
      <c r="E45" s="7"/>
      <c r="F45" s="7"/>
      <c r="G45" s="7"/>
      <c r="H45" s="7"/>
      <c r="I45" s="7"/>
      <c r="J45" s="7"/>
      <c r="K45" s="7"/>
      <c r="L45" s="7"/>
      <c r="M45" s="7"/>
      <c r="N45" s="7"/>
      <c r="O45" s="7"/>
      <c r="P45" s="7"/>
      <c r="Q45" s="7"/>
      <c r="R45" s="7"/>
      <c r="S45" s="7"/>
      <c r="T45" s="7"/>
      <c r="U45" s="7"/>
      <c r="V45" s="7"/>
      <c r="W45" s="7">
        <v>6.25E-2</v>
      </c>
      <c r="X45" s="7"/>
      <c r="Y45" s="7"/>
      <c r="Z45" s="7"/>
      <c r="AA45" s="7">
        <v>6.25E-2</v>
      </c>
      <c r="AB45" s="7"/>
      <c r="AC45" s="7"/>
      <c r="AD45" s="7"/>
      <c r="AE45" s="7"/>
      <c r="AF45" s="7"/>
      <c r="AG45" s="7">
        <v>6.25E-2</v>
      </c>
    </row>
    <row r="46" spans="4:33" x14ac:dyDescent="0.2">
      <c r="D46" s="5" t="s">
        <v>329</v>
      </c>
      <c r="E46" s="7"/>
      <c r="F46" s="7"/>
      <c r="G46" s="7"/>
      <c r="H46" s="7"/>
      <c r="I46" s="7"/>
      <c r="J46" s="7"/>
      <c r="K46" s="7"/>
      <c r="L46" s="7"/>
      <c r="M46" s="7"/>
      <c r="N46" s="7"/>
      <c r="O46" s="7"/>
      <c r="P46" s="7"/>
      <c r="Q46" s="7"/>
      <c r="R46" s="7"/>
      <c r="S46" s="7"/>
      <c r="T46" s="7"/>
      <c r="U46" s="7"/>
      <c r="V46" s="7"/>
      <c r="W46" s="7">
        <v>0.1111111111111111</v>
      </c>
      <c r="X46" s="7">
        <v>7.6388888888888895E-2</v>
      </c>
      <c r="Y46" s="7"/>
      <c r="Z46" s="7"/>
      <c r="AA46" s="7">
        <v>0.1875</v>
      </c>
      <c r="AB46" s="7"/>
      <c r="AC46" s="7"/>
      <c r="AD46" s="7"/>
      <c r="AE46" s="7"/>
      <c r="AF46" s="7"/>
      <c r="AG46" s="7">
        <v>0.1875</v>
      </c>
    </row>
    <row r="47" spans="4:33" x14ac:dyDescent="0.2">
      <c r="D47" s="23" t="s">
        <v>331</v>
      </c>
      <c r="E47" s="7"/>
      <c r="F47" s="7"/>
      <c r="G47" s="7"/>
      <c r="H47" s="7"/>
      <c r="I47" s="7"/>
      <c r="J47" s="7"/>
      <c r="K47" s="7"/>
      <c r="L47" s="7"/>
      <c r="M47" s="7"/>
      <c r="N47" s="7"/>
      <c r="O47" s="7"/>
      <c r="P47" s="7"/>
      <c r="Q47" s="7"/>
      <c r="R47" s="7"/>
      <c r="S47" s="7"/>
      <c r="T47" s="7"/>
      <c r="U47" s="7"/>
      <c r="V47" s="7"/>
      <c r="W47" s="7">
        <v>0.1111111111111111</v>
      </c>
      <c r="X47" s="7">
        <v>7.6388888888888895E-2</v>
      </c>
      <c r="Y47" s="7"/>
      <c r="Z47" s="7"/>
      <c r="AA47" s="7">
        <v>0.1875</v>
      </c>
      <c r="AB47" s="7"/>
      <c r="AC47" s="7"/>
      <c r="AD47" s="7"/>
      <c r="AE47" s="7"/>
      <c r="AF47" s="7"/>
      <c r="AG47" s="7">
        <v>0.1875</v>
      </c>
    </row>
    <row r="48" spans="4:33" x14ac:dyDescent="0.2">
      <c r="D48" s="5" t="s">
        <v>958</v>
      </c>
      <c r="E48" s="7"/>
      <c r="F48" s="7"/>
      <c r="G48" s="7"/>
      <c r="H48" s="7"/>
      <c r="I48" s="7"/>
      <c r="J48" s="7"/>
      <c r="K48" s="7"/>
      <c r="L48" s="7"/>
      <c r="M48" s="7"/>
      <c r="N48" s="7"/>
      <c r="O48" s="7"/>
      <c r="P48" s="7"/>
      <c r="Q48" s="7"/>
      <c r="R48" s="7"/>
      <c r="S48" s="7"/>
      <c r="T48" s="7"/>
      <c r="U48" s="7"/>
      <c r="V48" s="7"/>
      <c r="W48" s="7"/>
      <c r="X48" s="7"/>
      <c r="Y48" s="7">
        <v>6.25E-2</v>
      </c>
      <c r="Z48" s="7"/>
      <c r="AA48" s="7">
        <v>6.25E-2</v>
      </c>
      <c r="AB48" s="7"/>
      <c r="AC48" s="7"/>
      <c r="AD48" s="7"/>
      <c r="AE48" s="7"/>
      <c r="AF48" s="7"/>
      <c r="AG48" s="7">
        <v>6.25E-2</v>
      </c>
    </row>
    <row r="49" spans="4:33" x14ac:dyDescent="0.2">
      <c r="D49" s="23" t="s">
        <v>695</v>
      </c>
      <c r="E49" s="7"/>
      <c r="F49" s="7"/>
      <c r="G49" s="7"/>
      <c r="H49" s="7"/>
      <c r="I49" s="7"/>
      <c r="J49" s="7"/>
      <c r="K49" s="7"/>
      <c r="L49" s="7"/>
      <c r="M49" s="7"/>
      <c r="N49" s="7"/>
      <c r="O49" s="7"/>
      <c r="P49" s="7"/>
      <c r="Q49" s="7"/>
      <c r="R49" s="7"/>
      <c r="S49" s="7"/>
      <c r="T49" s="7"/>
      <c r="U49" s="7"/>
      <c r="V49" s="7"/>
      <c r="W49" s="7"/>
      <c r="X49" s="7"/>
      <c r="Y49" s="7">
        <v>6.25E-2</v>
      </c>
      <c r="Z49" s="7"/>
      <c r="AA49" s="7">
        <v>6.25E-2</v>
      </c>
      <c r="AB49" s="7"/>
      <c r="AC49" s="7"/>
      <c r="AD49" s="7"/>
      <c r="AE49" s="7"/>
      <c r="AF49" s="7"/>
      <c r="AG49" s="7">
        <v>6.25E-2</v>
      </c>
    </row>
    <row r="50" spans="4:33" x14ac:dyDescent="0.2">
      <c r="D50" s="2" t="s">
        <v>361</v>
      </c>
      <c r="E50" s="7"/>
      <c r="F50" s="7"/>
      <c r="G50" s="7"/>
      <c r="H50" s="7">
        <v>8.6805555555555566E-2</v>
      </c>
      <c r="I50" s="7">
        <v>4.1666666666666664E-2</v>
      </c>
      <c r="J50" s="7"/>
      <c r="K50" s="7">
        <v>2.7777777777777776E-2</v>
      </c>
      <c r="L50" s="7"/>
      <c r="M50" s="7"/>
      <c r="N50" s="7">
        <v>0.15625</v>
      </c>
      <c r="O50" s="7">
        <v>0.1111111111111111</v>
      </c>
      <c r="P50" s="7">
        <v>0.10763888888888888</v>
      </c>
      <c r="Q50" s="7"/>
      <c r="R50" s="7">
        <v>4.1666666666666664E-2</v>
      </c>
      <c r="S50" s="7"/>
      <c r="T50" s="7">
        <v>6.25E-2</v>
      </c>
      <c r="U50" s="7">
        <v>0.32291666666666663</v>
      </c>
      <c r="V50" s="7">
        <v>0.10416666666666667</v>
      </c>
      <c r="W50" s="7">
        <v>5.5555555555555559E-2</v>
      </c>
      <c r="X50" s="7"/>
      <c r="Y50" s="7"/>
      <c r="Z50" s="7"/>
      <c r="AA50" s="7">
        <v>0.15972222222222224</v>
      </c>
      <c r="AB50" s="7"/>
      <c r="AC50" s="7"/>
      <c r="AD50" s="7"/>
      <c r="AE50" s="7"/>
      <c r="AF50" s="7"/>
      <c r="AG50" s="7">
        <v>0.63888888888888884</v>
      </c>
    </row>
    <row r="51" spans="4:33" x14ac:dyDescent="0.2">
      <c r="D51" s="3">
        <v>1</v>
      </c>
      <c r="E51" s="7"/>
      <c r="F51" s="7"/>
      <c r="G51" s="7"/>
      <c r="H51" s="7">
        <v>8.6805555555555566E-2</v>
      </c>
      <c r="I51" s="7">
        <v>4.1666666666666664E-2</v>
      </c>
      <c r="J51" s="7"/>
      <c r="K51" s="7">
        <v>2.7777777777777776E-2</v>
      </c>
      <c r="L51" s="7"/>
      <c r="M51" s="7"/>
      <c r="N51" s="7">
        <v>0.15625</v>
      </c>
      <c r="O51" s="7">
        <v>0.1111111111111111</v>
      </c>
      <c r="P51" s="7">
        <v>0.10763888888888888</v>
      </c>
      <c r="Q51" s="7"/>
      <c r="R51" s="7">
        <v>4.1666666666666664E-2</v>
      </c>
      <c r="S51" s="7"/>
      <c r="T51" s="7">
        <v>6.25E-2</v>
      </c>
      <c r="U51" s="7">
        <v>0.32291666666666663</v>
      </c>
      <c r="V51" s="7">
        <v>0.10416666666666667</v>
      </c>
      <c r="W51" s="7">
        <v>5.5555555555555559E-2</v>
      </c>
      <c r="X51" s="7"/>
      <c r="Y51" s="7"/>
      <c r="Z51" s="7"/>
      <c r="AA51" s="7">
        <v>0.15972222222222224</v>
      </c>
      <c r="AB51" s="7"/>
      <c r="AC51" s="7"/>
      <c r="AD51" s="7"/>
      <c r="AE51" s="7"/>
      <c r="AF51" s="7"/>
      <c r="AG51" s="7">
        <v>0.63888888888888884</v>
      </c>
    </row>
    <row r="52" spans="4:33" x14ac:dyDescent="0.2">
      <c r="D52" s="5">
        <v>0</v>
      </c>
      <c r="E52" s="7"/>
      <c r="F52" s="7"/>
      <c r="G52" s="7"/>
      <c r="H52" s="7"/>
      <c r="I52" s="7">
        <v>4.1666666666666664E-2</v>
      </c>
      <c r="J52" s="7"/>
      <c r="K52" s="7">
        <v>2.7777777777777776E-2</v>
      </c>
      <c r="L52" s="7"/>
      <c r="M52" s="7"/>
      <c r="N52" s="7">
        <v>6.9444444444444448E-2</v>
      </c>
      <c r="O52" s="7"/>
      <c r="P52" s="7"/>
      <c r="Q52" s="7"/>
      <c r="R52" s="7">
        <v>4.1666666666666664E-2</v>
      </c>
      <c r="S52" s="7"/>
      <c r="T52" s="7">
        <v>6.25E-2</v>
      </c>
      <c r="U52" s="7">
        <v>0.10416666666666666</v>
      </c>
      <c r="V52" s="7"/>
      <c r="W52" s="7">
        <v>1.7361111111111112E-2</v>
      </c>
      <c r="X52" s="7"/>
      <c r="Y52" s="7"/>
      <c r="Z52" s="7"/>
      <c r="AA52" s="7">
        <v>1.7361111111111112E-2</v>
      </c>
      <c r="AB52" s="7"/>
      <c r="AC52" s="7"/>
      <c r="AD52" s="7"/>
      <c r="AE52" s="7"/>
      <c r="AF52" s="7"/>
      <c r="AG52" s="7">
        <v>0.19097222222222221</v>
      </c>
    </row>
    <row r="53" spans="4:33" x14ac:dyDescent="0.2">
      <c r="D53" s="23" t="s">
        <v>362</v>
      </c>
      <c r="E53" s="7"/>
      <c r="F53" s="7"/>
      <c r="G53" s="7"/>
      <c r="H53" s="7"/>
      <c r="I53" s="7"/>
      <c r="J53" s="7"/>
      <c r="K53" s="7">
        <v>2.7777777777777776E-2</v>
      </c>
      <c r="L53" s="7"/>
      <c r="M53" s="7"/>
      <c r="N53" s="7">
        <v>2.7777777777777776E-2</v>
      </c>
      <c r="O53" s="7"/>
      <c r="P53" s="7"/>
      <c r="Q53" s="7"/>
      <c r="R53" s="7"/>
      <c r="S53" s="7"/>
      <c r="T53" s="7"/>
      <c r="U53" s="7"/>
      <c r="V53" s="7"/>
      <c r="W53" s="7"/>
      <c r="X53" s="7"/>
      <c r="Y53" s="7"/>
      <c r="Z53" s="7"/>
      <c r="AA53" s="7"/>
      <c r="AB53" s="7"/>
      <c r="AC53" s="7"/>
      <c r="AD53" s="7"/>
      <c r="AE53" s="7"/>
      <c r="AF53" s="7"/>
      <c r="AG53" s="7">
        <v>2.7777777777777776E-2</v>
      </c>
    </row>
    <row r="54" spans="4:33" x14ac:dyDescent="0.2">
      <c r="D54" s="23" t="s">
        <v>363</v>
      </c>
      <c r="E54" s="7"/>
      <c r="F54" s="7"/>
      <c r="G54" s="7"/>
      <c r="H54" s="7"/>
      <c r="I54" s="7">
        <v>4.1666666666666664E-2</v>
      </c>
      <c r="J54" s="7"/>
      <c r="K54" s="7"/>
      <c r="L54" s="7"/>
      <c r="M54" s="7"/>
      <c r="N54" s="7">
        <v>4.1666666666666664E-2</v>
      </c>
      <c r="O54" s="7"/>
      <c r="P54" s="7"/>
      <c r="Q54" s="7"/>
      <c r="R54" s="7"/>
      <c r="S54" s="7"/>
      <c r="T54" s="7"/>
      <c r="U54" s="7"/>
      <c r="V54" s="7"/>
      <c r="W54" s="7"/>
      <c r="X54" s="7"/>
      <c r="Y54" s="7"/>
      <c r="Z54" s="7"/>
      <c r="AA54" s="7"/>
      <c r="AB54" s="7"/>
      <c r="AC54" s="7"/>
      <c r="AD54" s="7"/>
      <c r="AE54" s="7"/>
      <c r="AF54" s="7"/>
      <c r="AG54" s="7">
        <v>4.1666666666666664E-2</v>
      </c>
    </row>
    <row r="55" spans="4:33" x14ac:dyDescent="0.2">
      <c r="D55" s="23" t="s">
        <v>676</v>
      </c>
      <c r="E55" s="7"/>
      <c r="F55" s="7"/>
      <c r="G55" s="7"/>
      <c r="H55" s="7"/>
      <c r="I55" s="7"/>
      <c r="J55" s="7"/>
      <c r="K55" s="7"/>
      <c r="L55" s="7"/>
      <c r="M55" s="7"/>
      <c r="N55" s="7"/>
      <c r="O55" s="7"/>
      <c r="P55" s="7"/>
      <c r="Q55" s="7"/>
      <c r="R55" s="7">
        <v>4.1666666666666664E-2</v>
      </c>
      <c r="S55" s="7"/>
      <c r="T55" s="7"/>
      <c r="U55" s="7">
        <v>4.1666666666666664E-2</v>
      </c>
      <c r="V55" s="7"/>
      <c r="W55" s="7">
        <v>1.7361111111111112E-2</v>
      </c>
      <c r="X55" s="7"/>
      <c r="Y55" s="7"/>
      <c r="Z55" s="7"/>
      <c r="AA55" s="7">
        <v>1.7361111111111112E-2</v>
      </c>
      <c r="AB55" s="7"/>
      <c r="AC55" s="7"/>
      <c r="AD55" s="7"/>
      <c r="AE55" s="7"/>
      <c r="AF55" s="7"/>
      <c r="AG55" s="7">
        <v>5.9027777777777776E-2</v>
      </c>
    </row>
    <row r="56" spans="4:33" x14ac:dyDescent="0.2">
      <c r="D56" s="23" t="s">
        <v>693</v>
      </c>
      <c r="E56" s="7"/>
      <c r="F56" s="7"/>
      <c r="G56" s="7"/>
      <c r="H56" s="7"/>
      <c r="I56" s="7"/>
      <c r="J56" s="7"/>
      <c r="K56" s="7"/>
      <c r="L56" s="7"/>
      <c r="M56" s="7"/>
      <c r="N56" s="7"/>
      <c r="O56" s="7"/>
      <c r="P56" s="7"/>
      <c r="Q56" s="7"/>
      <c r="R56" s="7"/>
      <c r="S56" s="7"/>
      <c r="T56" s="7">
        <v>6.25E-2</v>
      </c>
      <c r="U56" s="7">
        <v>6.25E-2</v>
      </c>
      <c r="V56" s="7"/>
      <c r="W56" s="7"/>
      <c r="X56" s="7"/>
      <c r="Y56" s="7"/>
      <c r="Z56" s="7"/>
      <c r="AA56" s="7"/>
      <c r="AB56" s="7"/>
      <c r="AC56" s="7"/>
      <c r="AD56" s="7"/>
      <c r="AE56" s="7"/>
      <c r="AF56" s="7"/>
      <c r="AG56" s="7">
        <v>6.25E-2</v>
      </c>
    </row>
    <row r="57" spans="4:33" x14ac:dyDescent="0.2">
      <c r="D57" s="5" t="s">
        <v>455</v>
      </c>
      <c r="E57" s="7"/>
      <c r="F57" s="7"/>
      <c r="G57" s="7"/>
      <c r="H57" s="7">
        <v>8.6805555555555566E-2</v>
      </c>
      <c r="I57" s="7"/>
      <c r="J57" s="7"/>
      <c r="K57" s="7"/>
      <c r="L57" s="7"/>
      <c r="M57" s="7"/>
      <c r="N57" s="7">
        <v>8.6805555555555566E-2</v>
      </c>
      <c r="O57" s="7">
        <v>0.1111111111111111</v>
      </c>
      <c r="P57" s="7"/>
      <c r="Q57" s="7"/>
      <c r="R57" s="7"/>
      <c r="S57" s="7"/>
      <c r="T57" s="7"/>
      <c r="U57" s="7">
        <v>0.1111111111111111</v>
      </c>
      <c r="V57" s="7">
        <v>0.10416666666666667</v>
      </c>
      <c r="W57" s="7"/>
      <c r="X57" s="7"/>
      <c r="Y57" s="7"/>
      <c r="Z57" s="7"/>
      <c r="AA57" s="7">
        <v>0.10416666666666667</v>
      </c>
      <c r="AB57" s="7"/>
      <c r="AC57" s="7"/>
      <c r="AD57" s="7"/>
      <c r="AE57" s="7"/>
      <c r="AF57" s="7"/>
      <c r="AG57" s="7">
        <v>0.30208333333333337</v>
      </c>
    </row>
    <row r="58" spans="4:33" x14ac:dyDescent="0.2">
      <c r="D58" s="23" t="s">
        <v>454</v>
      </c>
      <c r="E58" s="7"/>
      <c r="F58" s="7"/>
      <c r="G58" s="7"/>
      <c r="H58" s="7">
        <v>8.6805555555555566E-2</v>
      </c>
      <c r="I58" s="7"/>
      <c r="J58" s="7"/>
      <c r="K58" s="7"/>
      <c r="L58" s="7"/>
      <c r="M58" s="7"/>
      <c r="N58" s="7">
        <v>8.6805555555555566E-2</v>
      </c>
      <c r="O58" s="7"/>
      <c r="P58" s="7"/>
      <c r="Q58" s="7"/>
      <c r="R58" s="7"/>
      <c r="S58" s="7"/>
      <c r="T58" s="7"/>
      <c r="U58" s="7"/>
      <c r="V58" s="7"/>
      <c r="W58" s="7"/>
      <c r="X58" s="7"/>
      <c r="Y58" s="7"/>
      <c r="Z58" s="7"/>
      <c r="AA58" s="7"/>
      <c r="AB58" s="7"/>
      <c r="AC58" s="7"/>
      <c r="AD58" s="7"/>
      <c r="AE58" s="7"/>
      <c r="AF58" s="7"/>
      <c r="AG58" s="7">
        <v>8.6805555555555566E-2</v>
      </c>
    </row>
    <row r="59" spans="4:33" x14ac:dyDescent="0.2">
      <c r="D59" s="23" t="s">
        <v>691</v>
      </c>
      <c r="E59" s="7"/>
      <c r="F59" s="7"/>
      <c r="G59" s="7"/>
      <c r="H59" s="7"/>
      <c r="I59" s="7"/>
      <c r="J59" s="7"/>
      <c r="K59" s="7"/>
      <c r="L59" s="7"/>
      <c r="M59" s="7"/>
      <c r="N59" s="7"/>
      <c r="O59" s="7">
        <v>0.1111111111111111</v>
      </c>
      <c r="P59" s="7"/>
      <c r="Q59" s="7"/>
      <c r="R59" s="7"/>
      <c r="S59" s="7"/>
      <c r="T59" s="7"/>
      <c r="U59" s="7">
        <v>0.1111111111111111</v>
      </c>
      <c r="V59" s="7"/>
      <c r="W59" s="7"/>
      <c r="X59" s="7"/>
      <c r="Y59" s="7"/>
      <c r="Z59" s="7"/>
      <c r="AA59" s="7"/>
      <c r="AB59" s="7"/>
      <c r="AC59" s="7"/>
      <c r="AD59" s="7"/>
      <c r="AE59" s="7"/>
      <c r="AF59" s="7"/>
      <c r="AG59" s="7">
        <v>0.1111111111111111</v>
      </c>
    </row>
    <row r="60" spans="4:33" x14ac:dyDescent="0.2">
      <c r="D60" s="23" t="s">
        <v>906</v>
      </c>
      <c r="E60" s="7"/>
      <c r="F60" s="7"/>
      <c r="G60" s="7"/>
      <c r="H60" s="7"/>
      <c r="I60" s="7"/>
      <c r="J60" s="7"/>
      <c r="K60" s="7"/>
      <c r="L60" s="7"/>
      <c r="M60" s="7"/>
      <c r="N60" s="7"/>
      <c r="O60" s="7"/>
      <c r="P60" s="7"/>
      <c r="Q60" s="7"/>
      <c r="R60" s="7"/>
      <c r="S60" s="7"/>
      <c r="T60" s="7"/>
      <c r="U60" s="7"/>
      <c r="V60" s="7">
        <v>0.10416666666666667</v>
      </c>
      <c r="W60" s="7"/>
      <c r="X60" s="7"/>
      <c r="Y60" s="7"/>
      <c r="Z60" s="7"/>
      <c r="AA60" s="7">
        <v>0.10416666666666667</v>
      </c>
      <c r="AB60" s="7"/>
      <c r="AC60" s="7"/>
      <c r="AD60" s="7"/>
      <c r="AE60" s="7"/>
      <c r="AF60" s="7"/>
      <c r="AG60" s="7">
        <v>0.10416666666666667</v>
      </c>
    </row>
    <row r="61" spans="4:33" x14ac:dyDescent="0.2">
      <c r="D61" s="5" t="s">
        <v>363</v>
      </c>
      <c r="E61" s="7"/>
      <c r="F61" s="7"/>
      <c r="G61" s="7"/>
      <c r="H61" s="7"/>
      <c r="I61" s="7"/>
      <c r="J61" s="7"/>
      <c r="K61" s="7"/>
      <c r="L61" s="7"/>
      <c r="M61" s="7"/>
      <c r="N61" s="7"/>
      <c r="O61" s="7"/>
      <c r="P61" s="7">
        <v>0.10763888888888888</v>
      </c>
      <c r="Q61" s="7"/>
      <c r="R61" s="7"/>
      <c r="S61" s="7"/>
      <c r="T61" s="7"/>
      <c r="U61" s="7">
        <v>0.10763888888888888</v>
      </c>
      <c r="V61" s="7"/>
      <c r="W61" s="7">
        <v>3.8194444444444448E-2</v>
      </c>
      <c r="X61" s="7"/>
      <c r="Y61" s="7"/>
      <c r="Z61" s="7"/>
      <c r="AA61" s="7">
        <v>3.8194444444444448E-2</v>
      </c>
      <c r="AB61" s="7"/>
      <c r="AC61" s="7"/>
      <c r="AD61" s="7"/>
      <c r="AE61" s="7"/>
      <c r="AF61" s="7"/>
      <c r="AG61" s="7">
        <v>0.14583333333333331</v>
      </c>
    </row>
    <row r="62" spans="4:33" x14ac:dyDescent="0.2">
      <c r="D62" s="23" t="s">
        <v>364</v>
      </c>
      <c r="E62" s="7"/>
      <c r="F62" s="7"/>
      <c r="G62" s="7"/>
      <c r="H62" s="7"/>
      <c r="I62" s="7"/>
      <c r="J62" s="7"/>
      <c r="K62" s="7"/>
      <c r="L62" s="7"/>
      <c r="M62" s="7"/>
      <c r="N62" s="7"/>
      <c r="O62" s="7"/>
      <c r="P62" s="7">
        <v>3.8194444444444441E-2</v>
      </c>
      <c r="Q62" s="7"/>
      <c r="R62" s="7"/>
      <c r="S62" s="7"/>
      <c r="T62" s="7"/>
      <c r="U62" s="7">
        <v>3.8194444444444441E-2</v>
      </c>
      <c r="V62" s="7"/>
      <c r="W62" s="7"/>
      <c r="X62" s="7"/>
      <c r="Y62" s="7"/>
      <c r="Z62" s="7"/>
      <c r="AA62" s="7"/>
      <c r="AB62" s="7"/>
      <c r="AC62" s="7"/>
      <c r="AD62" s="7"/>
      <c r="AE62" s="7"/>
      <c r="AF62" s="7"/>
      <c r="AG62" s="7">
        <v>3.8194444444444441E-2</v>
      </c>
    </row>
    <row r="63" spans="4:33" x14ac:dyDescent="0.2">
      <c r="D63" s="23" t="s">
        <v>365</v>
      </c>
      <c r="E63" s="7"/>
      <c r="F63" s="7"/>
      <c r="G63" s="7"/>
      <c r="H63" s="7"/>
      <c r="I63" s="7"/>
      <c r="J63" s="7"/>
      <c r="K63" s="7"/>
      <c r="L63" s="7"/>
      <c r="M63" s="7"/>
      <c r="N63" s="7"/>
      <c r="O63" s="7"/>
      <c r="P63" s="7">
        <v>3.8194444444444441E-2</v>
      </c>
      <c r="Q63" s="7"/>
      <c r="R63" s="7"/>
      <c r="S63" s="7"/>
      <c r="T63" s="7"/>
      <c r="U63" s="7">
        <v>3.8194444444444441E-2</v>
      </c>
      <c r="V63" s="7"/>
      <c r="W63" s="7"/>
      <c r="X63" s="7"/>
      <c r="Y63" s="7"/>
      <c r="Z63" s="7"/>
      <c r="AA63" s="7"/>
      <c r="AB63" s="7"/>
      <c r="AC63" s="7"/>
      <c r="AD63" s="7"/>
      <c r="AE63" s="7"/>
      <c r="AF63" s="7"/>
      <c r="AG63" s="7">
        <v>3.8194444444444441E-2</v>
      </c>
    </row>
    <row r="64" spans="4:33" x14ac:dyDescent="0.2">
      <c r="D64" s="23" t="s">
        <v>370</v>
      </c>
      <c r="E64" s="7"/>
      <c r="F64" s="7"/>
      <c r="G64" s="7"/>
      <c r="H64" s="7"/>
      <c r="I64" s="7"/>
      <c r="J64" s="7"/>
      <c r="K64" s="7"/>
      <c r="L64" s="7"/>
      <c r="M64" s="7"/>
      <c r="N64" s="7"/>
      <c r="O64" s="7"/>
      <c r="P64" s="7">
        <v>3.125E-2</v>
      </c>
      <c r="Q64" s="7"/>
      <c r="R64" s="7"/>
      <c r="S64" s="7"/>
      <c r="T64" s="7"/>
      <c r="U64" s="7">
        <v>3.125E-2</v>
      </c>
      <c r="V64" s="7"/>
      <c r="W64" s="7">
        <v>2.4305555555555556E-2</v>
      </c>
      <c r="X64" s="7"/>
      <c r="Y64" s="7"/>
      <c r="Z64" s="7"/>
      <c r="AA64" s="7">
        <v>2.4305555555555556E-2</v>
      </c>
      <c r="AB64" s="7"/>
      <c r="AC64" s="7"/>
      <c r="AD64" s="7"/>
      <c r="AE64" s="7"/>
      <c r="AF64" s="7"/>
      <c r="AG64" s="7">
        <v>5.5555555555555552E-2</v>
      </c>
    </row>
    <row r="65" spans="4:33" x14ac:dyDescent="0.2">
      <c r="D65" s="23" t="s">
        <v>376</v>
      </c>
      <c r="E65" s="7"/>
      <c r="F65" s="7"/>
      <c r="G65" s="7"/>
      <c r="H65" s="7"/>
      <c r="I65" s="7"/>
      <c r="J65" s="7"/>
      <c r="K65" s="7"/>
      <c r="L65" s="7"/>
      <c r="M65" s="7"/>
      <c r="N65" s="7"/>
      <c r="O65" s="7"/>
      <c r="P65" s="7"/>
      <c r="Q65" s="7"/>
      <c r="R65" s="7"/>
      <c r="S65" s="7"/>
      <c r="T65" s="7"/>
      <c r="U65" s="7"/>
      <c r="V65" s="7"/>
      <c r="W65" s="7">
        <v>1.3888888888888888E-2</v>
      </c>
      <c r="X65" s="7"/>
      <c r="Y65" s="7"/>
      <c r="Z65" s="7"/>
      <c r="AA65" s="7">
        <v>1.3888888888888888E-2</v>
      </c>
      <c r="AB65" s="7"/>
      <c r="AC65" s="7"/>
      <c r="AD65" s="7"/>
      <c r="AE65" s="7"/>
      <c r="AF65" s="7"/>
      <c r="AG65" s="7">
        <v>1.3888888888888888E-2</v>
      </c>
    </row>
    <row r="66" spans="4:33" x14ac:dyDescent="0.2">
      <c r="D66" s="2" t="s">
        <v>24</v>
      </c>
      <c r="E66" s="7"/>
      <c r="F66" s="7"/>
      <c r="G66" s="7"/>
      <c r="H66" s="7"/>
      <c r="I66" s="7">
        <v>0</v>
      </c>
      <c r="J66" s="7"/>
      <c r="K66" s="7"/>
      <c r="L66" s="7">
        <v>7.2916666666666671E-2</v>
      </c>
      <c r="M66" s="7"/>
      <c r="N66" s="7">
        <v>7.2916666666666671E-2</v>
      </c>
      <c r="O66" s="7"/>
      <c r="P66" s="7"/>
      <c r="Q66" s="7"/>
      <c r="R66" s="7"/>
      <c r="S66" s="7"/>
      <c r="T66" s="7"/>
      <c r="U66" s="7"/>
      <c r="V66" s="7">
        <v>7.2916666666666657E-2</v>
      </c>
      <c r="W66" s="7"/>
      <c r="X66" s="7"/>
      <c r="Y66" s="7">
        <v>6.25E-2</v>
      </c>
      <c r="Z66" s="7"/>
      <c r="AA66" s="7">
        <v>0.13541666666666666</v>
      </c>
      <c r="AB66" s="7"/>
      <c r="AC66" s="7"/>
      <c r="AD66" s="7"/>
      <c r="AE66" s="7"/>
      <c r="AF66" s="7"/>
      <c r="AG66" s="7">
        <v>0.20833333333333334</v>
      </c>
    </row>
    <row r="67" spans="4:33" x14ac:dyDescent="0.2">
      <c r="D67" s="3">
        <v>1</v>
      </c>
      <c r="E67" s="7"/>
      <c r="F67" s="7"/>
      <c r="G67" s="7"/>
      <c r="H67" s="7"/>
      <c r="I67" s="7">
        <v>0</v>
      </c>
      <c r="J67" s="7"/>
      <c r="K67" s="7"/>
      <c r="L67" s="7">
        <v>7.2916666666666671E-2</v>
      </c>
      <c r="M67" s="7"/>
      <c r="N67" s="7">
        <v>7.2916666666666671E-2</v>
      </c>
      <c r="O67" s="7"/>
      <c r="P67" s="7"/>
      <c r="Q67" s="7"/>
      <c r="R67" s="7"/>
      <c r="S67" s="7"/>
      <c r="T67" s="7"/>
      <c r="U67" s="7"/>
      <c r="V67" s="7">
        <v>7.2916666666666657E-2</v>
      </c>
      <c r="W67" s="7"/>
      <c r="X67" s="7"/>
      <c r="Y67" s="7">
        <v>6.25E-2</v>
      </c>
      <c r="Z67" s="7"/>
      <c r="AA67" s="7">
        <v>0.13541666666666666</v>
      </c>
      <c r="AB67" s="7"/>
      <c r="AC67" s="7"/>
      <c r="AD67" s="7"/>
      <c r="AE67" s="7"/>
      <c r="AF67" s="7"/>
      <c r="AG67" s="7">
        <v>0.20833333333333334</v>
      </c>
    </row>
    <row r="68" spans="4:33" x14ac:dyDescent="0.2">
      <c r="D68" s="5">
        <v>0</v>
      </c>
      <c r="E68" s="7"/>
      <c r="F68" s="7"/>
      <c r="G68" s="7"/>
      <c r="H68" s="7"/>
      <c r="I68" s="7"/>
      <c r="J68" s="7"/>
      <c r="K68" s="7"/>
      <c r="L68" s="7">
        <v>7.2916666666666671E-2</v>
      </c>
      <c r="M68" s="7"/>
      <c r="N68" s="7">
        <v>7.2916666666666671E-2</v>
      </c>
      <c r="O68" s="7"/>
      <c r="P68" s="7"/>
      <c r="Q68" s="7"/>
      <c r="R68" s="7"/>
      <c r="S68" s="7"/>
      <c r="T68" s="7"/>
      <c r="U68" s="7"/>
      <c r="V68" s="7"/>
      <c r="W68" s="7"/>
      <c r="X68" s="7"/>
      <c r="Y68" s="7">
        <v>6.25E-2</v>
      </c>
      <c r="Z68" s="7"/>
      <c r="AA68" s="7">
        <v>6.25E-2</v>
      </c>
      <c r="AB68" s="7"/>
      <c r="AC68" s="7"/>
      <c r="AD68" s="7"/>
      <c r="AE68" s="7"/>
      <c r="AF68" s="7"/>
      <c r="AG68" s="7">
        <v>0.13541666666666669</v>
      </c>
    </row>
    <row r="69" spans="4:33" x14ac:dyDescent="0.2">
      <c r="D69" s="23" t="s">
        <v>398</v>
      </c>
      <c r="E69" s="7"/>
      <c r="F69" s="7"/>
      <c r="G69" s="7"/>
      <c r="H69" s="7"/>
      <c r="I69" s="7"/>
      <c r="J69" s="7"/>
      <c r="K69" s="7"/>
      <c r="L69" s="7">
        <v>7.2916666666666671E-2</v>
      </c>
      <c r="M69" s="7"/>
      <c r="N69" s="7">
        <v>7.2916666666666671E-2</v>
      </c>
      <c r="O69" s="7"/>
      <c r="P69" s="7"/>
      <c r="Q69" s="7"/>
      <c r="R69" s="7"/>
      <c r="S69" s="7"/>
      <c r="T69" s="7"/>
      <c r="U69" s="7"/>
      <c r="V69" s="7"/>
      <c r="W69" s="7"/>
      <c r="X69" s="7"/>
      <c r="Y69" s="7"/>
      <c r="Z69" s="7"/>
      <c r="AA69" s="7"/>
      <c r="AB69" s="7"/>
      <c r="AC69" s="7"/>
      <c r="AD69" s="7"/>
      <c r="AE69" s="7"/>
      <c r="AF69" s="7"/>
      <c r="AG69" s="7">
        <v>7.2916666666666671E-2</v>
      </c>
    </row>
    <row r="70" spans="4:33" x14ac:dyDescent="0.2">
      <c r="D70" s="23" t="s">
        <v>933</v>
      </c>
      <c r="E70" s="7"/>
      <c r="F70" s="7"/>
      <c r="G70" s="7"/>
      <c r="H70" s="7"/>
      <c r="I70" s="7"/>
      <c r="J70" s="7"/>
      <c r="K70" s="7"/>
      <c r="L70" s="7"/>
      <c r="M70" s="7"/>
      <c r="N70" s="7"/>
      <c r="O70" s="7"/>
      <c r="P70" s="7"/>
      <c r="Q70" s="7"/>
      <c r="R70" s="7"/>
      <c r="S70" s="7"/>
      <c r="T70" s="7"/>
      <c r="U70" s="7"/>
      <c r="V70" s="7"/>
      <c r="W70" s="7"/>
      <c r="X70" s="7"/>
      <c r="Y70" s="7">
        <v>6.25E-2</v>
      </c>
      <c r="Z70" s="7"/>
      <c r="AA70" s="7">
        <v>6.25E-2</v>
      </c>
      <c r="AB70" s="7"/>
      <c r="AC70" s="7"/>
      <c r="AD70" s="7"/>
      <c r="AE70" s="7"/>
      <c r="AF70" s="7"/>
      <c r="AG70" s="7">
        <v>6.25E-2</v>
      </c>
    </row>
    <row r="71" spans="4:33" x14ac:dyDescent="0.2">
      <c r="D71" s="5" t="s">
        <v>398</v>
      </c>
      <c r="E71" s="7"/>
      <c r="F71" s="7"/>
      <c r="G71" s="7"/>
      <c r="H71" s="7"/>
      <c r="I71" s="7">
        <v>0</v>
      </c>
      <c r="J71" s="7"/>
      <c r="K71" s="7"/>
      <c r="L71" s="7"/>
      <c r="M71" s="7"/>
      <c r="N71" s="7">
        <v>0</v>
      </c>
      <c r="O71" s="7"/>
      <c r="P71" s="7"/>
      <c r="Q71" s="7"/>
      <c r="R71" s="7"/>
      <c r="S71" s="7"/>
      <c r="T71" s="7"/>
      <c r="U71" s="7"/>
      <c r="V71" s="7"/>
      <c r="W71" s="7"/>
      <c r="X71" s="7"/>
      <c r="Y71" s="7"/>
      <c r="Z71" s="7"/>
      <c r="AA71" s="7"/>
      <c r="AB71" s="7"/>
      <c r="AC71" s="7"/>
      <c r="AD71" s="7"/>
      <c r="AE71" s="7"/>
      <c r="AF71" s="7"/>
      <c r="AG71" s="7">
        <v>0</v>
      </c>
    </row>
    <row r="72" spans="4:33" x14ac:dyDescent="0.2">
      <c r="D72" s="23" t="s">
        <v>399</v>
      </c>
      <c r="E72" s="7"/>
      <c r="F72" s="7"/>
      <c r="G72" s="7"/>
      <c r="H72" s="7"/>
      <c r="I72" s="7">
        <v>0</v>
      </c>
      <c r="J72" s="7"/>
      <c r="K72" s="7"/>
      <c r="L72" s="7"/>
      <c r="M72" s="7"/>
      <c r="N72" s="7">
        <v>0</v>
      </c>
      <c r="O72" s="7"/>
      <c r="P72" s="7"/>
      <c r="Q72" s="7"/>
      <c r="R72" s="7"/>
      <c r="S72" s="7"/>
      <c r="T72" s="7"/>
      <c r="U72" s="7"/>
      <c r="V72" s="7"/>
      <c r="W72" s="7"/>
      <c r="X72" s="7"/>
      <c r="Y72" s="7"/>
      <c r="Z72" s="7"/>
      <c r="AA72" s="7"/>
      <c r="AB72" s="7"/>
      <c r="AC72" s="7"/>
      <c r="AD72" s="7"/>
      <c r="AE72" s="7"/>
      <c r="AF72" s="7"/>
      <c r="AG72" s="7">
        <v>0</v>
      </c>
    </row>
    <row r="73" spans="4:33" x14ac:dyDescent="0.2">
      <c r="D73" s="5" t="s">
        <v>902</v>
      </c>
      <c r="E73" s="7"/>
      <c r="F73" s="7"/>
      <c r="G73" s="7"/>
      <c r="H73" s="7"/>
      <c r="I73" s="7"/>
      <c r="J73" s="7"/>
      <c r="K73" s="7"/>
      <c r="L73" s="7"/>
      <c r="M73" s="7"/>
      <c r="N73" s="7"/>
      <c r="O73" s="7"/>
      <c r="P73" s="7"/>
      <c r="Q73" s="7"/>
      <c r="R73" s="7"/>
      <c r="S73" s="7"/>
      <c r="T73" s="7"/>
      <c r="U73" s="7"/>
      <c r="V73" s="7">
        <v>4.1666666666666664E-2</v>
      </c>
      <c r="W73" s="7"/>
      <c r="X73" s="7"/>
      <c r="Y73" s="7"/>
      <c r="Z73" s="7"/>
      <c r="AA73" s="7">
        <v>4.1666666666666664E-2</v>
      </c>
      <c r="AB73" s="7"/>
      <c r="AC73" s="7"/>
      <c r="AD73" s="7"/>
      <c r="AE73" s="7"/>
      <c r="AF73" s="7"/>
      <c r="AG73" s="7">
        <v>4.1666666666666664E-2</v>
      </c>
    </row>
    <row r="74" spans="4:33" x14ac:dyDescent="0.2">
      <c r="D74" s="23" t="s">
        <v>903</v>
      </c>
      <c r="E74" s="7"/>
      <c r="F74" s="7"/>
      <c r="G74" s="7"/>
      <c r="H74" s="7"/>
      <c r="I74" s="7"/>
      <c r="J74" s="7"/>
      <c r="K74" s="7"/>
      <c r="L74" s="7"/>
      <c r="M74" s="7"/>
      <c r="N74" s="7"/>
      <c r="O74" s="7"/>
      <c r="P74" s="7"/>
      <c r="Q74" s="7"/>
      <c r="R74" s="7"/>
      <c r="S74" s="7"/>
      <c r="T74" s="7"/>
      <c r="U74" s="7"/>
      <c r="V74" s="7">
        <v>4.1666666666666664E-2</v>
      </c>
      <c r="W74" s="7"/>
      <c r="X74" s="7"/>
      <c r="Y74" s="7"/>
      <c r="Z74" s="7"/>
      <c r="AA74" s="7">
        <v>4.1666666666666664E-2</v>
      </c>
      <c r="AB74" s="7"/>
      <c r="AC74" s="7"/>
      <c r="AD74" s="7"/>
      <c r="AE74" s="7"/>
      <c r="AF74" s="7"/>
      <c r="AG74" s="7">
        <v>4.1666666666666664E-2</v>
      </c>
    </row>
    <row r="75" spans="4:33" x14ac:dyDescent="0.2">
      <c r="D75" s="5" t="s">
        <v>958</v>
      </c>
      <c r="E75" s="7"/>
      <c r="F75" s="7"/>
      <c r="G75" s="7"/>
      <c r="H75" s="7"/>
      <c r="I75" s="7"/>
      <c r="J75" s="7"/>
      <c r="K75" s="7"/>
      <c r="L75" s="7"/>
      <c r="M75" s="7"/>
      <c r="N75" s="7"/>
      <c r="O75" s="7"/>
      <c r="P75" s="7"/>
      <c r="Q75" s="7"/>
      <c r="R75" s="7"/>
      <c r="S75" s="7"/>
      <c r="T75" s="7"/>
      <c r="U75" s="7"/>
      <c r="V75" s="7">
        <v>3.125E-2</v>
      </c>
      <c r="W75" s="7"/>
      <c r="X75" s="7"/>
      <c r="Y75" s="7"/>
      <c r="Z75" s="7"/>
      <c r="AA75" s="7">
        <v>3.125E-2</v>
      </c>
      <c r="AB75" s="7"/>
      <c r="AC75" s="7"/>
      <c r="AD75" s="7"/>
      <c r="AE75" s="7"/>
      <c r="AF75" s="7"/>
      <c r="AG75" s="7">
        <v>3.125E-2</v>
      </c>
    </row>
    <row r="76" spans="4:33" x14ac:dyDescent="0.2">
      <c r="D76" s="23" t="s">
        <v>695</v>
      </c>
      <c r="E76" s="7"/>
      <c r="F76" s="7"/>
      <c r="G76" s="7"/>
      <c r="H76" s="7"/>
      <c r="I76" s="7"/>
      <c r="J76" s="7"/>
      <c r="K76" s="7"/>
      <c r="L76" s="7"/>
      <c r="M76" s="7"/>
      <c r="N76" s="7"/>
      <c r="O76" s="7"/>
      <c r="P76" s="7"/>
      <c r="Q76" s="7"/>
      <c r="R76" s="7"/>
      <c r="S76" s="7"/>
      <c r="T76" s="7"/>
      <c r="U76" s="7"/>
      <c r="V76" s="7">
        <v>3.125E-2</v>
      </c>
      <c r="W76" s="7"/>
      <c r="X76" s="7"/>
      <c r="Y76" s="7"/>
      <c r="Z76" s="7"/>
      <c r="AA76" s="7">
        <v>3.125E-2</v>
      </c>
      <c r="AB76" s="7"/>
      <c r="AC76" s="7"/>
      <c r="AD76" s="7"/>
      <c r="AE76" s="7"/>
      <c r="AF76" s="7"/>
      <c r="AG76" s="7">
        <v>3.125E-2</v>
      </c>
    </row>
    <row r="77" spans="4:33" x14ac:dyDescent="0.2">
      <c r="D77" s="2" t="s">
        <v>453</v>
      </c>
      <c r="E77" s="7"/>
      <c r="F77" s="7"/>
      <c r="G77" s="7"/>
      <c r="H77" s="7">
        <v>7.9861111111111105E-2</v>
      </c>
      <c r="I77" s="7">
        <v>7.6388888888888895E-2</v>
      </c>
      <c r="J77" s="7"/>
      <c r="K77" s="7"/>
      <c r="L77" s="7"/>
      <c r="M77" s="7"/>
      <c r="N77" s="7">
        <v>0.15625</v>
      </c>
      <c r="O77" s="7">
        <v>0.11458333333333333</v>
      </c>
      <c r="P77" s="7">
        <v>1.7361111111111112E-2</v>
      </c>
      <c r="Q77" s="7"/>
      <c r="R77" s="7"/>
      <c r="S77" s="7"/>
      <c r="T77" s="7"/>
      <c r="U77" s="7">
        <v>0.13194444444444445</v>
      </c>
      <c r="V77" s="7"/>
      <c r="W77" s="7"/>
      <c r="X77" s="7"/>
      <c r="Y77" s="7"/>
      <c r="Z77" s="7">
        <v>6.25E-2</v>
      </c>
      <c r="AA77" s="7">
        <v>6.25E-2</v>
      </c>
      <c r="AB77" s="7">
        <v>4.1666666666666664E-2</v>
      </c>
      <c r="AC77" s="7"/>
      <c r="AD77" s="7"/>
      <c r="AE77" s="7"/>
      <c r="AF77" s="7">
        <v>4.1666666666666664E-2</v>
      </c>
      <c r="AG77" s="7">
        <v>0.3923611111111111</v>
      </c>
    </row>
    <row r="78" spans="4:33" x14ac:dyDescent="0.2">
      <c r="D78" s="3">
        <v>1</v>
      </c>
      <c r="E78" s="7"/>
      <c r="F78" s="7"/>
      <c r="G78" s="7"/>
      <c r="H78" s="7">
        <v>7.9861111111111105E-2</v>
      </c>
      <c r="I78" s="7">
        <v>7.6388888888888895E-2</v>
      </c>
      <c r="J78" s="7"/>
      <c r="K78" s="7"/>
      <c r="L78" s="7"/>
      <c r="M78" s="7"/>
      <c r="N78" s="7">
        <v>0.15625</v>
      </c>
      <c r="O78" s="7">
        <v>0.11458333333333333</v>
      </c>
      <c r="P78" s="7">
        <v>1.7361111111111112E-2</v>
      </c>
      <c r="Q78" s="7"/>
      <c r="R78" s="7"/>
      <c r="S78" s="7"/>
      <c r="T78" s="7"/>
      <c r="U78" s="7">
        <v>0.13194444444444445</v>
      </c>
      <c r="V78" s="7"/>
      <c r="W78" s="7"/>
      <c r="X78" s="7"/>
      <c r="Y78" s="7"/>
      <c r="Z78" s="7">
        <v>6.25E-2</v>
      </c>
      <c r="AA78" s="7">
        <v>6.25E-2</v>
      </c>
      <c r="AB78" s="7">
        <v>4.1666666666666664E-2</v>
      </c>
      <c r="AC78" s="7"/>
      <c r="AD78" s="7"/>
      <c r="AE78" s="7"/>
      <c r="AF78" s="7">
        <v>4.1666666666666664E-2</v>
      </c>
      <c r="AG78" s="7">
        <v>0.3923611111111111</v>
      </c>
    </row>
    <row r="79" spans="4:33" x14ac:dyDescent="0.2">
      <c r="D79" s="5">
        <v>0</v>
      </c>
      <c r="E79" s="7"/>
      <c r="F79" s="7"/>
      <c r="G79" s="7"/>
      <c r="H79" s="7">
        <v>7.9861111111111105E-2</v>
      </c>
      <c r="I79" s="7">
        <v>7.6388888888888895E-2</v>
      </c>
      <c r="J79" s="7"/>
      <c r="K79" s="7"/>
      <c r="L79" s="7"/>
      <c r="M79" s="7"/>
      <c r="N79" s="7">
        <v>0.15625</v>
      </c>
      <c r="O79" s="7"/>
      <c r="P79" s="7">
        <v>1.7361111111111112E-2</v>
      </c>
      <c r="Q79" s="7"/>
      <c r="R79" s="7"/>
      <c r="S79" s="7"/>
      <c r="T79" s="7"/>
      <c r="U79" s="7">
        <v>1.7361111111111112E-2</v>
      </c>
      <c r="V79" s="7"/>
      <c r="W79" s="7"/>
      <c r="X79" s="7"/>
      <c r="Y79" s="7"/>
      <c r="Z79" s="7">
        <v>6.25E-2</v>
      </c>
      <c r="AA79" s="7">
        <v>6.25E-2</v>
      </c>
      <c r="AB79" s="7"/>
      <c r="AC79" s="7"/>
      <c r="AD79" s="7"/>
      <c r="AE79" s="7"/>
      <c r="AF79" s="7"/>
      <c r="AG79" s="7">
        <v>0.2361111111111111</v>
      </c>
    </row>
    <row r="80" spans="4:33" x14ac:dyDescent="0.2">
      <c r="D80" s="23" t="s">
        <v>460</v>
      </c>
      <c r="E80" s="7"/>
      <c r="F80" s="7"/>
      <c r="G80" s="7"/>
      <c r="H80" s="7">
        <v>7.9861111111111105E-2</v>
      </c>
      <c r="I80" s="7">
        <v>7.6388888888888895E-2</v>
      </c>
      <c r="J80" s="7"/>
      <c r="K80" s="7"/>
      <c r="L80" s="7"/>
      <c r="M80" s="7"/>
      <c r="N80" s="7">
        <v>0.15625</v>
      </c>
      <c r="O80" s="7"/>
      <c r="P80" s="7">
        <v>1.7361111111111112E-2</v>
      </c>
      <c r="Q80" s="7"/>
      <c r="R80" s="7"/>
      <c r="S80" s="7"/>
      <c r="T80" s="7"/>
      <c r="U80" s="7">
        <v>1.7361111111111112E-2</v>
      </c>
      <c r="V80" s="7"/>
      <c r="W80" s="7"/>
      <c r="X80" s="7"/>
      <c r="Y80" s="7"/>
      <c r="Z80" s="7"/>
      <c r="AA80" s="7"/>
      <c r="AB80" s="7"/>
      <c r="AC80" s="7"/>
      <c r="AD80" s="7"/>
      <c r="AE80" s="7"/>
      <c r="AF80" s="7"/>
      <c r="AG80" s="7">
        <v>0.1736111111111111</v>
      </c>
    </row>
    <row r="81" spans="4:33" x14ac:dyDescent="0.2">
      <c r="D81" s="23" t="s">
        <v>932</v>
      </c>
      <c r="E81" s="7"/>
      <c r="F81" s="7"/>
      <c r="G81" s="7"/>
      <c r="H81" s="7"/>
      <c r="I81" s="7"/>
      <c r="J81" s="7"/>
      <c r="K81" s="7"/>
      <c r="L81" s="7"/>
      <c r="M81" s="7"/>
      <c r="N81" s="7"/>
      <c r="O81" s="7"/>
      <c r="P81" s="7"/>
      <c r="Q81" s="7"/>
      <c r="R81" s="7"/>
      <c r="S81" s="7"/>
      <c r="T81" s="7"/>
      <c r="U81" s="7"/>
      <c r="V81" s="7"/>
      <c r="W81" s="7"/>
      <c r="X81" s="7"/>
      <c r="Y81" s="7"/>
      <c r="Z81" s="7">
        <v>6.25E-2</v>
      </c>
      <c r="AA81" s="7">
        <v>6.25E-2</v>
      </c>
      <c r="AB81" s="7"/>
      <c r="AC81" s="7"/>
      <c r="AD81" s="7"/>
      <c r="AE81" s="7"/>
      <c r="AF81" s="7"/>
      <c r="AG81" s="7">
        <v>6.25E-2</v>
      </c>
    </row>
    <row r="82" spans="4:33" x14ac:dyDescent="0.2">
      <c r="D82" s="5" t="s">
        <v>489</v>
      </c>
      <c r="E82" s="7"/>
      <c r="F82" s="7"/>
      <c r="G82" s="7"/>
      <c r="H82" s="7"/>
      <c r="I82" s="7"/>
      <c r="J82" s="7"/>
      <c r="K82" s="7"/>
      <c r="L82" s="7"/>
      <c r="M82" s="7"/>
      <c r="N82" s="7"/>
      <c r="O82" s="7">
        <v>0.11458333333333333</v>
      </c>
      <c r="P82" s="7"/>
      <c r="Q82" s="7"/>
      <c r="R82" s="7"/>
      <c r="S82" s="7"/>
      <c r="T82" s="7"/>
      <c r="U82" s="7">
        <v>0.11458333333333333</v>
      </c>
      <c r="V82" s="7"/>
      <c r="W82" s="7"/>
      <c r="X82" s="7"/>
      <c r="Y82" s="7"/>
      <c r="Z82" s="7"/>
      <c r="AA82" s="7"/>
      <c r="AB82" s="7">
        <v>4.1666666666666664E-2</v>
      </c>
      <c r="AC82" s="7"/>
      <c r="AD82" s="7"/>
      <c r="AE82" s="7"/>
      <c r="AF82" s="7">
        <v>4.1666666666666664E-2</v>
      </c>
      <c r="AG82" s="7">
        <v>0.15625</v>
      </c>
    </row>
    <row r="83" spans="4:33" x14ac:dyDescent="0.2">
      <c r="D83" s="23" t="s">
        <v>809</v>
      </c>
      <c r="E83" s="7"/>
      <c r="F83" s="7"/>
      <c r="G83" s="7"/>
      <c r="H83" s="7"/>
      <c r="I83" s="7"/>
      <c r="J83" s="7"/>
      <c r="K83" s="7"/>
      <c r="L83" s="7"/>
      <c r="M83" s="7"/>
      <c r="N83" s="7"/>
      <c r="O83" s="7">
        <v>0.11458333333333333</v>
      </c>
      <c r="P83" s="7"/>
      <c r="Q83" s="7"/>
      <c r="R83" s="7"/>
      <c r="S83" s="7"/>
      <c r="T83" s="7"/>
      <c r="U83" s="7">
        <v>0.11458333333333333</v>
      </c>
      <c r="V83" s="7"/>
      <c r="W83" s="7"/>
      <c r="X83" s="7"/>
      <c r="Y83" s="7"/>
      <c r="Z83" s="7"/>
      <c r="AA83" s="7"/>
      <c r="AB83" s="7"/>
      <c r="AC83" s="7"/>
      <c r="AD83" s="7"/>
      <c r="AE83" s="7"/>
      <c r="AF83" s="7"/>
      <c r="AG83" s="7">
        <v>0.11458333333333333</v>
      </c>
    </row>
    <row r="84" spans="4:33" x14ac:dyDescent="0.2">
      <c r="D84" s="23" t="s">
        <v>956</v>
      </c>
      <c r="E84" s="7"/>
      <c r="F84" s="7"/>
      <c r="G84" s="7"/>
      <c r="H84" s="7"/>
      <c r="I84" s="7"/>
      <c r="J84" s="7"/>
      <c r="K84" s="7"/>
      <c r="L84" s="7"/>
      <c r="M84" s="7"/>
      <c r="N84" s="7"/>
      <c r="O84" s="7"/>
      <c r="P84" s="7"/>
      <c r="Q84" s="7"/>
      <c r="R84" s="7"/>
      <c r="S84" s="7"/>
      <c r="T84" s="7"/>
      <c r="U84" s="7"/>
      <c r="V84" s="7"/>
      <c r="W84" s="7"/>
      <c r="X84" s="7"/>
      <c r="Y84" s="7"/>
      <c r="Z84" s="7"/>
      <c r="AA84" s="7"/>
      <c r="AB84" s="7">
        <v>4.1666666666666664E-2</v>
      </c>
      <c r="AC84" s="7"/>
      <c r="AD84" s="7"/>
      <c r="AE84" s="7"/>
      <c r="AF84" s="7">
        <v>4.1666666666666664E-2</v>
      </c>
      <c r="AG84" s="7">
        <v>4.1666666666666664E-2</v>
      </c>
    </row>
    <row r="85" spans="4:33" x14ac:dyDescent="0.2">
      <c r="D85" s="2" t="s">
        <v>107</v>
      </c>
      <c r="E85" s="7"/>
      <c r="F85" s="7"/>
      <c r="G85" s="7"/>
      <c r="H85" s="7"/>
      <c r="I85" s="7"/>
      <c r="J85" s="7"/>
      <c r="K85" s="7">
        <v>3.4722222222222224E-2</v>
      </c>
      <c r="L85" s="7"/>
      <c r="M85" s="7"/>
      <c r="N85" s="7">
        <v>3.4722222222222224E-2</v>
      </c>
      <c r="O85" s="7">
        <v>6.9444444444444434E-2</v>
      </c>
      <c r="P85" s="7"/>
      <c r="Q85" s="7"/>
      <c r="R85" s="7"/>
      <c r="S85" s="7"/>
      <c r="T85" s="7"/>
      <c r="U85" s="7">
        <v>6.9444444444444434E-2</v>
      </c>
      <c r="V85" s="7">
        <v>7.2916666666666671E-2</v>
      </c>
      <c r="W85" s="7"/>
      <c r="X85" s="7"/>
      <c r="Y85" s="7"/>
      <c r="Z85" s="7"/>
      <c r="AA85" s="7">
        <v>7.2916666666666671E-2</v>
      </c>
      <c r="AB85" s="7">
        <v>3.4722222222222224E-2</v>
      </c>
      <c r="AC85" s="7"/>
      <c r="AD85" s="7"/>
      <c r="AE85" s="7">
        <v>7.2916666666666671E-2</v>
      </c>
      <c r="AF85" s="7">
        <v>0.1076388888888889</v>
      </c>
      <c r="AG85" s="7">
        <v>0.28472222222222221</v>
      </c>
    </row>
    <row r="86" spans="4:33" x14ac:dyDescent="0.2">
      <c r="D86" s="3">
        <v>1</v>
      </c>
      <c r="E86" s="7"/>
      <c r="F86" s="7"/>
      <c r="G86" s="7"/>
      <c r="H86" s="7"/>
      <c r="I86" s="7"/>
      <c r="J86" s="7"/>
      <c r="K86" s="7">
        <v>3.4722222222222224E-2</v>
      </c>
      <c r="L86" s="7"/>
      <c r="M86" s="7"/>
      <c r="N86" s="7">
        <v>3.4722222222222224E-2</v>
      </c>
      <c r="O86" s="7">
        <v>6.9444444444444434E-2</v>
      </c>
      <c r="P86" s="7"/>
      <c r="Q86" s="7"/>
      <c r="R86" s="7"/>
      <c r="S86" s="7"/>
      <c r="T86" s="7"/>
      <c r="U86" s="7">
        <v>6.9444444444444434E-2</v>
      </c>
      <c r="V86" s="7">
        <v>7.2916666666666671E-2</v>
      </c>
      <c r="W86" s="7"/>
      <c r="X86" s="7"/>
      <c r="Y86" s="7"/>
      <c r="Z86" s="7"/>
      <c r="AA86" s="7">
        <v>7.2916666666666671E-2</v>
      </c>
      <c r="AB86" s="7">
        <v>3.4722222222222224E-2</v>
      </c>
      <c r="AC86" s="7"/>
      <c r="AD86" s="7"/>
      <c r="AE86" s="7">
        <v>7.2916666666666671E-2</v>
      </c>
      <c r="AF86" s="7">
        <v>0.1076388888888889</v>
      </c>
      <c r="AG86" s="7">
        <v>0.28472222222222221</v>
      </c>
    </row>
    <row r="87" spans="4:33" x14ac:dyDescent="0.2">
      <c r="D87" s="5">
        <v>0</v>
      </c>
      <c r="E87" s="7"/>
      <c r="F87" s="7"/>
      <c r="G87" s="7"/>
      <c r="H87" s="7"/>
      <c r="I87" s="7"/>
      <c r="J87" s="7"/>
      <c r="K87" s="7">
        <v>3.4722222222222224E-2</v>
      </c>
      <c r="L87" s="7"/>
      <c r="M87" s="7"/>
      <c r="N87" s="7">
        <v>3.4722222222222224E-2</v>
      </c>
      <c r="O87" s="7"/>
      <c r="P87" s="7"/>
      <c r="Q87" s="7"/>
      <c r="R87" s="7"/>
      <c r="S87" s="7"/>
      <c r="T87" s="7"/>
      <c r="U87" s="7"/>
      <c r="V87" s="7"/>
      <c r="W87" s="7"/>
      <c r="X87" s="7"/>
      <c r="Y87" s="7"/>
      <c r="Z87" s="7"/>
      <c r="AA87" s="7"/>
      <c r="AB87" s="7"/>
      <c r="AC87" s="7"/>
      <c r="AD87" s="7"/>
      <c r="AE87" s="7"/>
      <c r="AF87" s="7"/>
      <c r="AG87" s="7">
        <v>3.4722222222222224E-2</v>
      </c>
    </row>
    <row r="88" spans="4:33" x14ac:dyDescent="0.2">
      <c r="D88" s="23" t="s">
        <v>583</v>
      </c>
      <c r="E88" s="7"/>
      <c r="F88" s="7"/>
      <c r="G88" s="7"/>
      <c r="H88" s="7"/>
      <c r="I88" s="7"/>
      <c r="J88" s="7"/>
      <c r="K88" s="7">
        <v>3.4722222222222224E-2</v>
      </c>
      <c r="L88" s="7"/>
      <c r="M88" s="7"/>
      <c r="N88" s="7">
        <v>3.4722222222222224E-2</v>
      </c>
      <c r="O88" s="7"/>
      <c r="P88" s="7"/>
      <c r="Q88" s="7"/>
      <c r="R88" s="7"/>
      <c r="S88" s="7"/>
      <c r="T88" s="7"/>
      <c r="U88" s="7"/>
      <c r="V88" s="7"/>
      <c r="W88" s="7"/>
      <c r="X88" s="7"/>
      <c r="Y88" s="7"/>
      <c r="Z88" s="7"/>
      <c r="AA88" s="7"/>
      <c r="AB88" s="7"/>
      <c r="AC88" s="7"/>
      <c r="AD88" s="7"/>
      <c r="AE88" s="7"/>
      <c r="AF88" s="7"/>
      <c r="AG88" s="7">
        <v>3.4722222222222224E-2</v>
      </c>
    </row>
    <row r="89" spans="4:33" x14ac:dyDescent="0.2">
      <c r="D89" s="5" t="s">
        <v>590</v>
      </c>
      <c r="E89" s="7"/>
      <c r="F89" s="7"/>
      <c r="G89" s="7"/>
      <c r="H89" s="7"/>
      <c r="I89" s="7"/>
      <c r="J89" s="7"/>
      <c r="K89" s="7"/>
      <c r="L89" s="7"/>
      <c r="M89" s="7"/>
      <c r="N89" s="7"/>
      <c r="O89" s="7">
        <v>6.9444444444444434E-2</v>
      </c>
      <c r="P89" s="7"/>
      <c r="Q89" s="7"/>
      <c r="R89" s="7"/>
      <c r="S89" s="7"/>
      <c r="T89" s="7"/>
      <c r="U89" s="7">
        <v>6.9444444444444434E-2</v>
      </c>
      <c r="V89" s="7">
        <v>7.2916666666666671E-2</v>
      </c>
      <c r="W89" s="7"/>
      <c r="X89" s="7"/>
      <c r="Y89" s="7"/>
      <c r="Z89" s="7"/>
      <c r="AA89" s="7">
        <v>7.2916666666666671E-2</v>
      </c>
      <c r="AB89" s="7">
        <v>3.4722222222222224E-2</v>
      </c>
      <c r="AC89" s="7"/>
      <c r="AD89" s="7"/>
      <c r="AE89" s="7"/>
      <c r="AF89" s="7">
        <v>3.4722222222222224E-2</v>
      </c>
      <c r="AG89" s="7">
        <v>0.17708333333333331</v>
      </c>
    </row>
    <row r="90" spans="4:33" x14ac:dyDescent="0.2">
      <c r="D90" s="23" t="s">
        <v>591</v>
      </c>
      <c r="E90" s="7"/>
      <c r="F90" s="7"/>
      <c r="G90" s="7"/>
      <c r="H90" s="7"/>
      <c r="I90" s="7"/>
      <c r="J90" s="7"/>
      <c r="K90" s="7"/>
      <c r="L90" s="7"/>
      <c r="M90" s="7"/>
      <c r="N90" s="7"/>
      <c r="O90" s="7">
        <v>6.9444444444444434E-2</v>
      </c>
      <c r="P90" s="7"/>
      <c r="Q90" s="7"/>
      <c r="R90" s="7"/>
      <c r="S90" s="7"/>
      <c r="T90" s="7"/>
      <c r="U90" s="7">
        <v>6.9444444444444434E-2</v>
      </c>
      <c r="V90" s="7"/>
      <c r="W90" s="7"/>
      <c r="X90" s="7"/>
      <c r="Y90" s="7"/>
      <c r="Z90" s="7"/>
      <c r="AA90" s="7"/>
      <c r="AB90" s="7"/>
      <c r="AC90" s="7"/>
      <c r="AD90" s="7"/>
      <c r="AE90" s="7"/>
      <c r="AF90" s="7"/>
      <c r="AG90" s="7">
        <v>6.9444444444444434E-2</v>
      </c>
    </row>
    <row r="91" spans="4:33" x14ac:dyDescent="0.2">
      <c r="D91" s="23" t="s">
        <v>825</v>
      </c>
      <c r="E91" s="7"/>
      <c r="F91" s="7"/>
      <c r="G91" s="7"/>
      <c r="H91" s="7"/>
      <c r="I91" s="7"/>
      <c r="J91" s="7"/>
      <c r="K91" s="7"/>
      <c r="L91" s="7"/>
      <c r="M91" s="7"/>
      <c r="N91" s="7"/>
      <c r="O91" s="7"/>
      <c r="P91" s="7"/>
      <c r="Q91" s="7"/>
      <c r="R91" s="7"/>
      <c r="S91" s="7"/>
      <c r="T91" s="7"/>
      <c r="U91" s="7"/>
      <c r="V91" s="7">
        <v>7.2916666666666671E-2</v>
      </c>
      <c r="W91" s="7"/>
      <c r="X91" s="7"/>
      <c r="Y91" s="7"/>
      <c r="Z91" s="7"/>
      <c r="AA91" s="7">
        <v>7.2916666666666671E-2</v>
      </c>
      <c r="AB91" s="7"/>
      <c r="AC91" s="7"/>
      <c r="AD91" s="7"/>
      <c r="AE91" s="7"/>
      <c r="AF91" s="7"/>
      <c r="AG91" s="7">
        <v>7.2916666666666671E-2</v>
      </c>
    </row>
    <row r="92" spans="4:33" x14ac:dyDescent="0.2">
      <c r="D92" s="23" t="s">
        <v>955</v>
      </c>
      <c r="E92" s="7"/>
      <c r="F92" s="7"/>
      <c r="G92" s="7"/>
      <c r="H92" s="7"/>
      <c r="I92" s="7"/>
      <c r="J92" s="7"/>
      <c r="K92" s="7"/>
      <c r="L92" s="7"/>
      <c r="M92" s="7"/>
      <c r="N92" s="7"/>
      <c r="O92" s="7"/>
      <c r="P92" s="7"/>
      <c r="Q92" s="7"/>
      <c r="R92" s="7"/>
      <c r="S92" s="7"/>
      <c r="T92" s="7"/>
      <c r="U92" s="7"/>
      <c r="V92" s="7"/>
      <c r="W92" s="7"/>
      <c r="X92" s="7"/>
      <c r="Y92" s="7"/>
      <c r="Z92" s="7"/>
      <c r="AA92" s="7"/>
      <c r="AB92" s="7">
        <v>3.4722222222222224E-2</v>
      </c>
      <c r="AC92" s="7"/>
      <c r="AD92" s="7"/>
      <c r="AE92" s="7"/>
      <c r="AF92" s="7">
        <v>3.4722222222222224E-2</v>
      </c>
      <c r="AG92" s="7">
        <v>3.4722222222222224E-2</v>
      </c>
    </row>
    <row r="93" spans="4:33" x14ac:dyDescent="0.2">
      <c r="D93" s="5" t="s">
        <v>958</v>
      </c>
      <c r="E93" s="7"/>
      <c r="F93" s="7"/>
      <c r="G93" s="7"/>
      <c r="H93" s="7"/>
      <c r="I93" s="7"/>
      <c r="J93" s="7"/>
      <c r="K93" s="7"/>
      <c r="L93" s="7"/>
      <c r="M93" s="7"/>
      <c r="N93" s="7"/>
      <c r="O93" s="7"/>
      <c r="P93" s="7"/>
      <c r="Q93" s="7"/>
      <c r="R93" s="7"/>
      <c r="S93" s="7"/>
      <c r="T93" s="7"/>
      <c r="U93" s="7"/>
      <c r="V93" s="7"/>
      <c r="W93" s="7"/>
      <c r="X93" s="7"/>
      <c r="Y93" s="7"/>
      <c r="Z93" s="7"/>
      <c r="AA93" s="7"/>
      <c r="AB93" s="7"/>
      <c r="AC93" s="7"/>
      <c r="AD93" s="7"/>
      <c r="AE93" s="7">
        <v>7.2916666666666671E-2</v>
      </c>
      <c r="AF93" s="7">
        <v>7.2916666666666671E-2</v>
      </c>
      <c r="AG93" s="7">
        <v>7.2916666666666671E-2</v>
      </c>
    </row>
    <row r="94" spans="4:33" x14ac:dyDescent="0.2">
      <c r="D94" s="23" t="s">
        <v>695</v>
      </c>
      <c r="E94" s="7"/>
      <c r="F94" s="7"/>
      <c r="G94" s="7"/>
      <c r="H94" s="7"/>
      <c r="I94" s="7"/>
      <c r="J94" s="7"/>
      <c r="K94" s="7"/>
      <c r="L94" s="7"/>
      <c r="M94" s="7"/>
      <c r="N94" s="7"/>
      <c r="O94" s="7"/>
      <c r="P94" s="7"/>
      <c r="Q94" s="7"/>
      <c r="R94" s="7"/>
      <c r="S94" s="7"/>
      <c r="T94" s="7"/>
      <c r="U94" s="7"/>
      <c r="V94" s="7"/>
      <c r="W94" s="7"/>
      <c r="X94" s="7"/>
      <c r="Y94" s="7"/>
      <c r="Z94" s="7"/>
      <c r="AA94" s="7"/>
      <c r="AB94" s="7"/>
      <c r="AC94" s="7"/>
      <c r="AD94" s="7"/>
      <c r="AE94" s="7">
        <v>7.2916666666666671E-2</v>
      </c>
      <c r="AF94" s="7">
        <v>7.2916666666666671E-2</v>
      </c>
      <c r="AG94" s="7">
        <v>7.2916666666666671E-2</v>
      </c>
    </row>
    <row r="95" spans="4:33" x14ac:dyDescent="0.2">
      <c r="D95" s="2" t="s">
        <v>108</v>
      </c>
      <c r="E95" s="7"/>
      <c r="F95" s="7"/>
      <c r="G95" s="7"/>
      <c r="H95" s="7"/>
      <c r="I95" s="7"/>
      <c r="J95" s="7"/>
      <c r="K95" s="7"/>
      <c r="L95" s="7"/>
      <c r="M95" s="7"/>
      <c r="N95" s="7"/>
      <c r="O95" s="7"/>
      <c r="P95" s="7"/>
      <c r="Q95" s="7"/>
      <c r="R95" s="7">
        <v>4.1666666666666664E-2</v>
      </c>
      <c r="S95" s="7"/>
      <c r="T95" s="7"/>
      <c r="U95" s="7">
        <v>4.1666666666666664E-2</v>
      </c>
      <c r="V95" s="7">
        <v>4.1666666666666664E-2</v>
      </c>
      <c r="W95" s="7"/>
      <c r="X95" s="7"/>
      <c r="Y95" s="7">
        <v>6.25E-2</v>
      </c>
      <c r="Z95" s="7"/>
      <c r="AA95" s="7">
        <v>0.10416666666666666</v>
      </c>
      <c r="AB95" s="7"/>
      <c r="AC95" s="7"/>
      <c r="AD95" s="7">
        <v>6.25E-2</v>
      </c>
      <c r="AE95" s="7"/>
      <c r="AF95" s="7">
        <v>6.25E-2</v>
      </c>
      <c r="AG95" s="7">
        <v>0.20833333333333331</v>
      </c>
    </row>
    <row r="96" spans="4:33" x14ac:dyDescent="0.2">
      <c r="D96" s="3">
        <v>1</v>
      </c>
      <c r="E96" s="7"/>
      <c r="F96" s="7"/>
      <c r="G96" s="7"/>
      <c r="H96" s="7"/>
      <c r="I96" s="7"/>
      <c r="J96" s="7"/>
      <c r="K96" s="7"/>
      <c r="L96" s="7"/>
      <c r="M96" s="7"/>
      <c r="N96" s="7"/>
      <c r="O96" s="7"/>
      <c r="P96" s="7"/>
      <c r="Q96" s="7"/>
      <c r="R96" s="7">
        <v>4.1666666666666664E-2</v>
      </c>
      <c r="S96" s="7"/>
      <c r="T96" s="7"/>
      <c r="U96" s="7">
        <v>4.1666666666666664E-2</v>
      </c>
      <c r="V96" s="7">
        <v>4.1666666666666664E-2</v>
      </c>
      <c r="W96" s="7"/>
      <c r="X96" s="7"/>
      <c r="Y96" s="7">
        <v>6.25E-2</v>
      </c>
      <c r="Z96" s="7"/>
      <c r="AA96" s="7">
        <v>0.10416666666666666</v>
      </c>
      <c r="AB96" s="7"/>
      <c r="AC96" s="7"/>
      <c r="AD96" s="7">
        <v>6.25E-2</v>
      </c>
      <c r="AE96" s="7"/>
      <c r="AF96" s="7">
        <v>6.25E-2</v>
      </c>
      <c r="AG96" s="7">
        <v>0.20833333333333331</v>
      </c>
    </row>
    <row r="97" spans="4:33" x14ac:dyDescent="0.2">
      <c r="D97" s="5">
        <v>0</v>
      </c>
      <c r="E97" s="7"/>
      <c r="F97" s="7"/>
      <c r="G97" s="7"/>
      <c r="H97" s="7"/>
      <c r="I97" s="7"/>
      <c r="J97" s="7"/>
      <c r="K97" s="7"/>
      <c r="L97" s="7"/>
      <c r="M97" s="7"/>
      <c r="N97" s="7"/>
      <c r="O97" s="7"/>
      <c r="P97" s="7"/>
      <c r="Q97" s="7"/>
      <c r="R97" s="7">
        <v>4.1666666666666664E-2</v>
      </c>
      <c r="S97" s="7"/>
      <c r="T97" s="7"/>
      <c r="U97" s="7">
        <v>4.1666666666666664E-2</v>
      </c>
      <c r="V97" s="7"/>
      <c r="W97" s="7"/>
      <c r="X97" s="7"/>
      <c r="Y97" s="7">
        <v>6.25E-2</v>
      </c>
      <c r="Z97" s="7"/>
      <c r="AA97" s="7">
        <v>6.25E-2</v>
      </c>
      <c r="AB97" s="7"/>
      <c r="AC97" s="7"/>
      <c r="AD97" s="7"/>
      <c r="AE97" s="7"/>
      <c r="AF97" s="7"/>
      <c r="AG97" s="7">
        <v>0.10416666666666666</v>
      </c>
    </row>
    <row r="98" spans="4:33" x14ac:dyDescent="0.2">
      <c r="D98" s="23" t="s">
        <v>585</v>
      </c>
      <c r="E98" s="7"/>
      <c r="F98" s="7"/>
      <c r="G98" s="7"/>
      <c r="H98" s="7"/>
      <c r="I98" s="7"/>
      <c r="J98" s="7"/>
      <c r="K98" s="7"/>
      <c r="L98" s="7"/>
      <c r="M98" s="7"/>
      <c r="N98" s="7"/>
      <c r="O98" s="7"/>
      <c r="P98" s="7"/>
      <c r="Q98" s="7"/>
      <c r="R98" s="7">
        <v>4.1666666666666664E-2</v>
      </c>
      <c r="S98" s="7"/>
      <c r="T98" s="7"/>
      <c r="U98" s="7">
        <v>4.1666666666666664E-2</v>
      </c>
      <c r="V98" s="7"/>
      <c r="W98" s="7"/>
      <c r="X98" s="7"/>
      <c r="Y98" s="7">
        <v>6.25E-2</v>
      </c>
      <c r="Z98" s="7"/>
      <c r="AA98" s="7">
        <v>6.25E-2</v>
      </c>
      <c r="AB98" s="7"/>
      <c r="AC98" s="7"/>
      <c r="AD98" s="7"/>
      <c r="AE98" s="7"/>
      <c r="AF98" s="7"/>
      <c r="AG98" s="7">
        <v>0.10416666666666666</v>
      </c>
    </row>
    <row r="99" spans="4:33" x14ac:dyDescent="0.2">
      <c r="D99" s="5" t="s">
        <v>958</v>
      </c>
      <c r="E99" s="7"/>
      <c r="F99" s="7"/>
      <c r="G99" s="7"/>
      <c r="H99" s="7"/>
      <c r="I99" s="7"/>
      <c r="J99" s="7"/>
      <c r="K99" s="7"/>
      <c r="L99" s="7"/>
      <c r="M99" s="7"/>
      <c r="N99" s="7"/>
      <c r="O99" s="7"/>
      <c r="P99" s="7"/>
      <c r="Q99" s="7"/>
      <c r="R99" s="7"/>
      <c r="S99" s="7"/>
      <c r="T99" s="7"/>
      <c r="U99" s="7"/>
      <c r="V99" s="7">
        <v>4.1666666666666664E-2</v>
      </c>
      <c r="W99" s="7"/>
      <c r="X99" s="7"/>
      <c r="Y99" s="7"/>
      <c r="Z99" s="7"/>
      <c r="AA99" s="7">
        <v>4.1666666666666664E-2</v>
      </c>
      <c r="AB99" s="7"/>
      <c r="AC99" s="7"/>
      <c r="AD99" s="7">
        <v>6.25E-2</v>
      </c>
      <c r="AE99" s="7"/>
      <c r="AF99" s="7">
        <v>6.25E-2</v>
      </c>
      <c r="AG99" s="7">
        <v>0.10416666666666666</v>
      </c>
    </row>
    <row r="100" spans="4:33" x14ac:dyDescent="0.2">
      <c r="D100" s="23" t="s">
        <v>695</v>
      </c>
      <c r="E100" s="7"/>
      <c r="F100" s="7"/>
      <c r="G100" s="7"/>
      <c r="H100" s="7"/>
      <c r="I100" s="7"/>
      <c r="J100" s="7"/>
      <c r="K100" s="7"/>
      <c r="L100" s="7"/>
      <c r="M100" s="7"/>
      <c r="N100" s="7"/>
      <c r="O100" s="7"/>
      <c r="P100" s="7"/>
      <c r="Q100" s="7"/>
      <c r="R100" s="7"/>
      <c r="S100" s="7"/>
      <c r="T100" s="7"/>
      <c r="U100" s="7"/>
      <c r="V100" s="7">
        <v>4.1666666666666664E-2</v>
      </c>
      <c r="W100" s="7"/>
      <c r="X100" s="7"/>
      <c r="Y100" s="7"/>
      <c r="Z100" s="7"/>
      <c r="AA100" s="7">
        <v>4.1666666666666664E-2</v>
      </c>
      <c r="AB100" s="7"/>
      <c r="AC100" s="7"/>
      <c r="AD100" s="7">
        <v>6.25E-2</v>
      </c>
      <c r="AE100" s="7"/>
      <c r="AF100" s="7">
        <v>6.25E-2</v>
      </c>
      <c r="AG100" s="7">
        <v>0.10416666666666666</v>
      </c>
    </row>
    <row r="101" spans="4:33" x14ac:dyDescent="0.2">
      <c r="D101" s="2" t="s">
        <v>20</v>
      </c>
      <c r="E101" s="7"/>
      <c r="F101" s="7"/>
      <c r="G101" s="7"/>
      <c r="H101" s="7"/>
      <c r="I101" s="7"/>
      <c r="J101" s="7"/>
      <c r="K101" s="7"/>
      <c r="L101" s="7"/>
      <c r="M101" s="7"/>
      <c r="N101" s="7"/>
      <c r="O101" s="7"/>
      <c r="P101" s="7"/>
      <c r="Q101" s="7"/>
      <c r="R101" s="7">
        <v>4.8611111111111112E-2</v>
      </c>
      <c r="S101" s="7"/>
      <c r="T101" s="7"/>
      <c r="U101" s="7">
        <v>4.8611111111111112E-2</v>
      </c>
      <c r="V101" s="7"/>
      <c r="W101" s="7"/>
      <c r="X101" s="7"/>
      <c r="Y101" s="7"/>
      <c r="Z101" s="7"/>
      <c r="AA101" s="7"/>
      <c r="AB101" s="7"/>
      <c r="AC101" s="7">
        <v>1.3888888888888888E-2</v>
      </c>
      <c r="AD101" s="7"/>
      <c r="AE101" s="7"/>
      <c r="AF101" s="7">
        <v>1.3888888888888888E-2</v>
      </c>
      <c r="AG101" s="7">
        <v>6.25E-2</v>
      </c>
    </row>
    <row r="102" spans="4:33" x14ac:dyDescent="0.2">
      <c r="D102" s="3">
        <v>1</v>
      </c>
      <c r="E102" s="7"/>
      <c r="F102" s="7"/>
      <c r="G102" s="7"/>
      <c r="H102" s="7"/>
      <c r="I102" s="7"/>
      <c r="J102" s="7"/>
      <c r="K102" s="7"/>
      <c r="L102" s="7"/>
      <c r="M102" s="7"/>
      <c r="N102" s="7"/>
      <c r="O102" s="7"/>
      <c r="P102" s="7"/>
      <c r="Q102" s="7"/>
      <c r="R102" s="7">
        <v>4.8611111111111112E-2</v>
      </c>
      <c r="S102" s="7"/>
      <c r="T102" s="7"/>
      <c r="U102" s="7">
        <v>4.8611111111111112E-2</v>
      </c>
      <c r="V102" s="7"/>
      <c r="W102" s="7"/>
      <c r="X102" s="7"/>
      <c r="Y102" s="7"/>
      <c r="Z102" s="7"/>
      <c r="AA102" s="7"/>
      <c r="AB102" s="7"/>
      <c r="AC102" s="7">
        <v>1.3888888888888888E-2</v>
      </c>
      <c r="AD102" s="7"/>
      <c r="AE102" s="7"/>
      <c r="AF102" s="7">
        <v>1.3888888888888888E-2</v>
      </c>
      <c r="AG102" s="7">
        <v>6.25E-2</v>
      </c>
    </row>
    <row r="103" spans="4:33" x14ac:dyDescent="0.2">
      <c r="D103" s="5">
        <v>0</v>
      </c>
      <c r="E103" s="7"/>
      <c r="F103" s="7"/>
      <c r="G103" s="7"/>
      <c r="H103" s="7"/>
      <c r="I103" s="7"/>
      <c r="J103" s="7"/>
      <c r="K103" s="7"/>
      <c r="L103" s="7"/>
      <c r="M103" s="7"/>
      <c r="N103" s="7"/>
      <c r="O103" s="7"/>
      <c r="P103" s="7"/>
      <c r="Q103" s="7"/>
      <c r="R103" s="7">
        <v>4.8611111111111112E-2</v>
      </c>
      <c r="S103" s="7"/>
      <c r="T103" s="7"/>
      <c r="U103" s="7">
        <v>4.8611111111111112E-2</v>
      </c>
      <c r="V103" s="7"/>
      <c r="W103" s="7"/>
      <c r="X103" s="7"/>
      <c r="Y103" s="7"/>
      <c r="Z103" s="7"/>
      <c r="AA103" s="7"/>
      <c r="AB103" s="7"/>
      <c r="AC103" s="7">
        <v>1.3888888888888888E-2</v>
      </c>
      <c r="AD103" s="7"/>
      <c r="AE103" s="7"/>
      <c r="AF103" s="7">
        <v>1.3888888888888888E-2</v>
      </c>
      <c r="AG103" s="7">
        <v>6.25E-2</v>
      </c>
    </row>
    <row r="104" spans="4:33" x14ac:dyDescent="0.2">
      <c r="D104" s="23" t="s">
        <v>595</v>
      </c>
      <c r="E104" s="7"/>
      <c r="F104" s="7"/>
      <c r="G104" s="7"/>
      <c r="H104" s="7"/>
      <c r="I104" s="7"/>
      <c r="J104" s="7"/>
      <c r="K104" s="7"/>
      <c r="L104" s="7"/>
      <c r="M104" s="7"/>
      <c r="N104" s="7"/>
      <c r="O104" s="7"/>
      <c r="P104" s="7"/>
      <c r="Q104" s="7"/>
      <c r="R104" s="7">
        <v>4.8611111111111112E-2</v>
      </c>
      <c r="S104" s="7"/>
      <c r="T104" s="7"/>
      <c r="U104" s="7">
        <v>4.8611111111111112E-2</v>
      </c>
      <c r="V104" s="7"/>
      <c r="W104" s="7"/>
      <c r="X104" s="7"/>
      <c r="Y104" s="7"/>
      <c r="Z104" s="7"/>
      <c r="AA104" s="7"/>
      <c r="AB104" s="7"/>
      <c r="AC104" s="7">
        <v>1.3888888888888888E-2</v>
      </c>
      <c r="AD104" s="7"/>
      <c r="AE104" s="7"/>
      <c r="AF104" s="7">
        <v>1.3888888888888888E-2</v>
      </c>
      <c r="AG104" s="7">
        <v>6.25E-2</v>
      </c>
    </row>
    <row r="105" spans="4:33" x14ac:dyDescent="0.2">
      <c r="D105" s="2" t="s">
        <v>880</v>
      </c>
      <c r="E105" s="7"/>
      <c r="F105" s="7"/>
      <c r="G105" s="7"/>
      <c r="H105" s="7"/>
      <c r="I105" s="7"/>
      <c r="J105" s="7"/>
      <c r="K105" s="7"/>
      <c r="L105" s="7"/>
      <c r="M105" s="7"/>
      <c r="N105" s="7"/>
      <c r="O105" s="7"/>
      <c r="P105" s="7"/>
      <c r="Q105" s="7"/>
      <c r="R105" s="7"/>
      <c r="S105" s="7"/>
      <c r="T105" s="7"/>
      <c r="U105" s="7"/>
      <c r="V105" s="7"/>
      <c r="W105" s="7">
        <v>0.11458333333333333</v>
      </c>
      <c r="X105" s="7"/>
      <c r="Y105" s="7"/>
      <c r="Z105" s="7"/>
      <c r="AA105" s="7">
        <v>0.11458333333333333</v>
      </c>
      <c r="AB105" s="7"/>
      <c r="AC105" s="7"/>
      <c r="AD105" s="7"/>
      <c r="AE105" s="7"/>
      <c r="AF105" s="7"/>
      <c r="AG105" s="7">
        <v>0.11458333333333333</v>
      </c>
    </row>
    <row r="106" spans="4:33" x14ac:dyDescent="0.2">
      <c r="D106" s="3">
        <v>1</v>
      </c>
      <c r="E106" s="7"/>
      <c r="F106" s="7"/>
      <c r="G106" s="7"/>
      <c r="H106" s="7"/>
      <c r="I106" s="7"/>
      <c r="J106" s="7"/>
      <c r="K106" s="7"/>
      <c r="L106" s="7"/>
      <c r="M106" s="7"/>
      <c r="N106" s="7"/>
      <c r="O106" s="7"/>
      <c r="P106" s="7"/>
      <c r="Q106" s="7"/>
      <c r="R106" s="7"/>
      <c r="S106" s="7"/>
      <c r="T106" s="7"/>
      <c r="U106" s="7"/>
      <c r="V106" s="7"/>
      <c r="W106" s="7">
        <v>0.11458333333333333</v>
      </c>
      <c r="X106" s="7"/>
      <c r="Y106" s="7"/>
      <c r="Z106" s="7"/>
      <c r="AA106" s="7">
        <v>0.11458333333333333</v>
      </c>
      <c r="AB106" s="7"/>
      <c r="AC106" s="7"/>
      <c r="AD106" s="7"/>
      <c r="AE106" s="7"/>
      <c r="AF106" s="7"/>
      <c r="AG106" s="7">
        <v>0.11458333333333333</v>
      </c>
    </row>
    <row r="107" spans="4:33" x14ac:dyDescent="0.2">
      <c r="D107" s="5" t="s">
        <v>831</v>
      </c>
      <c r="E107" s="7"/>
      <c r="F107" s="7"/>
      <c r="G107" s="7"/>
      <c r="H107" s="7"/>
      <c r="I107" s="7"/>
      <c r="J107" s="7"/>
      <c r="K107" s="7"/>
      <c r="L107" s="7"/>
      <c r="M107" s="7"/>
      <c r="N107" s="7"/>
      <c r="O107" s="7"/>
      <c r="P107" s="7"/>
      <c r="Q107" s="7"/>
      <c r="R107" s="7"/>
      <c r="S107" s="7"/>
      <c r="T107" s="7"/>
      <c r="U107" s="7"/>
      <c r="V107" s="7"/>
      <c r="W107" s="7">
        <v>9.0277777777777776E-2</v>
      </c>
      <c r="X107" s="7"/>
      <c r="Y107" s="7"/>
      <c r="Z107" s="7"/>
      <c r="AA107" s="7">
        <v>9.0277777777777776E-2</v>
      </c>
      <c r="AB107" s="7"/>
      <c r="AC107" s="7"/>
      <c r="AD107" s="7"/>
      <c r="AE107" s="7"/>
      <c r="AF107" s="7"/>
      <c r="AG107" s="7">
        <v>9.0277777777777776E-2</v>
      </c>
    </row>
    <row r="108" spans="4:33" x14ac:dyDescent="0.2">
      <c r="D108" s="23" t="s">
        <v>832</v>
      </c>
      <c r="E108" s="7"/>
      <c r="F108" s="7"/>
      <c r="G108" s="7"/>
      <c r="H108" s="7"/>
      <c r="I108" s="7"/>
      <c r="J108" s="7"/>
      <c r="K108" s="7"/>
      <c r="L108" s="7"/>
      <c r="M108" s="7"/>
      <c r="N108" s="7"/>
      <c r="O108" s="7"/>
      <c r="P108" s="7"/>
      <c r="Q108" s="7"/>
      <c r="R108" s="7"/>
      <c r="S108" s="7"/>
      <c r="T108" s="7"/>
      <c r="U108" s="7"/>
      <c r="V108" s="7"/>
      <c r="W108" s="7">
        <v>2.4305555555555556E-2</v>
      </c>
      <c r="X108" s="7"/>
      <c r="Y108" s="7"/>
      <c r="Z108" s="7"/>
      <c r="AA108" s="7">
        <v>2.4305555555555556E-2</v>
      </c>
      <c r="AB108" s="7"/>
      <c r="AC108" s="7"/>
      <c r="AD108" s="7"/>
      <c r="AE108" s="7"/>
      <c r="AF108" s="7"/>
      <c r="AG108" s="7">
        <v>2.4305555555555556E-2</v>
      </c>
    </row>
    <row r="109" spans="4:33" x14ac:dyDescent="0.2">
      <c r="D109" s="23" t="s">
        <v>851</v>
      </c>
      <c r="E109" s="7"/>
      <c r="F109" s="7"/>
      <c r="G109" s="7"/>
      <c r="H109" s="7"/>
      <c r="I109" s="7"/>
      <c r="J109" s="7"/>
      <c r="K109" s="7"/>
      <c r="L109" s="7"/>
      <c r="M109" s="7"/>
      <c r="N109" s="7"/>
      <c r="O109" s="7"/>
      <c r="P109" s="7"/>
      <c r="Q109" s="7"/>
      <c r="R109" s="7"/>
      <c r="S109" s="7"/>
      <c r="T109" s="7"/>
      <c r="U109" s="7"/>
      <c r="V109" s="7"/>
      <c r="W109" s="7">
        <v>3.125E-2</v>
      </c>
      <c r="X109" s="7"/>
      <c r="Y109" s="7"/>
      <c r="Z109" s="7"/>
      <c r="AA109" s="7">
        <v>3.125E-2</v>
      </c>
      <c r="AB109" s="7"/>
      <c r="AC109" s="7"/>
      <c r="AD109" s="7"/>
      <c r="AE109" s="7"/>
      <c r="AF109" s="7"/>
      <c r="AG109" s="7">
        <v>3.125E-2</v>
      </c>
    </row>
    <row r="110" spans="4:33" x14ac:dyDescent="0.2">
      <c r="D110" s="23" t="s">
        <v>879</v>
      </c>
      <c r="E110" s="7"/>
      <c r="F110" s="7"/>
      <c r="G110" s="7"/>
      <c r="H110" s="7"/>
      <c r="I110" s="7"/>
      <c r="J110" s="7"/>
      <c r="K110" s="7"/>
      <c r="L110" s="7"/>
      <c r="M110" s="7"/>
      <c r="N110" s="7"/>
      <c r="O110" s="7"/>
      <c r="P110" s="7"/>
      <c r="Q110" s="7"/>
      <c r="R110" s="7"/>
      <c r="S110" s="7"/>
      <c r="T110" s="7"/>
      <c r="U110" s="7"/>
      <c r="V110" s="7"/>
      <c r="W110" s="7">
        <v>3.4722222222222224E-2</v>
      </c>
      <c r="X110" s="7"/>
      <c r="Y110" s="7"/>
      <c r="Z110" s="7"/>
      <c r="AA110" s="7">
        <v>3.4722222222222224E-2</v>
      </c>
      <c r="AB110" s="7"/>
      <c r="AC110" s="7"/>
      <c r="AD110" s="7"/>
      <c r="AE110" s="7"/>
      <c r="AF110" s="7"/>
      <c r="AG110" s="7">
        <v>3.4722222222222224E-2</v>
      </c>
    </row>
    <row r="111" spans="4:33" x14ac:dyDescent="0.2">
      <c r="D111" s="5" t="s">
        <v>935</v>
      </c>
      <c r="E111" s="7"/>
      <c r="F111" s="7"/>
      <c r="G111" s="7"/>
      <c r="H111" s="7"/>
      <c r="I111" s="7"/>
      <c r="J111" s="7"/>
      <c r="K111" s="7"/>
      <c r="L111" s="7"/>
      <c r="M111" s="7"/>
      <c r="N111" s="7"/>
      <c r="O111" s="7"/>
      <c r="P111" s="7"/>
      <c r="Q111" s="7"/>
      <c r="R111" s="7"/>
      <c r="S111" s="7"/>
      <c r="T111" s="7"/>
      <c r="U111" s="7"/>
      <c r="V111" s="7"/>
      <c r="W111" s="7">
        <v>2.4305555555555556E-2</v>
      </c>
      <c r="X111" s="7"/>
      <c r="Y111" s="7"/>
      <c r="Z111" s="7"/>
      <c r="AA111" s="7">
        <v>2.4305555555555556E-2</v>
      </c>
      <c r="AB111" s="7"/>
      <c r="AC111" s="7"/>
      <c r="AD111" s="7"/>
      <c r="AE111" s="7"/>
      <c r="AF111" s="7"/>
      <c r="AG111" s="7">
        <v>2.4305555555555556E-2</v>
      </c>
    </row>
    <row r="112" spans="4:33" x14ac:dyDescent="0.2">
      <c r="D112" s="23" t="s">
        <v>936</v>
      </c>
      <c r="E112" s="7"/>
      <c r="F112" s="7"/>
      <c r="G112" s="7"/>
      <c r="H112" s="7"/>
      <c r="I112" s="7"/>
      <c r="J112" s="7"/>
      <c r="K112" s="7"/>
      <c r="L112" s="7"/>
      <c r="M112" s="7"/>
      <c r="N112" s="7"/>
      <c r="O112" s="7"/>
      <c r="P112" s="7"/>
      <c r="Q112" s="7"/>
      <c r="R112" s="7"/>
      <c r="S112" s="7"/>
      <c r="T112" s="7"/>
      <c r="U112" s="7"/>
      <c r="V112" s="7"/>
      <c r="W112" s="7">
        <v>2.4305555555555556E-2</v>
      </c>
      <c r="X112" s="7"/>
      <c r="Y112" s="7"/>
      <c r="Z112" s="7"/>
      <c r="AA112" s="7">
        <v>2.4305555555555556E-2</v>
      </c>
      <c r="AB112" s="7"/>
      <c r="AC112" s="7"/>
      <c r="AD112" s="7"/>
      <c r="AE112" s="7"/>
      <c r="AF112" s="7"/>
      <c r="AG112" s="7">
        <v>2.4305555555555556E-2</v>
      </c>
    </row>
    <row r="113" spans="4:33" x14ac:dyDescent="0.2">
      <c r="D113" s="2" t="s">
        <v>11</v>
      </c>
      <c r="E113" s="7">
        <v>0.61805555555555547</v>
      </c>
      <c r="F113" s="7">
        <v>0.30555555555555552</v>
      </c>
      <c r="G113" s="7">
        <v>0.92361111111111105</v>
      </c>
      <c r="H113" s="7">
        <v>0.16666666666666669</v>
      </c>
      <c r="I113" s="7">
        <v>0.38541666666666674</v>
      </c>
      <c r="J113" s="7">
        <v>3.8194444444444441E-2</v>
      </c>
      <c r="K113" s="7">
        <v>6.25E-2</v>
      </c>
      <c r="L113" s="7">
        <v>0.14583333333333334</v>
      </c>
      <c r="M113" s="7">
        <v>1.7361111111111112E-2</v>
      </c>
      <c r="N113" s="7">
        <v>0.81597222222222221</v>
      </c>
      <c r="O113" s="7">
        <v>0.29513888888888884</v>
      </c>
      <c r="P113" s="7">
        <v>0.25694444444444448</v>
      </c>
      <c r="Q113" s="7">
        <v>0.13194444444444442</v>
      </c>
      <c r="R113" s="7">
        <v>0.13194444444444445</v>
      </c>
      <c r="S113" s="7">
        <v>6.25E-2</v>
      </c>
      <c r="T113" s="7">
        <v>6.25E-2</v>
      </c>
      <c r="U113" s="7">
        <v>0.94097222222222232</v>
      </c>
      <c r="V113" s="7">
        <v>0.29166666666666669</v>
      </c>
      <c r="W113" s="7">
        <v>0.34375</v>
      </c>
      <c r="X113" s="7">
        <v>7.6388888888888895E-2</v>
      </c>
      <c r="Y113" s="7">
        <v>0.1875</v>
      </c>
      <c r="Z113" s="7">
        <v>6.25E-2</v>
      </c>
      <c r="AA113" s="7">
        <v>0.96180555555555558</v>
      </c>
      <c r="AB113" s="7">
        <v>7.6388888888888895E-2</v>
      </c>
      <c r="AC113" s="7">
        <v>1.3888888888888888E-2</v>
      </c>
      <c r="AD113" s="7">
        <v>6.25E-2</v>
      </c>
      <c r="AE113" s="7">
        <v>7.2916666666666671E-2</v>
      </c>
      <c r="AF113" s="7">
        <v>0.22569444444444448</v>
      </c>
      <c r="AG113" s="7">
        <v>3.8680555555555545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2438-F786-9B43-9D44-298F1686F6DA}">
  <dimension ref="C5:C160"/>
  <sheetViews>
    <sheetView workbookViewId="0">
      <selection activeCell="C20" sqref="C20"/>
    </sheetView>
    <sheetView workbookViewId="1"/>
  </sheetViews>
  <sheetFormatPr baseColWidth="10" defaultRowHeight="16" x14ac:dyDescent="0.2"/>
  <cols>
    <col min="3" max="3" width="93.1640625" bestFit="1" customWidth="1"/>
    <col min="4" max="4" width="18.5" bestFit="1" customWidth="1"/>
  </cols>
  <sheetData>
    <row r="5" spans="3:3" x14ac:dyDescent="0.2">
      <c r="C5" s="1" t="s">
        <v>10</v>
      </c>
    </row>
    <row r="6" spans="3:3" x14ac:dyDescent="0.2">
      <c r="C6" s="2" t="s">
        <v>100</v>
      </c>
    </row>
    <row r="7" spans="3:3" x14ac:dyDescent="0.2">
      <c r="C7" s="3">
        <v>1</v>
      </c>
    </row>
    <row r="8" spans="3:3" x14ac:dyDescent="0.2">
      <c r="C8" s="5" t="s">
        <v>104</v>
      </c>
    </row>
    <row r="9" spans="3:3" x14ac:dyDescent="0.2">
      <c r="C9" s="5" t="s">
        <v>113</v>
      </c>
    </row>
    <row r="10" spans="3:3" x14ac:dyDescent="0.2">
      <c r="C10" s="5" t="s">
        <v>114</v>
      </c>
    </row>
    <row r="11" spans="3:3" x14ac:dyDescent="0.2">
      <c r="C11" s="5" t="s">
        <v>115</v>
      </c>
    </row>
    <row r="12" spans="3:3" x14ac:dyDescent="0.2">
      <c r="C12" s="5" t="s">
        <v>116</v>
      </c>
    </row>
    <row r="13" spans="3:3" x14ac:dyDescent="0.2">
      <c r="C13" s="5" t="s">
        <v>135</v>
      </c>
    </row>
    <row r="14" spans="3:3" x14ac:dyDescent="0.2">
      <c r="C14" s="5" t="s">
        <v>136</v>
      </c>
    </row>
    <row r="15" spans="3:3" x14ac:dyDescent="0.2">
      <c r="C15" s="5" t="s">
        <v>137</v>
      </c>
    </row>
    <row r="16" spans="3:3" x14ac:dyDescent="0.2">
      <c r="C16" s="5" t="s">
        <v>122</v>
      </c>
    </row>
    <row r="17" spans="3:3" x14ac:dyDescent="0.2">
      <c r="C17" s="5" t="s">
        <v>124</v>
      </c>
    </row>
    <row r="18" spans="3:3" x14ac:dyDescent="0.2">
      <c r="C18" s="2" t="s">
        <v>119</v>
      </c>
    </row>
    <row r="19" spans="3:3" x14ac:dyDescent="0.2">
      <c r="C19" s="3">
        <v>1</v>
      </c>
    </row>
    <row r="20" spans="3:3" x14ac:dyDescent="0.2">
      <c r="C20" s="5" t="s">
        <v>123</v>
      </c>
    </row>
    <row r="21" spans="3:3" x14ac:dyDescent="0.2">
      <c r="C21" s="5" t="s">
        <v>121</v>
      </c>
    </row>
    <row r="22" spans="3:3" x14ac:dyDescent="0.2">
      <c r="C22" s="5" t="s">
        <v>125</v>
      </c>
    </row>
    <row r="23" spans="3:3" x14ac:dyDescent="0.2">
      <c r="C23" s="5" t="s">
        <v>138</v>
      </c>
    </row>
    <row r="24" spans="3:3" x14ac:dyDescent="0.2">
      <c r="C24" s="5" t="s">
        <v>139</v>
      </c>
    </row>
    <row r="25" spans="3:3" x14ac:dyDescent="0.2">
      <c r="C25" s="5" t="s">
        <v>128</v>
      </c>
    </row>
    <row r="26" spans="3:3" x14ac:dyDescent="0.2">
      <c r="C26" s="5" t="s">
        <v>131</v>
      </c>
    </row>
    <row r="27" spans="3:3" x14ac:dyDescent="0.2">
      <c r="C27" s="5" t="s">
        <v>132</v>
      </c>
    </row>
    <row r="28" spans="3:3" x14ac:dyDescent="0.2">
      <c r="C28" s="5" t="s">
        <v>133</v>
      </c>
    </row>
    <row r="29" spans="3:3" x14ac:dyDescent="0.2">
      <c r="C29" s="5" t="s">
        <v>134</v>
      </c>
    </row>
    <row r="30" spans="3:3" x14ac:dyDescent="0.2">
      <c r="C30" s="5" t="s">
        <v>459</v>
      </c>
    </row>
    <row r="31" spans="3:3" x14ac:dyDescent="0.2">
      <c r="C31" s="5" t="s">
        <v>141</v>
      </c>
    </row>
    <row r="32" spans="3:3" x14ac:dyDescent="0.2">
      <c r="C32" s="5" t="s">
        <v>140</v>
      </c>
    </row>
    <row r="33" spans="3:3" x14ac:dyDescent="0.2">
      <c r="C33" s="5" t="s">
        <v>169</v>
      </c>
    </row>
    <row r="34" spans="3:3" x14ac:dyDescent="0.2">
      <c r="C34" s="5" t="s">
        <v>170</v>
      </c>
    </row>
    <row r="35" spans="3:3" x14ac:dyDescent="0.2">
      <c r="C35" s="5" t="s">
        <v>830</v>
      </c>
    </row>
    <row r="36" spans="3:3" x14ac:dyDescent="0.2">
      <c r="C36" s="2" t="s">
        <v>106</v>
      </c>
    </row>
    <row r="37" spans="3:3" x14ac:dyDescent="0.2">
      <c r="C37" s="3">
        <v>1</v>
      </c>
    </row>
    <row r="38" spans="3:3" x14ac:dyDescent="0.2">
      <c r="C38" s="5" t="s">
        <v>329</v>
      </c>
    </row>
    <row r="39" spans="3:3" x14ac:dyDescent="0.2">
      <c r="C39" s="5" t="s">
        <v>696</v>
      </c>
    </row>
    <row r="40" spans="3:3" x14ac:dyDescent="0.2">
      <c r="C40" s="5" t="s">
        <v>697</v>
      </c>
    </row>
    <row r="41" spans="3:3" x14ac:dyDescent="0.2">
      <c r="C41" s="5" t="s">
        <v>698</v>
      </c>
    </row>
    <row r="42" spans="3:3" x14ac:dyDescent="0.2">
      <c r="C42" s="5" t="s">
        <v>330</v>
      </c>
    </row>
    <row r="43" spans="3:3" x14ac:dyDescent="0.2">
      <c r="C43" s="5" t="s">
        <v>699</v>
      </c>
    </row>
    <row r="44" spans="3:3" x14ac:dyDescent="0.2">
      <c r="C44" s="5" t="s">
        <v>700</v>
      </c>
    </row>
    <row r="45" spans="3:3" x14ac:dyDescent="0.2">
      <c r="C45" s="5" t="s">
        <v>701</v>
      </c>
    </row>
    <row r="46" spans="3:3" x14ac:dyDescent="0.2">
      <c r="C46" s="5" t="s">
        <v>702</v>
      </c>
    </row>
    <row r="47" spans="3:3" x14ac:dyDescent="0.2">
      <c r="C47" s="2" t="s">
        <v>361</v>
      </c>
    </row>
    <row r="48" spans="3:3" x14ac:dyDescent="0.2">
      <c r="C48" s="3">
        <v>1</v>
      </c>
    </row>
    <row r="49" spans="3:3" x14ac:dyDescent="0.2">
      <c r="C49" s="5" t="s">
        <v>362</v>
      </c>
    </row>
    <row r="50" spans="3:3" x14ac:dyDescent="0.2">
      <c r="C50" s="5" t="s">
        <v>363</v>
      </c>
    </row>
    <row r="51" spans="3:3" x14ac:dyDescent="0.2">
      <c r="C51" s="5" t="s">
        <v>703</v>
      </c>
    </row>
    <row r="52" spans="3:3" x14ac:dyDescent="0.2">
      <c r="C52" s="5" t="s">
        <v>704</v>
      </c>
    </row>
    <row r="53" spans="3:3" x14ac:dyDescent="0.2">
      <c r="C53" s="5" t="s">
        <v>705</v>
      </c>
    </row>
    <row r="54" spans="3:3" x14ac:dyDescent="0.2">
      <c r="C54" s="5" t="s">
        <v>706</v>
      </c>
    </row>
    <row r="55" spans="3:3" x14ac:dyDescent="0.2">
      <c r="C55" s="5" t="s">
        <v>707</v>
      </c>
    </row>
    <row r="56" spans="3:3" x14ac:dyDescent="0.2">
      <c r="C56" s="5" t="s">
        <v>708</v>
      </c>
    </row>
    <row r="57" spans="3:3" x14ac:dyDescent="0.2">
      <c r="C57" s="5" t="s">
        <v>709</v>
      </c>
    </row>
    <row r="58" spans="3:3" x14ac:dyDescent="0.2">
      <c r="C58" s="5" t="s">
        <v>710</v>
      </c>
    </row>
    <row r="59" spans="3:3" x14ac:dyDescent="0.2">
      <c r="C59" s="5" t="s">
        <v>711</v>
      </c>
    </row>
    <row r="60" spans="3:3" x14ac:dyDescent="0.2">
      <c r="C60" s="5" t="s">
        <v>712</v>
      </c>
    </row>
    <row r="61" spans="3:3" x14ac:dyDescent="0.2">
      <c r="C61" s="5" t="s">
        <v>713</v>
      </c>
    </row>
    <row r="62" spans="3:3" x14ac:dyDescent="0.2">
      <c r="C62" s="5" t="s">
        <v>714</v>
      </c>
    </row>
    <row r="63" spans="3:3" x14ac:dyDescent="0.2">
      <c r="C63" s="5" t="s">
        <v>715</v>
      </c>
    </row>
    <row r="64" spans="3:3" x14ac:dyDescent="0.2">
      <c r="C64" s="5" t="s">
        <v>716</v>
      </c>
    </row>
    <row r="65" spans="3:3" x14ac:dyDescent="0.2">
      <c r="C65" s="5" t="s">
        <v>717</v>
      </c>
    </row>
    <row r="66" spans="3:3" x14ac:dyDescent="0.2">
      <c r="C66" s="5" t="s">
        <v>718</v>
      </c>
    </row>
    <row r="67" spans="3:3" x14ac:dyDescent="0.2">
      <c r="C67" s="5" t="s">
        <v>455</v>
      </c>
    </row>
    <row r="68" spans="3:3" x14ac:dyDescent="0.2">
      <c r="C68" s="5" t="s">
        <v>719</v>
      </c>
    </row>
    <row r="69" spans="3:3" x14ac:dyDescent="0.2">
      <c r="C69" s="5" t="s">
        <v>676</v>
      </c>
    </row>
    <row r="70" spans="3:3" x14ac:dyDescent="0.2">
      <c r="C70" s="5" t="s">
        <v>720</v>
      </c>
    </row>
    <row r="71" spans="3:3" x14ac:dyDescent="0.2">
      <c r="C71" s="5" t="s">
        <v>721</v>
      </c>
    </row>
    <row r="72" spans="3:3" x14ac:dyDescent="0.2">
      <c r="C72" s="5" t="s">
        <v>722</v>
      </c>
    </row>
    <row r="73" spans="3:3" x14ac:dyDescent="0.2">
      <c r="C73" s="5" t="s">
        <v>723</v>
      </c>
    </row>
    <row r="74" spans="3:3" x14ac:dyDescent="0.2">
      <c r="C74" s="5" t="s">
        <v>724</v>
      </c>
    </row>
    <row r="75" spans="3:3" x14ac:dyDescent="0.2">
      <c r="C75" s="5" t="s">
        <v>725</v>
      </c>
    </row>
    <row r="76" spans="3:3" x14ac:dyDescent="0.2">
      <c r="C76" s="5" t="s">
        <v>726</v>
      </c>
    </row>
    <row r="77" spans="3:3" x14ac:dyDescent="0.2">
      <c r="C77" s="5" t="s">
        <v>727</v>
      </c>
    </row>
    <row r="78" spans="3:3" x14ac:dyDescent="0.2">
      <c r="C78" s="5" t="s">
        <v>728</v>
      </c>
    </row>
    <row r="79" spans="3:3" x14ac:dyDescent="0.2">
      <c r="C79" s="5" t="s">
        <v>729</v>
      </c>
    </row>
    <row r="80" spans="3:3" x14ac:dyDescent="0.2">
      <c r="C80" s="5" t="s">
        <v>692</v>
      </c>
    </row>
    <row r="81" spans="3:3" x14ac:dyDescent="0.2">
      <c r="C81" s="5" t="s">
        <v>693</v>
      </c>
    </row>
    <row r="82" spans="3:3" x14ac:dyDescent="0.2">
      <c r="C82" s="5" t="s">
        <v>973</v>
      </c>
    </row>
    <row r="83" spans="3:3" x14ac:dyDescent="0.2">
      <c r="C83" s="2" t="s">
        <v>24</v>
      </c>
    </row>
    <row r="84" spans="3:3" x14ac:dyDescent="0.2">
      <c r="C84" s="3">
        <v>1</v>
      </c>
    </row>
    <row r="85" spans="3:3" x14ac:dyDescent="0.2">
      <c r="C85" s="5" t="s">
        <v>398</v>
      </c>
    </row>
    <row r="86" spans="3:3" x14ac:dyDescent="0.2">
      <c r="C86" s="5" t="s">
        <v>730</v>
      </c>
    </row>
    <row r="87" spans="3:3" x14ac:dyDescent="0.2">
      <c r="C87" s="5" t="s">
        <v>731</v>
      </c>
    </row>
    <row r="88" spans="3:3" x14ac:dyDescent="0.2">
      <c r="C88" s="5" t="s">
        <v>732</v>
      </c>
    </row>
    <row r="89" spans="3:3" x14ac:dyDescent="0.2">
      <c r="C89" s="5" t="s">
        <v>402</v>
      </c>
    </row>
    <row r="90" spans="3:3" x14ac:dyDescent="0.2">
      <c r="C90" s="5" t="s">
        <v>733</v>
      </c>
    </row>
    <row r="91" spans="3:3" x14ac:dyDescent="0.2">
      <c r="C91" s="5" t="s">
        <v>734</v>
      </c>
    </row>
    <row r="92" spans="3:3" x14ac:dyDescent="0.2">
      <c r="C92" s="5" t="s">
        <v>735</v>
      </c>
    </row>
    <row r="93" spans="3:3" x14ac:dyDescent="0.2">
      <c r="C93" s="5" t="s">
        <v>736</v>
      </c>
    </row>
    <row r="94" spans="3:3" x14ac:dyDescent="0.2">
      <c r="C94" s="5" t="s">
        <v>737</v>
      </c>
    </row>
    <row r="95" spans="3:3" x14ac:dyDescent="0.2">
      <c r="C95" s="5" t="s">
        <v>406</v>
      </c>
    </row>
    <row r="96" spans="3:3" x14ac:dyDescent="0.2">
      <c r="C96" s="5" t="s">
        <v>738</v>
      </c>
    </row>
    <row r="97" spans="3:3" x14ac:dyDescent="0.2">
      <c r="C97" s="5" t="s">
        <v>739</v>
      </c>
    </row>
    <row r="98" spans="3:3" x14ac:dyDescent="0.2">
      <c r="C98" s="5" t="s">
        <v>740</v>
      </c>
    </row>
    <row r="99" spans="3:3" x14ac:dyDescent="0.2">
      <c r="C99" s="5" t="s">
        <v>741</v>
      </c>
    </row>
    <row r="100" spans="3:3" x14ac:dyDescent="0.2">
      <c r="C100" s="5" t="s">
        <v>742</v>
      </c>
    </row>
    <row r="101" spans="3:3" x14ac:dyDescent="0.2">
      <c r="C101" s="5" t="s">
        <v>901</v>
      </c>
    </row>
    <row r="102" spans="3:3" x14ac:dyDescent="0.2">
      <c r="C102" s="5" t="s">
        <v>902</v>
      </c>
    </row>
    <row r="103" spans="3:3" x14ac:dyDescent="0.2">
      <c r="C103" s="5" t="s">
        <v>974</v>
      </c>
    </row>
    <row r="104" spans="3:3" x14ac:dyDescent="0.2">
      <c r="C104" s="5" t="s">
        <v>933</v>
      </c>
    </row>
    <row r="105" spans="3:3" x14ac:dyDescent="0.2">
      <c r="C105" s="2" t="s">
        <v>453</v>
      </c>
    </row>
    <row r="106" spans="3:3" x14ac:dyDescent="0.2">
      <c r="C106" s="3">
        <v>1</v>
      </c>
    </row>
    <row r="107" spans="3:3" x14ac:dyDescent="0.2">
      <c r="C107" s="5" t="s">
        <v>460</v>
      </c>
    </row>
    <row r="108" spans="3:3" x14ac:dyDescent="0.2">
      <c r="C108" s="5" t="s">
        <v>743</v>
      </c>
    </row>
    <row r="109" spans="3:3" x14ac:dyDescent="0.2">
      <c r="C109" s="5" t="s">
        <v>744</v>
      </c>
    </row>
    <row r="110" spans="3:3" x14ac:dyDescent="0.2">
      <c r="C110" s="5" t="s">
        <v>745</v>
      </c>
    </row>
    <row r="111" spans="3:3" x14ac:dyDescent="0.2">
      <c r="C111" s="5" t="s">
        <v>482</v>
      </c>
    </row>
    <row r="112" spans="3:3" x14ac:dyDescent="0.2">
      <c r="C112" s="5" t="s">
        <v>489</v>
      </c>
    </row>
    <row r="113" spans="3:3" x14ac:dyDescent="0.2">
      <c r="C113" s="5" t="s">
        <v>746</v>
      </c>
    </row>
    <row r="114" spans="3:3" x14ac:dyDescent="0.2">
      <c r="C114" s="5" t="s">
        <v>975</v>
      </c>
    </row>
    <row r="115" spans="3:3" x14ac:dyDescent="0.2">
      <c r="C115" s="5" t="s">
        <v>932</v>
      </c>
    </row>
    <row r="116" spans="3:3" x14ac:dyDescent="0.2">
      <c r="C116" s="5" t="s">
        <v>976</v>
      </c>
    </row>
    <row r="117" spans="3:3" x14ac:dyDescent="0.2">
      <c r="C117" s="2" t="s">
        <v>107</v>
      </c>
    </row>
    <row r="118" spans="3:3" x14ac:dyDescent="0.2">
      <c r="C118" s="3">
        <v>1</v>
      </c>
    </row>
    <row r="119" spans="3:3" x14ac:dyDescent="0.2">
      <c r="C119" s="5" t="s">
        <v>496</v>
      </c>
    </row>
    <row r="120" spans="3:3" x14ac:dyDescent="0.2">
      <c r="C120" s="5" t="s">
        <v>747</v>
      </c>
    </row>
    <row r="121" spans="3:3" x14ac:dyDescent="0.2">
      <c r="C121" s="5" t="s">
        <v>748</v>
      </c>
    </row>
    <row r="122" spans="3:3" x14ac:dyDescent="0.2">
      <c r="C122" s="5" t="s">
        <v>749</v>
      </c>
    </row>
    <row r="123" spans="3:3" x14ac:dyDescent="0.2">
      <c r="C123" s="5" t="s">
        <v>500</v>
      </c>
    </row>
    <row r="124" spans="3:3" x14ac:dyDescent="0.2">
      <c r="C124" s="5" t="s">
        <v>750</v>
      </c>
    </row>
    <row r="125" spans="3:3" x14ac:dyDescent="0.2">
      <c r="C125" s="5" t="s">
        <v>751</v>
      </c>
    </row>
    <row r="126" spans="3:3" x14ac:dyDescent="0.2">
      <c r="C126" s="5" t="s">
        <v>752</v>
      </c>
    </row>
    <row r="127" spans="3:3" x14ac:dyDescent="0.2">
      <c r="C127" s="5" t="s">
        <v>753</v>
      </c>
    </row>
    <row r="128" spans="3:3" x14ac:dyDescent="0.2">
      <c r="C128" s="5" t="s">
        <v>505</v>
      </c>
    </row>
    <row r="129" spans="3:3" x14ac:dyDescent="0.2">
      <c r="C129" s="5" t="s">
        <v>754</v>
      </c>
    </row>
    <row r="130" spans="3:3" x14ac:dyDescent="0.2">
      <c r="C130" s="5" t="s">
        <v>755</v>
      </c>
    </row>
    <row r="131" spans="3:3" x14ac:dyDescent="0.2">
      <c r="C131" s="5" t="s">
        <v>756</v>
      </c>
    </row>
    <row r="132" spans="3:3" x14ac:dyDescent="0.2">
      <c r="C132" s="5" t="s">
        <v>583</v>
      </c>
    </row>
    <row r="133" spans="3:3" x14ac:dyDescent="0.2">
      <c r="C133" s="5" t="s">
        <v>590</v>
      </c>
    </row>
    <row r="134" spans="3:3" x14ac:dyDescent="0.2">
      <c r="C134" s="5" t="s">
        <v>757</v>
      </c>
    </row>
    <row r="135" spans="3:3" x14ac:dyDescent="0.2">
      <c r="C135" s="5" t="s">
        <v>977</v>
      </c>
    </row>
    <row r="136" spans="3:3" x14ac:dyDescent="0.2">
      <c r="C136" s="5" t="s">
        <v>978</v>
      </c>
    </row>
    <row r="137" spans="3:3" x14ac:dyDescent="0.2">
      <c r="C137" s="2" t="s">
        <v>108</v>
      </c>
    </row>
    <row r="138" spans="3:3" x14ac:dyDescent="0.2">
      <c r="C138" s="3">
        <v>1</v>
      </c>
    </row>
    <row r="139" spans="3:3" x14ac:dyDescent="0.2">
      <c r="C139" s="5" t="s">
        <v>585</v>
      </c>
    </row>
    <row r="140" spans="3:3" x14ac:dyDescent="0.2">
      <c r="C140" s="2" t="s">
        <v>20</v>
      </c>
    </row>
    <row r="141" spans="3:3" x14ac:dyDescent="0.2">
      <c r="C141" s="3">
        <v>1</v>
      </c>
    </row>
    <row r="142" spans="3:3" x14ac:dyDescent="0.2">
      <c r="C142" s="5" t="s">
        <v>595</v>
      </c>
    </row>
    <row r="143" spans="3:3" x14ac:dyDescent="0.2">
      <c r="C143" s="5" t="s">
        <v>596</v>
      </c>
    </row>
    <row r="144" spans="3:3" x14ac:dyDescent="0.2">
      <c r="C144" s="5" t="s">
        <v>597</v>
      </c>
    </row>
    <row r="145" spans="3:3" x14ac:dyDescent="0.2">
      <c r="C145" s="5" t="s">
        <v>598</v>
      </c>
    </row>
    <row r="146" spans="3:3" x14ac:dyDescent="0.2">
      <c r="C146" s="5" t="s">
        <v>599</v>
      </c>
    </row>
    <row r="147" spans="3:3" x14ac:dyDescent="0.2">
      <c r="C147" s="5" t="s">
        <v>600</v>
      </c>
    </row>
    <row r="148" spans="3:3" x14ac:dyDescent="0.2">
      <c r="C148" s="5" t="s">
        <v>601</v>
      </c>
    </row>
    <row r="149" spans="3:3" x14ac:dyDescent="0.2">
      <c r="C149" s="5" t="s">
        <v>602</v>
      </c>
    </row>
    <row r="150" spans="3:3" x14ac:dyDescent="0.2">
      <c r="C150" s="5" t="s">
        <v>603</v>
      </c>
    </row>
    <row r="151" spans="3:3" x14ac:dyDescent="0.2">
      <c r="C151" s="2" t="s">
        <v>880</v>
      </c>
    </row>
    <row r="152" spans="3:3" x14ac:dyDescent="0.2">
      <c r="C152" s="3">
        <v>1</v>
      </c>
    </row>
    <row r="153" spans="3:3" x14ac:dyDescent="0.2">
      <c r="C153" s="5" t="s">
        <v>900</v>
      </c>
    </row>
    <row r="154" spans="3:3" x14ac:dyDescent="0.2">
      <c r="C154" s="5" t="s">
        <v>831</v>
      </c>
    </row>
    <row r="155" spans="3:3" x14ac:dyDescent="0.2">
      <c r="C155" s="5" t="s">
        <v>979</v>
      </c>
    </row>
    <row r="156" spans="3:3" x14ac:dyDescent="0.2">
      <c r="C156" s="5" t="s">
        <v>980</v>
      </c>
    </row>
    <row r="157" spans="3:3" x14ac:dyDescent="0.2">
      <c r="C157" s="5" t="s">
        <v>981</v>
      </c>
    </row>
    <row r="158" spans="3:3" x14ac:dyDescent="0.2">
      <c r="C158" s="5" t="s">
        <v>935</v>
      </c>
    </row>
    <row r="159" spans="3:3" x14ac:dyDescent="0.2">
      <c r="C159" s="5" t="s">
        <v>982</v>
      </c>
    </row>
    <row r="160" spans="3:3" x14ac:dyDescent="0.2">
      <c r="C160" s="2" t="s">
        <v>11</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2257-B74E-8E42-B990-45ADBC0BEE35}">
  <sheetPr codeName="Tabelle11"/>
  <dimension ref="B3:K62"/>
  <sheetViews>
    <sheetView topLeftCell="A25" workbookViewId="0">
      <selection activeCell="H51" sqref="H51"/>
    </sheetView>
    <sheetView workbookViewId="1"/>
  </sheetViews>
  <sheetFormatPr baseColWidth="10" defaultRowHeight="16" x14ac:dyDescent="0.2"/>
  <cols>
    <col min="2" max="5" width="15" bestFit="1" customWidth="1"/>
    <col min="6" max="6" width="15.1640625" bestFit="1" customWidth="1"/>
    <col min="7" max="7" width="17.5" bestFit="1" customWidth="1"/>
    <col min="8" max="9" width="12" bestFit="1" customWidth="1"/>
    <col min="10" max="10" width="12.33203125" bestFit="1" customWidth="1"/>
    <col min="11" max="11" width="13.33203125" bestFit="1" customWidth="1"/>
    <col min="12" max="12" width="12" bestFit="1" customWidth="1"/>
    <col min="13" max="13" width="12.33203125" bestFit="1" customWidth="1"/>
    <col min="14" max="14" width="13.33203125" bestFit="1" customWidth="1"/>
  </cols>
  <sheetData>
    <row r="3" spans="2:11" x14ac:dyDescent="0.2">
      <c r="B3" s="1" t="s">
        <v>74</v>
      </c>
      <c r="C3" t="s">
        <v>75</v>
      </c>
      <c r="D3" t="s">
        <v>76</v>
      </c>
      <c r="E3" t="s">
        <v>77</v>
      </c>
      <c r="F3" t="s">
        <v>78</v>
      </c>
      <c r="G3" t="s">
        <v>79</v>
      </c>
      <c r="H3" t="s">
        <v>82</v>
      </c>
      <c r="I3" t="s">
        <v>83</v>
      </c>
      <c r="J3" t="s">
        <v>80</v>
      </c>
      <c r="K3" t="s">
        <v>81</v>
      </c>
    </row>
    <row r="4" spans="2:11" x14ac:dyDescent="0.2">
      <c r="B4" s="2" t="s">
        <v>67</v>
      </c>
      <c r="C4" s="7">
        <v>0</v>
      </c>
      <c r="D4" s="7">
        <v>0</v>
      </c>
      <c r="E4" s="7">
        <v>0</v>
      </c>
      <c r="F4" s="7">
        <v>0</v>
      </c>
      <c r="G4" s="7">
        <v>0</v>
      </c>
      <c r="H4" s="7">
        <v>0</v>
      </c>
      <c r="I4" s="7">
        <v>0</v>
      </c>
      <c r="J4" s="7">
        <v>0</v>
      </c>
      <c r="K4" s="7">
        <v>0</v>
      </c>
    </row>
    <row r="5" spans="2:11" x14ac:dyDescent="0.2">
      <c r="B5" s="3" t="s">
        <v>100</v>
      </c>
      <c r="C5" s="7">
        <v>0</v>
      </c>
      <c r="D5" s="7">
        <v>0</v>
      </c>
      <c r="E5" s="7">
        <v>0</v>
      </c>
      <c r="F5" s="7">
        <v>0</v>
      </c>
      <c r="G5" s="7">
        <v>0</v>
      </c>
      <c r="H5" s="7">
        <v>0</v>
      </c>
      <c r="I5" s="7">
        <v>0</v>
      </c>
      <c r="J5" s="7">
        <v>0</v>
      </c>
      <c r="K5" s="7">
        <v>0</v>
      </c>
    </row>
    <row r="6" spans="2:11" x14ac:dyDescent="0.2">
      <c r="B6" s="3" t="s">
        <v>106</v>
      </c>
      <c r="C6" s="7">
        <v>0</v>
      </c>
      <c r="D6" s="7">
        <v>0</v>
      </c>
      <c r="E6" s="7">
        <v>0</v>
      </c>
      <c r="F6" s="7">
        <v>0</v>
      </c>
      <c r="G6" s="7">
        <v>0</v>
      </c>
      <c r="H6" s="7">
        <v>0</v>
      </c>
      <c r="I6" s="7">
        <v>0</v>
      </c>
      <c r="J6" s="7">
        <v>0</v>
      </c>
      <c r="K6" s="7">
        <v>0</v>
      </c>
    </row>
    <row r="7" spans="2:11" x14ac:dyDescent="0.2">
      <c r="B7" s="2" t="s">
        <v>64</v>
      </c>
      <c r="C7" s="7">
        <v>0</v>
      </c>
      <c r="D7" s="7">
        <v>0</v>
      </c>
      <c r="E7" s="7">
        <v>0.30555555555555558</v>
      </c>
      <c r="F7" s="7">
        <v>0</v>
      </c>
      <c r="G7" s="7">
        <v>0</v>
      </c>
      <c r="H7" s="7">
        <v>0.92361111111111116</v>
      </c>
      <c r="I7" s="7">
        <v>0</v>
      </c>
      <c r="J7" s="7">
        <v>0.92361111111111116</v>
      </c>
      <c r="K7" s="7">
        <v>0.92361111111111116</v>
      </c>
    </row>
    <row r="8" spans="2:11" x14ac:dyDescent="0.2">
      <c r="B8" s="3" t="s">
        <v>20</v>
      </c>
      <c r="C8" s="7">
        <v>0</v>
      </c>
      <c r="D8" s="7">
        <v>0</v>
      </c>
      <c r="E8" s="7">
        <v>0</v>
      </c>
      <c r="F8" s="7">
        <v>0</v>
      </c>
      <c r="G8" s="7">
        <v>0</v>
      </c>
      <c r="H8" s="7">
        <v>0</v>
      </c>
      <c r="I8" s="7">
        <v>0</v>
      </c>
      <c r="J8" s="7">
        <v>0</v>
      </c>
      <c r="K8" s="7">
        <v>0</v>
      </c>
    </row>
    <row r="9" spans="2:11" x14ac:dyDescent="0.2">
      <c r="B9" s="3" t="s">
        <v>24</v>
      </c>
      <c r="C9" s="7">
        <v>0</v>
      </c>
      <c r="D9" s="7">
        <v>0</v>
      </c>
      <c r="E9" s="7">
        <v>0</v>
      </c>
      <c r="F9" s="7">
        <v>0</v>
      </c>
      <c r="G9" s="7">
        <v>0</v>
      </c>
      <c r="H9" s="7">
        <v>0</v>
      </c>
      <c r="I9" s="7">
        <v>0</v>
      </c>
      <c r="J9" s="7">
        <v>0</v>
      </c>
      <c r="K9" s="7">
        <v>0</v>
      </c>
    </row>
    <row r="10" spans="2:11" x14ac:dyDescent="0.2">
      <c r="B10" s="3" t="s">
        <v>100</v>
      </c>
      <c r="C10" s="7">
        <v>0</v>
      </c>
      <c r="D10" s="7">
        <v>0</v>
      </c>
      <c r="E10" s="7">
        <v>4.8611111111111112E-2</v>
      </c>
      <c r="F10" s="7">
        <v>0</v>
      </c>
      <c r="G10" s="7">
        <v>0</v>
      </c>
      <c r="H10" s="7">
        <v>0.33680555555555558</v>
      </c>
      <c r="I10" s="7">
        <v>0</v>
      </c>
      <c r="J10" s="7">
        <v>0.33680555555555558</v>
      </c>
      <c r="K10" s="7">
        <v>0.33680555555555558</v>
      </c>
    </row>
    <row r="11" spans="2:11" x14ac:dyDescent="0.2">
      <c r="B11" s="3" t="s">
        <v>106</v>
      </c>
      <c r="C11" s="7">
        <v>0</v>
      </c>
      <c r="D11" s="7">
        <v>0</v>
      </c>
      <c r="E11" s="7">
        <v>0</v>
      </c>
      <c r="F11" s="7">
        <v>0</v>
      </c>
      <c r="G11" s="7">
        <v>0</v>
      </c>
      <c r="H11" s="7">
        <v>0</v>
      </c>
      <c r="I11" s="7">
        <v>0</v>
      </c>
      <c r="J11" s="7">
        <v>0</v>
      </c>
      <c r="K11" s="7">
        <v>0</v>
      </c>
    </row>
    <row r="12" spans="2:11" x14ac:dyDescent="0.2">
      <c r="B12" s="3" t="s">
        <v>107</v>
      </c>
      <c r="C12" s="7">
        <v>0</v>
      </c>
      <c r="D12" s="7">
        <v>0</v>
      </c>
      <c r="E12" s="7">
        <v>0</v>
      </c>
      <c r="F12" s="7">
        <v>0</v>
      </c>
      <c r="G12" s="7">
        <v>0</v>
      </c>
      <c r="H12" s="7">
        <v>0</v>
      </c>
      <c r="I12" s="7">
        <v>0</v>
      </c>
      <c r="J12" s="7">
        <v>0</v>
      </c>
      <c r="K12" s="7">
        <v>0</v>
      </c>
    </row>
    <row r="13" spans="2:11" x14ac:dyDescent="0.2">
      <c r="B13" s="3" t="s">
        <v>119</v>
      </c>
      <c r="C13" s="7">
        <v>0</v>
      </c>
      <c r="D13" s="7">
        <v>0</v>
      </c>
      <c r="E13" s="7">
        <v>0.25694444444444448</v>
      </c>
      <c r="F13" s="7">
        <v>0</v>
      </c>
      <c r="G13" s="7">
        <v>0</v>
      </c>
      <c r="H13" s="7">
        <v>0.58680555555555558</v>
      </c>
      <c r="I13" s="7">
        <v>0</v>
      </c>
      <c r="J13" s="7">
        <v>0.58680555555555558</v>
      </c>
      <c r="K13" s="7">
        <v>0.58680555555555558</v>
      </c>
    </row>
    <row r="14" spans="2:11" x14ac:dyDescent="0.2">
      <c r="B14" s="3" t="s">
        <v>108</v>
      </c>
      <c r="C14" s="7">
        <v>0</v>
      </c>
      <c r="D14" s="7">
        <v>0</v>
      </c>
      <c r="E14" s="7">
        <v>0</v>
      </c>
      <c r="F14" s="7">
        <v>0</v>
      </c>
      <c r="G14" s="7">
        <v>0</v>
      </c>
      <c r="H14" s="7">
        <v>0</v>
      </c>
      <c r="I14" s="7">
        <v>0</v>
      </c>
      <c r="J14" s="7">
        <v>0</v>
      </c>
      <c r="K14" s="7">
        <v>0</v>
      </c>
    </row>
    <row r="15" spans="2:11" x14ac:dyDescent="0.2">
      <c r="B15" s="3" t="s">
        <v>109</v>
      </c>
      <c r="C15" s="7">
        <v>0</v>
      </c>
      <c r="D15" s="7">
        <v>0</v>
      </c>
      <c r="E15" s="7">
        <v>0</v>
      </c>
      <c r="F15" s="7">
        <v>0</v>
      </c>
      <c r="G15" s="7">
        <v>0</v>
      </c>
      <c r="H15" s="7">
        <v>0</v>
      </c>
      <c r="I15" s="7">
        <v>0</v>
      </c>
      <c r="J15" s="7">
        <v>0</v>
      </c>
      <c r="K15" s="7">
        <v>0</v>
      </c>
    </row>
    <row r="16" spans="2:11" x14ac:dyDescent="0.2">
      <c r="B16" s="3" t="s">
        <v>110</v>
      </c>
      <c r="C16" s="7">
        <v>0</v>
      </c>
      <c r="D16" s="7">
        <v>0</v>
      </c>
      <c r="E16" s="7">
        <v>0</v>
      </c>
      <c r="F16" s="7">
        <v>0</v>
      </c>
      <c r="G16" s="7">
        <v>0</v>
      </c>
      <c r="H16" s="7">
        <v>0</v>
      </c>
      <c r="I16" s="7">
        <v>0</v>
      </c>
      <c r="J16" s="7">
        <v>0</v>
      </c>
      <c r="K16" s="7">
        <v>0</v>
      </c>
    </row>
    <row r="17" spans="2:11" x14ac:dyDescent="0.2">
      <c r="B17" s="3" t="s">
        <v>111</v>
      </c>
      <c r="C17" s="7">
        <v>0</v>
      </c>
      <c r="D17" s="7">
        <v>0</v>
      </c>
      <c r="E17" s="7">
        <v>0</v>
      </c>
      <c r="F17" s="7">
        <v>0</v>
      </c>
      <c r="G17" s="7">
        <v>0</v>
      </c>
      <c r="H17" s="7">
        <v>0</v>
      </c>
      <c r="I17" s="7">
        <v>0</v>
      </c>
      <c r="J17" s="7">
        <v>0</v>
      </c>
      <c r="K17" s="7">
        <v>0</v>
      </c>
    </row>
    <row r="18" spans="2:11" x14ac:dyDescent="0.2">
      <c r="B18" s="3" t="s">
        <v>112</v>
      </c>
      <c r="C18" s="7">
        <v>0</v>
      </c>
      <c r="D18" s="7">
        <v>0</v>
      </c>
      <c r="E18" s="7">
        <v>0</v>
      </c>
      <c r="F18" s="7">
        <v>0</v>
      </c>
      <c r="G18" s="7">
        <v>0</v>
      </c>
      <c r="H18" s="7">
        <v>0</v>
      </c>
      <c r="I18" s="7">
        <v>0</v>
      </c>
      <c r="J18" s="7">
        <v>0</v>
      </c>
      <c r="K18" s="7">
        <v>0</v>
      </c>
    </row>
    <row r="19" spans="2:11" x14ac:dyDescent="0.2">
      <c r="B19" s="2" t="s">
        <v>65</v>
      </c>
      <c r="C19" s="7">
        <v>0</v>
      </c>
      <c r="D19" s="7">
        <v>0</v>
      </c>
      <c r="E19" s="7">
        <v>0</v>
      </c>
      <c r="F19" s="7">
        <v>0</v>
      </c>
      <c r="G19" s="7">
        <v>0</v>
      </c>
      <c r="H19" s="7">
        <v>0</v>
      </c>
      <c r="I19" s="7">
        <v>0</v>
      </c>
      <c r="J19" s="7">
        <v>0</v>
      </c>
      <c r="K19" s="7">
        <v>0</v>
      </c>
    </row>
    <row r="20" spans="2:11" x14ac:dyDescent="0.2">
      <c r="B20" s="3" t="s">
        <v>20</v>
      </c>
      <c r="C20" s="7">
        <v>0</v>
      </c>
      <c r="D20" s="7">
        <v>0</v>
      </c>
      <c r="E20" s="7">
        <v>0</v>
      </c>
      <c r="F20" s="7">
        <v>0</v>
      </c>
      <c r="G20" s="7">
        <v>0</v>
      </c>
      <c r="H20" s="7">
        <v>0</v>
      </c>
      <c r="I20" s="7">
        <v>0</v>
      </c>
      <c r="J20" s="7">
        <v>0</v>
      </c>
      <c r="K20" s="7">
        <v>0</v>
      </c>
    </row>
    <row r="21" spans="2:11" x14ac:dyDescent="0.2">
      <c r="B21" s="3" t="s">
        <v>24</v>
      </c>
      <c r="C21" s="7">
        <v>0</v>
      </c>
      <c r="D21" s="7">
        <v>0</v>
      </c>
      <c r="E21" s="7">
        <v>0</v>
      </c>
      <c r="F21" s="7">
        <v>0</v>
      </c>
      <c r="G21" s="7">
        <v>0</v>
      </c>
      <c r="H21" s="7">
        <v>0</v>
      </c>
      <c r="I21" s="7">
        <v>0</v>
      </c>
      <c r="J21" s="7">
        <v>0</v>
      </c>
      <c r="K21" s="7">
        <v>0</v>
      </c>
    </row>
    <row r="22" spans="2:11" x14ac:dyDescent="0.2">
      <c r="B22" s="3" t="s">
        <v>100</v>
      </c>
      <c r="C22" s="7">
        <v>0</v>
      </c>
      <c r="D22" s="7">
        <v>0</v>
      </c>
      <c r="E22" s="7">
        <v>0</v>
      </c>
      <c r="F22" s="7">
        <v>0</v>
      </c>
      <c r="G22" s="7">
        <v>0</v>
      </c>
      <c r="H22" s="7">
        <v>0</v>
      </c>
      <c r="I22" s="7">
        <v>0</v>
      </c>
      <c r="J22" s="7">
        <v>0</v>
      </c>
      <c r="K22" s="7">
        <v>0</v>
      </c>
    </row>
    <row r="23" spans="2:11" x14ac:dyDescent="0.2">
      <c r="B23" s="3" t="s">
        <v>106</v>
      </c>
      <c r="C23" s="7">
        <v>0</v>
      </c>
      <c r="D23" s="7">
        <v>0</v>
      </c>
      <c r="E23" s="7">
        <v>0</v>
      </c>
      <c r="F23" s="7">
        <v>0</v>
      </c>
      <c r="G23" s="7">
        <v>0</v>
      </c>
      <c r="H23" s="7">
        <v>0</v>
      </c>
      <c r="I23" s="7">
        <v>0</v>
      </c>
      <c r="J23" s="7">
        <v>0</v>
      </c>
      <c r="K23" s="7">
        <v>0</v>
      </c>
    </row>
    <row r="24" spans="2:11" x14ac:dyDescent="0.2">
      <c r="B24" s="3" t="s">
        <v>107</v>
      </c>
      <c r="C24" s="7">
        <v>0</v>
      </c>
      <c r="D24" s="7">
        <v>0</v>
      </c>
      <c r="E24" s="7">
        <v>0</v>
      </c>
      <c r="F24" s="7">
        <v>0</v>
      </c>
      <c r="G24" s="7">
        <v>0</v>
      </c>
      <c r="H24" s="7">
        <v>0</v>
      </c>
      <c r="I24" s="7">
        <v>0</v>
      </c>
      <c r="J24" s="7">
        <v>0</v>
      </c>
      <c r="K24" s="7">
        <v>0</v>
      </c>
    </row>
    <row r="25" spans="2:11" x14ac:dyDescent="0.2">
      <c r="B25" s="3" t="s">
        <v>119</v>
      </c>
      <c r="C25" s="7">
        <v>0</v>
      </c>
      <c r="D25" s="7">
        <v>0</v>
      </c>
      <c r="E25" s="7">
        <v>0</v>
      </c>
      <c r="F25" s="7">
        <v>0</v>
      </c>
      <c r="G25" s="7">
        <v>0</v>
      </c>
      <c r="H25" s="7">
        <v>0</v>
      </c>
      <c r="I25" s="7">
        <v>0</v>
      </c>
      <c r="J25" s="7">
        <v>0</v>
      </c>
      <c r="K25" s="7">
        <v>0</v>
      </c>
    </row>
    <row r="26" spans="2:11" x14ac:dyDescent="0.2">
      <c r="B26" s="3" t="s">
        <v>108</v>
      </c>
      <c r="C26" s="7">
        <v>0</v>
      </c>
      <c r="D26" s="7">
        <v>0</v>
      </c>
      <c r="E26" s="7">
        <v>0</v>
      </c>
      <c r="F26" s="7">
        <v>0</v>
      </c>
      <c r="G26" s="7">
        <v>0</v>
      </c>
      <c r="H26" s="7">
        <v>0</v>
      </c>
      <c r="I26" s="7">
        <v>0</v>
      </c>
      <c r="J26" s="7">
        <v>0</v>
      </c>
      <c r="K26" s="7">
        <v>0</v>
      </c>
    </row>
    <row r="27" spans="2:11" x14ac:dyDescent="0.2">
      <c r="B27" s="3" t="s">
        <v>109</v>
      </c>
      <c r="C27" s="7">
        <v>0</v>
      </c>
      <c r="D27" s="7">
        <v>0</v>
      </c>
      <c r="E27" s="7">
        <v>0</v>
      </c>
      <c r="F27" s="7">
        <v>0</v>
      </c>
      <c r="G27" s="7">
        <v>0</v>
      </c>
      <c r="H27" s="7">
        <v>0</v>
      </c>
      <c r="I27" s="7">
        <v>0</v>
      </c>
      <c r="J27" s="7">
        <v>0</v>
      </c>
      <c r="K27" s="7">
        <v>0</v>
      </c>
    </row>
    <row r="28" spans="2:11" x14ac:dyDescent="0.2">
      <c r="B28" s="3" t="s">
        <v>110</v>
      </c>
      <c r="C28" s="7">
        <v>0</v>
      </c>
      <c r="D28" s="7">
        <v>0</v>
      </c>
      <c r="E28" s="7">
        <v>0</v>
      </c>
      <c r="F28" s="7">
        <v>0</v>
      </c>
      <c r="G28" s="7">
        <v>0</v>
      </c>
      <c r="H28" s="7">
        <v>0</v>
      </c>
      <c r="I28" s="7">
        <v>0</v>
      </c>
      <c r="J28" s="7">
        <v>0</v>
      </c>
      <c r="K28" s="7">
        <v>0</v>
      </c>
    </row>
    <row r="29" spans="2:11" x14ac:dyDescent="0.2">
      <c r="B29" s="3" t="s">
        <v>111</v>
      </c>
      <c r="C29" s="7">
        <v>0</v>
      </c>
      <c r="D29" s="7">
        <v>0</v>
      </c>
      <c r="E29" s="7">
        <v>0</v>
      </c>
      <c r="F29" s="7">
        <v>0</v>
      </c>
      <c r="G29" s="7">
        <v>0</v>
      </c>
      <c r="H29" s="7">
        <v>0</v>
      </c>
      <c r="I29" s="7">
        <v>0</v>
      </c>
      <c r="J29" s="7">
        <v>0</v>
      </c>
      <c r="K29" s="7">
        <v>0</v>
      </c>
    </row>
    <row r="30" spans="2:11" x14ac:dyDescent="0.2">
      <c r="B30" s="3" t="s">
        <v>112</v>
      </c>
      <c r="C30" s="7">
        <v>0</v>
      </c>
      <c r="D30" s="7">
        <v>0</v>
      </c>
      <c r="E30" s="7">
        <v>0</v>
      </c>
      <c r="F30" s="7">
        <v>0</v>
      </c>
      <c r="G30" s="7">
        <v>0</v>
      </c>
      <c r="H30" s="7">
        <v>0</v>
      </c>
      <c r="I30" s="7">
        <v>0</v>
      </c>
      <c r="J30" s="7">
        <v>0</v>
      </c>
      <c r="K30" s="7">
        <v>0</v>
      </c>
    </row>
    <row r="31" spans="2:11" x14ac:dyDescent="0.2">
      <c r="B31" s="2" t="s">
        <v>84</v>
      </c>
      <c r="C31" s="7">
        <v>-0.14583333333333334</v>
      </c>
      <c r="D31" s="7">
        <v>0</v>
      </c>
      <c r="E31" s="7">
        <v>0</v>
      </c>
      <c r="F31" s="7">
        <v>-4.1666666666666664E-2</v>
      </c>
      <c r="G31" s="7">
        <v>1.7361111111111112E-2</v>
      </c>
      <c r="H31" s="7">
        <v>0.69444444444444442</v>
      </c>
      <c r="I31" s="7">
        <v>0.72916666666666663</v>
      </c>
      <c r="J31" s="7">
        <v>-3.4722222222222196E-2</v>
      </c>
      <c r="K31" s="7">
        <v>0.11111111111111115</v>
      </c>
    </row>
    <row r="32" spans="2:11" x14ac:dyDescent="0.2">
      <c r="B32" s="3" t="s">
        <v>20</v>
      </c>
      <c r="C32" s="7">
        <v>0</v>
      </c>
      <c r="D32" s="7">
        <v>0</v>
      </c>
      <c r="E32" s="7">
        <v>0</v>
      </c>
      <c r="F32" s="7">
        <v>0</v>
      </c>
      <c r="G32" s="7">
        <v>0</v>
      </c>
      <c r="H32" s="7">
        <v>0</v>
      </c>
      <c r="I32" s="7">
        <v>0</v>
      </c>
      <c r="J32" s="7">
        <v>0</v>
      </c>
      <c r="K32" s="7">
        <v>0</v>
      </c>
    </row>
    <row r="33" spans="2:11" x14ac:dyDescent="0.2">
      <c r="B33" s="3" t="s">
        <v>24</v>
      </c>
      <c r="C33" s="7">
        <v>0</v>
      </c>
      <c r="D33" s="7">
        <v>0</v>
      </c>
      <c r="E33" s="7">
        <v>0</v>
      </c>
      <c r="F33" s="7">
        <v>-6.25E-2</v>
      </c>
      <c r="G33" s="7">
        <v>0</v>
      </c>
      <c r="H33" s="7">
        <v>7.2916666666666671E-2</v>
      </c>
      <c r="I33" s="7">
        <v>0.15625</v>
      </c>
      <c r="J33" s="7">
        <v>-8.3333333333333329E-2</v>
      </c>
      <c r="K33" s="7">
        <v>-8.3333333333333329E-2</v>
      </c>
    </row>
    <row r="34" spans="2:11" x14ac:dyDescent="0.2">
      <c r="B34" s="3" t="s">
        <v>106</v>
      </c>
      <c r="C34" s="7">
        <v>0</v>
      </c>
      <c r="D34" s="7">
        <v>0</v>
      </c>
      <c r="E34" s="7">
        <v>0</v>
      </c>
      <c r="F34" s="7">
        <v>0</v>
      </c>
      <c r="G34" s="7">
        <v>1.7361111111111112E-2</v>
      </c>
      <c r="H34" s="7">
        <v>0.27430555555555552</v>
      </c>
      <c r="I34" s="7">
        <v>0.13541666666666666</v>
      </c>
      <c r="J34" s="7">
        <v>0.1388888888888889</v>
      </c>
      <c r="K34" s="7">
        <v>0.1388888888888889</v>
      </c>
    </row>
    <row r="35" spans="2:11" x14ac:dyDescent="0.2">
      <c r="B35" s="3" t="s">
        <v>107</v>
      </c>
      <c r="C35" s="7">
        <v>0</v>
      </c>
      <c r="D35" s="7">
        <v>0</v>
      </c>
      <c r="E35" s="7">
        <v>0</v>
      </c>
      <c r="F35" s="7">
        <v>0</v>
      </c>
      <c r="G35" s="7">
        <v>0</v>
      </c>
      <c r="H35" s="7">
        <v>3.4722222222222224E-2</v>
      </c>
      <c r="I35" s="7">
        <v>0</v>
      </c>
      <c r="J35" s="7">
        <v>3.4722222222222224E-2</v>
      </c>
      <c r="K35" s="7">
        <v>3.4722222222222224E-2</v>
      </c>
    </row>
    <row r="36" spans="2:11" x14ac:dyDescent="0.2">
      <c r="B36" s="3" t="s">
        <v>108</v>
      </c>
      <c r="C36" s="7">
        <v>-7.2916666666666671E-2</v>
      </c>
      <c r="D36" s="7">
        <v>0</v>
      </c>
      <c r="E36" s="7">
        <v>0</v>
      </c>
      <c r="F36" s="7">
        <v>0</v>
      </c>
      <c r="G36" s="7">
        <v>0</v>
      </c>
      <c r="H36" s="7">
        <v>0</v>
      </c>
      <c r="I36" s="7">
        <v>7.2916666666666671E-2</v>
      </c>
      <c r="J36" s="7">
        <v>-7.2916666666666671E-2</v>
      </c>
      <c r="K36" s="7">
        <v>0</v>
      </c>
    </row>
    <row r="37" spans="2:11" x14ac:dyDescent="0.2">
      <c r="B37" s="3" t="s">
        <v>109</v>
      </c>
      <c r="C37" s="7">
        <v>0</v>
      </c>
      <c r="D37" s="7">
        <v>0</v>
      </c>
      <c r="E37" s="7">
        <v>0</v>
      </c>
      <c r="F37" s="7">
        <v>0</v>
      </c>
      <c r="G37" s="7">
        <v>0</v>
      </c>
      <c r="H37" s="7">
        <v>0</v>
      </c>
      <c r="I37" s="7">
        <v>0</v>
      </c>
      <c r="J37" s="7">
        <v>0</v>
      </c>
      <c r="K37" s="7">
        <v>0</v>
      </c>
    </row>
    <row r="38" spans="2:11" x14ac:dyDescent="0.2">
      <c r="B38" s="3" t="s">
        <v>110</v>
      </c>
      <c r="C38" s="7">
        <v>0</v>
      </c>
      <c r="D38" s="7">
        <v>0</v>
      </c>
      <c r="E38" s="7">
        <v>0</v>
      </c>
      <c r="F38" s="7">
        <v>0</v>
      </c>
      <c r="G38" s="7">
        <v>0</v>
      </c>
      <c r="H38" s="7">
        <v>0</v>
      </c>
      <c r="I38" s="7">
        <v>0</v>
      </c>
      <c r="J38" s="7">
        <v>0</v>
      </c>
      <c r="K38" s="7">
        <v>0</v>
      </c>
    </row>
    <row r="39" spans="2:11" x14ac:dyDescent="0.2">
      <c r="B39" s="3" t="s">
        <v>453</v>
      </c>
      <c r="C39" s="7">
        <v>0</v>
      </c>
      <c r="D39" s="7">
        <v>0</v>
      </c>
      <c r="E39" s="7">
        <v>0</v>
      </c>
      <c r="F39" s="7">
        <v>1.7361111111111112E-2</v>
      </c>
      <c r="G39" s="7">
        <v>0</v>
      </c>
      <c r="H39" s="7">
        <v>0.15625</v>
      </c>
      <c r="I39" s="7">
        <v>0.125</v>
      </c>
      <c r="J39" s="7">
        <v>3.125E-2</v>
      </c>
      <c r="K39" s="7">
        <v>3.125E-2</v>
      </c>
    </row>
    <row r="40" spans="2:11" x14ac:dyDescent="0.2">
      <c r="B40" s="3" t="s">
        <v>361</v>
      </c>
      <c r="C40" s="7">
        <v>-7.2916666666666671E-2</v>
      </c>
      <c r="D40" s="7">
        <v>0</v>
      </c>
      <c r="E40" s="7">
        <v>0</v>
      </c>
      <c r="F40" s="7">
        <v>3.472222222222222E-3</v>
      </c>
      <c r="G40" s="7">
        <v>0</v>
      </c>
      <c r="H40" s="7">
        <v>0.15625</v>
      </c>
      <c r="I40" s="7">
        <v>0.23958333333333334</v>
      </c>
      <c r="J40" s="7">
        <v>-8.3333333333333315E-2</v>
      </c>
      <c r="K40" s="7">
        <v>-1.0416666666666644E-2</v>
      </c>
    </row>
    <row r="41" spans="2:11" x14ac:dyDescent="0.2">
      <c r="B41" s="2" t="s">
        <v>584</v>
      </c>
      <c r="C41" s="7">
        <v>-0.34375000000000006</v>
      </c>
      <c r="D41" s="7">
        <v>-0.11458333333333334</v>
      </c>
      <c r="E41" s="7">
        <v>0.13194444444444445</v>
      </c>
      <c r="F41" s="7">
        <v>3.4722222222222217E-2</v>
      </c>
      <c r="G41" s="7">
        <v>-1.7361111111111112E-2</v>
      </c>
      <c r="H41" s="7">
        <v>0.94097222222222232</v>
      </c>
      <c r="I41" s="7">
        <v>1.3854166666666665</v>
      </c>
      <c r="J41" s="7">
        <v>-0.44444444444444448</v>
      </c>
      <c r="K41" s="7">
        <v>1.3888888888888867E-2</v>
      </c>
    </row>
    <row r="42" spans="2:11" x14ac:dyDescent="0.2">
      <c r="B42" s="3" t="s">
        <v>20</v>
      </c>
      <c r="C42" s="7">
        <v>0</v>
      </c>
      <c r="D42" s="7">
        <v>0</v>
      </c>
      <c r="E42" s="7">
        <v>0</v>
      </c>
      <c r="F42" s="7">
        <v>0</v>
      </c>
      <c r="G42" s="7">
        <v>0</v>
      </c>
      <c r="H42" s="7">
        <v>4.8611111111111112E-2</v>
      </c>
      <c r="I42" s="7">
        <v>8.3333333333333329E-2</v>
      </c>
      <c r="J42" s="7">
        <v>-3.4722222222222217E-2</v>
      </c>
      <c r="K42" s="7">
        <v>-3.4722222222222217E-2</v>
      </c>
    </row>
    <row r="43" spans="2:11" x14ac:dyDescent="0.2">
      <c r="B43" s="3" t="s">
        <v>24</v>
      </c>
      <c r="C43" s="7">
        <v>-7.2916666666666671E-2</v>
      </c>
      <c r="D43" s="7">
        <v>0</v>
      </c>
      <c r="E43" s="7">
        <v>0</v>
      </c>
      <c r="F43" s="7">
        <v>-5.2083333333333336E-2</v>
      </c>
      <c r="G43" s="7">
        <v>0</v>
      </c>
      <c r="H43" s="7">
        <v>0</v>
      </c>
      <c r="I43" s="7">
        <v>0.15625</v>
      </c>
      <c r="J43" s="7">
        <v>-0.15625</v>
      </c>
      <c r="K43" s="7">
        <v>-8.3333333333333329E-2</v>
      </c>
    </row>
    <row r="44" spans="2:11" x14ac:dyDescent="0.2">
      <c r="B44" s="3" t="s">
        <v>106</v>
      </c>
      <c r="C44" s="7">
        <v>-1.0416666666666671E-2</v>
      </c>
      <c r="D44" s="7">
        <v>0</v>
      </c>
      <c r="E44" s="7">
        <v>0.13194444444444445</v>
      </c>
      <c r="F44" s="7">
        <v>0</v>
      </c>
      <c r="G44" s="7">
        <v>-1.7361111111111112E-2</v>
      </c>
      <c r="H44" s="7">
        <v>0.3263888888888889</v>
      </c>
      <c r="I44" s="7">
        <v>0.21875</v>
      </c>
      <c r="J44" s="7">
        <v>0.1076388888888889</v>
      </c>
      <c r="K44" s="7">
        <v>0.11805555555555557</v>
      </c>
    </row>
    <row r="45" spans="2:11" x14ac:dyDescent="0.2">
      <c r="B45" s="3" t="s">
        <v>107</v>
      </c>
      <c r="C45" s="7">
        <v>-7.2916666666666671E-2</v>
      </c>
      <c r="D45" s="7">
        <v>-3.125E-2</v>
      </c>
      <c r="E45" s="7">
        <v>0</v>
      </c>
      <c r="F45" s="7">
        <v>6.9444444444444441E-3</v>
      </c>
      <c r="G45" s="7">
        <v>0</v>
      </c>
      <c r="H45" s="7">
        <v>6.9444444444444434E-2</v>
      </c>
      <c r="I45" s="7">
        <v>0.23958333333333334</v>
      </c>
      <c r="J45" s="7">
        <v>-0.1701388888888889</v>
      </c>
      <c r="K45" s="7">
        <v>-6.5972222222222224E-2</v>
      </c>
    </row>
    <row r="46" spans="2:11" x14ac:dyDescent="0.2">
      <c r="B46" s="3" t="s">
        <v>108</v>
      </c>
      <c r="C46" s="7">
        <v>-7.2916666666666671E-2</v>
      </c>
      <c r="D46" s="7">
        <v>0</v>
      </c>
      <c r="E46" s="7">
        <v>0</v>
      </c>
      <c r="F46" s="7">
        <v>0</v>
      </c>
      <c r="G46" s="7">
        <v>0</v>
      </c>
      <c r="H46" s="7">
        <v>4.1666666666666664E-2</v>
      </c>
      <c r="I46" s="7">
        <v>0.13541666666666666</v>
      </c>
      <c r="J46" s="7">
        <v>-9.3750000000000028E-2</v>
      </c>
      <c r="K46" s="7">
        <v>-2.0833333333333356E-2</v>
      </c>
    </row>
    <row r="47" spans="2:11" x14ac:dyDescent="0.2">
      <c r="B47" s="3" t="s">
        <v>109</v>
      </c>
      <c r="C47" s="7">
        <v>-4.1666666666666664E-2</v>
      </c>
      <c r="D47" s="7">
        <v>0</v>
      </c>
      <c r="E47" s="7">
        <v>0</v>
      </c>
      <c r="F47" s="7">
        <v>0</v>
      </c>
      <c r="G47" s="7">
        <v>0</v>
      </c>
      <c r="H47" s="7">
        <v>0</v>
      </c>
      <c r="I47" s="7">
        <v>4.1666666666666664E-2</v>
      </c>
      <c r="J47" s="7">
        <v>-4.1666666666666664E-2</v>
      </c>
      <c r="K47" s="7">
        <v>0</v>
      </c>
    </row>
    <row r="48" spans="2:11" x14ac:dyDescent="0.2">
      <c r="B48" s="3" t="s">
        <v>110</v>
      </c>
      <c r="C48" s="7">
        <v>0</v>
      </c>
      <c r="D48" s="7">
        <v>0</v>
      </c>
      <c r="E48" s="7">
        <v>0</v>
      </c>
      <c r="F48" s="7">
        <v>0</v>
      </c>
      <c r="G48" s="7">
        <v>0</v>
      </c>
      <c r="H48" s="7">
        <v>0</v>
      </c>
      <c r="I48" s="7">
        <v>0</v>
      </c>
      <c r="J48" s="7">
        <v>0</v>
      </c>
      <c r="K48" s="7">
        <v>0</v>
      </c>
    </row>
    <row r="49" spans="2:11" x14ac:dyDescent="0.2">
      <c r="B49" s="3" t="s">
        <v>453</v>
      </c>
      <c r="C49" s="7">
        <v>0</v>
      </c>
      <c r="D49" s="7">
        <v>-7.2916666666666671E-2</v>
      </c>
      <c r="E49" s="7">
        <v>0</v>
      </c>
      <c r="F49" s="7">
        <v>5.2083333333333336E-2</v>
      </c>
      <c r="G49" s="7">
        <v>0</v>
      </c>
      <c r="H49" s="7">
        <v>0.13194444444444445</v>
      </c>
      <c r="I49" s="7">
        <v>0.19791666666666666</v>
      </c>
      <c r="J49" s="7">
        <v>-6.5972222222222238E-2</v>
      </c>
      <c r="K49" s="7">
        <v>6.9444444444444441E-3</v>
      </c>
    </row>
    <row r="50" spans="2:11" x14ac:dyDescent="0.2">
      <c r="B50" s="3" t="s">
        <v>361</v>
      </c>
      <c r="C50" s="7">
        <v>-7.2916666666666671E-2</v>
      </c>
      <c r="D50" s="7">
        <v>-1.0416666666666671E-2</v>
      </c>
      <c r="E50" s="7">
        <v>0</v>
      </c>
      <c r="F50" s="7">
        <v>2.7777777777777776E-2</v>
      </c>
      <c r="G50" s="7">
        <v>0</v>
      </c>
      <c r="H50" s="7">
        <v>0.32291666666666669</v>
      </c>
      <c r="I50" s="7">
        <v>0.3125</v>
      </c>
      <c r="J50" s="7">
        <v>1.0416666666666666E-2</v>
      </c>
      <c r="K50" s="7">
        <v>9.375E-2</v>
      </c>
    </row>
    <row r="51" spans="2:11" x14ac:dyDescent="0.2">
      <c r="B51" s="2" t="s">
        <v>824</v>
      </c>
      <c r="C51" s="7">
        <v>-0.21875</v>
      </c>
      <c r="D51" s="7">
        <v>-0.11458333333333334</v>
      </c>
      <c r="E51" s="7">
        <v>7.6388888888888895E-2</v>
      </c>
      <c r="F51" s="7">
        <v>3.124999999999999E-2</v>
      </c>
      <c r="G51" s="7">
        <v>-1.7361111111111112E-2</v>
      </c>
      <c r="H51" s="7">
        <v>0.96180555555555547</v>
      </c>
      <c r="I51" s="7">
        <v>1.3854166666666665</v>
      </c>
      <c r="J51" s="7">
        <v>-0.42361111111111122</v>
      </c>
      <c r="K51" s="7">
        <v>-9.0277777777777776E-2</v>
      </c>
    </row>
    <row r="52" spans="2:11" x14ac:dyDescent="0.2">
      <c r="B52" s="3" t="s">
        <v>20</v>
      </c>
      <c r="C52" s="7">
        <v>0</v>
      </c>
      <c r="D52" s="7">
        <v>0</v>
      </c>
      <c r="E52" s="7">
        <v>0</v>
      </c>
      <c r="F52" s="7">
        <v>0</v>
      </c>
      <c r="G52" s="7">
        <v>0</v>
      </c>
      <c r="H52" s="7">
        <v>0</v>
      </c>
      <c r="I52" s="7">
        <v>8.3333333333333329E-2</v>
      </c>
      <c r="J52" s="7">
        <v>-8.3333333333333329E-2</v>
      </c>
      <c r="K52" s="7">
        <v>-8.3333333333333329E-2</v>
      </c>
    </row>
    <row r="53" spans="2:11" x14ac:dyDescent="0.2">
      <c r="B53" s="3" t="s">
        <v>24</v>
      </c>
      <c r="C53" s="7">
        <v>-1.0416666666666671E-2</v>
      </c>
      <c r="D53" s="7">
        <v>0</v>
      </c>
      <c r="E53" s="7">
        <v>0</v>
      </c>
      <c r="F53" s="7">
        <v>2.0833333333333332E-2</v>
      </c>
      <c r="G53" s="7">
        <v>0</v>
      </c>
      <c r="H53" s="7">
        <v>0.13541666666666666</v>
      </c>
      <c r="I53" s="7">
        <v>0.15625</v>
      </c>
      <c r="J53" s="7">
        <v>-2.0833333333333343E-2</v>
      </c>
      <c r="K53" s="7">
        <v>-1.0416666666666671E-2</v>
      </c>
    </row>
    <row r="54" spans="2:11" x14ac:dyDescent="0.2">
      <c r="B54" s="3" t="s">
        <v>106</v>
      </c>
      <c r="C54" s="7">
        <v>-1.0416666666666671E-2</v>
      </c>
      <c r="D54" s="7">
        <v>0</v>
      </c>
      <c r="E54" s="7">
        <v>7.6388888888888895E-2</v>
      </c>
      <c r="F54" s="7">
        <v>0</v>
      </c>
      <c r="G54" s="7">
        <v>-1.7361111111111112E-2</v>
      </c>
      <c r="H54" s="7">
        <v>0.3125</v>
      </c>
      <c r="I54" s="7">
        <v>0.21875</v>
      </c>
      <c r="J54" s="7">
        <v>9.375E-2</v>
      </c>
      <c r="K54" s="7">
        <v>0.10416666666666667</v>
      </c>
    </row>
    <row r="55" spans="2:11" x14ac:dyDescent="0.2">
      <c r="B55" s="3" t="s">
        <v>107</v>
      </c>
      <c r="C55" s="7">
        <v>-7.2916666666666671E-2</v>
      </c>
      <c r="D55" s="7">
        <v>-3.125E-2</v>
      </c>
      <c r="E55" s="7">
        <v>0</v>
      </c>
      <c r="F55" s="7">
        <v>1.0416666666666666E-2</v>
      </c>
      <c r="G55" s="7">
        <v>0</v>
      </c>
      <c r="H55" s="7">
        <v>7.2916666666666671E-2</v>
      </c>
      <c r="I55" s="7">
        <v>0.23958333333333334</v>
      </c>
      <c r="J55" s="7">
        <v>-0.16666666666666669</v>
      </c>
      <c r="K55" s="7">
        <v>-6.2500000000000014E-2</v>
      </c>
    </row>
    <row r="56" spans="2:11" x14ac:dyDescent="0.2">
      <c r="B56" s="3" t="s">
        <v>108</v>
      </c>
      <c r="C56" s="7">
        <v>-1.0416666666666671E-2</v>
      </c>
      <c r="D56" s="7">
        <v>0</v>
      </c>
      <c r="E56" s="7">
        <v>0</v>
      </c>
      <c r="F56" s="7">
        <v>4.1666666666666664E-2</v>
      </c>
      <c r="G56" s="7">
        <v>0</v>
      </c>
      <c r="H56" s="7">
        <v>0.10416666666666667</v>
      </c>
      <c r="I56" s="7">
        <v>0.13541666666666666</v>
      </c>
      <c r="J56" s="7">
        <v>-3.1250000000000028E-2</v>
      </c>
      <c r="K56" s="7">
        <v>-2.0833333333333356E-2</v>
      </c>
    </row>
    <row r="57" spans="2:11" x14ac:dyDescent="0.2">
      <c r="B57" s="3" t="s">
        <v>109</v>
      </c>
      <c r="C57" s="7">
        <v>-4.1666666666666664E-2</v>
      </c>
      <c r="D57" s="7">
        <v>0</v>
      </c>
      <c r="E57" s="7">
        <v>0</v>
      </c>
      <c r="F57" s="7">
        <v>0</v>
      </c>
      <c r="G57" s="7">
        <v>0</v>
      </c>
      <c r="H57" s="7">
        <v>0</v>
      </c>
      <c r="I57" s="7">
        <v>4.1666666666666664E-2</v>
      </c>
      <c r="J57" s="7">
        <v>-4.1666666666666664E-2</v>
      </c>
      <c r="K57" s="7">
        <v>0</v>
      </c>
    </row>
    <row r="58" spans="2:11" x14ac:dyDescent="0.2">
      <c r="B58" s="3" t="s">
        <v>110</v>
      </c>
      <c r="C58" s="7">
        <v>0</v>
      </c>
      <c r="D58" s="7">
        <v>0</v>
      </c>
      <c r="E58" s="7">
        <v>0</v>
      </c>
      <c r="F58" s="7">
        <v>0</v>
      </c>
      <c r="G58" s="7">
        <v>0</v>
      </c>
      <c r="H58" s="7">
        <v>0</v>
      </c>
      <c r="I58" s="7">
        <v>0</v>
      </c>
      <c r="J58" s="7">
        <v>0</v>
      </c>
      <c r="K58" s="7">
        <v>0</v>
      </c>
    </row>
    <row r="59" spans="2:11" x14ac:dyDescent="0.2">
      <c r="B59" s="3" t="s">
        <v>453</v>
      </c>
      <c r="C59" s="7">
        <v>0</v>
      </c>
      <c r="D59" s="7">
        <v>-1.0416666666666671E-2</v>
      </c>
      <c r="E59" s="7">
        <v>0</v>
      </c>
      <c r="F59" s="7">
        <v>-6.25E-2</v>
      </c>
      <c r="G59" s="7">
        <v>0</v>
      </c>
      <c r="H59" s="7">
        <v>6.25E-2</v>
      </c>
      <c r="I59" s="7">
        <v>0.19791666666666666</v>
      </c>
      <c r="J59" s="7">
        <v>-0.13541666666666669</v>
      </c>
      <c r="K59" s="7">
        <v>-0.125</v>
      </c>
    </row>
    <row r="60" spans="2:11" x14ac:dyDescent="0.2">
      <c r="B60" s="3" t="s">
        <v>361</v>
      </c>
      <c r="C60" s="7">
        <v>-7.2916666666666671E-2</v>
      </c>
      <c r="D60" s="7">
        <v>-7.2916666666666671E-2</v>
      </c>
      <c r="E60" s="7">
        <v>0</v>
      </c>
      <c r="F60" s="7">
        <v>2.0833333333333332E-2</v>
      </c>
      <c r="G60" s="7">
        <v>0</v>
      </c>
      <c r="H60" s="7">
        <v>0.15972222222222224</v>
      </c>
      <c r="I60" s="7">
        <v>0.3125</v>
      </c>
      <c r="J60" s="7">
        <v>-0.15277777777777776</v>
      </c>
      <c r="K60" s="7">
        <v>-6.9444444444444198E-3</v>
      </c>
    </row>
    <row r="61" spans="2:11" x14ac:dyDescent="0.2">
      <c r="B61" s="3" t="s">
        <v>880</v>
      </c>
      <c r="C61" s="7">
        <v>0</v>
      </c>
      <c r="D61" s="7">
        <v>0</v>
      </c>
      <c r="E61" s="7">
        <v>0</v>
      </c>
      <c r="F61" s="7">
        <v>0</v>
      </c>
      <c r="G61" s="7">
        <v>0</v>
      </c>
      <c r="H61" s="7">
        <v>0.11458333333333333</v>
      </c>
      <c r="I61" s="7">
        <v>0</v>
      </c>
      <c r="J61" s="7">
        <v>0.11458333333333333</v>
      </c>
      <c r="K61" s="7">
        <v>0.11458333333333333</v>
      </c>
    </row>
    <row r="62" spans="2:11" x14ac:dyDescent="0.2">
      <c r="B62" s="2" t="s">
        <v>11</v>
      </c>
      <c r="C62" s="7">
        <v>-0.70833333333333326</v>
      </c>
      <c r="D62" s="7">
        <v>-0.22916666666666669</v>
      </c>
      <c r="E62" s="7">
        <v>0.51388888888888884</v>
      </c>
      <c r="F62" s="7">
        <v>2.4305555555555556E-2</v>
      </c>
      <c r="G62" s="7">
        <v>-1.7361111111111112E-2</v>
      </c>
      <c r="H62" s="7">
        <v>3.520833333333333</v>
      </c>
      <c r="I62" s="7">
        <v>3.5</v>
      </c>
      <c r="J62" s="7">
        <v>2.0833333333333634E-2</v>
      </c>
      <c r="K62" s="7">
        <v>0.95833333333333326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4AF9-A490-0040-9EE8-2877A41408EF}">
  <sheetPr codeName="Tabelle2"/>
  <dimension ref="X70:AT107"/>
  <sheetViews>
    <sheetView showGridLines="0" topLeftCell="O56" zoomScale="75" zoomScaleNormal="75" workbookViewId="0">
      <selection activeCell="W89" sqref="W89"/>
    </sheetView>
    <sheetView workbookViewId="1"/>
  </sheetViews>
  <sheetFormatPr baseColWidth="10" defaultRowHeight="16" x14ac:dyDescent="0.2"/>
  <cols>
    <col min="24" max="24" width="17.1640625" customWidth="1"/>
    <col min="25" max="25" width="6.6640625" customWidth="1"/>
    <col min="26" max="26" width="8.1640625" customWidth="1"/>
    <col min="27" max="27" width="11.1640625" customWidth="1"/>
    <col min="28" max="28" width="11.5" customWidth="1"/>
    <col min="29" max="29" width="9.6640625" customWidth="1"/>
    <col min="30" max="30" width="14.1640625" bestFit="1" customWidth="1"/>
    <col min="31" max="32" width="14.1640625" customWidth="1"/>
    <col min="33" max="33" width="14.83203125" bestFit="1" customWidth="1"/>
    <col min="34" max="36" width="13.83203125" customWidth="1"/>
    <col min="37" max="40" width="13.33203125" customWidth="1"/>
    <col min="42" max="42" width="14" customWidth="1"/>
    <col min="43" max="43" width="15.1640625" style="6" customWidth="1"/>
  </cols>
  <sheetData>
    <row r="70" spans="24:46" ht="22" x14ac:dyDescent="0.3">
      <c r="X70" s="9"/>
      <c r="Y70" s="9"/>
      <c r="Z70" s="9"/>
      <c r="AA70" s="9"/>
      <c r="AB70" s="9"/>
      <c r="AC70" s="9"/>
      <c r="AD70" s="9"/>
      <c r="AE70" s="9"/>
      <c r="AF70" s="9"/>
      <c r="AG70" s="9"/>
      <c r="AH70" s="9"/>
      <c r="AI70" s="9"/>
      <c r="AJ70" s="9"/>
      <c r="AK70" s="9"/>
      <c r="AL70" s="9"/>
      <c r="AM70" s="9"/>
      <c r="AN70" s="9"/>
      <c r="AO70" s="9"/>
      <c r="AP70" s="9"/>
      <c r="AQ70" s="10"/>
      <c r="AR70" s="9"/>
      <c r="AS70" s="9"/>
      <c r="AT70" s="9"/>
    </row>
    <row r="71" spans="24:46" ht="22" x14ac:dyDescent="0.3">
      <c r="X71" s="9"/>
      <c r="Y71" s="9"/>
      <c r="Z71" s="9"/>
      <c r="AA71" s="9"/>
      <c r="AB71" s="9"/>
      <c r="AC71" s="9"/>
      <c r="AD71" s="9"/>
      <c r="AE71" s="9"/>
      <c r="AF71" s="9"/>
      <c r="AG71" s="9"/>
      <c r="AH71" s="9"/>
      <c r="AI71" s="9"/>
      <c r="AJ71" s="9"/>
      <c r="AK71" s="9"/>
      <c r="AL71" s="9"/>
      <c r="AM71" s="9"/>
      <c r="AN71" s="9"/>
      <c r="AO71" s="9"/>
      <c r="AP71" s="9"/>
      <c r="AQ71" s="10"/>
      <c r="AR71" s="9"/>
      <c r="AS71" s="9"/>
      <c r="AT71" s="9"/>
    </row>
    <row r="72" spans="24:46" ht="22" x14ac:dyDescent="0.3">
      <c r="X72" s="9"/>
      <c r="Y72" s="9"/>
      <c r="Z72" s="9"/>
      <c r="AA72" s="9"/>
      <c r="AB72" s="9"/>
      <c r="AC72" s="9"/>
      <c r="AD72" s="9"/>
      <c r="AE72" s="9"/>
      <c r="AF72" s="9"/>
      <c r="AG72" s="9"/>
      <c r="AH72" s="9"/>
      <c r="AI72" s="9"/>
      <c r="AJ72" s="9"/>
      <c r="AK72" s="9"/>
      <c r="AL72" s="9"/>
      <c r="AM72" s="9"/>
      <c r="AN72" s="9"/>
      <c r="AO72" s="9"/>
      <c r="AP72" s="9"/>
      <c r="AQ72" s="10"/>
      <c r="AR72" s="9"/>
      <c r="AS72" s="9"/>
      <c r="AT72" s="9"/>
    </row>
    <row r="73" spans="24:46" ht="22" x14ac:dyDescent="0.3">
      <c r="X73" s="9"/>
      <c r="Y73" s="9"/>
      <c r="Z73" s="9"/>
      <c r="AA73" s="9"/>
      <c r="AB73" s="9"/>
      <c r="AC73" s="9"/>
      <c r="AD73" s="9"/>
      <c r="AE73" s="9"/>
      <c r="AF73" s="9"/>
      <c r="AG73" s="9"/>
      <c r="AH73" s="9"/>
      <c r="AI73" s="9"/>
      <c r="AJ73" s="9"/>
      <c r="AK73" s="9"/>
      <c r="AL73" s="9"/>
      <c r="AM73" s="9"/>
      <c r="AN73" s="9"/>
      <c r="AO73" s="9"/>
      <c r="AP73" s="9"/>
      <c r="AQ73" s="10"/>
      <c r="AR73" s="9"/>
      <c r="AS73" s="9"/>
      <c r="AT73" s="9"/>
    </row>
    <row r="74" spans="24:46" ht="22" x14ac:dyDescent="0.3">
      <c r="X74" s="9"/>
      <c r="Y74" s="9"/>
      <c r="Z74" s="9"/>
      <c r="AA74" s="9"/>
      <c r="AB74" s="59" t="s">
        <v>1</v>
      </c>
      <c r="AC74" s="59"/>
      <c r="AD74" s="9"/>
      <c r="AE74" s="9"/>
      <c r="AF74" s="9"/>
      <c r="AG74" s="10" t="s">
        <v>32</v>
      </c>
      <c r="AH74" s="59" t="s">
        <v>31</v>
      </c>
      <c r="AI74" s="59"/>
      <c r="AJ74" s="59"/>
      <c r="AK74" s="10" t="s">
        <v>33</v>
      </c>
      <c r="AL74" s="10" t="s">
        <v>34</v>
      </c>
      <c r="AM74" s="10" t="s">
        <v>35</v>
      </c>
      <c r="AN74" s="10" t="s">
        <v>36</v>
      </c>
      <c r="AO74" s="9"/>
      <c r="AP74" s="9"/>
      <c r="AQ74" s="10"/>
      <c r="AR74" s="9"/>
      <c r="AS74" s="9"/>
      <c r="AT74" s="9"/>
    </row>
    <row r="75" spans="24:46" ht="22" x14ac:dyDescent="0.3">
      <c r="X75" s="9" t="s">
        <v>6</v>
      </c>
      <c r="Y75" s="9" t="s">
        <v>0</v>
      </c>
      <c r="Z75" s="9" t="s">
        <v>40</v>
      </c>
      <c r="AA75" s="9" t="s">
        <v>41</v>
      </c>
      <c r="AB75" s="9" t="s">
        <v>26</v>
      </c>
      <c r="AC75" s="9" t="s">
        <v>25</v>
      </c>
      <c r="AD75" s="9" t="s">
        <v>39</v>
      </c>
      <c r="AE75" s="9" t="s">
        <v>48</v>
      </c>
      <c r="AF75" s="10" t="s">
        <v>46</v>
      </c>
      <c r="AG75" s="9" t="s">
        <v>27</v>
      </c>
      <c r="AH75" s="9" t="s">
        <v>28</v>
      </c>
      <c r="AI75" s="9" t="s">
        <v>29</v>
      </c>
      <c r="AJ75" s="9" t="s">
        <v>30</v>
      </c>
      <c r="AK75" s="9" t="s">
        <v>15</v>
      </c>
      <c r="AL75" s="9" t="s">
        <v>12</v>
      </c>
      <c r="AM75" s="9" t="s">
        <v>37</v>
      </c>
      <c r="AN75" s="9" t="s">
        <v>38</v>
      </c>
      <c r="AO75" s="9" t="s">
        <v>19</v>
      </c>
      <c r="AP75" s="9" t="s">
        <v>45</v>
      </c>
      <c r="AQ75" s="10" t="s">
        <v>47</v>
      </c>
      <c r="AR75" s="9"/>
      <c r="AS75" s="9"/>
      <c r="AT75" s="9"/>
    </row>
    <row r="76" spans="24:46" ht="22" x14ac:dyDescent="0.3">
      <c r="X76" s="17" t="s">
        <v>4</v>
      </c>
      <c r="Y76" s="9">
        <v>9</v>
      </c>
      <c r="Z76" s="9">
        <v>3</v>
      </c>
      <c r="AA76" s="9" t="s">
        <v>44</v>
      </c>
      <c r="AB76" s="11">
        <v>8.3333333333333329E-2</v>
      </c>
      <c r="AC76" s="11">
        <v>4.1666666666666664E-2</v>
      </c>
      <c r="AD76" s="11">
        <f>SUM(AB76:AC76)</f>
        <v>0.125</v>
      </c>
      <c r="AE76" s="11"/>
      <c r="AF76" s="16" t="s">
        <v>4</v>
      </c>
      <c r="AG76" s="11">
        <v>4.1666666666666664E-2</v>
      </c>
      <c r="AH76" s="11">
        <v>7.2916666666666671E-2</v>
      </c>
      <c r="AI76" s="11">
        <v>3.125E-2</v>
      </c>
      <c r="AJ76" s="11">
        <v>3.125E-2</v>
      </c>
      <c r="AK76" s="11"/>
      <c r="AL76" s="11">
        <v>8.3333333333333329E-2</v>
      </c>
      <c r="AM76" s="11"/>
      <c r="AN76" s="11"/>
      <c r="AO76" s="11">
        <f t="shared" ref="AO76:AO84" si="0">SUM(AG76:AN76)</f>
        <v>0.26041666666666669</v>
      </c>
      <c r="AP76" s="11">
        <f>Tabelle81116[[#This Row],[Sum]]-SUM(Tabelle81116[[#This Row],[CAQ (VL)]:[CAQ (EX)]])</f>
        <v>0.15625</v>
      </c>
      <c r="AQ76" s="15" t="s">
        <v>4</v>
      </c>
      <c r="AR76" s="9"/>
      <c r="AS76" s="9"/>
      <c r="AT76" s="9"/>
    </row>
    <row r="77" spans="24:46" ht="22" x14ac:dyDescent="0.3">
      <c r="X77" s="17" t="s">
        <v>20</v>
      </c>
      <c r="Y77" s="9">
        <v>9</v>
      </c>
      <c r="Z77" s="9">
        <v>3</v>
      </c>
      <c r="AA77" s="9" t="s">
        <v>44</v>
      </c>
      <c r="AB77" s="11"/>
      <c r="AC77" s="11"/>
      <c r="AD77" s="11">
        <f>SUM(AB77:AC77)</f>
        <v>0</v>
      </c>
      <c r="AE77" s="11"/>
      <c r="AF77" s="16" t="s">
        <v>20</v>
      </c>
      <c r="AG77" s="11">
        <v>7.2916666666666671E-2</v>
      </c>
      <c r="AH77" s="11"/>
      <c r="AI77" s="11"/>
      <c r="AJ77" s="11">
        <v>5.2083333333333336E-2</v>
      </c>
      <c r="AK77" s="11"/>
      <c r="AL77" s="11"/>
      <c r="AM77" s="11"/>
      <c r="AN77" s="11"/>
      <c r="AO77" s="11">
        <f t="shared" si="0"/>
        <v>0.125</v>
      </c>
      <c r="AP77" s="11">
        <f>Tabelle81116[[#This Row],[Sum]]-SUM(Tabelle81116[[#This Row],[CAQ (VL)]:[CAQ (EX)]])</f>
        <v>0.125</v>
      </c>
      <c r="AQ77" s="15" t="s">
        <v>20</v>
      </c>
      <c r="AR77" s="9"/>
      <c r="AS77" s="9"/>
      <c r="AT77" s="9"/>
    </row>
    <row r="78" spans="24:46" ht="22" x14ac:dyDescent="0.3">
      <c r="X78" s="17" t="s">
        <v>21</v>
      </c>
      <c r="Y78" s="9">
        <v>5</v>
      </c>
      <c r="Z78" s="9">
        <v>2</v>
      </c>
      <c r="AA78" s="9" t="s">
        <v>42</v>
      </c>
      <c r="AB78" s="11">
        <v>8.3333333333333329E-2</v>
      </c>
      <c r="AC78" s="11"/>
      <c r="AD78" s="11">
        <f t="shared" ref="AD78:AD84" si="1">SUM(AB78:AC78)</f>
        <v>8.3333333333333329E-2</v>
      </c>
      <c r="AE78" s="11"/>
      <c r="AF78" s="16" t="s">
        <v>21</v>
      </c>
      <c r="AG78" s="11">
        <v>1.3888888888888888E-2</v>
      </c>
      <c r="AH78" s="11">
        <v>7.2916666666666671E-2</v>
      </c>
      <c r="AI78" s="11"/>
      <c r="AJ78" s="11"/>
      <c r="AK78" s="11"/>
      <c r="AL78" s="11"/>
      <c r="AM78" s="11"/>
      <c r="AN78" s="11"/>
      <c r="AO78" s="11">
        <f t="shared" si="0"/>
        <v>8.6805555555555552E-2</v>
      </c>
      <c r="AP78" s="11">
        <f>Tabelle81116[[#This Row],[Sum]]-SUM(Tabelle81116[[#This Row],[CAQ (VL)]:[CAQ (EX)]])</f>
        <v>1.3888888888888881E-2</v>
      </c>
      <c r="AQ78" s="15" t="s">
        <v>21</v>
      </c>
      <c r="AR78" s="9"/>
      <c r="AS78" s="9"/>
      <c r="AT78" s="9"/>
    </row>
    <row r="79" spans="24:46" ht="22" x14ac:dyDescent="0.3">
      <c r="X79" s="17" t="s">
        <v>22</v>
      </c>
      <c r="Y79" s="9">
        <v>4</v>
      </c>
      <c r="Z79" s="9">
        <v>1</v>
      </c>
      <c r="AA79" s="9" t="s">
        <v>43</v>
      </c>
      <c r="AB79" s="11"/>
      <c r="AC79" s="11"/>
      <c r="AD79" s="11">
        <f t="shared" si="1"/>
        <v>0</v>
      </c>
      <c r="AE79" s="11"/>
      <c r="AF79" s="16" t="s">
        <v>22</v>
      </c>
      <c r="AG79" s="11">
        <v>4.1666666666666664E-2</v>
      </c>
      <c r="AH79" s="11"/>
      <c r="AI79" s="11"/>
      <c r="AJ79" s="11">
        <v>4.1666666666666664E-2</v>
      </c>
      <c r="AK79" s="11"/>
      <c r="AL79" s="11"/>
      <c r="AM79" s="11"/>
      <c r="AN79" s="11"/>
      <c r="AO79" s="11">
        <f t="shared" si="0"/>
        <v>8.3333333333333329E-2</v>
      </c>
      <c r="AP79" s="11">
        <f>Tabelle81116[[#This Row],[Sum]]-SUM(Tabelle81116[[#This Row],[CAQ (VL)]:[CAQ (EX)]])</f>
        <v>8.3333333333333329E-2</v>
      </c>
      <c r="AQ79" s="15" t="s">
        <v>22</v>
      </c>
      <c r="AR79" s="9"/>
      <c r="AS79" s="9"/>
      <c r="AT79" s="9"/>
    </row>
    <row r="80" spans="24:46" ht="22" x14ac:dyDescent="0.3">
      <c r="X80" s="17" t="s">
        <v>18</v>
      </c>
      <c r="Y80" s="9">
        <v>4</v>
      </c>
      <c r="Z80" s="9">
        <v>1</v>
      </c>
      <c r="AA80" s="9" t="s">
        <v>43</v>
      </c>
      <c r="AB80" s="11">
        <v>8.3333333333333329E-2</v>
      </c>
      <c r="AC80" s="11"/>
      <c r="AD80" s="11">
        <f t="shared" si="1"/>
        <v>8.3333333333333329E-2</v>
      </c>
      <c r="AE80" s="11"/>
      <c r="AF80" s="16" t="s">
        <v>18</v>
      </c>
      <c r="AG80" s="11">
        <v>5.2083333333333336E-2</v>
      </c>
      <c r="AH80" s="11">
        <v>7.2916666666666671E-2</v>
      </c>
      <c r="AI80" s="11"/>
      <c r="AJ80" s="11">
        <v>4.1666666666666664E-2</v>
      </c>
      <c r="AK80" s="11"/>
      <c r="AL80" s="11"/>
      <c r="AM80" s="11">
        <v>1.7361111111111112E-2</v>
      </c>
      <c r="AN80" s="11">
        <v>3.125E-2</v>
      </c>
      <c r="AO80" s="11">
        <f t="shared" si="0"/>
        <v>0.21527777777777776</v>
      </c>
      <c r="AP80" s="11">
        <f>Tabelle81116[[#This Row],[Sum]]-SUM(Tabelle81116[[#This Row],[CAQ (VL)]:[CAQ (EX)]])</f>
        <v>0.1423611111111111</v>
      </c>
      <c r="AQ80" s="15" t="s">
        <v>18</v>
      </c>
      <c r="AR80" s="9"/>
      <c r="AS80" s="9"/>
      <c r="AT80" s="9"/>
    </row>
    <row r="81" spans="24:46" ht="22" x14ac:dyDescent="0.3">
      <c r="X81" s="17" t="s">
        <v>23</v>
      </c>
      <c r="Y81" s="9">
        <v>9</v>
      </c>
      <c r="Z81" s="9">
        <v>3</v>
      </c>
      <c r="AA81" s="9" t="s">
        <v>44</v>
      </c>
      <c r="AB81" s="11"/>
      <c r="AC81" s="11"/>
      <c r="AD81" s="11">
        <f t="shared" si="1"/>
        <v>0</v>
      </c>
      <c r="AE81" s="11"/>
      <c r="AF81" s="16" t="s">
        <v>23</v>
      </c>
      <c r="AG81" s="11">
        <v>6.25E-2</v>
      </c>
      <c r="AH81" s="11"/>
      <c r="AI81" s="11"/>
      <c r="AJ81" s="11">
        <v>6.25E-2</v>
      </c>
      <c r="AK81" s="11"/>
      <c r="AL81" s="11"/>
      <c r="AM81" s="11"/>
      <c r="AN81" s="11"/>
      <c r="AO81" s="11">
        <f t="shared" si="0"/>
        <v>0.125</v>
      </c>
      <c r="AP81" s="11">
        <f>Tabelle81116[[#This Row],[Sum]]-SUM(Tabelle81116[[#This Row],[CAQ (VL)]:[CAQ (EX)]])</f>
        <v>0.125</v>
      </c>
      <c r="AQ81" s="15" t="s">
        <v>23</v>
      </c>
      <c r="AR81" s="9"/>
      <c r="AS81" s="9"/>
      <c r="AT81" s="9"/>
    </row>
    <row r="82" spans="24:46" ht="22" x14ac:dyDescent="0.3">
      <c r="X82" s="17" t="s">
        <v>2</v>
      </c>
      <c r="Y82" s="9">
        <v>8</v>
      </c>
      <c r="Z82" s="9">
        <v>2</v>
      </c>
      <c r="AA82" s="9" t="s">
        <v>42</v>
      </c>
      <c r="AB82" s="11"/>
      <c r="AC82" s="12">
        <v>8.3333333333333329E-2</v>
      </c>
      <c r="AD82" s="11">
        <f t="shared" si="1"/>
        <v>8.3333333333333329E-2</v>
      </c>
      <c r="AE82" s="11"/>
      <c r="AF82" s="16" t="s">
        <v>2</v>
      </c>
      <c r="AG82" s="11">
        <v>2.7777777777777776E-2</v>
      </c>
      <c r="AH82" s="11"/>
      <c r="AI82" s="11">
        <v>7.2916666666666671E-2</v>
      </c>
      <c r="AJ82" s="11">
        <v>5.5555555555555552E-2</v>
      </c>
      <c r="AK82" s="11"/>
      <c r="AL82" s="11">
        <v>6.25E-2</v>
      </c>
      <c r="AM82" s="11"/>
      <c r="AN82" s="11"/>
      <c r="AO82" s="11">
        <f t="shared" si="0"/>
        <v>0.21875</v>
      </c>
      <c r="AP82" s="11">
        <f>Tabelle81116[[#This Row],[Sum]]-SUM(Tabelle81116[[#This Row],[CAQ (VL)]:[CAQ (EX)]])</f>
        <v>0.14583333333333331</v>
      </c>
      <c r="AQ82" s="15" t="s">
        <v>2</v>
      </c>
      <c r="AR82" s="9"/>
      <c r="AS82" s="9"/>
      <c r="AT82" s="9"/>
    </row>
    <row r="83" spans="24:46" ht="22" x14ac:dyDescent="0.3">
      <c r="X83" s="17" t="s">
        <v>3</v>
      </c>
      <c r="Y83" s="9">
        <v>8</v>
      </c>
      <c r="Z83" s="9">
        <v>2</v>
      </c>
      <c r="AA83" s="9" t="s">
        <v>42</v>
      </c>
      <c r="AB83" s="11">
        <v>8.3333333333333329E-2</v>
      </c>
      <c r="AC83" s="12">
        <v>8.3333333333333329E-2</v>
      </c>
      <c r="AD83" s="11">
        <f t="shared" si="1"/>
        <v>0.16666666666666666</v>
      </c>
      <c r="AE83" s="11"/>
      <c r="AF83" s="16" t="s">
        <v>3</v>
      </c>
      <c r="AG83" s="11">
        <v>3.4722222222222224E-2</v>
      </c>
      <c r="AH83" s="11">
        <v>7.2916666666666671E-2</v>
      </c>
      <c r="AI83" s="11">
        <v>7.2916666666666671E-2</v>
      </c>
      <c r="AJ83" s="11">
        <v>4.1666666666666664E-2</v>
      </c>
      <c r="AK83" s="11"/>
      <c r="AL83" s="11">
        <v>8.3333333333333329E-2</v>
      </c>
      <c r="AM83" s="11"/>
      <c r="AN83" s="11"/>
      <c r="AO83" s="11">
        <f t="shared" si="0"/>
        <v>0.30555555555555558</v>
      </c>
      <c r="AP83" s="11">
        <f>Tabelle81116[[#This Row],[Sum]]-SUM(Tabelle81116[[#This Row],[CAQ (VL)]:[CAQ (EX)]])</f>
        <v>0.15972222222222224</v>
      </c>
      <c r="AQ83" s="15" t="s">
        <v>3</v>
      </c>
      <c r="AR83" s="9"/>
      <c r="AS83" s="9"/>
      <c r="AT83" s="9"/>
    </row>
    <row r="84" spans="24:46" ht="22" x14ac:dyDescent="0.3">
      <c r="X84" s="17" t="s">
        <v>24</v>
      </c>
      <c r="Y84" s="9">
        <v>4</v>
      </c>
      <c r="Z84" s="9"/>
      <c r="AA84" s="9" t="s">
        <v>44</v>
      </c>
      <c r="AB84" s="12">
        <v>8.3333333333333329E-2</v>
      </c>
      <c r="AC84" s="11">
        <v>4.1666666666666664E-2</v>
      </c>
      <c r="AD84" s="11">
        <f t="shared" si="1"/>
        <v>0.125</v>
      </c>
      <c r="AE84" s="11"/>
      <c r="AF84" s="16" t="s">
        <v>24</v>
      </c>
      <c r="AG84" s="11">
        <v>1.7361111111111112E-2</v>
      </c>
      <c r="AH84" s="11">
        <v>7.2916666666666671E-2</v>
      </c>
      <c r="AI84" s="11">
        <v>3.125E-2</v>
      </c>
      <c r="AJ84" s="11"/>
      <c r="AK84" s="11"/>
      <c r="AL84" s="13">
        <v>6.25E-2</v>
      </c>
      <c r="AM84" s="11"/>
      <c r="AN84" s="11"/>
      <c r="AO84" s="11">
        <f t="shared" si="0"/>
        <v>0.18402777777777779</v>
      </c>
      <c r="AP84" s="11">
        <f>Tabelle81116[[#This Row],[Sum]]-SUM(Tabelle81116[[#This Row],[CAQ (VL)]:[CAQ (EX)]])</f>
        <v>7.9861111111111119E-2</v>
      </c>
      <c r="AQ84" s="15" t="s">
        <v>24</v>
      </c>
      <c r="AR84" s="9"/>
      <c r="AS84" s="9"/>
      <c r="AT84" s="9"/>
    </row>
    <row r="85" spans="24:46" ht="22" x14ac:dyDescent="0.3">
      <c r="X85" s="9"/>
      <c r="Y85" s="9">
        <f>SUM(Y76:Y84)</f>
        <v>60</v>
      </c>
      <c r="Z85" s="9"/>
      <c r="AA85" s="9"/>
      <c r="AB85" s="11">
        <f t="shared" ref="AB85:AO85" si="2">SUBTOTAL(109,AB76:AB84)</f>
        <v>0.41666666666666663</v>
      </c>
      <c r="AC85" s="11">
        <f t="shared" si="2"/>
        <v>0.24999999999999997</v>
      </c>
      <c r="AD85" s="11">
        <f t="shared" si="2"/>
        <v>0.66666666666666663</v>
      </c>
      <c r="AE85" s="11"/>
      <c r="AF85" s="10"/>
      <c r="AG85" s="11">
        <f t="shared" si="2"/>
        <v>0.36458333333333331</v>
      </c>
      <c r="AH85" s="11">
        <f t="shared" si="2"/>
        <v>0.36458333333333337</v>
      </c>
      <c r="AI85" s="11">
        <f t="shared" si="2"/>
        <v>0.20833333333333334</v>
      </c>
      <c r="AJ85" s="11">
        <f t="shared" si="2"/>
        <v>0.3263888888888889</v>
      </c>
      <c r="AK85" s="11">
        <f t="shared" si="2"/>
        <v>0</v>
      </c>
      <c r="AL85" s="11">
        <f t="shared" si="2"/>
        <v>0.29166666666666663</v>
      </c>
      <c r="AM85" s="11">
        <f t="shared" si="2"/>
        <v>1.7361111111111112E-2</v>
      </c>
      <c r="AN85" s="11">
        <f t="shared" si="2"/>
        <v>3.125E-2</v>
      </c>
      <c r="AO85" s="14">
        <f t="shared" si="2"/>
        <v>1.604166666666667</v>
      </c>
      <c r="AP85" s="14">
        <f>SUM(AP76:AP84)</f>
        <v>1.0312499999999998</v>
      </c>
      <c r="AQ85" s="10"/>
      <c r="AR85" s="9"/>
      <c r="AS85" s="9"/>
      <c r="AT85" s="9"/>
    </row>
    <row r="86" spans="24:46" ht="22" x14ac:dyDescent="0.3">
      <c r="X86" s="9"/>
      <c r="Y86" s="9"/>
      <c r="Z86" s="9"/>
      <c r="AA86" s="9"/>
      <c r="AB86" s="9"/>
      <c r="AC86" s="9"/>
      <c r="AD86" s="9"/>
      <c r="AE86" s="9"/>
      <c r="AF86" s="9"/>
      <c r="AG86" s="9"/>
      <c r="AH86" s="9"/>
      <c r="AI86" s="9"/>
      <c r="AJ86" s="9"/>
      <c r="AK86" s="9"/>
      <c r="AL86" s="9"/>
      <c r="AM86" s="9"/>
      <c r="AN86" s="9"/>
      <c r="AO86" s="9"/>
      <c r="AP86" s="9"/>
      <c r="AQ86" s="10"/>
      <c r="AR86" s="9"/>
      <c r="AS86" s="9"/>
      <c r="AT86" s="9"/>
    </row>
    <row r="87" spans="24:46" ht="22" x14ac:dyDescent="0.3">
      <c r="X87" s="9"/>
      <c r="Y87" s="9"/>
      <c r="Z87" s="9"/>
      <c r="AA87" s="9"/>
      <c r="AB87" s="9"/>
      <c r="AC87" s="9"/>
      <c r="AD87" s="9"/>
      <c r="AE87" s="9"/>
      <c r="AF87" s="9"/>
      <c r="AG87" s="9"/>
      <c r="AH87" s="9"/>
      <c r="AI87" s="9"/>
      <c r="AJ87" s="9"/>
      <c r="AK87" s="9"/>
      <c r="AL87" s="9"/>
      <c r="AM87" s="9"/>
      <c r="AN87" s="9"/>
      <c r="AO87" s="9"/>
      <c r="AP87" s="9"/>
      <c r="AQ87" s="10"/>
      <c r="AR87" s="9"/>
      <c r="AS87" s="9"/>
      <c r="AT87" s="9"/>
    </row>
    <row r="88" spans="24:46" ht="22" x14ac:dyDescent="0.3">
      <c r="X88" s="9"/>
      <c r="Y88" s="9"/>
      <c r="Z88" s="9"/>
      <c r="AA88" s="9"/>
      <c r="AB88" s="9"/>
      <c r="AC88" s="9"/>
      <c r="AD88" s="9"/>
      <c r="AE88" s="9"/>
      <c r="AF88" s="9"/>
      <c r="AG88" s="9"/>
      <c r="AH88" s="9"/>
      <c r="AI88" s="9"/>
      <c r="AJ88" s="9"/>
      <c r="AK88" s="9"/>
      <c r="AL88" s="9"/>
      <c r="AM88" s="9"/>
      <c r="AN88" s="9"/>
      <c r="AO88" s="9"/>
      <c r="AP88" s="9"/>
      <c r="AQ88" s="10"/>
      <c r="AR88" s="9"/>
      <c r="AS88" s="9"/>
      <c r="AT88" s="9"/>
    </row>
    <row r="89" spans="24:46" ht="22" x14ac:dyDescent="0.3">
      <c r="X89" s="9"/>
      <c r="Y89" s="9"/>
      <c r="Z89" s="9"/>
      <c r="AA89" s="9"/>
      <c r="AB89" s="9"/>
      <c r="AC89" s="9"/>
      <c r="AD89" s="9"/>
      <c r="AE89" s="9"/>
      <c r="AF89" s="9"/>
      <c r="AG89" s="9"/>
      <c r="AH89" s="9"/>
      <c r="AI89" s="9"/>
      <c r="AJ89" s="9"/>
      <c r="AK89" s="9"/>
      <c r="AL89" s="9"/>
      <c r="AM89" s="9"/>
      <c r="AN89" s="9"/>
      <c r="AO89" s="9"/>
      <c r="AP89" s="9"/>
      <c r="AQ89" s="10"/>
      <c r="AR89" s="9"/>
      <c r="AS89" s="9"/>
      <c r="AT89" s="9"/>
    </row>
    <row r="93" spans="24:46" ht="19" x14ac:dyDescent="0.25">
      <c r="AB93" s="8"/>
      <c r="AG93" t="s">
        <v>19</v>
      </c>
      <c r="AH93" t="s">
        <v>50</v>
      </c>
    </row>
    <row r="94" spans="24:46" x14ac:dyDescent="0.2">
      <c r="AF94" t="s">
        <v>4</v>
      </c>
      <c r="AG94" s="7"/>
    </row>
    <row r="95" spans="24:46" x14ac:dyDescent="0.2">
      <c r="AF95" t="s">
        <v>20</v>
      </c>
      <c r="AG95" s="7"/>
    </row>
    <row r="96" spans="24:46" x14ac:dyDescent="0.2">
      <c r="AF96" t="s">
        <v>21</v>
      </c>
      <c r="AG96" s="7"/>
    </row>
    <row r="97" spans="32:33" x14ac:dyDescent="0.2">
      <c r="AF97" t="s">
        <v>22</v>
      </c>
      <c r="AG97" s="7"/>
    </row>
    <row r="98" spans="32:33" ht="19" x14ac:dyDescent="0.25">
      <c r="AF98" t="s">
        <v>18</v>
      </c>
      <c r="AG98" s="18">
        <f>SUMIF(tbl_SEIN[Subject],"=GeoPDE",tbl_SEIN[Time])</f>
        <v>0</v>
      </c>
    </row>
    <row r="99" spans="32:33" x14ac:dyDescent="0.2">
      <c r="AF99" t="s">
        <v>23</v>
      </c>
      <c r="AG99" s="7"/>
    </row>
    <row r="100" spans="32:33" x14ac:dyDescent="0.2">
      <c r="AF100" t="s">
        <v>2</v>
      </c>
      <c r="AG100" s="7"/>
    </row>
    <row r="101" spans="32:33" x14ac:dyDescent="0.2">
      <c r="AF101" t="s">
        <v>3</v>
      </c>
      <c r="AG101" s="7"/>
    </row>
    <row r="102" spans="32:33" x14ac:dyDescent="0.2">
      <c r="AF102" t="s">
        <v>24</v>
      </c>
      <c r="AG102" s="7"/>
    </row>
    <row r="107" spans="32:33" x14ac:dyDescent="0.2">
      <c r="AF107" t="s">
        <v>49</v>
      </c>
    </row>
  </sheetData>
  <mergeCells count="2">
    <mergeCell ref="AB74:AC74"/>
    <mergeCell ref="AH74:AJ74"/>
  </mergeCells>
  <pageMargins left="0.7" right="0.7" top="0.78740157499999996" bottom="0.78740157499999996" header="0.3" footer="0.3"/>
  <pageSetup paperSize="9" orientation="portrait" horizontalDpi="0" verticalDpi="0"/>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4B31-3CC8-414F-861D-683097ECF240}">
  <dimension ref="C10:I143"/>
  <sheetViews>
    <sheetView topLeftCell="A4" workbookViewId="0">
      <selection activeCell="C10" sqref="C10:C22"/>
    </sheetView>
    <sheetView workbookViewId="1"/>
  </sheetViews>
  <sheetFormatPr baseColWidth="10" defaultRowHeight="16" x14ac:dyDescent="0.2"/>
  <cols>
    <col min="4" max="6" width="24" customWidth="1"/>
    <col min="7" max="7" width="27.5" customWidth="1"/>
    <col min="8" max="8" width="26.1640625" customWidth="1"/>
    <col min="9" max="9" width="25" customWidth="1"/>
  </cols>
  <sheetData>
    <row r="10" spans="3:9" x14ac:dyDescent="0.2">
      <c r="C10" t="s">
        <v>152</v>
      </c>
      <c r="D10" t="str" cm="1">
        <f t="array" ref="D10:D19">_xlfn._xlws.SORT(
    _xlfn._xlws.FILTER(
        _xlfn.UNIQUE(tbl_TOPIC[Subject]),
        _xlfn.UNIQUE(tbl_TOPIC[Subject])&lt;&gt;0
    )
)</f>
        <v>A</v>
      </c>
      <c r="E10" t="str" cm="1">
        <f t="array" ref="E10:E89">_xlfn._xlws.SORT(_xlfn._xlws.FILTER(_xlfn.UNIQUE(tbl_SEIN[NoteID]), _xlfn.UNIQUE(tbl_SEIN[NoteID])&lt;&gt;""))</f>
        <v>A-01</v>
      </c>
      <c r="F10" t="str" cm="1">
        <f t="array" ref="F10:F143">_xlfn._xlws.SORT(_xlfn._xlws.FILTER(_xlfn.UNIQUE(tbl_TOPIC[Topic]), (_xlfn.UNIQUE(tbl_TOPIC[Topic])&lt;&gt;"")*(NOT(ISBLANK(_xlfn.UNIQUE(tbl_TOPIC[Topic]))))))</f>
        <v>2-Körper und effektives 1-Körper Problem</v>
      </c>
      <c r="G10" t="str" cm="1">
        <f t="array" ref="G10:G143">_xlfn._xlws.SORT(_xlfn._xlws.FILTER(_xlfn.UNIQUE(tbl_TOPIC[Topic]), _xlfn.UNIQUE(tbl_TOPIC[Topic])&lt;&gt;0))</f>
        <v>2-Körper und effektives 1-Körper Problem</v>
      </c>
      <c r="H10" t="str" cm="1">
        <f t="array" ref="H10:H143">_xlfn._xlws.FILTER(tbl_TOPIC[Topic], tbl_TOPIC[Phase]=1)</f>
        <v>Tensorprodukt von abelschen Gruppen (HmK)</v>
      </c>
      <c r="I10" t="e" cm="1" vm="1">
        <f t="array" ref="I10">_xlfn._xlws.FILTER(tbl_TOPIC[Topic], tbl_TOPIC[Phase]=2)</f>
        <v>#VALUE!</v>
      </c>
    </row>
    <row r="11" spans="3:9" x14ac:dyDescent="0.2">
      <c r="C11" t="s">
        <v>151</v>
      </c>
      <c r="D11" t="str">
        <v>CM</v>
      </c>
      <c r="E11" t="str">
        <v>A-02</v>
      </c>
      <c r="F11" t="str">
        <v>Abelsche Kategorien</v>
      </c>
      <c r="G11" t="str">
        <v>Abelsche Kategorien</v>
      </c>
      <c r="H11" t="str">
        <v>Torsionsprodukt von abelschen Gruppen (HmK)</v>
      </c>
    </row>
    <row r="12" spans="3:9" x14ac:dyDescent="0.2">
      <c r="C12" t="s">
        <v>150</v>
      </c>
      <c r="D12" t="str">
        <v>EFT1</v>
      </c>
      <c r="E12" t="str">
        <v>A-03</v>
      </c>
      <c r="F12" t="str">
        <v>Absolute und Relative Homologie</v>
      </c>
      <c r="G12" t="str">
        <v>Absolute und Relative Homologie</v>
      </c>
      <c r="H12" t="str">
        <v>Homologisches Kreuzprodukt (HA)</v>
      </c>
    </row>
    <row r="13" spans="3:9" x14ac:dyDescent="0.2">
      <c r="C13" t="s">
        <v>149</v>
      </c>
      <c r="D13" t="str">
        <v>GPDE</v>
      </c>
      <c r="E13" t="str">
        <v>A-04</v>
      </c>
      <c r="F13" t="str">
        <v>Algebra</v>
      </c>
      <c r="G13" t="str">
        <v>Algebra</v>
      </c>
      <c r="H13" t="str">
        <v>Homologische Algebra</v>
      </c>
    </row>
    <row r="14" spans="3:9" x14ac:dyDescent="0.2">
      <c r="C14" t="s">
        <v>148</v>
      </c>
      <c r="D14" t="str">
        <v>HA</v>
      </c>
      <c r="E14" t="str">
        <v>CM-01</v>
      </c>
      <c r="F14" t="str">
        <v>An- und Abmontieren von Fasern</v>
      </c>
      <c r="G14" t="str">
        <v>An- und Abmontieren von Fasern</v>
      </c>
      <c r="H14" t="str">
        <v>Kategorien und Funktoren in HA</v>
      </c>
    </row>
    <row r="15" spans="3:9" x14ac:dyDescent="0.2">
      <c r="C15" t="s">
        <v>147</v>
      </c>
      <c r="D15" t="str">
        <v>QM</v>
      </c>
      <c r="E15" t="str">
        <v>CM-02</v>
      </c>
      <c r="F15" t="str">
        <v>Basics der SHT</v>
      </c>
      <c r="G15" t="str">
        <v>Basics der SHT</v>
      </c>
      <c r="H15" t="str">
        <v>Moduln in HA</v>
      </c>
    </row>
    <row r="16" spans="3:9" x14ac:dyDescent="0.2">
      <c r="C16" t="s">
        <v>153</v>
      </c>
      <c r="D16" t="str">
        <v>QMS</v>
      </c>
      <c r="E16" t="str">
        <v>CM-03</v>
      </c>
      <c r="F16" t="str">
        <v>Basics Gruppentheorie für QMS</v>
      </c>
      <c r="G16" t="str">
        <v>Basics Gruppentheorie für QMS</v>
      </c>
      <c r="H16" t="str">
        <v>Tensorprodukt in HA</v>
      </c>
    </row>
    <row r="17" spans="3:8" x14ac:dyDescent="0.2">
      <c r="C17" t="s">
        <v>146</v>
      </c>
      <c r="D17" t="str">
        <v>RG</v>
      </c>
      <c r="E17" t="str">
        <v>CM-04</v>
      </c>
      <c r="F17" t="str">
        <v>Berechnung des Wirkungsquerschnitts für elastische Streuung am Zentralpotential</v>
      </c>
      <c r="G17" t="str">
        <v>Berechnung des Wirkungsquerschnitts für elastische Streuung am Zentralpotential</v>
      </c>
      <c r="H17" t="str">
        <v>Abelsche Kategorien</v>
      </c>
    </row>
    <row r="18" spans="3:8" x14ac:dyDescent="0.2">
      <c r="C18" t="s">
        <v>179</v>
      </c>
      <c r="D18" t="str">
        <v>TOP1</v>
      </c>
      <c r="E18" t="str">
        <v>CM-05</v>
      </c>
      <c r="F18" t="str">
        <v>Beugung und Inferenz</v>
      </c>
      <c r="G18" t="str">
        <v>Beugung und Inferenz</v>
      </c>
      <c r="H18" t="str">
        <v>Homologie Funktor in HA</v>
      </c>
    </row>
    <row r="19" spans="3:8" x14ac:dyDescent="0.2">
      <c r="C19" t="s">
        <v>271</v>
      </c>
      <c r="D19" t="str">
        <v>TOP2</v>
      </c>
      <c r="E19" t="str">
        <v>CM-06</v>
      </c>
      <c r="F19" t="str">
        <v>Bewegungsgleichung für Erwartungswert</v>
      </c>
      <c r="G19" t="str">
        <v>Bewegungsgleichung für Erwartungswert</v>
      </c>
      <c r="H19" t="str">
        <v>Komplexe in HA</v>
      </c>
    </row>
    <row r="20" spans="3:8" x14ac:dyDescent="0.2">
      <c r="C20" t="s">
        <v>380</v>
      </c>
      <c r="E20" t="str">
        <v>EFT1-01</v>
      </c>
      <c r="F20" t="str">
        <v>CM_ÜB_03: Kinetische Energie in Lagrange, Rollpendel, Trafo von Kart. Koord, Alembert</v>
      </c>
      <c r="G20" t="str">
        <v>CM_ÜB_03: Kinetische Energie in Lagrange, Rollpendel, Trafo von Kart. Koord, Alembert</v>
      </c>
      <c r="H20" t="str">
        <v>Hilftslemma für Diagramme der HA</v>
      </c>
    </row>
    <row r="21" spans="3:8" x14ac:dyDescent="0.2">
      <c r="C21" t="s">
        <v>492</v>
      </c>
      <c r="E21" t="str">
        <v>EFT1-02</v>
      </c>
      <c r="F21" t="str">
        <v>CM-Ex</v>
      </c>
      <c r="G21" t="str">
        <v>CM-Ex</v>
      </c>
      <c r="H21" t="str">
        <v>Exaktheit von Sequenzen</v>
      </c>
    </row>
    <row r="22" spans="3:8" x14ac:dyDescent="0.2">
      <c r="C22" t="s">
        <v>565</v>
      </c>
      <c r="E22" t="str">
        <v>GPDE-01</v>
      </c>
      <c r="F22" t="str">
        <v>CM-ÜB</v>
      </c>
      <c r="G22" t="str">
        <v>CM-ÜB</v>
      </c>
      <c r="H22" t="str">
        <v>Splitting</v>
      </c>
    </row>
    <row r="23" spans="3:8" x14ac:dyDescent="0.2">
      <c r="E23" t="str">
        <v>GPDE-02</v>
      </c>
      <c r="F23" t="str">
        <v>CM-ÜB-01: Streutheorie</v>
      </c>
      <c r="G23" t="str">
        <v>CM-ÜB-01: Streutheorie</v>
      </c>
      <c r="H23" t="str">
        <v>Kategorische Formulierung der Homologietheorie</v>
      </c>
    </row>
    <row r="24" spans="3:8" x14ac:dyDescent="0.2">
      <c r="E24" t="str">
        <v>GPDE-03</v>
      </c>
      <c r="F24" t="str">
        <v>CM-ÜB-02: Runge-Lenz-Vektor, 1KP und Zwangsbedingungen</v>
      </c>
      <c r="G24" t="str">
        <v>CM-ÜB-02: Runge-Lenz-Vektor, 1KP und Zwangsbedingungen</v>
      </c>
      <c r="H24" t="str">
        <v>Homologie mit Koeffizienten</v>
      </c>
    </row>
    <row r="25" spans="3:8" x14ac:dyDescent="0.2">
      <c r="E25" t="str">
        <v>GPDE-04</v>
      </c>
      <c r="F25" t="str">
        <v>Definitionen und Beispiele</v>
      </c>
      <c r="G25" t="str">
        <v>Definitionen und Beispiele</v>
      </c>
      <c r="H25" t="str">
        <v>Singuläre Homologie (SHT)</v>
      </c>
    </row>
    <row r="26" spans="3:8" x14ac:dyDescent="0.2">
      <c r="E26" t="str">
        <v>GPDE-05</v>
      </c>
      <c r="F26" t="str">
        <v>Differentialoperatoren</v>
      </c>
      <c r="G26" t="str">
        <v>Differentialoperatoren</v>
      </c>
      <c r="H26" t="str">
        <v>Basics der SHT</v>
      </c>
    </row>
    <row r="27" spans="3:8" x14ac:dyDescent="0.2">
      <c r="E27" t="str">
        <v>GPDE-06</v>
      </c>
      <c r="F27" t="str">
        <v>Differenzierbare Mannigfaltigkeiten</v>
      </c>
      <c r="G27" t="str">
        <v>Differenzierbare Mannigfaltigkeiten</v>
      </c>
      <c r="H27" t="str">
        <v>Kategorische Formulierung der SHT</v>
      </c>
    </row>
    <row r="28" spans="3:8" x14ac:dyDescent="0.2">
      <c r="E28" t="str">
        <v>GPDE-07</v>
      </c>
      <c r="F28" t="str">
        <v>Ehrenfest Theorem</v>
      </c>
      <c r="G28" t="str">
        <v>Ehrenfest Theorem</v>
      </c>
      <c r="H28" t="str">
        <v>Unterteilung  und Ausschneidung in SHT</v>
      </c>
    </row>
    <row r="29" spans="3:8" x14ac:dyDescent="0.2">
      <c r="E29" t="str">
        <v>GPDE-08</v>
      </c>
      <c r="F29" t="str">
        <v>Eichfeldtheorie</v>
      </c>
      <c r="G29" t="str">
        <v>Eichfeldtheorie</v>
      </c>
      <c r="H29" t="str">
        <v>Mayer-Vietoris Sequenz in SHT</v>
      </c>
    </row>
    <row r="30" spans="3:8" x14ac:dyDescent="0.2">
      <c r="E30" t="str">
        <v>GPDE-09</v>
      </c>
      <c r="F30" t="str">
        <v>Eindimensionale Potentialstufe</v>
      </c>
      <c r="G30" t="str">
        <v>Eindimensionale Potentialstufe</v>
      </c>
      <c r="H30" t="str">
        <v>Kreuzprodukt in SHT</v>
      </c>
    </row>
    <row r="31" spans="3:8" x14ac:dyDescent="0.2">
      <c r="E31" t="str">
        <v>GPDE-10</v>
      </c>
      <c r="F31" t="str">
        <v>Eindimensionale Systeme</v>
      </c>
      <c r="G31" t="str">
        <v>Eindimensionale Systeme</v>
      </c>
      <c r="H31" t="str">
        <v>Kreuzprodukt auf Kettengruppenkomplexe in SHT</v>
      </c>
    </row>
    <row r="32" spans="3:8" x14ac:dyDescent="0.2">
      <c r="E32" t="str">
        <v>GPDE-11</v>
      </c>
      <c r="F32" t="str">
        <v>Einfache und Semi-Einfache Lie Gruppen</v>
      </c>
      <c r="G32" t="str">
        <v>Einfache und Semi-Einfache Lie Gruppen</v>
      </c>
      <c r="H32" t="str">
        <v>Homologie Kreuzprodukt in SHT</v>
      </c>
    </row>
    <row r="33" spans="5:8" x14ac:dyDescent="0.2">
      <c r="E33" t="str">
        <v>GPDE-12</v>
      </c>
      <c r="F33" t="str">
        <v>Einführung der Schrödinger Gleichung</v>
      </c>
      <c r="G33" t="str">
        <v>Einführung der Schrödinger Gleichung</v>
      </c>
      <c r="H33" t="str">
        <v>Absolute und Relative Homologie</v>
      </c>
    </row>
    <row r="34" spans="5:8" x14ac:dyDescent="0.2">
      <c r="E34" t="str">
        <v>GPDE-13</v>
      </c>
      <c r="F34" t="str">
        <v>Erwartungswert</v>
      </c>
      <c r="G34" t="str">
        <v>Erwartungswert</v>
      </c>
      <c r="H34" t="str">
        <v>Reduzierte Homologie</v>
      </c>
    </row>
    <row r="35" spans="5:8" x14ac:dyDescent="0.2">
      <c r="E35" t="str">
        <v>GPDE-14</v>
      </c>
      <c r="F35" t="str">
        <v>Exaktheit von Sequenzen</v>
      </c>
      <c r="G35" t="str">
        <v>Exaktheit von Sequenzen</v>
      </c>
      <c r="H35" t="str">
        <v>GPDE Basics</v>
      </c>
    </row>
    <row r="36" spans="5:8" x14ac:dyDescent="0.2">
      <c r="E36" t="str">
        <v>GPDE-15</v>
      </c>
      <c r="F36" t="str">
        <v>Exponentialabbildung</v>
      </c>
      <c r="G36" t="str">
        <v>Exponentialabbildung</v>
      </c>
      <c r="H36" t="str">
        <v>Regularitätsklassen</v>
      </c>
    </row>
    <row r="37" spans="5:8" x14ac:dyDescent="0.2">
      <c r="E37" t="str">
        <v>GPDE-16</v>
      </c>
      <c r="F37" t="str">
        <v>Exponentialabbildung in EFT</v>
      </c>
      <c r="G37" t="str">
        <v>Exponentialabbildung in EFT</v>
      </c>
      <c r="H37" t="str">
        <v>Differentialoperatoren</v>
      </c>
    </row>
    <row r="38" spans="5:8" x14ac:dyDescent="0.2">
      <c r="E38" t="str">
        <v>HA-01</v>
      </c>
      <c r="F38" t="str">
        <v>Faserbündel</v>
      </c>
      <c r="G38" t="str">
        <v>Faserbündel</v>
      </c>
      <c r="H38" t="str">
        <v>Ungleichungen und Abschätzungen</v>
      </c>
    </row>
    <row r="39" spans="5:8" x14ac:dyDescent="0.2">
      <c r="E39" t="str">
        <v>HA-02</v>
      </c>
      <c r="F39" t="str">
        <v>Generatoren</v>
      </c>
      <c r="G39" t="str">
        <v>Generatoren</v>
      </c>
      <c r="H39" t="str">
        <v>Maximum Prinzipien</v>
      </c>
    </row>
    <row r="40" spans="5:8" x14ac:dyDescent="0.2">
      <c r="E40" t="str">
        <v>HA-03</v>
      </c>
      <c r="F40" t="str">
        <v>Geodätische</v>
      </c>
      <c r="G40" t="str">
        <v>Geodätische</v>
      </c>
      <c r="H40" t="str">
        <v>Schwache Maximum Prinzipien</v>
      </c>
    </row>
    <row r="41" spans="5:8" x14ac:dyDescent="0.2">
      <c r="E41" t="str">
        <v>HA-04</v>
      </c>
      <c r="F41" t="str">
        <v>Geodätische und Exponentialabbildung</v>
      </c>
      <c r="G41" t="str">
        <v>Geodätische und Exponentialabbildung</v>
      </c>
      <c r="H41" t="str">
        <v>Starke Maximum Prinzipien</v>
      </c>
    </row>
    <row r="42" spans="5:8" x14ac:dyDescent="0.2">
      <c r="E42" t="str">
        <v>HA-05</v>
      </c>
      <c r="F42" t="str">
        <v>Glatte Abbildungen und Vektorfelder</v>
      </c>
      <c r="G42" t="str">
        <v>Glatte Abbildungen und Vektorfelder</v>
      </c>
      <c r="H42" t="str">
        <v>Quantenmechanik</v>
      </c>
    </row>
    <row r="43" spans="5:8" x14ac:dyDescent="0.2">
      <c r="E43" t="str">
        <v>HA-06</v>
      </c>
      <c r="F43" t="str">
        <v>Glatte Mannigfaltigkeiten</v>
      </c>
      <c r="G43" t="str">
        <v>Glatte Mannigfaltigkeiten</v>
      </c>
      <c r="H43" t="str">
        <v>Schrödinger Gleichung</v>
      </c>
    </row>
    <row r="44" spans="5:8" x14ac:dyDescent="0.2">
      <c r="E44" t="str">
        <v>HA-07</v>
      </c>
      <c r="F44" t="str">
        <v>GPDE Basics</v>
      </c>
      <c r="G44" t="str">
        <v>GPDE Basics</v>
      </c>
      <c r="H44" t="str">
        <v>Wellenpakete in QM</v>
      </c>
    </row>
    <row r="45" spans="5:8" x14ac:dyDescent="0.2">
      <c r="E45" t="str">
        <v>HA-08</v>
      </c>
      <c r="F45" t="str">
        <v>Gruppe SU(3)</v>
      </c>
      <c r="G45" t="str">
        <v>Gruppe SU(3)</v>
      </c>
      <c r="H45" t="str">
        <v>Einführung der Schrödinger Gleichung</v>
      </c>
    </row>
    <row r="46" spans="5:8" x14ac:dyDescent="0.2">
      <c r="E46" t="str">
        <v>HA-09</v>
      </c>
      <c r="F46" t="str">
        <v>Gruppentheorie für QMS</v>
      </c>
      <c r="G46" t="str">
        <v>Gruppentheorie für QMS</v>
      </c>
      <c r="H46" t="str">
        <v>Herleitung für freie Teilchen</v>
      </c>
    </row>
    <row r="47" spans="5:8" x14ac:dyDescent="0.2">
      <c r="E47" t="str">
        <v>HA-10</v>
      </c>
      <c r="F47" t="str">
        <v>Herleitung für freie Teilchen</v>
      </c>
      <c r="G47" t="str">
        <v>Herleitung für freie Teilchen</v>
      </c>
      <c r="H47" t="str">
        <v>Teilchen in äußeren Potentialen</v>
      </c>
    </row>
    <row r="48" spans="5:8" x14ac:dyDescent="0.2">
      <c r="E48" t="str">
        <v>HA-11</v>
      </c>
      <c r="F48" t="str">
        <v>Hermitisch konjugierte Operatoren</v>
      </c>
      <c r="G48" t="str">
        <v>Hermitisch konjugierte Operatoren</v>
      </c>
      <c r="H48" t="str">
        <v>Operatoren</v>
      </c>
    </row>
    <row r="49" spans="5:8" x14ac:dyDescent="0.2">
      <c r="E49" t="str">
        <v>HA-12</v>
      </c>
      <c r="F49" t="str">
        <v>Hilftslemma für Diagramme der HA</v>
      </c>
      <c r="G49" t="str">
        <v>Hilftslemma für Diagramme der HA</v>
      </c>
      <c r="H49" t="str">
        <v>Korrespondenz Prinzip</v>
      </c>
    </row>
    <row r="50" spans="5:8" x14ac:dyDescent="0.2">
      <c r="E50" t="str">
        <v>HA-13</v>
      </c>
      <c r="F50" t="str">
        <v>HOM-Funktor</v>
      </c>
      <c r="G50" t="str">
        <v>HOM-Funktor</v>
      </c>
      <c r="H50" t="str">
        <v>Interpretation der Wellenfunktion</v>
      </c>
    </row>
    <row r="51" spans="5:8" x14ac:dyDescent="0.2">
      <c r="E51" t="str">
        <v>HA-14</v>
      </c>
      <c r="F51" t="str">
        <v>Homogene Räume</v>
      </c>
      <c r="G51" t="str">
        <v>Homogene Räume</v>
      </c>
      <c r="H51" t="str">
        <v>Wahrscheinlichkeitsdichte</v>
      </c>
    </row>
    <row r="52" spans="5:8" x14ac:dyDescent="0.2">
      <c r="E52" t="str">
        <v>QM-01</v>
      </c>
      <c r="F52" t="str">
        <v>Homologie Funktor in HA</v>
      </c>
      <c r="G52" t="str">
        <v>Homologie Funktor in HA</v>
      </c>
      <c r="H52" t="str">
        <v>Kontinuitätsgleichung</v>
      </c>
    </row>
    <row r="53" spans="5:8" x14ac:dyDescent="0.2">
      <c r="E53" t="str">
        <v>QM-02</v>
      </c>
      <c r="F53" t="str">
        <v>Homologie Kreuzprodukt in SHT</v>
      </c>
      <c r="G53" t="str">
        <v>Homologie Kreuzprodukt in SHT</v>
      </c>
      <c r="H53" t="str">
        <v>Impulsraum</v>
      </c>
    </row>
    <row r="54" spans="5:8" x14ac:dyDescent="0.2">
      <c r="E54" t="str">
        <v>QM-03</v>
      </c>
      <c r="F54" t="str">
        <v>Homologie mit Koeffizienten</v>
      </c>
      <c r="G54" t="str">
        <v>Homologie mit Koeffizienten</v>
      </c>
      <c r="H54" t="str">
        <v>Erwartungswert</v>
      </c>
    </row>
    <row r="55" spans="5:8" x14ac:dyDescent="0.2">
      <c r="E55" t="str">
        <v>QM-04</v>
      </c>
      <c r="F55" t="str">
        <v>Homologische Algebra</v>
      </c>
      <c r="G55" t="str">
        <v>Homologische Algebra</v>
      </c>
      <c r="H55" t="str">
        <v>Beugung und Inferenz</v>
      </c>
    </row>
    <row r="56" spans="5:8" x14ac:dyDescent="0.2">
      <c r="E56" t="str">
        <v>QM-05</v>
      </c>
      <c r="F56" t="str">
        <v>Homologisches Kreuzprodukt (HA)</v>
      </c>
      <c r="G56" t="str">
        <v>Homologisches Kreuzprodukt (HA)</v>
      </c>
      <c r="H56" t="str">
        <v>Ehrenfest Theorem</v>
      </c>
    </row>
    <row r="57" spans="5:8" x14ac:dyDescent="0.2">
      <c r="E57" t="str">
        <v>QM-06</v>
      </c>
      <c r="F57" t="str">
        <v>Hopf Lemma</v>
      </c>
      <c r="G57" t="str">
        <v>Hopf Lemma</v>
      </c>
      <c r="H57" t="str">
        <v>Hermitisch konjugierte Operatoren</v>
      </c>
    </row>
    <row r="58" spans="5:8" x14ac:dyDescent="0.2">
      <c r="E58" t="str">
        <v>QM-07</v>
      </c>
      <c r="F58" t="str">
        <v>Ideale und Quotienten</v>
      </c>
      <c r="G58" t="str">
        <v>Ideale und Quotienten</v>
      </c>
      <c r="H58" t="str">
        <v>Bewegungsgleichung für Erwartungswert</v>
      </c>
    </row>
    <row r="59" spans="5:8" x14ac:dyDescent="0.2">
      <c r="E59" t="str">
        <v>QM-08</v>
      </c>
      <c r="F59" t="str">
        <v>Impulsraum</v>
      </c>
      <c r="G59" t="str">
        <v>Impulsraum</v>
      </c>
      <c r="H59" t="str">
        <v>Quasiklassische Bewegung</v>
      </c>
    </row>
    <row r="60" spans="5:8" x14ac:dyDescent="0.2">
      <c r="E60" t="str">
        <v>QM-09</v>
      </c>
      <c r="F60" t="str">
        <v>Interpretation der Wellenfunktion</v>
      </c>
      <c r="G60" t="str">
        <v>Interpretation der Wellenfunktion</v>
      </c>
      <c r="H60" t="str">
        <v>Symmetrie in Quantenmechanik</v>
      </c>
    </row>
    <row r="61" spans="5:8" x14ac:dyDescent="0.2">
      <c r="E61" t="str">
        <v>QM-10</v>
      </c>
      <c r="F61" t="str">
        <v>Invariante Vektorfelder und Differentialformen</v>
      </c>
      <c r="G61" t="str">
        <v>Invariante Vektorfelder und Differentialformen</v>
      </c>
      <c r="H61" t="str">
        <v>Raum Translation</v>
      </c>
    </row>
    <row r="62" spans="5:8" x14ac:dyDescent="0.2">
      <c r="E62" t="str">
        <v>QM-11</v>
      </c>
      <c r="F62" t="str">
        <v>Kategorien und Funktoren in HA</v>
      </c>
      <c r="G62" t="str">
        <v>Kategorien und Funktoren in HA</v>
      </c>
      <c r="H62" t="str">
        <v>Zeit Translation</v>
      </c>
    </row>
    <row r="63" spans="5:8" x14ac:dyDescent="0.2">
      <c r="E63" t="str">
        <v>QM-12</v>
      </c>
      <c r="F63" t="str">
        <v>Kategorische Formulierung der Homologietheorie</v>
      </c>
      <c r="G63" t="str">
        <v>Kategorische Formulierung der Homologietheorie</v>
      </c>
      <c r="H63" t="str">
        <v>Rotation</v>
      </c>
    </row>
    <row r="64" spans="5:8" x14ac:dyDescent="0.2">
      <c r="E64" t="str">
        <v>QM-13</v>
      </c>
      <c r="F64" t="str">
        <v>Kategorische Formulierung der SHT</v>
      </c>
      <c r="G64" t="str">
        <v>Kategorische Formulierung der SHT</v>
      </c>
      <c r="H64" t="str">
        <v>Gruppentheorie für QMS</v>
      </c>
    </row>
    <row r="65" spans="5:8" x14ac:dyDescent="0.2">
      <c r="E65" t="str">
        <v>QM-14</v>
      </c>
      <c r="F65" t="str">
        <v>Klassische Streutheorie</v>
      </c>
      <c r="G65" t="str">
        <v>Klassische Streutheorie</v>
      </c>
      <c r="H65" t="str">
        <v>Basics Gruppentheorie für QMS</v>
      </c>
    </row>
    <row r="66" spans="5:8" x14ac:dyDescent="0.2">
      <c r="E66" t="str">
        <v>QMS-01</v>
      </c>
      <c r="F66" t="str">
        <v>Komplexe in HA</v>
      </c>
      <c r="G66" t="str">
        <v>Komplexe in HA</v>
      </c>
      <c r="H66" t="str">
        <v>Repräsentation von Gruppen</v>
      </c>
    </row>
    <row r="67" spans="5:8" x14ac:dyDescent="0.2">
      <c r="E67" t="str">
        <v>QMS-02</v>
      </c>
      <c r="F67" t="str">
        <v>Konstruktion von Multiplets von fundamentalen Repräsentationen</v>
      </c>
      <c r="G67" t="str">
        <v>Konstruktion von Multiplets von fundamentalen Repräsentationen</v>
      </c>
      <c r="H67" t="str">
        <v>Lie Gruppen</v>
      </c>
    </row>
    <row r="68" spans="5:8" x14ac:dyDescent="0.2">
      <c r="E68" t="str">
        <v>QMS-03</v>
      </c>
      <c r="F68" t="str">
        <v>Kontinuitätsgleichung</v>
      </c>
      <c r="G68" t="str">
        <v>Kontinuitätsgleichung</v>
      </c>
      <c r="H68" t="str">
        <v>Einfache und Semi-Einfache Lie Gruppen</v>
      </c>
    </row>
    <row r="69" spans="5:8" x14ac:dyDescent="0.2">
      <c r="E69" t="str">
        <v>QMS-04</v>
      </c>
      <c r="F69" t="str">
        <v>Korrespondenz Prinzip</v>
      </c>
      <c r="G69" t="str">
        <v>Korrespondenz Prinzip</v>
      </c>
      <c r="H69" t="str">
        <v>Qasimir Operator, Multiplet, Schur Lemma</v>
      </c>
    </row>
    <row r="70" spans="5:8" x14ac:dyDescent="0.2">
      <c r="E70" t="str">
        <v>QMS-05</v>
      </c>
      <c r="F70" t="str">
        <v>Kovariante Ableitung längs einer Kurve</v>
      </c>
      <c r="G70" t="str">
        <v>Kovariante Ableitung längs einer Kurve</v>
      </c>
      <c r="H70" t="str">
        <v>Gruppe SU(3)</v>
      </c>
    </row>
    <row r="71" spans="5:8" x14ac:dyDescent="0.2">
      <c r="E71" t="str">
        <v>RG-01</v>
      </c>
      <c r="F71" t="str">
        <v>Kreuzprodukt auf Kettengruppenkomplexe in SHT</v>
      </c>
      <c r="G71" t="str">
        <v>Kreuzprodukt auf Kettengruppenkomplexe in SHT</v>
      </c>
      <c r="H71" t="str">
        <v>Generatoren</v>
      </c>
    </row>
    <row r="72" spans="5:8" x14ac:dyDescent="0.2">
      <c r="E72" t="str">
        <v>RG-02</v>
      </c>
      <c r="F72" t="str">
        <v>Kreuzprodukt in SHT</v>
      </c>
      <c r="G72" t="str">
        <v>Kreuzprodukt in SHT</v>
      </c>
      <c r="H72" t="str">
        <v>Struktur Konstanten</v>
      </c>
    </row>
    <row r="73" spans="5:8" x14ac:dyDescent="0.2">
      <c r="E73" t="str">
        <v>RG-03</v>
      </c>
      <c r="F73" t="str">
        <v>Levi-Civita Zusammenhang</v>
      </c>
      <c r="G73" t="str">
        <v>Levi-Civita Zusammenhang</v>
      </c>
      <c r="H73" t="str">
        <v>Unteralgebren und Untergruppen</v>
      </c>
    </row>
    <row r="74" spans="5:8" x14ac:dyDescent="0.2">
      <c r="E74" t="str">
        <v>RG-04</v>
      </c>
      <c r="F74" t="str">
        <v>Lie Algebren in EFT</v>
      </c>
      <c r="G74" t="str">
        <v>Lie Algebren in EFT</v>
      </c>
      <c r="H74" t="str">
        <v>Konstruktion von Multiplets von fundamentalen Repräsentationen</v>
      </c>
    </row>
    <row r="75" spans="5:8" x14ac:dyDescent="0.2">
      <c r="E75" t="str">
        <v>RG-05</v>
      </c>
      <c r="F75" t="str">
        <v>Lie Gruppen</v>
      </c>
      <c r="G75" t="str">
        <v>Lie Gruppen</v>
      </c>
      <c r="H75" t="str">
        <v>Young Tableaux</v>
      </c>
    </row>
    <row r="76" spans="5:8" x14ac:dyDescent="0.2">
      <c r="E76" t="str">
        <v>TOP1-01</v>
      </c>
      <c r="F76" t="str">
        <v>Lie Gruppen in EFT</v>
      </c>
      <c r="G76" t="str">
        <v>Lie Gruppen in EFT</v>
      </c>
      <c r="H76" t="str">
        <v>QM-ÜB</v>
      </c>
    </row>
    <row r="77" spans="5:8" x14ac:dyDescent="0.2">
      <c r="E77" t="str">
        <v>TOP1-02</v>
      </c>
      <c r="F77" t="str">
        <v>Maximum Prinzipien</v>
      </c>
      <c r="G77" t="str">
        <v>Maximum Prinzipien</v>
      </c>
      <c r="H77" t="str">
        <v>QM-ÜB-00: Hermitische Unitäre Matrizen</v>
      </c>
    </row>
    <row r="78" spans="5:8" x14ac:dyDescent="0.2">
      <c r="E78" t="str">
        <v>TOP1-03</v>
      </c>
      <c r="F78" t="str">
        <v>Mayer-Vietoris Sequenz in SHT</v>
      </c>
      <c r="G78" t="str">
        <v>Mayer-Vietoris Sequenz in SHT</v>
      </c>
      <c r="H78" t="str">
        <v>Hopf Lemma</v>
      </c>
    </row>
    <row r="79" spans="5:8" x14ac:dyDescent="0.2">
      <c r="E79" t="str">
        <v>TOP1-04</v>
      </c>
      <c r="F79" t="str">
        <v>Moduln</v>
      </c>
      <c r="G79" t="str">
        <v>Moduln</v>
      </c>
      <c r="H79" t="str">
        <v>Vergleichsprinzipien für voll nicht-lineare Differentialoperatoren</v>
      </c>
    </row>
    <row r="80" spans="5:8" x14ac:dyDescent="0.2">
      <c r="E80" t="str">
        <v>TOP1-05</v>
      </c>
      <c r="F80" t="str">
        <v>Moduln Grundlagen</v>
      </c>
      <c r="G80" t="str">
        <v>Moduln Grundlagen</v>
      </c>
      <c r="H80" t="str">
        <v>Klassische Streutheorie</v>
      </c>
    </row>
    <row r="81" spans="5:8" x14ac:dyDescent="0.2">
      <c r="E81" t="str">
        <v>TOP1-06</v>
      </c>
      <c r="F81" t="str">
        <v>Moduln in HA</v>
      </c>
      <c r="G81" t="str">
        <v>Moduln in HA</v>
      </c>
      <c r="H81" t="str">
        <v>Wirkungsquerschnitt</v>
      </c>
    </row>
    <row r="82" spans="5:8" x14ac:dyDescent="0.2">
      <c r="E82" t="str">
        <v>TOP1-07</v>
      </c>
      <c r="F82" t="str">
        <v>Operatoren</v>
      </c>
      <c r="G82" t="str">
        <v>Operatoren</v>
      </c>
      <c r="H82" t="str">
        <v>Berechnung des Wirkungsquerschnitts für elastische Streuung am Zentralpotential</v>
      </c>
    </row>
    <row r="83" spans="5:8" x14ac:dyDescent="0.2">
      <c r="E83" t="str">
        <v>TOP1-08</v>
      </c>
      <c r="F83" t="str">
        <v>Paralleltransport</v>
      </c>
      <c r="G83" t="str">
        <v>Paralleltransport</v>
      </c>
      <c r="H83" t="str">
        <v>Rücktransformation ins Laborsystem</v>
      </c>
    </row>
    <row r="84" spans="5:8" x14ac:dyDescent="0.2">
      <c r="E84" t="str">
        <v>TOP1-09</v>
      </c>
      <c r="F84" t="str">
        <v>Paritätsoperator</v>
      </c>
      <c r="G84" t="str">
        <v>Paritätsoperator</v>
      </c>
      <c r="H84" t="str">
        <v>2-Körper und effektives 1-Körper Problem</v>
      </c>
    </row>
    <row r="85" spans="5:8" x14ac:dyDescent="0.2">
      <c r="E85" t="str">
        <v>TOP1-10</v>
      </c>
      <c r="F85" t="str">
        <v>Potentialbarriere</v>
      </c>
      <c r="G85" t="str">
        <v>Potentialbarriere</v>
      </c>
      <c r="H85" t="str">
        <v>CM-ÜB</v>
      </c>
    </row>
    <row r="86" spans="5:8" x14ac:dyDescent="0.2">
      <c r="E86" t="str">
        <v>TOP2-01</v>
      </c>
      <c r="F86" t="str">
        <v>Potentialtopf mit endlicher Tiefe</v>
      </c>
      <c r="G86" t="str">
        <v>Potentialtopf mit endlicher Tiefe</v>
      </c>
      <c r="H86" t="str">
        <v>CM-ÜB-01: Streutheorie</v>
      </c>
    </row>
    <row r="87" spans="5:8" x14ac:dyDescent="0.2">
      <c r="E87" t="str">
        <v>TOP2-02</v>
      </c>
      <c r="F87" t="str">
        <v>Potenzreihenringe und Polynomringe</v>
      </c>
      <c r="G87" t="str">
        <v>Potenzreihenringe und Polynomringe</v>
      </c>
      <c r="H87" t="str">
        <v>Differenzierbare Mannigfaltigkeiten</v>
      </c>
    </row>
    <row r="88" spans="5:8" x14ac:dyDescent="0.2">
      <c r="E88" t="str">
        <v>TOP2-03</v>
      </c>
      <c r="F88" t="str">
        <v>Prinzipialbündel</v>
      </c>
      <c r="G88" t="str">
        <v>Prinzipialbündel</v>
      </c>
      <c r="H88" t="str">
        <v>Untermannigfaltigkeiten im euklidischen Raum</v>
      </c>
    </row>
    <row r="89" spans="5:8" x14ac:dyDescent="0.2">
      <c r="E89" t="str">
        <v>TOP2-04</v>
      </c>
      <c r="F89" t="str">
        <v>Qasimir Operator, Multiplet, Schur Lemma</v>
      </c>
      <c r="G89" t="str">
        <v>Qasimir Operator, Multiplet, Schur Lemma</v>
      </c>
      <c r="H89" t="str">
        <v>Glatte Mannigfaltigkeiten</v>
      </c>
    </row>
    <row r="90" spans="5:8" x14ac:dyDescent="0.2">
      <c r="F90" t="str">
        <v>QM-Ex</v>
      </c>
      <c r="G90" t="str">
        <v>QM-Ex</v>
      </c>
      <c r="H90" t="str">
        <v>Glatte Abbildungen und Vektorfelder</v>
      </c>
    </row>
    <row r="91" spans="5:8" x14ac:dyDescent="0.2">
      <c r="F91" t="str">
        <v>QM-Ex-ÜB 00</v>
      </c>
      <c r="G91" t="str">
        <v>QM-Ex-ÜB 00</v>
      </c>
      <c r="H91" t="str">
        <v>Riemannische Mannigfaltigkeiten</v>
      </c>
    </row>
    <row r="92" spans="5:8" x14ac:dyDescent="0.2">
      <c r="F92" t="str">
        <v>QM-ÜB</v>
      </c>
      <c r="G92" t="str">
        <v>QM-ÜB</v>
      </c>
      <c r="H92" t="str">
        <v>Definitionen und Beispiele</v>
      </c>
    </row>
    <row r="93" spans="5:8" x14ac:dyDescent="0.2">
      <c r="F93" t="str">
        <v>QM-ÜB-00: Hermitische Unitäre Matrizen</v>
      </c>
      <c r="G93" t="str">
        <v>QM-ÜB-00: Hermitische Unitäre Matrizen</v>
      </c>
      <c r="H93" t="str">
        <v>Levi-Civita Zusammenhang</v>
      </c>
    </row>
    <row r="94" spans="5:8" x14ac:dyDescent="0.2">
      <c r="F94" t="str">
        <v>QM-ÜB-01: Delta-Distribution, Kommutator und W-keit</v>
      </c>
      <c r="G94" t="str">
        <v>QM-ÜB-01: Delta-Distribution, Kommutator und W-keit</v>
      </c>
      <c r="H94" t="str">
        <v>Kovariante Ableitung längs einer Kurve</v>
      </c>
    </row>
    <row r="95" spans="5:8" x14ac:dyDescent="0.2">
      <c r="F95" t="str">
        <v>QM-ÜB-02:</v>
      </c>
      <c r="G95" t="str">
        <v>QM-ÜB-02:</v>
      </c>
      <c r="H95" t="str">
        <v>Paralleltransport</v>
      </c>
    </row>
    <row r="96" spans="5:8" x14ac:dyDescent="0.2">
      <c r="F96" t="str">
        <v>QMS-Ex</v>
      </c>
      <c r="G96" t="str">
        <v>QMS-Ex</v>
      </c>
      <c r="H96" t="str">
        <v>Geodätische und Exponentialabbildung</v>
      </c>
    </row>
    <row r="97" spans="6:8" x14ac:dyDescent="0.2">
      <c r="F97" t="str">
        <v>QMS-ÜB</v>
      </c>
      <c r="G97" t="str">
        <v>QMS-ÜB</v>
      </c>
      <c r="H97" t="str">
        <v>Geodätische</v>
      </c>
    </row>
    <row r="98" spans="6:8" x14ac:dyDescent="0.2">
      <c r="F98" t="str">
        <v>QMS-ÜB-01</v>
      </c>
      <c r="G98" t="str">
        <v>QMS-ÜB-01</v>
      </c>
      <c r="H98" t="str">
        <v>Exponentialabbildung</v>
      </c>
    </row>
    <row r="99" spans="6:8" x14ac:dyDescent="0.2">
      <c r="F99" t="str">
        <v>QMS-VL</v>
      </c>
      <c r="G99" t="str">
        <v>QMS-VL</v>
      </c>
      <c r="H99" t="str">
        <v>Satz von Hopf-Rinow</v>
      </c>
    </row>
    <row r="100" spans="6:8" x14ac:dyDescent="0.2">
      <c r="F100" t="str">
        <v>Quantenmechanik</v>
      </c>
      <c r="G100" t="str">
        <v>Quantenmechanik</v>
      </c>
      <c r="H100" t="str">
        <v>Riemannische Geometrie</v>
      </c>
    </row>
    <row r="101" spans="6:8" x14ac:dyDescent="0.2">
      <c r="F101" t="str">
        <v>Quasiklassische Bewegung</v>
      </c>
      <c r="G101" t="str">
        <v>Quasiklassische Bewegung</v>
      </c>
      <c r="H101" t="str">
        <v>Topologie 2</v>
      </c>
    </row>
    <row r="102" spans="6:8" x14ac:dyDescent="0.2">
      <c r="F102" t="str">
        <v>Raum Translation</v>
      </c>
      <c r="G102" t="str">
        <v>Raum Translation</v>
      </c>
      <c r="H102" t="str">
        <v>RG-ÜB</v>
      </c>
    </row>
    <row r="103" spans="6:8" x14ac:dyDescent="0.2">
      <c r="F103" t="str">
        <v>Reduzierte Homologie</v>
      </c>
      <c r="G103" t="str">
        <v>Reduzierte Homologie</v>
      </c>
      <c r="H103" t="str">
        <v>RG-ÜB-01: Glatte Mannigfaltigkeiten</v>
      </c>
    </row>
    <row r="104" spans="6:8" x14ac:dyDescent="0.2">
      <c r="F104" t="str">
        <v>Reflektierte Zustände</v>
      </c>
      <c r="G104" t="str">
        <v>Reflektierte Zustände</v>
      </c>
      <c r="H104" t="str">
        <v>Eichfeldtheorie</v>
      </c>
    </row>
    <row r="105" spans="6:8" x14ac:dyDescent="0.2">
      <c r="F105" t="str">
        <v>Regularitätsklassen</v>
      </c>
      <c r="G105" t="str">
        <v>Regularitätsklassen</v>
      </c>
      <c r="H105" t="str">
        <v>Faserbündel</v>
      </c>
    </row>
    <row r="106" spans="6:8" x14ac:dyDescent="0.2">
      <c r="F106" t="str">
        <v>Repräsentation von Gruppen</v>
      </c>
      <c r="G106" t="str">
        <v>Repräsentation von Gruppen</v>
      </c>
      <c r="H106" t="str">
        <v>Prinzipialbündel</v>
      </c>
    </row>
    <row r="107" spans="6:8" x14ac:dyDescent="0.2">
      <c r="F107" t="str">
        <v>RG_ÜB_03: Christoffelsymbole und Kovariante Ableitung entlang Kurven</v>
      </c>
      <c r="G107" t="str">
        <v>RG_ÜB_03: Christoffelsymbole und Kovariante Ableitung entlang Kurven</v>
      </c>
      <c r="H107" t="str">
        <v>An- und Abmontieren von Fasern</v>
      </c>
    </row>
    <row r="108" spans="6:8" x14ac:dyDescent="0.2">
      <c r="F108" t="str">
        <v>RG-ÜB</v>
      </c>
      <c r="G108" t="str">
        <v>RG-ÜB</v>
      </c>
      <c r="H108" t="str">
        <v>Lie Gruppen in EFT</v>
      </c>
    </row>
    <row r="109" spans="6:8" x14ac:dyDescent="0.2">
      <c r="F109" t="str">
        <v>RG-ÜB-01: Glatte Mannigfaltigkeiten</v>
      </c>
      <c r="G109" t="str">
        <v>RG-ÜB-01: Glatte Mannigfaltigkeiten</v>
      </c>
      <c r="H109" t="str">
        <v>Invariante Vektorfelder und Differentialformen</v>
      </c>
    </row>
    <row r="110" spans="6:8" x14ac:dyDescent="0.2">
      <c r="F110" t="str">
        <v>RG-ÜB-02: Tangentialbündel und Hyperbolischer Raum</v>
      </c>
      <c r="G110" t="str">
        <v>RG-ÜB-02: Tangentialbündel und Hyperbolischer Raum</v>
      </c>
      <c r="H110" t="str">
        <v>Lie Algebren in EFT</v>
      </c>
    </row>
    <row r="111" spans="6:8" x14ac:dyDescent="0.2">
      <c r="F111" t="str">
        <v>Riemannische Geometrie</v>
      </c>
      <c r="G111" t="str">
        <v>Riemannische Geometrie</v>
      </c>
      <c r="H111" t="str">
        <v>Exponentialabbildung in EFT</v>
      </c>
    </row>
    <row r="112" spans="6:8" x14ac:dyDescent="0.2">
      <c r="F112" t="str">
        <v>Riemannische Mannigfaltigkeiten</v>
      </c>
      <c r="G112" t="str">
        <v>Riemannische Mannigfaltigkeiten</v>
      </c>
      <c r="H112" t="str">
        <v>Homogene Räume</v>
      </c>
    </row>
    <row r="113" spans="6:8" x14ac:dyDescent="0.2">
      <c r="F113" t="str">
        <v>Ringe</v>
      </c>
      <c r="G113" t="str">
        <v>Ringe</v>
      </c>
      <c r="H113" t="str">
        <v>Eindimensionale Systeme</v>
      </c>
    </row>
    <row r="114" spans="6:8" x14ac:dyDescent="0.2">
      <c r="F114" t="str">
        <v>Ringe Basics</v>
      </c>
      <c r="G114" t="str">
        <v>Ringe Basics</v>
      </c>
      <c r="H114" t="str">
        <v>Stationäre Schrödinger Gleichung</v>
      </c>
    </row>
    <row r="115" spans="6:8" x14ac:dyDescent="0.2">
      <c r="F115" t="str">
        <v>Rotation</v>
      </c>
      <c r="G115" t="str">
        <v>Rotation</v>
      </c>
      <c r="H115" t="str">
        <v>Eindimensionale Potentialstufe</v>
      </c>
    </row>
    <row r="116" spans="6:8" x14ac:dyDescent="0.2">
      <c r="F116" t="str">
        <v>Rücktransformation ins Laborsystem</v>
      </c>
      <c r="G116" t="str">
        <v>Rücktransformation ins Laborsystem</v>
      </c>
      <c r="H116" t="str">
        <v>Streuzustände</v>
      </c>
    </row>
    <row r="117" spans="6:8" x14ac:dyDescent="0.2">
      <c r="F117" t="str">
        <v>Satz von Hopf-Rinow</v>
      </c>
      <c r="G117" t="str">
        <v>Satz von Hopf-Rinow</v>
      </c>
      <c r="H117" t="str">
        <v>Reflektierte Zustände</v>
      </c>
    </row>
    <row r="118" spans="6:8" x14ac:dyDescent="0.2">
      <c r="F118" t="str">
        <v>Schrödinger Gleichung</v>
      </c>
      <c r="G118" t="str">
        <v>Schrödinger Gleichung</v>
      </c>
      <c r="H118" t="str">
        <v>Potentialbarriere</v>
      </c>
    </row>
    <row r="119" spans="6:8" x14ac:dyDescent="0.2">
      <c r="F119" t="str">
        <v>Schwache Maximum Prinzipien</v>
      </c>
      <c r="G119" t="str">
        <v>Schwache Maximum Prinzipien</v>
      </c>
      <c r="H119" t="str">
        <v>Unendlich tiefer Potentialtopf</v>
      </c>
    </row>
    <row r="120" spans="6:8" x14ac:dyDescent="0.2">
      <c r="F120" t="str">
        <v>Singuläre Homologie (SHT)</v>
      </c>
      <c r="G120" t="str">
        <v>Singuläre Homologie (SHT)</v>
      </c>
      <c r="H120" t="str">
        <v>Potentialtopf mit endlicher Tiefe</v>
      </c>
    </row>
    <row r="121" spans="6:8" x14ac:dyDescent="0.2">
      <c r="F121" t="str">
        <v>Splitting</v>
      </c>
      <c r="G121" t="str">
        <v>Splitting</v>
      </c>
      <c r="H121" t="str">
        <v>Paritätsoperator</v>
      </c>
    </row>
    <row r="122" spans="6:8" x14ac:dyDescent="0.2">
      <c r="F122" t="str">
        <v>Starke Maximum Prinzipien</v>
      </c>
      <c r="G122" t="str">
        <v>Starke Maximum Prinzipien</v>
      </c>
      <c r="H122" t="str">
        <v>Zusammenfassung</v>
      </c>
    </row>
    <row r="123" spans="6:8" x14ac:dyDescent="0.2">
      <c r="F123" t="str">
        <v>Stationäre Schrödinger Gleichung</v>
      </c>
      <c r="G123" t="str">
        <v>Stationäre Schrödinger Gleichung</v>
      </c>
      <c r="H123" t="str">
        <v>QM-ÜB-01: Delta-Distribution, Kommutator und W-keit</v>
      </c>
    </row>
    <row r="124" spans="6:8" x14ac:dyDescent="0.2">
      <c r="F124" t="str">
        <v>Streuzustände</v>
      </c>
      <c r="G124" t="str">
        <v>Streuzustände</v>
      </c>
      <c r="H124" t="str">
        <v>QM-Ex</v>
      </c>
    </row>
    <row r="125" spans="6:8" x14ac:dyDescent="0.2">
      <c r="F125" t="str">
        <v>Struktur Konstanten</v>
      </c>
      <c r="G125" t="str">
        <v>Struktur Konstanten</v>
      </c>
      <c r="H125" t="str">
        <v>QM-Ex-ÜB 00</v>
      </c>
    </row>
    <row r="126" spans="6:8" x14ac:dyDescent="0.2">
      <c r="F126" t="str">
        <v>Symmetrie in Quantenmechanik</v>
      </c>
      <c r="G126" t="str">
        <v>Symmetrie in Quantenmechanik</v>
      </c>
      <c r="H126" t="str">
        <v>CM-ÜB-02: Runge-Lenz-Vektor, 1KP und Zwangsbedingungen</v>
      </c>
    </row>
    <row r="127" spans="6:8" x14ac:dyDescent="0.2">
      <c r="F127" t="str">
        <v>Teilchen in äußeren Potentialen</v>
      </c>
      <c r="G127" t="str">
        <v>Teilchen in äußeren Potentialen</v>
      </c>
      <c r="H127" t="str">
        <v>RG-ÜB-02: Tangentialbündel und Hyperbolischer Raum</v>
      </c>
    </row>
    <row r="128" spans="6:8" x14ac:dyDescent="0.2">
      <c r="F128" t="str">
        <v>Tensorprodukt in HA</v>
      </c>
      <c r="G128" t="str">
        <v>Tensorprodukt in HA</v>
      </c>
      <c r="H128" t="str">
        <v>HOM-Funktor</v>
      </c>
    </row>
    <row r="129" spans="6:8" x14ac:dyDescent="0.2">
      <c r="F129" t="str">
        <v>Tensorprodukt von abelschen Gruppen (HmK)</v>
      </c>
      <c r="G129" t="str">
        <v>Tensorprodukt von abelschen Gruppen (HmK)</v>
      </c>
      <c r="H129" t="str">
        <v>Algebra</v>
      </c>
    </row>
    <row r="130" spans="6:8" x14ac:dyDescent="0.2">
      <c r="F130" t="str">
        <v>Topologie 2</v>
      </c>
      <c r="G130" t="str">
        <v>Topologie 2</v>
      </c>
      <c r="H130" t="str">
        <v>Ringe</v>
      </c>
    </row>
    <row r="131" spans="6:8" x14ac:dyDescent="0.2">
      <c r="F131" t="str">
        <v>Torsionsprodukt von abelschen Gruppen (HmK)</v>
      </c>
      <c r="G131" t="str">
        <v>Torsionsprodukt von abelschen Gruppen (HmK)</v>
      </c>
      <c r="H131" t="str">
        <v>Ringe Basics</v>
      </c>
    </row>
    <row r="132" spans="6:8" x14ac:dyDescent="0.2">
      <c r="F132" t="str">
        <v>Unendlich tiefer Potentialtopf</v>
      </c>
      <c r="G132" t="str">
        <v>Unendlich tiefer Potentialtopf</v>
      </c>
      <c r="H132" t="str">
        <v>Potenzreihenringe und Polynomringe</v>
      </c>
    </row>
    <row r="133" spans="6:8" x14ac:dyDescent="0.2">
      <c r="F133" t="str">
        <v>Ungleichungen und Abschätzungen</v>
      </c>
      <c r="G133" t="str">
        <v>Ungleichungen und Abschätzungen</v>
      </c>
      <c r="H133" t="str">
        <v>Ideale und Quotienten</v>
      </c>
    </row>
    <row r="134" spans="6:8" x14ac:dyDescent="0.2">
      <c r="F134" t="str">
        <v>Unteralgebren und Untergruppen</v>
      </c>
      <c r="G134" t="str">
        <v>Unteralgebren und Untergruppen</v>
      </c>
      <c r="H134" t="str">
        <v>QMS-Ex</v>
      </c>
    </row>
    <row r="135" spans="6:8" x14ac:dyDescent="0.2">
      <c r="F135" t="str">
        <v>Untermannigfaltigkeiten im euklidischen Raum</v>
      </c>
      <c r="G135" t="str">
        <v>Untermannigfaltigkeiten im euklidischen Raum</v>
      </c>
      <c r="H135" t="str">
        <v>QMS-ÜB</v>
      </c>
    </row>
    <row r="136" spans="6:8" x14ac:dyDescent="0.2">
      <c r="F136" t="str">
        <v>Unterteilung  und Ausschneidung in SHT</v>
      </c>
      <c r="G136" t="str">
        <v>Unterteilung  und Ausschneidung in SHT</v>
      </c>
      <c r="H136" t="str">
        <v>QMS-ÜB-01</v>
      </c>
    </row>
    <row r="137" spans="6:8" x14ac:dyDescent="0.2">
      <c r="F137" t="str">
        <v>Vergleichsprinzipien für voll nicht-lineare Differentialoperatoren</v>
      </c>
      <c r="G137" t="str">
        <v>Vergleichsprinzipien für voll nicht-lineare Differentialoperatoren</v>
      </c>
      <c r="H137" t="str">
        <v>QM-ÜB-02:</v>
      </c>
    </row>
    <row r="138" spans="6:8" x14ac:dyDescent="0.2">
      <c r="F138" t="str">
        <v>Wahrscheinlichkeitsdichte</v>
      </c>
      <c r="G138" t="str">
        <v>Wahrscheinlichkeitsdichte</v>
      </c>
      <c r="H138" t="str">
        <v>CM-Ex</v>
      </c>
    </row>
    <row r="139" spans="6:8" x14ac:dyDescent="0.2">
      <c r="F139" t="str">
        <v>Wellenpakete in QM</v>
      </c>
      <c r="G139" t="str">
        <v>Wellenpakete in QM</v>
      </c>
      <c r="H139" t="str">
        <v>QMS-VL</v>
      </c>
    </row>
    <row r="140" spans="6:8" x14ac:dyDescent="0.2">
      <c r="F140" t="str">
        <v>Wirkungsquerschnitt</v>
      </c>
      <c r="G140" t="str">
        <v>Wirkungsquerschnitt</v>
      </c>
      <c r="H140" t="str">
        <v>Moduln</v>
      </c>
    </row>
    <row r="141" spans="6:8" x14ac:dyDescent="0.2">
      <c r="F141" t="str">
        <v>Young Tableaux</v>
      </c>
      <c r="G141" t="str">
        <v>Young Tableaux</v>
      </c>
      <c r="H141" t="str">
        <v>Moduln Grundlagen</v>
      </c>
    </row>
    <row r="142" spans="6:8" x14ac:dyDescent="0.2">
      <c r="F142" t="str">
        <v>Zeit Translation</v>
      </c>
      <c r="G142" t="str">
        <v>Zeit Translation</v>
      </c>
      <c r="H142" t="str">
        <v>RG_ÜB_03: Christoffelsymbole und Kovariante Ableitung entlang Kurven</v>
      </c>
    </row>
    <row r="143" spans="6:8" x14ac:dyDescent="0.2">
      <c r="F143" t="str">
        <v>Zusammenfassung</v>
      </c>
      <c r="G143" t="str">
        <v>Zusammenfassung</v>
      </c>
      <c r="H143" t="str">
        <v>CM_ÜB_03: Kinetische Energie in Lagrange, Rollpendel, Trafo von Kart. Koord, Alembert</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12</vt:i4>
      </vt:variant>
      <vt:variant>
        <vt:lpstr>Benannte Bereiche</vt:lpstr>
      </vt:variant>
      <vt:variant>
        <vt:i4>8</vt:i4>
      </vt:variant>
    </vt:vector>
  </HeadingPairs>
  <TitlesOfParts>
    <vt:vector size="20" baseType="lpstr">
      <vt:lpstr>TOPIC</vt:lpstr>
      <vt:lpstr>SEIN</vt:lpstr>
      <vt:lpstr>CONTENT</vt:lpstr>
      <vt:lpstr>Abfrage</vt:lpstr>
      <vt:lpstr>Tabelle1</vt:lpstr>
      <vt:lpstr>Content_Pivot</vt:lpstr>
      <vt:lpstr>TM</vt:lpstr>
      <vt:lpstr>Topic_Pivot</vt:lpstr>
      <vt:lpstr>Topic_Overview</vt:lpstr>
      <vt:lpstr>TM_Pivot</vt:lpstr>
      <vt:lpstr>Dashboard</vt:lpstr>
      <vt:lpstr>T_Topics</vt:lpstr>
      <vt:lpstr>AlleTopics</vt:lpstr>
      <vt:lpstr>Content</vt:lpstr>
      <vt:lpstr>ContentTyp</vt:lpstr>
      <vt:lpstr>Phase1</vt:lpstr>
      <vt:lpstr>Phase1Topics</vt:lpstr>
      <vt:lpstr>Subject</vt:lpstr>
      <vt:lpstr>TopicID</vt:lpstr>
      <vt:lpstr>Topo1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rbg7jmqxhe@goetheuniversitaet.onmicrosoft.com</dc:creator>
  <cp:lastModifiedBy>rbg7jmqxhe@goetheuniversitaet.onmicrosoft.com</cp:lastModifiedBy>
  <dcterms:created xsi:type="dcterms:W3CDTF">2025-02-20T08:00:51Z</dcterms:created>
  <dcterms:modified xsi:type="dcterms:W3CDTF">2025-05-21T13:09:21Z</dcterms:modified>
</cp:coreProperties>
</file>