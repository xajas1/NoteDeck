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7E9AF18F-ACCB-9842-AFA0-EFF1896E9C61}" xr6:coauthVersionLast="47" xr6:coauthVersionMax="47" xr10:uidLastSave="{00000000-0000-0000-0000-000000000000}"/>
  <bookViews>
    <workbookView xWindow="0" yWindow="760" windowWidth="30240" windowHeight="18840" activeTab="3"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Abfrage!$A$1:$R$595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98" i="24" l="1"/>
  <c r="C598" i="24" s="1"/>
  <c r="Q598" i="24"/>
  <c r="R598" i="24"/>
  <c r="F597" i="24"/>
  <c r="C597" i="24" s="1"/>
  <c r="Q597" i="24"/>
  <c r="R597" i="24"/>
  <c r="F596" i="24"/>
  <c r="C596" i="24" s="1"/>
  <c r="Q596" i="24"/>
  <c r="R596" i="24"/>
  <c r="R595" i="24"/>
  <c r="Q595" i="24"/>
  <c r="F595" i="24"/>
  <c r="F594" i="24"/>
  <c r="C594" i="24" s="1"/>
  <c r="Q594" i="24"/>
  <c r="R594" i="24"/>
  <c r="C80" i="2"/>
  <c r="E80" i="2" a="1"/>
  <c r="E80" i="2"/>
  <c r="F80" i="2"/>
  <c r="H80" i="2"/>
  <c r="I80" i="2"/>
  <c r="P80" i="2"/>
  <c r="Q80" i="2"/>
  <c r="Q593" i="24"/>
  <c r="R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Q592" i="24"/>
  <c r="R592" i="24"/>
  <c r="Q591" i="24"/>
  <c r="R591" i="24"/>
  <c r="Q587" i="24"/>
  <c r="Q588" i="24"/>
  <c r="Q589" i="24"/>
  <c r="Q590" i="24"/>
  <c r="R587" i="24"/>
  <c r="R588" i="24"/>
  <c r="R589" i="24"/>
  <c r="R590" i="24"/>
  <c r="Q586" i="24"/>
  <c r="R586" i="24"/>
  <c r="Q582" i="24"/>
  <c r="Q583" i="24"/>
  <c r="Q584" i="24"/>
  <c r="Q585" i="24"/>
  <c r="R582" i="24"/>
  <c r="R583" i="24"/>
  <c r="R584" i="24"/>
  <c r="R585" i="24"/>
  <c r="Q571" i="24"/>
  <c r="Q572" i="24"/>
  <c r="Q573" i="24"/>
  <c r="Q574" i="24"/>
  <c r="Q575" i="24"/>
  <c r="Q576" i="24"/>
  <c r="Q577" i="24"/>
  <c r="Q578" i="24"/>
  <c r="Q579" i="24"/>
  <c r="Q580" i="24"/>
  <c r="Q581" i="24"/>
  <c r="R571" i="24"/>
  <c r="R572" i="24"/>
  <c r="R573" i="24"/>
  <c r="R574" i="24"/>
  <c r="R575" i="24"/>
  <c r="R576" i="24"/>
  <c r="R577" i="24"/>
  <c r="R578" i="24"/>
  <c r="R579" i="24"/>
  <c r="R580" i="24"/>
  <c r="R581" i="24"/>
  <c r="Q570" i="24"/>
  <c r="R570" i="24"/>
  <c r="E134" i="14"/>
  <c r="F585" i="24" s="1"/>
  <c r="E133" i="14"/>
  <c r="I73" i="2" s="1"/>
  <c r="H133" i="14"/>
  <c r="H134" i="14" s="1"/>
  <c r="P74" i="2" s="1"/>
  <c r="C74" i="2"/>
  <c r="E74" i="2" a="1"/>
  <c r="E74" i="2" s="1"/>
  <c r="F74" i="2" s="1"/>
  <c r="H74" i="2"/>
  <c r="Q74" i="2"/>
  <c r="C73" i="2"/>
  <c r="E73" i="2" a="1"/>
  <c r="E73" i="2" s="1"/>
  <c r="F73" i="2" s="1"/>
  <c r="H73" i="2"/>
  <c r="P73" i="2"/>
  <c r="Q73" i="2"/>
  <c r="C72" i="2"/>
  <c r="E72" i="2" a="1"/>
  <c r="E72" i="2" s="1"/>
  <c r="F72" i="2" s="1"/>
  <c r="H72" i="2"/>
  <c r="I72" i="2"/>
  <c r="P72" i="2"/>
  <c r="Q72" i="2"/>
  <c r="Q569" i="24"/>
  <c r="R569" i="24"/>
  <c r="C71" i="2"/>
  <c r="E71" i="2" a="1"/>
  <c r="E71" i="2" s="1"/>
  <c r="F71" i="2" s="1"/>
  <c r="H71" i="2"/>
  <c r="Q71" i="2"/>
  <c r="C70" i="2"/>
  <c r="E70" i="2" a="1"/>
  <c r="E70" i="2" s="1"/>
  <c r="F70" i="2" s="1"/>
  <c r="H70" i="2"/>
  <c r="Q70" i="2"/>
  <c r="Q69" i="2"/>
  <c r="H69" i="2"/>
  <c r="E69" i="2" a="1"/>
  <c r="E69" i="2" s="1"/>
  <c r="F69" i="2" s="1"/>
  <c r="C69" i="2"/>
  <c r="E132" i="14"/>
  <c r="I69" i="2" s="1"/>
  <c r="H132" i="14"/>
  <c r="P69" i="2" s="1"/>
  <c r="H131" i="14"/>
  <c r="P70" i="2" s="1"/>
  <c r="E131" i="14"/>
  <c r="I70" i="2" s="1"/>
  <c r="C68" i="2"/>
  <c r="E68" i="2" a="1"/>
  <c r="E68" i="2" s="1"/>
  <c r="F68" i="2" s="1"/>
  <c r="H68" i="2"/>
  <c r="Q68" i="2"/>
  <c r="Q565" i="24"/>
  <c r="Q566" i="24"/>
  <c r="Q567" i="24"/>
  <c r="Q568" i="24"/>
  <c r="R565" i="24"/>
  <c r="R566" i="24"/>
  <c r="R567" i="24"/>
  <c r="R568" i="24"/>
  <c r="Q564" i="24"/>
  <c r="R564" i="24"/>
  <c r="Q563" i="24"/>
  <c r="R563" i="24"/>
  <c r="Q562" i="24"/>
  <c r="R562" i="24"/>
  <c r="Q561" i="24"/>
  <c r="R561" i="24"/>
  <c r="Q560" i="24"/>
  <c r="R560" i="24"/>
  <c r="Q559" i="24"/>
  <c r="R559" i="24"/>
  <c r="Q558" i="24"/>
  <c r="R558" i="24"/>
  <c r="Q557" i="24"/>
  <c r="R557" i="24"/>
  <c r="Q554" i="24"/>
  <c r="Q555" i="24"/>
  <c r="Q556" i="24"/>
  <c r="R554" i="24"/>
  <c r="R555" i="24"/>
  <c r="R556" i="24"/>
  <c r="Q545" i="24"/>
  <c r="Q546" i="24"/>
  <c r="Q547" i="24"/>
  <c r="Q548" i="24"/>
  <c r="Q549" i="24"/>
  <c r="Q550" i="24"/>
  <c r="Q551" i="24"/>
  <c r="Q552" i="24"/>
  <c r="Q553" i="24"/>
  <c r="R545" i="24"/>
  <c r="R546" i="24"/>
  <c r="R547" i="24"/>
  <c r="R548" i="24"/>
  <c r="R549" i="24"/>
  <c r="R550" i="24"/>
  <c r="R551" i="24"/>
  <c r="R552" i="24"/>
  <c r="R553" i="24"/>
  <c r="Q544" i="24"/>
  <c r="R544" i="24"/>
  <c r="Q67" i="2"/>
  <c r="H67" i="2"/>
  <c r="E67" i="2" a="1"/>
  <c r="E67" i="2" s="1"/>
  <c r="F67" i="2" s="1"/>
  <c r="C67" i="2"/>
  <c r="E130" i="14"/>
  <c r="I68" i="2" s="1"/>
  <c r="Q426" i="24"/>
  <c r="R426" i="24"/>
  <c r="Q66" i="2"/>
  <c r="H66" i="2"/>
  <c r="E66" i="2" a="1"/>
  <c r="E66" i="2" s="1"/>
  <c r="F66" i="2" s="1"/>
  <c r="C66" i="2"/>
  <c r="C65" i="2"/>
  <c r="E65" i="2" a="1"/>
  <c r="E65" i="2" s="1"/>
  <c r="F65" i="2" s="1"/>
  <c r="H65" i="2"/>
  <c r="Q65" i="2"/>
  <c r="E129" i="14"/>
  <c r="I64" i="2" s="1"/>
  <c r="H128" i="14"/>
  <c r="H129" i="14" s="1"/>
  <c r="P64" i="2" s="1"/>
  <c r="E128" i="14"/>
  <c r="E127" i="14"/>
  <c r="H127" i="14"/>
  <c r="C64" i="2"/>
  <c r="E64" i="2" a="1"/>
  <c r="E64" i="2" s="1"/>
  <c r="F64" i="2" s="1"/>
  <c r="H64" i="2"/>
  <c r="Q64" i="2"/>
  <c r="AC58" i="12"/>
  <c r="Q538" i="24"/>
  <c r="Q539" i="24"/>
  <c r="Q540" i="24"/>
  <c r="Q541" i="24"/>
  <c r="Q542" i="24"/>
  <c r="Q543" i="24"/>
  <c r="R538" i="24"/>
  <c r="R539" i="24"/>
  <c r="R540" i="24"/>
  <c r="R541" i="24"/>
  <c r="R542" i="24"/>
  <c r="R543" i="24"/>
  <c r="Q532" i="24"/>
  <c r="Q533" i="24"/>
  <c r="Q534" i="24"/>
  <c r="Q535" i="24"/>
  <c r="Q536" i="24"/>
  <c r="Q537" i="24"/>
  <c r="R532" i="24"/>
  <c r="R533" i="24"/>
  <c r="R534" i="24"/>
  <c r="R535" i="24"/>
  <c r="R536" i="24"/>
  <c r="R537" i="24"/>
  <c r="Q519" i="24"/>
  <c r="Q520" i="24"/>
  <c r="Q521" i="24"/>
  <c r="Q522" i="24"/>
  <c r="Q523" i="24"/>
  <c r="Q524" i="24"/>
  <c r="Q525" i="24"/>
  <c r="Q526" i="24"/>
  <c r="Q527" i="24"/>
  <c r="Q528" i="24"/>
  <c r="Q529" i="24"/>
  <c r="Q530" i="24"/>
  <c r="Q531" i="24"/>
  <c r="R519" i="24"/>
  <c r="R520" i="24"/>
  <c r="R521" i="24"/>
  <c r="R522" i="24"/>
  <c r="R523" i="24"/>
  <c r="R524" i="24"/>
  <c r="R525" i="24"/>
  <c r="R526" i="24"/>
  <c r="R527" i="24"/>
  <c r="R528" i="24"/>
  <c r="R529" i="24"/>
  <c r="R530" i="24"/>
  <c r="R531" i="24"/>
  <c r="Q518" i="24"/>
  <c r="R518" i="24"/>
  <c r="C63" i="2"/>
  <c r="E63" i="2" a="1"/>
  <c r="E63" i="2" s="1"/>
  <c r="F63" i="2" s="1"/>
  <c r="H63" i="2"/>
  <c r="Q63" i="2"/>
  <c r="E126" i="14"/>
  <c r="F527" i="24" s="1"/>
  <c r="Q499" i="24"/>
  <c r="R499" i="24"/>
  <c r="Q498" i="24"/>
  <c r="R498" i="24"/>
  <c r="Q496" i="24"/>
  <c r="R496" i="24"/>
  <c r="Q495" i="24"/>
  <c r="R495" i="24"/>
  <c r="Q494" i="24"/>
  <c r="R494" i="24"/>
  <c r="Q493" i="24"/>
  <c r="R493" i="24"/>
  <c r="Q492" i="24"/>
  <c r="R492" i="24"/>
  <c r="Q497" i="24"/>
  <c r="R497" i="24"/>
  <c r="Q491" i="24"/>
  <c r="R491" i="24"/>
  <c r="Q509" i="24"/>
  <c r="Q510" i="24"/>
  <c r="Q511" i="24"/>
  <c r="Q512" i="24"/>
  <c r="Q513" i="24"/>
  <c r="Q514" i="24"/>
  <c r="Q515" i="24"/>
  <c r="Q516" i="24"/>
  <c r="Q517" i="24"/>
  <c r="R509" i="24"/>
  <c r="R510" i="24"/>
  <c r="R511" i="24"/>
  <c r="R512" i="24"/>
  <c r="R513" i="24"/>
  <c r="R514" i="24"/>
  <c r="R515" i="24"/>
  <c r="R516" i="24"/>
  <c r="R517" i="24"/>
  <c r="Q508" i="24"/>
  <c r="R508" i="24"/>
  <c r="Q507" i="24"/>
  <c r="R507" i="24"/>
  <c r="Q506" i="24"/>
  <c r="R506" i="24"/>
  <c r="Q505" i="24"/>
  <c r="R505" i="24"/>
  <c r="Q504" i="24"/>
  <c r="R504" i="24"/>
  <c r="Q503" i="24"/>
  <c r="R503" i="24"/>
  <c r="Q502" i="24"/>
  <c r="R502" i="24"/>
  <c r="Q501" i="24"/>
  <c r="R501" i="24"/>
  <c r="Q490" i="24"/>
  <c r="R490" i="24"/>
  <c r="Q488" i="24"/>
  <c r="R488" i="24"/>
  <c r="Q489" i="24"/>
  <c r="R489" i="24"/>
  <c r="Q500" i="24"/>
  <c r="R500" i="24"/>
  <c r="Q487" i="24"/>
  <c r="R487" i="24"/>
  <c r="Q486" i="24"/>
  <c r="R486" i="24"/>
  <c r="Q485" i="24"/>
  <c r="R485" i="24"/>
  <c r="Q484" i="24"/>
  <c r="R484" i="24"/>
  <c r="Q483" i="24"/>
  <c r="R483" i="24"/>
  <c r="Q469" i="24"/>
  <c r="R469" i="24"/>
  <c r="Q482" i="24"/>
  <c r="R482" i="24"/>
  <c r="Q481" i="24"/>
  <c r="R481" i="24"/>
  <c r="Q480" i="24"/>
  <c r="R480" i="24"/>
  <c r="Q479" i="24"/>
  <c r="R479" i="24"/>
  <c r="Q478" i="24"/>
  <c r="R478" i="24"/>
  <c r="Q477" i="24"/>
  <c r="R477" i="24"/>
  <c r="Q476" i="24"/>
  <c r="R476" i="24"/>
  <c r="Q475" i="24"/>
  <c r="R475" i="24"/>
  <c r="Q474" i="24"/>
  <c r="R474" i="24"/>
  <c r="Q473" i="24"/>
  <c r="R473" i="24"/>
  <c r="Q472" i="24"/>
  <c r="R472" i="24"/>
  <c r="Q471" i="24"/>
  <c r="R471" i="24"/>
  <c r="Q470" i="24"/>
  <c r="R470" i="24"/>
  <c r="Q468" i="24"/>
  <c r="R468" i="24"/>
  <c r="E125" i="14"/>
  <c r="F510" i="24" s="1"/>
  <c r="E123" i="14"/>
  <c r="E124" i="14"/>
  <c r="F479" i="24" s="1"/>
  <c r="H123" i="14"/>
  <c r="H125" i="14" s="1"/>
  <c r="E122" i="14"/>
  <c r="H122" i="14"/>
  <c r="E121" i="14"/>
  <c r="H121" i="14"/>
  <c r="Q465" i="24"/>
  <c r="Q466" i="24"/>
  <c r="Q467" i="24"/>
  <c r="R465" i="24"/>
  <c r="R466" i="24"/>
  <c r="R467" i="24"/>
  <c r="Q464" i="24"/>
  <c r="R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Q461" i="24"/>
  <c r="R461" i="24"/>
  <c r="Q463" i="24"/>
  <c r="R463" i="24"/>
  <c r="Q462" i="24"/>
  <c r="R462" i="24"/>
  <c r="Q460" i="24"/>
  <c r="R460" i="24"/>
  <c r="Q459" i="24"/>
  <c r="R459" i="24"/>
  <c r="Q451" i="24"/>
  <c r="Q452" i="24"/>
  <c r="Q453" i="24"/>
  <c r="Q454" i="24"/>
  <c r="Q455" i="24"/>
  <c r="Q456" i="24"/>
  <c r="Q457" i="24"/>
  <c r="Q458" i="24"/>
  <c r="R451" i="24"/>
  <c r="R452" i="24"/>
  <c r="R453" i="24"/>
  <c r="R454" i="24"/>
  <c r="R455" i="24"/>
  <c r="R456" i="24"/>
  <c r="R457" i="24"/>
  <c r="R458" i="24"/>
  <c r="Q450" i="24"/>
  <c r="R450" i="24"/>
  <c r="C57" i="2"/>
  <c r="E57" i="2" a="1"/>
  <c r="E57" i="2" s="1"/>
  <c r="F57" i="2" s="1"/>
  <c r="H57" i="2"/>
  <c r="Q57" i="2"/>
  <c r="E56" i="2" a="1"/>
  <c r="E56" i="2" s="1"/>
  <c r="F56" i="2" s="1"/>
  <c r="H56" i="2"/>
  <c r="Q56" i="2"/>
  <c r="C56" i="2"/>
  <c r="E119" i="14"/>
  <c r="I56" i="2" s="1"/>
  <c r="Q449" i="24"/>
  <c r="R449" i="24"/>
  <c r="Q448" i="24"/>
  <c r="R448" i="24"/>
  <c r="Q447" i="24"/>
  <c r="R447" i="24"/>
  <c r="Q446" i="24"/>
  <c r="R446" i="24"/>
  <c r="Q445" i="24"/>
  <c r="R445" i="24"/>
  <c r="Q444" i="24"/>
  <c r="R444" i="24"/>
  <c r="Q443" i="24"/>
  <c r="R443" i="24"/>
  <c r="Q442" i="24"/>
  <c r="R442" i="24"/>
  <c r="Q441" i="24"/>
  <c r="R441" i="24"/>
  <c r="C55" i="2"/>
  <c r="E55" i="2" a="1"/>
  <c r="E55" i="2" s="1"/>
  <c r="F55" i="2" s="1"/>
  <c r="H55" i="2"/>
  <c r="Q55" i="2"/>
  <c r="C54" i="2"/>
  <c r="R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7" i="24"/>
  <c r="R428" i="24"/>
  <c r="R429" i="24"/>
  <c r="R430" i="24"/>
  <c r="R431" i="24"/>
  <c r="R432" i="24"/>
  <c r="R433" i="24"/>
  <c r="R434" i="24"/>
  <c r="R435" i="24"/>
  <c r="R436" i="24"/>
  <c r="R437" i="24"/>
  <c r="R438" i="24"/>
  <c r="R439" i="24"/>
  <c r="R440"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7" i="24"/>
  <c r="Q428" i="24"/>
  <c r="Q429" i="24"/>
  <c r="Q430" i="24"/>
  <c r="Q431" i="24"/>
  <c r="Q432" i="24"/>
  <c r="Q433" i="24"/>
  <c r="Q434" i="24"/>
  <c r="Q435" i="24"/>
  <c r="Q436" i="24"/>
  <c r="Q437" i="24"/>
  <c r="Q438" i="24"/>
  <c r="Q439" i="24"/>
  <c r="Q440" i="24"/>
  <c r="E54" i="2" a="1"/>
  <c r="E54" i="2" s="1"/>
  <c r="F54" i="2" s="1"/>
  <c r="H54" i="2"/>
  <c r="Q54" i="2"/>
  <c r="E53" i="2" a="1"/>
  <c r="E53" i="2" s="1"/>
  <c r="F53" i="2" s="1"/>
  <c r="H53" i="2"/>
  <c r="Q53" i="2"/>
  <c r="C53" i="2"/>
  <c r="E118" i="14"/>
  <c r="E117" i="14"/>
  <c r="H117" i="14"/>
  <c r="C52" i="2"/>
  <c r="E52" i="2" a="1"/>
  <c r="E52" i="2" s="1"/>
  <c r="F52" i="2" s="1"/>
  <c r="H52" i="2"/>
  <c r="Q52" i="2"/>
  <c r="C51" i="2"/>
  <c r="E51" i="2" a="1"/>
  <c r="E51" i="2" s="1"/>
  <c r="F51" i="2" s="1"/>
  <c r="H51" i="2"/>
  <c r="Q51" i="2"/>
  <c r="E50" i="2" a="1"/>
  <c r="E50" i="2" s="1"/>
  <c r="F50" i="2" s="1"/>
  <c r="C50" i="2"/>
  <c r="E116" i="14"/>
  <c r="F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F563" i="24" s="1"/>
  <c r="E111" i="14"/>
  <c r="E107" i="14"/>
  <c r="F545" i="24" s="1"/>
  <c r="E108" i="14"/>
  <c r="F552" i="24" s="1"/>
  <c r="E109" i="14"/>
  <c r="F554" i="24" s="1"/>
  <c r="E106" i="14"/>
  <c r="I46" i="2" s="1"/>
  <c r="H106" i="14"/>
  <c r="H112" i="14" s="1"/>
  <c r="E105" i="14"/>
  <c r="H105" i="14"/>
  <c r="E98" i="14"/>
  <c r="F407" i="24" s="1"/>
  <c r="E99" i="14"/>
  <c r="E100" i="14"/>
  <c r="E101" i="14"/>
  <c r="E102" i="14"/>
  <c r="E103" i="14"/>
  <c r="E104" i="14"/>
  <c r="H98" i="14"/>
  <c r="H99" i="14"/>
  <c r="H100" i="14"/>
  <c r="H101" i="14"/>
  <c r="H102" i="14"/>
  <c r="H103" i="14"/>
  <c r="H104" i="14"/>
  <c r="E97" i="14"/>
  <c r="I79" i="2" s="1"/>
  <c r="H97" i="14"/>
  <c r="P79" i="2" s="1"/>
  <c r="C45" i="2"/>
  <c r="E45" i="2" a="1"/>
  <c r="E45" i="2" s="1"/>
  <c r="F45" i="2" s="1"/>
  <c r="H45" i="2"/>
  <c r="Q45" i="2"/>
  <c r="E96" i="14"/>
  <c r="F346" i="24" s="1"/>
  <c r="E95" i="14"/>
  <c r="H95" i="14"/>
  <c r="H96" i="1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H94" i="14"/>
  <c r="P58" i="2" s="1"/>
  <c r="E93" i="14"/>
  <c r="H93" i="14"/>
  <c r="Q40" i="2"/>
  <c r="H40" i="2"/>
  <c r="E40" i="2" a="1"/>
  <c r="E40" i="2" s="1"/>
  <c r="F40" i="2" s="1"/>
  <c r="C40" i="2"/>
  <c r="E92" i="14"/>
  <c r="E91" i="14"/>
  <c r="E90" i="14"/>
  <c r="E89" i="14"/>
  <c r="H89" i="14"/>
  <c r="H92" i="14" s="1"/>
  <c r="E88" i="14"/>
  <c r="F335" i="24" s="1"/>
  <c r="E87" i="14"/>
  <c r="F331" i="24" s="1"/>
  <c r="E86" i="14"/>
  <c r="F322" i="24" s="1"/>
  <c r="E81" i="14"/>
  <c r="F262" i="24" s="1"/>
  <c r="E82" i="14"/>
  <c r="F274" i="24" s="1"/>
  <c r="E83" i="14"/>
  <c r="F283" i="24" s="1"/>
  <c r="E84" i="14"/>
  <c r="F310" i="24" s="1"/>
  <c r="E85" i="14"/>
  <c r="H84" i="14"/>
  <c r="H86" i="14" s="1"/>
  <c r="E80" i="14"/>
  <c r="H80" i="14"/>
  <c r="H81" i="14" s="1"/>
  <c r="E79" i="14"/>
  <c r="F260" i="24" s="1"/>
  <c r="E78" i="14"/>
  <c r="H78" i="14"/>
  <c r="H79" i="14" s="1"/>
  <c r="Q39" i="2"/>
  <c r="H39" i="2"/>
  <c r="E39" i="2" a="1"/>
  <c r="E39" i="2" s="1"/>
  <c r="F39" i="2" s="1"/>
  <c r="C39" i="2"/>
  <c r="C38" i="2"/>
  <c r="E38" i="2" a="1"/>
  <c r="E38" i="2" s="1"/>
  <c r="F38" i="2" s="1"/>
  <c r="H38" i="2"/>
  <c r="Q38" i="2"/>
  <c r="E77" i="14"/>
  <c r="F257" i="24" s="1"/>
  <c r="E74" i="14"/>
  <c r="F233" i="24" s="1"/>
  <c r="E75" i="14"/>
  <c r="F247" i="24" s="1"/>
  <c r="E76" i="14"/>
  <c r="F251" i="24" s="1"/>
  <c r="H77" i="14"/>
  <c r="E73" i="14"/>
  <c r="I39" i="2" s="1"/>
  <c r="H73" i="14"/>
  <c r="H74" i="14" s="1"/>
  <c r="AC51" i="12"/>
  <c r="AC50" i="12"/>
  <c r="AC49" i="12"/>
  <c r="AC48" i="12"/>
  <c r="AC47" i="12"/>
  <c r="AC46" i="12"/>
  <c r="AC45" i="12"/>
  <c r="AC44" i="12"/>
  <c r="AC43" i="12"/>
  <c r="Q37" i="2"/>
  <c r="H37" i="2"/>
  <c r="E37" i="2" a="1"/>
  <c r="E37" i="2" s="1"/>
  <c r="F37" i="2" s="1"/>
  <c r="C37" i="2"/>
  <c r="E72" i="14"/>
  <c r="I59" i="2" s="1"/>
  <c r="E71" i="14"/>
  <c r="F341" i="24" s="1"/>
  <c r="Q36" i="2"/>
  <c r="H36" i="2"/>
  <c r="E36" i="2" a="1"/>
  <c r="E36" i="2" s="1"/>
  <c r="F36" i="2" s="1"/>
  <c r="C36" i="2"/>
  <c r="Q35" i="2"/>
  <c r="H35" i="2"/>
  <c r="E35" i="2" a="1"/>
  <c r="E35" i="2" s="1"/>
  <c r="F35" i="2" s="1"/>
  <c r="C35" i="2"/>
  <c r="E70" i="14"/>
  <c r="F440" i="24" s="1"/>
  <c r="E69" i="14"/>
  <c r="H69" i="14"/>
  <c r="H70" i="1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H63" i="14"/>
  <c r="H68" i="14" s="1"/>
  <c r="E57" i="14"/>
  <c r="E58" i="14"/>
  <c r="E59" i="14"/>
  <c r="E60" i="14"/>
  <c r="E61" i="14"/>
  <c r="E62" i="14"/>
  <c r="H57" i="14"/>
  <c r="H58" i="14" s="1"/>
  <c r="E56" i="14"/>
  <c r="E55" i="14"/>
  <c r="E54" i="14"/>
  <c r="I33" i="2" s="1"/>
  <c r="E53" i="14"/>
  <c r="I32" i="2" s="1"/>
  <c r="H53" i="14"/>
  <c r="H56" i="14" s="1"/>
  <c r="Q31" i="2"/>
  <c r="H31" i="2"/>
  <c r="E31" i="2" a="1"/>
  <c r="E31" i="2" s="1"/>
  <c r="F31" i="2" s="1"/>
  <c r="C31" i="2"/>
  <c r="E52" i="14"/>
  <c r="F429" i="24" s="1"/>
  <c r="E51" i="14"/>
  <c r="F428" i="24" s="1"/>
  <c r="E50" i="14"/>
  <c r="F422" i="24" s="1"/>
  <c r="E49" i="14"/>
  <c r="I66" i="2" s="1"/>
  <c r="E48" i="14"/>
  <c r="F420" i="24" s="1"/>
  <c r="E47" i="14"/>
  <c r="F413" i="24" s="1"/>
  <c r="E46" i="14"/>
  <c r="F229" i="24" s="1"/>
  <c r="E45" i="14"/>
  <c r="F222" i="24" s="1"/>
  <c r="E44" i="14"/>
  <c r="F218" i="24" s="1"/>
  <c r="E43" i="14"/>
  <c r="I49" i="2" s="1"/>
  <c r="E38" i="14"/>
  <c r="I48" i="2" s="1"/>
  <c r="E39" i="14"/>
  <c r="F187" i="24" s="1"/>
  <c r="E40" i="14"/>
  <c r="F431" i="24" s="1"/>
  <c r="E41" i="14"/>
  <c r="F204" i="24" s="1"/>
  <c r="E42" i="14"/>
  <c r="F208" i="24" s="1"/>
  <c r="E37" i="14"/>
  <c r="F176" i="24" s="1"/>
  <c r="E36" i="14"/>
  <c r="I31" i="2" s="1"/>
  <c r="H36" i="14"/>
  <c r="H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H35" i="14"/>
  <c r="P30" i="2" s="1"/>
  <c r="Q29" i="2"/>
  <c r="H29" i="2"/>
  <c r="E29" i="2" a="1"/>
  <c r="E29" i="2" s="1"/>
  <c r="F29" i="2" s="1"/>
  <c r="C29" i="2"/>
  <c r="Q28" i="2"/>
  <c r="H28" i="2"/>
  <c r="E28" i="2" a="1"/>
  <c r="E28" i="2" s="1"/>
  <c r="F28" i="2" s="1"/>
  <c r="C28" i="2"/>
  <c r="C27" i="2"/>
  <c r="E27" i="2" a="1"/>
  <c r="E27" i="2" s="1"/>
  <c r="F27" i="2" s="1"/>
  <c r="H27" i="2"/>
  <c r="Q27" i="2"/>
  <c r="E31" i="14"/>
  <c r="E34" i="14"/>
  <c r="I29" i="2" s="1"/>
  <c r="E33" i="14"/>
  <c r="F165" i="24" s="1"/>
  <c r="E30" i="14"/>
  <c r="F152" i="24" s="1"/>
  <c r="H32" i="14"/>
  <c r="H34" i="14" s="1"/>
  <c r="P29" i="2" s="1"/>
  <c r="E29" i="14"/>
  <c r="F157" i="24" s="1"/>
  <c r="E32" i="14"/>
  <c r="I36" i="2" s="1"/>
  <c r="E28" i="14"/>
  <c r="I27" i="2" s="1"/>
  <c r="H28" i="14"/>
  <c r="H29" i="14" s="1"/>
  <c r="C26" i="2"/>
  <c r="E26" i="2" a="1"/>
  <c r="E26" i="2" s="1"/>
  <c r="F26" i="2" s="1"/>
  <c r="H26" i="2"/>
  <c r="Q26" i="2"/>
  <c r="Q25" i="2"/>
  <c r="H25" i="2"/>
  <c r="E25" i="2" a="1"/>
  <c r="E25" i="2" s="1"/>
  <c r="F25" i="2" s="1"/>
  <c r="C25" i="2"/>
  <c r="E27" i="14"/>
  <c r="F123" i="24" s="1"/>
  <c r="H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F18" i="24" s="1"/>
  <c r="E15" i="14"/>
  <c r="F14" i="24" s="1"/>
  <c r="E26" i="14"/>
  <c r="I23" i="2" s="1"/>
  <c r="E16" i="14"/>
  <c r="F5" i="24" s="1"/>
  <c r="G5" i="24" s="1" a="1"/>
  <c r="G5" i="24" s="1"/>
  <c r="E17" i="14"/>
  <c r="E8" i="14"/>
  <c r="F38" i="24" s="1"/>
  <c r="E9" i="14"/>
  <c r="I12" i="2" s="1"/>
  <c r="E10" i="14"/>
  <c r="I20" i="2" s="1"/>
  <c r="E11" i="14"/>
  <c r="I22" i="2" s="1"/>
  <c r="E12" i="14"/>
  <c r="F73" i="24" s="1"/>
  <c r="E13" i="14"/>
  <c r="F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H14" i="14"/>
  <c r="Q17" i="2"/>
  <c r="H17" i="2"/>
  <c r="E17" i="2" a="1"/>
  <c r="E17" i="2" s="1"/>
  <c r="F17" i="2" s="1"/>
  <c r="C17" i="2"/>
  <c r="Q16" i="2"/>
  <c r="H16" i="2"/>
  <c r="E16" i="2" a="1"/>
  <c r="E16" i="2" s="1"/>
  <c r="F16" i="2" s="1"/>
  <c r="C16" i="2"/>
  <c r="F10" i="22" a="1"/>
  <c r="F10" i="22" s="1"/>
  <c r="D10" i="22" a="1"/>
  <c r="D10" i="22" s="1"/>
  <c r="H11" i="14"/>
  <c r="P15" i="2" s="1"/>
  <c r="Q15" i="2"/>
  <c r="H15" i="2"/>
  <c r="E15" i="2" a="1"/>
  <c r="E15" i="2" s="1"/>
  <c r="F15" i="2" s="1"/>
  <c r="C15" i="2"/>
  <c r="Q14" i="2"/>
  <c r="H14" i="2"/>
  <c r="E14" i="2" a="1"/>
  <c r="E14" i="2" s="1"/>
  <c r="F14" i="2" s="1"/>
  <c r="C14" i="2"/>
  <c r="H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H9" i="14"/>
  <c r="Q12" i="2"/>
  <c r="H12" i="2"/>
  <c r="C12" i="2"/>
  <c r="H8" i="14"/>
  <c r="P11" i="2" s="1"/>
  <c r="Q11" i="2"/>
  <c r="H11" i="2"/>
  <c r="C11" i="2"/>
  <c r="Q3" i="2"/>
  <c r="Q4" i="2"/>
  <c r="Q5" i="2"/>
  <c r="Q6" i="2"/>
  <c r="Q7" i="2"/>
  <c r="Q8" i="2"/>
  <c r="Q9" i="2"/>
  <c r="Q10" i="2"/>
  <c r="H6" i="14"/>
  <c r="P10" i="2" s="1"/>
  <c r="H7" i="14"/>
  <c r="P19" i="2" s="1"/>
  <c r="H10" i="2"/>
  <c r="C10" i="2"/>
  <c r="H9" i="2"/>
  <c r="C9" i="2"/>
  <c r="H8" i="2"/>
  <c r="C8" i="2"/>
  <c r="H5" i="14"/>
  <c r="H17" i="14"/>
  <c r="H3" i="14" s="1"/>
  <c r="H16" i="14"/>
  <c r="P16" i="2" s="1"/>
  <c r="H15" i="14"/>
  <c r="P18" i="2" s="1"/>
  <c r="H26" i="14"/>
  <c r="P23" i="2" s="1"/>
  <c r="H13" i="14"/>
  <c r="P17" i="2" s="1"/>
  <c r="H12" i="14"/>
  <c r="P14" i="2" s="1"/>
  <c r="H7" i="2"/>
  <c r="C7" i="2"/>
  <c r="H6" i="2"/>
  <c r="C6" i="2"/>
  <c r="H5" i="2"/>
  <c r="C5" i="2"/>
  <c r="H3" i="2"/>
  <c r="H4" i="2"/>
  <c r="C4" i="2"/>
  <c r="C3" i="2"/>
  <c r="I10" i="22" a="1"/>
  <c r="I10" i="22" s="1"/>
  <c r="H10" i="22" a="1"/>
  <c r="H10" i="22" s="1"/>
  <c r="H18" i="14"/>
  <c r="H19" i="14" s="1"/>
  <c r="P24" i="2" s="1"/>
  <c r="G10" i="22" a="1"/>
  <c r="G10" i="22" s="1"/>
  <c r="C595" i="24" l="1"/>
  <c r="D5" i="24"/>
  <c r="F593" i="24"/>
  <c r="F521" i="24"/>
  <c r="H136" i="14"/>
  <c r="P78" i="2" s="1"/>
  <c r="H135" i="14"/>
  <c r="P77" i="2" s="1"/>
  <c r="C585" i="24"/>
  <c r="F581" i="24"/>
  <c r="F571" i="24"/>
  <c r="F584" i="24"/>
  <c r="F591" i="24"/>
  <c r="F580" i="24"/>
  <c r="F583" i="24"/>
  <c r="F579" i="24"/>
  <c r="F582" i="24"/>
  <c r="F578" i="24"/>
  <c r="F592" i="24"/>
  <c r="F577" i="24"/>
  <c r="F590" i="24"/>
  <c r="F576" i="24"/>
  <c r="F586" i="24"/>
  <c r="F589" i="24"/>
  <c r="F575" i="24"/>
  <c r="F588" i="24"/>
  <c r="F570" i="24"/>
  <c r="F574" i="24"/>
  <c r="F587" i="24"/>
  <c r="F573" i="24"/>
  <c r="F572" i="24"/>
  <c r="I74" i="2"/>
  <c r="F569" i="24"/>
  <c r="I71" i="2"/>
  <c r="F551" i="24"/>
  <c r="C563" i="24"/>
  <c r="F561" i="24"/>
  <c r="C554" i="24"/>
  <c r="C545" i="24"/>
  <c r="C187" i="24"/>
  <c r="F560" i="24"/>
  <c r="F553" i="24"/>
  <c r="F557" i="24"/>
  <c r="F568" i="24"/>
  <c r="F544" i="24"/>
  <c r="F564" i="24"/>
  <c r="F567" i="24"/>
  <c r="F566" i="24"/>
  <c r="F550" i="24"/>
  <c r="F558" i="24"/>
  <c r="F565" i="24"/>
  <c r="F549" i="24"/>
  <c r="F548" i="24"/>
  <c r="F556" i="24"/>
  <c r="F562" i="24"/>
  <c r="I67" i="2"/>
  <c r="F547" i="24"/>
  <c r="F555" i="24"/>
  <c r="F559" i="24"/>
  <c r="P67" i="2"/>
  <c r="F546" i="24"/>
  <c r="C553" i="24"/>
  <c r="C552" i="24"/>
  <c r="I65" i="2"/>
  <c r="C229" i="24"/>
  <c r="C413" i="24"/>
  <c r="F426" i="24"/>
  <c r="C176" i="24"/>
  <c r="H130" i="14"/>
  <c r="P68" i="2" s="1"/>
  <c r="H118" i="14"/>
  <c r="F541" i="24"/>
  <c r="F500" i="24"/>
  <c r="F535" i="24"/>
  <c r="F534" i="24"/>
  <c r="F542" i="24"/>
  <c r="F543" i="24"/>
  <c r="I44" i="2"/>
  <c r="F537" i="24"/>
  <c r="F538" i="24"/>
  <c r="C527" i="24"/>
  <c r="F533" i="24"/>
  <c r="F532" i="24"/>
  <c r="F536" i="24"/>
  <c r="F540" i="24"/>
  <c r="F539" i="24"/>
  <c r="Y58" i="12"/>
  <c r="AA58" i="12" s="1"/>
  <c r="D58" i="12"/>
  <c r="F58" i="12" s="1"/>
  <c r="G58" i="12"/>
  <c r="I58" i="12" s="1"/>
  <c r="J58" i="12"/>
  <c r="L58" i="12" s="1"/>
  <c r="M58" i="12"/>
  <c r="O58" i="12" s="1"/>
  <c r="P58" i="12"/>
  <c r="R58" i="12" s="1"/>
  <c r="S58" i="12"/>
  <c r="U58" i="12" s="1"/>
  <c r="V58" i="12"/>
  <c r="X58" i="12" s="1"/>
  <c r="F518" i="24"/>
  <c r="F528" i="24"/>
  <c r="F484" i="24"/>
  <c r="F519" i="24"/>
  <c r="F529" i="24"/>
  <c r="F507" i="24"/>
  <c r="F520" i="24"/>
  <c r="F530" i="24"/>
  <c r="F531" i="24"/>
  <c r="F473" i="24"/>
  <c r="I63" i="2"/>
  <c r="F522" i="24"/>
  <c r="F523" i="24"/>
  <c r="F469" i="24"/>
  <c r="F524" i="24"/>
  <c r="F470" i="24"/>
  <c r="F505" i="24"/>
  <c r="F525" i="24"/>
  <c r="F526" i="24"/>
  <c r="F480" i="24"/>
  <c r="C521" i="24"/>
  <c r="H124" i="14"/>
  <c r="P61" i="2" s="1"/>
  <c r="P62" i="2"/>
  <c r="H126" i="14"/>
  <c r="P63" i="2" s="1"/>
  <c r="F509" i="24"/>
  <c r="F504" i="24"/>
  <c r="F496" i="24"/>
  <c r="F501" i="24"/>
  <c r="F517" i="24"/>
  <c r="F493" i="24"/>
  <c r="F485" i="24"/>
  <c r="F508" i="24"/>
  <c r="F516" i="24"/>
  <c r="F491" i="24"/>
  <c r="F515" i="24"/>
  <c r="F498" i="24"/>
  <c r="F488" i="24"/>
  <c r="F502" i="24"/>
  <c r="F514" i="24"/>
  <c r="F494" i="24"/>
  <c r="F475" i="24"/>
  <c r="F513" i="24"/>
  <c r="F497" i="24"/>
  <c r="C479" i="24"/>
  <c r="F506" i="24"/>
  <c r="F512" i="24"/>
  <c r="F499" i="24"/>
  <c r="F489" i="24"/>
  <c r="F503" i="24"/>
  <c r="F511" i="24"/>
  <c r="F495" i="24"/>
  <c r="F476" i="24"/>
  <c r="F490" i="24"/>
  <c r="F492" i="24"/>
  <c r="C515" i="24"/>
  <c r="C510" i="24"/>
  <c r="F477" i="24"/>
  <c r="F486" i="24"/>
  <c r="F474" i="24"/>
  <c r="F483" i="24"/>
  <c r="F471" i="24"/>
  <c r="F481" i="24"/>
  <c r="F478" i="24"/>
  <c r="F487" i="24"/>
  <c r="F472" i="24"/>
  <c r="F482" i="24"/>
  <c r="F468" i="24"/>
  <c r="I62" i="2"/>
  <c r="I61" i="2"/>
  <c r="P41" i="2"/>
  <c r="F464" i="24"/>
  <c r="F466" i="24"/>
  <c r="F467" i="24"/>
  <c r="F465" i="24"/>
  <c r="H120" i="14"/>
  <c r="P60" i="2" s="1"/>
  <c r="I60" i="2"/>
  <c r="F450" i="24"/>
  <c r="F460" i="24"/>
  <c r="F455" i="24"/>
  <c r="F452" i="24"/>
  <c r="F462" i="24"/>
  <c r="I57" i="2"/>
  <c r="F451" i="24"/>
  <c r="F463" i="24"/>
  <c r="F458" i="24"/>
  <c r="F459" i="24"/>
  <c r="F457" i="24"/>
  <c r="F456" i="24"/>
  <c r="F461" i="24"/>
  <c r="F454" i="24"/>
  <c r="F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F351" i="24"/>
  <c r="C428" i="24"/>
  <c r="C260" i="24"/>
  <c r="C331" i="24"/>
  <c r="C429" i="24"/>
  <c r="C335" i="24"/>
  <c r="C346" i="24"/>
  <c r="C407" i="24"/>
  <c r="C310" i="24"/>
  <c r="C251" i="24"/>
  <c r="C283" i="24"/>
  <c r="C439" i="24"/>
  <c r="C420" i="24"/>
  <c r="C247" i="24"/>
  <c r="C274" i="24"/>
  <c r="C341" i="24"/>
  <c r="C233" i="24"/>
  <c r="C262" i="24"/>
  <c r="C431" i="24"/>
  <c r="C422" i="24"/>
  <c r="C440" i="24"/>
  <c r="C257" i="24"/>
  <c r="C322" i="24"/>
  <c r="H119" i="14"/>
  <c r="P56" i="2" s="1"/>
  <c r="H113" i="14"/>
  <c r="F349" i="24"/>
  <c r="F446" i="24"/>
  <c r="F443" i="24"/>
  <c r="F434" i="24"/>
  <c r="F447" i="24"/>
  <c r="F435" i="24"/>
  <c r="F444" i="24"/>
  <c r="F436" i="24"/>
  <c r="F441" i="24"/>
  <c r="F448" i="24"/>
  <c r="F445" i="24"/>
  <c r="F358" i="24"/>
  <c r="F442" i="24"/>
  <c r="F449" i="24"/>
  <c r="I54" i="2"/>
  <c r="P55" i="2"/>
  <c r="I53" i="2"/>
  <c r="I55" i="2"/>
  <c r="F381" i="24"/>
  <c r="F437" i="24"/>
  <c r="F438" i="24"/>
  <c r="P52" i="2"/>
  <c r="I52" i="2"/>
  <c r="P51" i="2"/>
  <c r="I51" i="2"/>
  <c r="J46" i="12"/>
  <c r="L46" i="12" s="1"/>
  <c r="P46" i="2"/>
  <c r="H116" i="14"/>
  <c r="P50" i="2" s="1"/>
  <c r="F226" i="24"/>
  <c r="I47" i="2"/>
  <c r="F432" i="24"/>
  <c r="I50" i="2"/>
  <c r="F433" i="24"/>
  <c r="V50" i="12"/>
  <c r="X50" i="12" s="1"/>
  <c r="Y46" i="12"/>
  <c r="AA46" i="12" s="1"/>
  <c r="G50" i="12"/>
  <c r="I50" i="12" s="1"/>
  <c r="D50" i="12"/>
  <c r="F50" i="12" s="1"/>
  <c r="D49" i="12"/>
  <c r="F49" i="12" s="1"/>
  <c r="J51" i="12"/>
  <c r="L51" i="12" s="1"/>
  <c r="H115" i="14"/>
  <c r="H114" i="14"/>
  <c r="H107" i="14"/>
  <c r="H111" i="14"/>
  <c r="F360" i="24"/>
  <c r="H108" i="14"/>
  <c r="H109" i="14" s="1"/>
  <c r="F355" i="24"/>
  <c r="F345" i="24"/>
  <c r="F353" i="24"/>
  <c r="F362" i="24"/>
  <c r="F352" i="24"/>
  <c r="F361" i="24"/>
  <c r="F394" i="24"/>
  <c r="F350" i="24"/>
  <c r="F359" i="24"/>
  <c r="F377" i="24"/>
  <c r="F369" i="24"/>
  <c r="F404" i="24"/>
  <c r="F347" i="24"/>
  <c r="F348" i="24"/>
  <c r="F391" i="24"/>
  <c r="F387" i="24"/>
  <c r="F357" i="24"/>
  <c r="F401" i="24"/>
  <c r="F356" i="24"/>
  <c r="F367" i="24"/>
  <c r="F363" i="24"/>
  <c r="F384" i="24"/>
  <c r="F411" i="24"/>
  <c r="F368" i="24"/>
  <c r="F378" i="24"/>
  <c r="F388" i="24"/>
  <c r="F398" i="24"/>
  <c r="F408" i="24"/>
  <c r="F418" i="24"/>
  <c r="F375" i="24"/>
  <c r="F385" i="24"/>
  <c r="F395" i="24"/>
  <c r="F405" i="24"/>
  <c r="F419" i="24"/>
  <c r="F425" i="24"/>
  <c r="F354" i="24"/>
  <c r="F366" i="24"/>
  <c r="F374" i="24"/>
  <c r="F382" i="24"/>
  <c r="F392" i="24"/>
  <c r="F402" i="24"/>
  <c r="F412" i="24"/>
  <c r="F365" i="24"/>
  <c r="F373" i="24"/>
  <c r="F379" i="24"/>
  <c r="F389" i="24"/>
  <c r="F399" i="24"/>
  <c r="F409" i="24"/>
  <c r="F417" i="24"/>
  <c r="F344" i="24"/>
  <c r="F364" i="24"/>
  <c r="F372" i="24"/>
  <c r="F376" i="24"/>
  <c r="F386" i="24"/>
  <c r="F396" i="24"/>
  <c r="F406" i="24"/>
  <c r="F416" i="24"/>
  <c r="F423" i="24"/>
  <c r="F427" i="24"/>
  <c r="F371" i="24"/>
  <c r="F383" i="24"/>
  <c r="F393" i="24"/>
  <c r="F403" i="24"/>
  <c r="F415" i="24"/>
  <c r="F430" i="24"/>
  <c r="F370" i="24"/>
  <c r="F380" i="24"/>
  <c r="F390" i="24"/>
  <c r="F400" i="24"/>
  <c r="F410" i="24"/>
  <c r="F414" i="24"/>
  <c r="F421" i="24"/>
  <c r="F397" i="24"/>
  <c r="F424" i="24"/>
  <c r="C424" i="24" s="1"/>
  <c r="P45" i="2"/>
  <c r="I45" i="2"/>
  <c r="D46" i="12"/>
  <c r="F46" i="12" s="1"/>
  <c r="F340" i="24"/>
  <c r="I43" i="2"/>
  <c r="P44" i="2"/>
  <c r="P42" i="2"/>
  <c r="F343" i="24"/>
  <c r="I42" i="2"/>
  <c r="F342" i="24"/>
  <c r="D45" i="12"/>
  <c r="F45" i="12" s="1"/>
  <c r="F264" i="24"/>
  <c r="F272" i="24"/>
  <c r="F263" i="24"/>
  <c r="F268" i="24"/>
  <c r="F316" i="24"/>
  <c r="F289" i="24"/>
  <c r="F278" i="24"/>
  <c r="F303" i="24"/>
  <c r="H90" i="14"/>
  <c r="H91" i="14"/>
  <c r="F266" i="24"/>
  <c r="F292" i="24"/>
  <c r="F306" i="24"/>
  <c r="F319" i="24"/>
  <c r="F309" i="24"/>
  <c r="F321" i="24"/>
  <c r="F265" i="24"/>
  <c r="F291" i="24"/>
  <c r="F305" i="24"/>
  <c r="F318" i="24"/>
  <c r="F334" i="24"/>
  <c r="F273" i="24"/>
  <c r="F290" i="24"/>
  <c r="F304" i="24"/>
  <c r="F317" i="24"/>
  <c r="F329" i="24"/>
  <c r="F333" i="24"/>
  <c r="F320" i="24"/>
  <c r="F328" i="24"/>
  <c r="F330" i="24"/>
  <c r="F271" i="24"/>
  <c r="F277" i="24"/>
  <c r="F281" i="24"/>
  <c r="F288" i="24"/>
  <c r="F296" i="24"/>
  <c r="F302" i="24"/>
  <c r="F315" i="24"/>
  <c r="F327" i="24"/>
  <c r="F270" i="24"/>
  <c r="F276" i="24"/>
  <c r="F280" i="24"/>
  <c r="F287" i="24"/>
  <c r="F301" i="24"/>
  <c r="F314" i="24"/>
  <c r="F326" i="24"/>
  <c r="F339" i="24"/>
  <c r="I40" i="2"/>
  <c r="F297" i="24"/>
  <c r="F269" i="24"/>
  <c r="F275" i="24"/>
  <c r="F279" i="24"/>
  <c r="F286" i="24"/>
  <c r="F295" i="24"/>
  <c r="F300" i="24"/>
  <c r="F313" i="24"/>
  <c r="F325" i="24"/>
  <c r="F338" i="24"/>
  <c r="P40" i="2"/>
  <c r="F285" i="24"/>
  <c r="F294" i="24"/>
  <c r="F298" i="24"/>
  <c r="F299" i="24"/>
  <c r="F312" i="24"/>
  <c r="F324" i="24"/>
  <c r="F337" i="24"/>
  <c r="F267" i="24"/>
  <c r="F284" i="24"/>
  <c r="F293" i="24"/>
  <c r="F308" i="24"/>
  <c r="F311" i="24"/>
  <c r="F323" i="24"/>
  <c r="F332" i="24"/>
  <c r="F336" i="24"/>
  <c r="F282" i="24"/>
  <c r="F307" i="24"/>
  <c r="H85" i="14"/>
  <c r="H87" i="14"/>
  <c r="F231" i="24"/>
  <c r="H88" i="14"/>
  <c r="H83" i="14"/>
  <c r="F258" i="24"/>
  <c r="F261" i="24"/>
  <c r="I38" i="2"/>
  <c r="H82" i="14"/>
  <c r="F259" i="24"/>
  <c r="F245" i="24"/>
  <c r="F241" i="24"/>
  <c r="F242" i="24"/>
  <c r="F239" i="24"/>
  <c r="F252" i="24"/>
  <c r="F232" i="24"/>
  <c r="F246" i="24"/>
  <c r="F243" i="24"/>
  <c r="F240" i="24"/>
  <c r="F256" i="24"/>
  <c r="F255" i="24"/>
  <c r="P39" i="2"/>
  <c r="F238" i="24"/>
  <c r="F244" i="24"/>
  <c r="F254" i="24"/>
  <c r="F237" i="24"/>
  <c r="F253" i="24"/>
  <c r="F236" i="24"/>
  <c r="F235" i="24"/>
  <c r="F249" i="24"/>
  <c r="F250" i="24"/>
  <c r="F234" i="24"/>
  <c r="F248" i="24"/>
  <c r="P38" i="2"/>
  <c r="H76" i="14"/>
  <c r="H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H72" i="14"/>
  <c r="P59" i="2" s="1"/>
  <c r="H71" i="14"/>
  <c r="C222" i="24"/>
  <c r="P36" i="2"/>
  <c r="F205" i="24"/>
  <c r="I35" i="2"/>
  <c r="F215" i="24"/>
  <c r="P35" i="2"/>
  <c r="C218" i="24"/>
  <c r="F225" i="24"/>
  <c r="F201" i="24"/>
  <c r="C201" i="24" s="1"/>
  <c r="C204" i="24"/>
  <c r="P32" i="2"/>
  <c r="H65" i="14"/>
  <c r="F188" i="24"/>
  <c r="F200" i="24"/>
  <c r="C200" i="24" s="1"/>
  <c r="F202" i="24"/>
  <c r="F212" i="24"/>
  <c r="F223" i="24"/>
  <c r="H66" i="14"/>
  <c r="F199" i="24"/>
  <c r="C199" i="24" s="1"/>
  <c r="F209" i="24"/>
  <c r="F219" i="24"/>
  <c r="F230" i="24"/>
  <c r="F206" i="24"/>
  <c r="F216" i="24"/>
  <c r="F227" i="24"/>
  <c r="H67" i="14"/>
  <c r="F191" i="24"/>
  <c r="C191" i="24" s="1"/>
  <c r="F203" i="24"/>
  <c r="F213" i="24"/>
  <c r="F221" i="24"/>
  <c r="F210" i="24"/>
  <c r="F220" i="24"/>
  <c r="F198" i="24"/>
  <c r="C198" i="24" s="1"/>
  <c r="F207" i="24"/>
  <c r="F217" i="24"/>
  <c r="F228" i="24"/>
  <c r="I34" i="2"/>
  <c r="F195" i="24"/>
  <c r="C195" i="24" s="1"/>
  <c r="F197" i="24"/>
  <c r="C197" i="24" s="1"/>
  <c r="F214" i="24"/>
  <c r="F224" i="24"/>
  <c r="H64" i="14"/>
  <c r="F194" i="24"/>
  <c r="C194" i="24" s="1"/>
  <c r="F196" i="24"/>
  <c r="C196" i="24" s="1"/>
  <c r="F211" i="24"/>
  <c r="F193" i="24"/>
  <c r="C193" i="24" s="1"/>
  <c r="F192" i="24"/>
  <c r="C192" i="24" s="1"/>
  <c r="G11" i="12"/>
  <c r="I11" i="12" s="1"/>
  <c r="H61" i="14"/>
  <c r="H62" i="14"/>
  <c r="H60" i="14"/>
  <c r="H59" i="14"/>
  <c r="H55" i="14"/>
  <c r="H54" i="14"/>
  <c r="P33" i="2" s="1"/>
  <c r="F48" i="24"/>
  <c r="F44" i="24"/>
  <c r="F159" i="24"/>
  <c r="F175" i="24"/>
  <c r="F174" i="24"/>
  <c r="F185" i="24"/>
  <c r="F172" i="24"/>
  <c r="F173" i="24"/>
  <c r="F182" i="24"/>
  <c r="F184" i="24"/>
  <c r="F189" i="24"/>
  <c r="F181" i="24"/>
  <c r="F183" i="24"/>
  <c r="F186" i="24"/>
  <c r="F180" i="24"/>
  <c r="F179" i="24"/>
  <c r="F178" i="24"/>
  <c r="F190" i="24"/>
  <c r="P31" i="2"/>
  <c r="F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H49" i="14"/>
  <c r="H43" i="14"/>
  <c r="F146" i="24"/>
  <c r="H38" i="14"/>
  <c r="P48" i="2" s="1"/>
  <c r="F158" i="24"/>
  <c r="F151" i="24"/>
  <c r="F150" i="24"/>
  <c r="I16" i="2"/>
  <c r="F160" i="24"/>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F169" i="24"/>
  <c r="F168" i="24"/>
  <c r="F167" i="24"/>
  <c r="F171" i="24"/>
  <c r="F148" i="24"/>
  <c r="F166" i="24"/>
  <c r="F170" i="24"/>
  <c r="F147" i="24"/>
  <c r="F161" i="24"/>
  <c r="I28" i="2"/>
  <c r="F163" i="24"/>
  <c r="F164" i="24"/>
  <c r="F162" i="24"/>
  <c r="H31" i="14"/>
  <c r="F149" i="24"/>
  <c r="H33" i="14"/>
  <c r="P28" i="2" s="1"/>
  <c r="F57" i="24"/>
  <c r="F156" i="24"/>
  <c r="F155" i="24"/>
  <c r="F154" i="24"/>
  <c r="F153" i="24"/>
  <c r="I13" i="2"/>
  <c r="F51" i="24"/>
  <c r="F55" i="24"/>
  <c r="H30" i="14"/>
  <c r="F76" i="24"/>
  <c r="F97" i="24"/>
  <c r="F80" i="24"/>
  <c r="F84" i="24"/>
  <c r="F63" i="24"/>
  <c r="F96" i="24"/>
  <c r="F87" i="24"/>
  <c r="F90" i="24"/>
  <c r="F86" i="24"/>
  <c r="F124" i="24"/>
  <c r="C123" i="24"/>
  <c r="F99" i="24"/>
  <c r="F94" i="24"/>
  <c r="F77" i="24"/>
  <c r="F125" i="24"/>
  <c r="F137" i="24"/>
  <c r="F127" i="24"/>
  <c r="F142" i="24"/>
  <c r="F75" i="24"/>
  <c r="F49" i="24"/>
  <c r="F136" i="24"/>
  <c r="F126" i="24"/>
  <c r="F60" i="24"/>
  <c r="F95" i="24"/>
  <c r="F56" i="24"/>
  <c r="F135" i="24"/>
  <c r="F134" i="24"/>
  <c r="F122" i="24"/>
  <c r="I25" i="2"/>
  <c r="F133" i="24"/>
  <c r="F132" i="24"/>
  <c r="F66" i="24"/>
  <c r="F131" i="24"/>
  <c r="F141" i="24"/>
  <c r="F58" i="24"/>
  <c r="F47" i="24"/>
  <c r="F130" i="24"/>
  <c r="F140" i="24"/>
  <c r="F145" i="24"/>
  <c r="F61" i="24"/>
  <c r="F54" i="24"/>
  <c r="F50" i="24"/>
  <c r="F129" i="24"/>
  <c r="F139" i="24"/>
  <c r="F144" i="24"/>
  <c r="F128" i="24"/>
  <c r="F138" i="24"/>
  <c r="F143" i="24"/>
  <c r="I26" i="2"/>
  <c r="F100" i="24"/>
  <c r="F68" i="24"/>
  <c r="F23" i="24"/>
  <c r="F33" i="24"/>
  <c r="F26" i="24"/>
  <c r="F19" i="24"/>
  <c r="I21" i="2"/>
  <c r="F21" i="24"/>
  <c r="F65" i="24"/>
  <c r="F20" i="24"/>
  <c r="I19" i="2"/>
  <c r="F30" i="24"/>
  <c r="F16" i="24"/>
  <c r="F71" i="24"/>
  <c r="I17" i="2"/>
  <c r="F64" i="24"/>
  <c r="I14" i="2"/>
  <c r="F67" i="24"/>
  <c r="F36" i="24"/>
  <c r="F29" i="24"/>
  <c r="F22" i="24"/>
  <c r="F83" i="24"/>
  <c r="F79" i="24"/>
  <c r="F70" i="24"/>
  <c r="F32" i="24"/>
  <c r="F25" i="24"/>
  <c r="F69" i="24"/>
  <c r="F31" i="24"/>
  <c r="F24" i="24"/>
  <c r="F17" i="24"/>
  <c r="F93" i="24"/>
  <c r="F85" i="24"/>
  <c r="F72" i="24"/>
  <c r="F34" i="24"/>
  <c r="F27" i="24"/>
  <c r="F89" i="24"/>
  <c r="F103" i="24"/>
  <c r="F98" i="24"/>
  <c r="F88" i="24"/>
  <c r="F78" i="24"/>
  <c r="F59" i="24"/>
  <c r="I15" i="2"/>
  <c r="F91" i="24"/>
  <c r="F81" i="24"/>
  <c r="F45" i="24"/>
  <c r="C73" i="24"/>
  <c r="F108" i="24"/>
  <c r="F40" i="24"/>
  <c r="F43" i="24"/>
  <c r="F41" i="24"/>
  <c r="F37" i="24"/>
  <c r="I11" i="2"/>
  <c r="F118" i="24"/>
  <c r="F15" i="24"/>
  <c r="F92" i="24"/>
  <c r="F82" i="24"/>
  <c r="F53" i="24"/>
  <c r="F46" i="24"/>
  <c r="F116" i="24"/>
  <c r="F119" i="24"/>
  <c r="F39" i="24"/>
  <c r="F105" i="24"/>
  <c r="F74" i="24"/>
  <c r="F104" i="24"/>
  <c r="F106" i="24"/>
  <c r="F117" i="24"/>
  <c r="C11" i="24"/>
  <c r="F121" i="24"/>
  <c r="F107" i="24"/>
  <c r="F115" i="24"/>
  <c r="F120" i="24"/>
  <c r="P22" i="2"/>
  <c r="F109" i="24"/>
  <c r="F13" i="24"/>
  <c r="F9" i="24"/>
  <c r="F113" i="24"/>
  <c r="I18" i="2"/>
  <c r="F7" i="24"/>
  <c r="C18" i="24"/>
  <c r="F112" i="24"/>
  <c r="F62" i="24"/>
  <c r="F52" i="24"/>
  <c r="F42" i="24"/>
  <c r="F35" i="24"/>
  <c r="F111" i="24"/>
  <c r="F10" i="24"/>
  <c r="F110" i="24"/>
  <c r="F114" i="24"/>
  <c r="P20" i="2"/>
  <c r="F8" i="24"/>
  <c r="F101" i="24"/>
  <c r="F28" i="24"/>
  <c r="P21" i="2"/>
  <c r="F6" i="24"/>
  <c r="G598" i="24" s="1" a="1"/>
  <c r="G598" i="24" s="1"/>
  <c r="D598" i="24" s="1"/>
  <c r="F12" i="24"/>
  <c r="F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H4" i="14"/>
  <c r="S24" i="12"/>
  <c r="U24" i="12" s="1"/>
  <c r="V24" i="12"/>
  <c r="X24" i="12" s="1"/>
  <c r="D24" i="12"/>
  <c r="M24" i="12"/>
  <c r="O24" i="12" s="1"/>
  <c r="D10" i="12"/>
  <c r="J24" i="12"/>
  <c r="L24" i="12" s="1"/>
  <c r="P24" i="12"/>
  <c r="R24" i="12" s="1"/>
  <c r="H21" i="14"/>
  <c r="H23" i="14"/>
  <c r="H22" i="14"/>
  <c r="H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G596" i="24" l="1" a="1"/>
  <c r="G596" i="24" s="1"/>
  <c r="D596" i="24" s="1"/>
  <c r="G597" i="24" a="1"/>
  <c r="G597" i="24" s="1"/>
  <c r="D597" i="24" s="1"/>
  <c r="G594" i="24" a="1"/>
  <c r="G594" i="24" s="1"/>
  <c r="D594" i="24" s="1"/>
  <c r="G595" i="24" a="1"/>
  <c r="G595" i="24" s="1"/>
  <c r="D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172"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173"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174"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G593" i="24" a="1"/>
  <c r="G593" i="24" s="1"/>
  <c r="D593" i="24" s="1"/>
  <c r="G592" i="24" a="1"/>
  <c r="G592" i="24" s="1"/>
  <c r="D592" i="24" s="1"/>
  <c r="G590" i="24" a="1"/>
  <c r="G590" i="24" s="1"/>
  <c r="D590" i="24" s="1"/>
  <c r="G591" i="24" a="1"/>
  <c r="G591" i="24" s="1"/>
  <c r="D591" i="24" s="1"/>
  <c r="G587" i="24" a="1"/>
  <c r="G587" i="24" s="1"/>
  <c r="D587" i="24" s="1"/>
  <c r="G588" i="24" a="1"/>
  <c r="G588" i="24" s="1"/>
  <c r="D588" i="24" s="1"/>
  <c r="G589" i="24" a="1"/>
  <c r="G589" i="24" s="1"/>
  <c r="D589" i="24" s="1"/>
  <c r="G585" i="24" a="1"/>
  <c r="G585" i="24" s="1"/>
  <c r="D585" i="24" s="1"/>
  <c r="G586" i="24" a="1"/>
  <c r="G586" i="24" s="1"/>
  <c r="D586" i="24" s="1"/>
  <c r="G582" i="24" a="1"/>
  <c r="G582" i="24" s="1"/>
  <c r="D582" i="24" s="1"/>
  <c r="G583" i="24" a="1"/>
  <c r="G583" i="24" s="1"/>
  <c r="D583" i="24" s="1"/>
  <c r="G584" i="24" a="1"/>
  <c r="G584" i="24" s="1"/>
  <c r="D584" i="24" s="1"/>
  <c r="G574" i="24" a="1"/>
  <c r="G574" i="24" s="1"/>
  <c r="D574" i="24" s="1"/>
  <c r="G571" i="24" a="1"/>
  <c r="G571" i="24" s="1"/>
  <c r="D571" i="24" s="1"/>
  <c r="G573" i="24" a="1"/>
  <c r="G573" i="24" s="1"/>
  <c r="D573" i="24" s="1"/>
  <c r="G576" i="24" a="1"/>
  <c r="G576" i="24" s="1"/>
  <c r="D576" i="24" s="1"/>
  <c r="G578" i="24" a="1"/>
  <c r="G578" i="24" s="1"/>
  <c r="D578" i="24" s="1"/>
  <c r="G581" i="24" a="1"/>
  <c r="G581" i="24" s="1"/>
  <c r="D581" i="24" s="1"/>
  <c r="G570" i="24" a="1"/>
  <c r="G570" i="24" s="1"/>
  <c r="D570" i="24" s="1"/>
  <c r="G572" i="24" a="1"/>
  <c r="G572" i="24" s="1"/>
  <c r="D572" i="24" s="1"/>
  <c r="G579" i="24" a="1"/>
  <c r="G579" i="24" s="1"/>
  <c r="D579" i="24" s="1"/>
  <c r="G580" i="24" a="1"/>
  <c r="G580" i="24" s="1"/>
  <c r="D580" i="24" s="1"/>
  <c r="G577" i="24" a="1"/>
  <c r="G577" i="24" s="1"/>
  <c r="D577" i="24" s="1"/>
  <c r="G575" i="24" a="1"/>
  <c r="G575" i="24" s="1"/>
  <c r="D575" i="24" s="1"/>
  <c r="P57" i="2"/>
  <c r="P71" i="2"/>
  <c r="G569" i="24" a="1"/>
  <c r="G569" i="24" s="1"/>
  <c r="D569" i="24" s="1"/>
  <c r="G568" i="24" a="1"/>
  <c r="G568" i="24" s="1"/>
  <c r="D568" i="24" s="1"/>
  <c r="G565" i="24" a="1"/>
  <c r="G565" i="24" s="1"/>
  <c r="D565" i="24" s="1"/>
  <c r="G566" i="24" a="1"/>
  <c r="G566" i="24" s="1"/>
  <c r="D566" i="24" s="1"/>
  <c r="G567" i="24" a="1"/>
  <c r="G567" i="24" s="1"/>
  <c r="D567" i="24" s="1"/>
  <c r="G556" i="24" a="1"/>
  <c r="G556" i="24" s="1"/>
  <c r="D556" i="24" s="1"/>
  <c r="G564" i="24" a="1"/>
  <c r="G564" i="24" s="1"/>
  <c r="D564" i="24" s="1"/>
  <c r="G549" i="24" a="1"/>
  <c r="G549" i="24" s="1"/>
  <c r="D549" i="24" s="1"/>
  <c r="G554" i="24" a="1"/>
  <c r="G554" i="24" s="1"/>
  <c r="D554" i="24" s="1"/>
  <c r="G557" i="24" a="1"/>
  <c r="G557" i="24" s="1"/>
  <c r="D557" i="24" s="1"/>
  <c r="G558" i="24" a="1"/>
  <c r="G558" i="24" s="1"/>
  <c r="D558" i="24" s="1"/>
  <c r="G559" i="24" a="1"/>
  <c r="G559" i="24" s="1"/>
  <c r="D559" i="24" s="1"/>
  <c r="G560" i="24" a="1"/>
  <c r="G560" i="24" s="1"/>
  <c r="D560" i="24" s="1"/>
  <c r="G561" i="24" a="1"/>
  <c r="G561" i="24" s="1"/>
  <c r="D561" i="24" s="1"/>
  <c r="G562" i="24" a="1"/>
  <c r="G562" i="24" s="1"/>
  <c r="D562" i="24" s="1"/>
  <c r="G555" i="24" a="1"/>
  <c r="G555" i="24" s="1"/>
  <c r="D555" i="24" s="1"/>
  <c r="G563" i="24" a="1"/>
  <c r="G563" i="24" s="1"/>
  <c r="D563" i="24" s="1"/>
  <c r="G547" i="24" a="1"/>
  <c r="G547" i="24" s="1"/>
  <c r="D547" i="24" s="1"/>
  <c r="G546" i="24" a="1"/>
  <c r="G546" i="24" s="1"/>
  <c r="D546" i="24" s="1"/>
  <c r="G551" i="24" a="1"/>
  <c r="G551" i="24" s="1"/>
  <c r="D551" i="24" s="1"/>
  <c r="G544" i="24" a="1"/>
  <c r="G544" i="24" s="1"/>
  <c r="D544" i="24" s="1"/>
  <c r="G548" i="24" a="1"/>
  <c r="G548" i="24" s="1"/>
  <c r="D548" i="24" s="1"/>
  <c r="G553" i="24" a="1"/>
  <c r="G553" i="24" s="1"/>
  <c r="D553" i="24" s="1"/>
  <c r="G545" i="24" a="1"/>
  <c r="G545" i="24" s="1"/>
  <c r="D545" i="24" s="1"/>
  <c r="G550" i="24" a="1"/>
  <c r="G550" i="24" s="1"/>
  <c r="D550" i="24" s="1"/>
  <c r="G552" i="24" a="1"/>
  <c r="G552" i="24" s="1"/>
  <c r="D552" i="24" s="1"/>
  <c r="G426" i="24" a="1"/>
  <c r="G426" i="24" s="1"/>
  <c r="D426" i="24" s="1"/>
  <c r="P49" i="2"/>
  <c r="P65" i="2"/>
  <c r="H52" i="14"/>
  <c r="P66" i="2"/>
  <c r="AB58" i="12"/>
  <c r="AD58" i="12" s="1"/>
  <c r="AE58" i="12" s="1"/>
  <c r="G539" i="24" a="1"/>
  <c r="G539" i="24" s="1"/>
  <c r="D539" i="24" s="1"/>
  <c r="G543" i="24" a="1"/>
  <c r="G543" i="24" s="1"/>
  <c r="D543" i="24" s="1"/>
  <c r="G540" i="24" a="1"/>
  <c r="G540" i="24" s="1"/>
  <c r="D540" i="24" s="1"/>
  <c r="G535" i="24" a="1"/>
  <c r="G535" i="24" s="1"/>
  <c r="D535" i="24" s="1"/>
  <c r="G541" i="24" a="1"/>
  <c r="G541" i="24" s="1"/>
  <c r="D541" i="24" s="1"/>
  <c r="G542" i="24" a="1"/>
  <c r="G542" i="24" s="1"/>
  <c r="D542" i="24" s="1"/>
  <c r="G538" i="24" a="1"/>
  <c r="G538" i="24" s="1"/>
  <c r="D538" i="24" s="1"/>
  <c r="G536" i="24" a="1"/>
  <c r="G536" i="24" s="1"/>
  <c r="D536" i="24" s="1"/>
  <c r="G532" i="24" a="1"/>
  <c r="G532" i="24" s="1"/>
  <c r="D532" i="24" s="1"/>
  <c r="G537" i="24" a="1"/>
  <c r="G537" i="24" s="1"/>
  <c r="D537" i="24" s="1"/>
  <c r="G534" i="24" a="1"/>
  <c r="G534" i="24" s="1"/>
  <c r="D534" i="24" s="1"/>
  <c r="G533" i="24" a="1"/>
  <c r="G533" i="24" s="1"/>
  <c r="D533" i="24" s="1"/>
  <c r="G518" i="24" a="1"/>
  <c r="G518" i="24" s="1"/>
  <c r="D518" i="24" s="1"/>
  <c r="G522" i="24" a="1"/>
  <c r="G522" i="24" s="1"/>
  <c r="D522" i="24" s="1"/>
  <c r="G519" i="24" a="1"/>
  <c r="G519" i="24" s="1"/>
  <c r="D519" i="24" s="1"/>
  <c r="G520" i="24" a="1"/>
  <c r="G520" i="24" s="1"/>
  <c r="D520" i="24" s="1"/>
  <c r="G527" i="24" a="1"/>
  <c r="G527" i="24" s="1"/>
  <c r="D527" i="24" s="1"/>
  <c r="G526" i="24" a="1"/>
  <c r="G526" i="24" s="1"/>
  <c r="D526" i="24" s="1"/>
  <c r="G525" i="24" a="1"/>
  <c r="G525" i="24" s="1"/>
  <c r="D525" i="24" s="1"/>
  <c r="G523" i="24" a="1"/>
  <c r="G523" i="24" s="1"/>
  <c r="D523" i="24" s="1"/>
  <c r="G530" i="24" a="1"/>
  <c r="G530" i="24" s="1"/>
  <c r="D530" i="24" s="1"/>
  <c r="G528" i="24" a="1"/>
  <c r="G528" i="24" s="1"/>
  <c r="D528" i="24" s="1"/>
  <c r="G524" i="24" a="1"/>
  <c r="G524" i="24" s="1"/>
  <c r="D524" i="24" s="1"/>
  <c r="G521" i="24" a="1"/>
  <c r="G521" i="24" s="1"/>
  <c r="D521" i="24" s="1"/>
  <c r="G531" i="24" a="1"/>
  <c r="G531" i="24" s="1"/>
  <c r="D531" i="24" s="1"/>
  <c r="G529" i="24" a="1"/>
  <c r="G529" i="24" s="1"/>
  <c r="D529" i="24" s="1"/>
  <c r="G499" i="24" a="1"/>
  <c r="G499" i="24" s="1"/>
  <c r="D499" i="24" s="1"/>
  <c r="G496" i="24" a="1"/>
  <c r="G496" i="24" s="1"/>
  <c r="D496" i="24" s="1"/>
  <c r="G498" i="24" a="1"/>
  <c r="G498" i="24" s="1"/>
  <c r="D498" i="24" s="1"/>
  <c r="G495" i="24" a="1"/>
  <c r="G495" i="24" s="1"/>
  <c r="D495" i="24" s="1"/>
  <c r="G493" i="24" a="1"/>
  <c r="G493" i="24" s="1"/>
  <c r="D493" i="24" s="1"/>
  <c r="G494" i="24" a="1"/>
  <c r="G494" i="24" s="1"/>
  <c r="D494" i="24" s="1"/>
  <c r="G497" i="24" a="1"/>
  <c r="G497" i="24" s="1"/>
  <c r="D497" i="24" s="1"/>
  <c r="G492" i="24" a="1"/>
  <c r="G492" i="24" s="1"/>
  <c r="D492" i="24" s="1"/>
  <c r="G510" i="24" a="1"/>
  <c r="G510" i="24" s="1"/>
  <c r="D510" i="24" s="1"/>
  <c r="G491" i="24" a="1"/>
  <c r="G491" i="24" s="1"/>
  <c r="D491" i="24" s="1"/>
  <c r="G515" i="24" a="1"/>
  <c r="G515" i="24" s="1"/>
  <c r="D515" i="24" s="1"/>
  <c r="G513" i="24" a="1"/>
  <c r="G513" i="24" s="1"/>
  <c r="D513" i="24" s="1"/>
  <c r="G511" i="24" a="1"/>
  <c r="G511" i="24" s="1"/>
  <c r="D511" i="24" s="1"/>
  <c r="G516" i="24" a="1"/>
  <c r="G516" i="24" s="1"/>
  <c r="D516" i="24" s="1"/>
  <c r="G517" i="24" a="1"/>
  <c r="G517" i="24" s="1"/>
  <c r="D517" i="24" s="1"/>
  <c r="G509" i="24" a="1"/>
  <c r="G509" i="24" s="1"/>
  <c r="D509" i="24" s="1"/>
  <c r="G514" i="24" a="1"/>
  <c r="G514" i="24" s="1"/>
  <c r="D514" i="24" s="1"/>
  <c r="G512" i="24" a="1"/>
  <c r="G512" i="24" s="1"/>
  <c r="D512" i="24" s="1"/>
  <c r="G507" i="24" a="1"/>
  <c r="G507" i="24" s="1"/>
  <c r="D507" i="24" s="1"/>
  <c r="G508" i="24" a="1"/>
  <c r="G508" i="24" s="1"/>
  <c r="D508" i="24" s="1"/>
  <c r="G505" i="24" a="1"/>
  <c r="G505" i="24" s="1"/>
  <c r="D505" i="24" s="1"/>
  <c r="G506" i="24" a="1"/>
  <c r="G506" i="24" s="1"/>
  <c r="D506" i="24" s="1"/>
  <c r="G503" i="24" a="1"/>
  <c r="G503" i="24" s="1"/>
  <c r="D503" i="24" s="1"/>
  <c r="G504" i="24" a="1"/>
  <c r="G504" i="24" s="1"/>
  <c r="D504" i="24" s="1"/>
  <c r="G501" i="24" a="1"/>
  <c r="G501" i="24" s="1"/>
  <c r="D501" i="24" s="1"/>
  <c r="G502" i="24" a="1"/>
  <c r="G502" i="24" s="1"/>
  <c r="D502" i="24" s="1"/>
  <c r="G489" i="24" a="1"/>
  <c r="G489" i="24" s="1"/>
  <c r="D489" i="24" s="1"/>
  <c r="G490" i="24" a="1"/>
  <c r="G490" i="24" s="1"/>
  <c r="D490" i="24" s="1"/>
  <c r="G488" i="24" a="1"/>
  <c r="G488" i="24" s="1"/>
  <c r="D488" i="24" s="1"/>
  <c r="G500" i="24" a="1"/>
  <c r="G500" i="24" s="1"/>
  <c r="D500" i="24" s="1"/>
  <c r="G486" i="24" a="1"/>
  <c r="G486" i="24" s="1"/>
  <c r="D486" i="24" s="1"/>
  <c r="G487" i="24" a="1"/>
  <c r="G487" i="24" s="1"/>
  <c r="D487" i="24" s="1"/>
  <c r="G484" i="24" a="1"/>
  <c r="G484" i="24" s="1"/>
  <c r="D484" i="24" s="1"/>
  <c r="G485" i="24" a="1"/>
  <c r="G485" i="24" s="1"/>
  <c r="D485" i="24" s="1"/>
  <c r="G469" i="24" a="1"/>
  <c r="G469" i="24" s="1"/>
  <c r="D469" i="24" s="1"/>
  <c r="G483" i="24" a="1"/>
  <c r="G483" i="24" s="1"/>
  <c r="D483" i="24" s="1"/>
  <c r="G481" i="24" a="1"/>
  <c r="G481" i="24" s="1"/>
  <c r="D481" i="24" s="1"/>
  <c r="G482" i="24" a="1"/>
  <c r="G482" i="24" s="1"/>
  <c r="D482" i="24" s="1"/>
  <c r="G480" i="24" a="1"/>
  <c r="G480" i="24" s="1"/>
  <c r="D480" i="24" s="1"/>
  <c r="G478" i="24" a="1"/>
  <c r="G478" i="24" s="1"/>
  <c r="D478" i="24" s="1"/>
  <c r="G479" i="24" a="1"/>
  <c r="G479" i="24" s="1"/>
  <c r="D479" i="24" s="1"/>
  <c r="G476" i="24" a="1"/>
  <c r="G476" i="24" s="1"/>
  <c r="D476" i="24" s="1"/>
  <c r="G477" i="24" a="1"/>
  <c r="G477" i="24" s="1"/>
  <c r="D477" i="24" s="1"/>
  <c r="G474" i="24" a="1"/>
  <c r="G474" i="24" s="1"/>
  <c r="D474" i="24" s="1"/>
  <c r="G475" i="24" a="1"/>
  <c r="G475" i="24" s="1"/>
  <c r="D475" i="24" s="1"/>
  <c r="G472" i="24" a="1"/>
  <c r="G472" i="24" s="1"/>
  <c r="D472" i="24" s="1"/>
  <c r="G473" i="24" a="1"/>
  <c r="G473" i="24" s="1"/>
  <c r="D473" i="24" s="1"/>
  <c r="G470" i="24" a="1"/>
  <c r="G470" i="24" s="1"/>
  <c r="D470" i="24" s="1"/>
  <c r="G471" i="24" a="1"/>
  <c r="G471" i="24" s="1"/>
  <c r="D471" i="24" s="1"/>
  <c r="G468" i="24" a="1"/>
  <c r="G468" i="24" s="1"/>
  <c r="D468" i="24" s="1"/>
  <c r="G464" i="24" a="1"/>
  <c r="G464" i="24" s="1"/>
  <c r="D464" i="24" s="1"/>
  <c r="G467" i="24" a="1"/>
  <c r="G467" i="24" s="1"/>
  <c r="D467" i="24" s="1"/>
  <c r="G466" i="24" a="1"/>
  <c r="G466" i="24" s="1"/>
  <c r="D466" i="24" s="1"/>
  <c r="G465" i="24" a="1"/>
  <c r="G465" i="24" s="1"/>
  <c r="D465" i="24" s="1"/>
  <c r="G461" i="24" a="1"/>
  <c r="G461" i="24" s="1"/>
  <c r="D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G463" i="24" a="1"/>
  <c r="G463" i="24" s="1"/>
  <c r="D463" i="24" s="1"/>
  <c r="G462" i="24" a="1"/>
  <c r="G462" i="24" s="1"/>
  <c r="D462" i="24" s="1"/>
  <c r="G460" i="24" a="1"/>
  <c r="G460" i="24" s="1"/>
  <c r="D460" i="24" s="1"/>
  <c r="G454" i="24" a="1"/>
  <c r="G454" i="24" s="1"/>
  <c r="D454" i="24" s="1"/>
  <c r="G459" i="24" a="1"/>
  <c r="G459" i="24" s="1"/>
  <c r="D459" i="24" s="1"/>
  <c r="G452" i="24" a="1"/>
  <c r="G452" i="24" s="1"/>
  <c r="D452" i="24" s="1"/>
  <c r="G457" i="24" a="1"/>
  <c r="G457" i="24" s="1"/>
  <c r="D457" i="24" s="1"/>
  <c r="G453" i="24" a="1"/>
  <c r="G453" i="24" s="1"/>
  <c r="D453" i="24" s="1"/>
  <c r="G458" i="24" a="1"/>
  <c r="G458" i="24" s="1"/>
  <c r="D458" i="24" s="1"/>
  <c r="G455" i="24" a="1"/>
  <c r="G455" i="24" s="1"/>
  <c r="D455" i="24" s="1"/>
  <c r="G451" i="24" a="1"/>
  <c r="G451" i="24" s="1"/>
  <c r="D451" i="24" s="1"/>
  <c r="G450" i="24" a="1"/>
  <c r="G450" i="24" s="1"/>
  <c r="D450" i="24" s="1"/>
  <c r="G456" i="24" a="1"/>
  <c r="G456" i="24" s="1"/>
  <c r="D456" i="24" s="1"/>
  <c r="G449" i="24" a="1"/>
  <c r="G449" i="24" s="1"/>
  <c r="D449" i="24" s="1"/>
  <c r="G447" i="24" a="1"/>
  <c r="G447" i="24" s="1"/>
  <c r="D447" i="24" s="1"/>
  <c r="G448" i="24" a="1"/>
  <c r="G448" i="24" s="1"/>
  <c r="D448" i="24" s="1"/>
  <c r="G444" i="24" a="1"/>
  <c r="G444" i="24" s="1"/>
  <c r="D444" i="24" s="1"/>
  <c r="G446" i="24" a="1"/>
  <c r="G446" i="24" s="1"/>
  <c r="D446" i="24" s="1"/>
  <c r="G445" i="24" a="1"/>
  <c r="G445" i="24" s="1"/>
  <c r="D445" i="24" s="1"/>
  <c r="G443" i="24" a="1"/>
  <c r="G443" i="24" s="1"/>
  <c r="D443" i="24" s="1"/>
  <c r="G441" i="24" a="1"/>
  <c r="G441" i="24" s="1"/>
  <c r="D441" i="24" s="1"/>
  <c r="G442" i="24" a="1"/>
  <c r="G442" i="24" s="1"/>
  <c r="D442" i="24" s="1"/>
  <c r="P43" i="2"/>
  <c r="P53" i="2"/>
  <c r="P54" i="2"/>
  <c r="G440" i="24" a="1"/>
  <c r="G440" i="24" s="1"/>
  <c r="D440" i="24" s="1"/>
  <c r="G438" i="24" a="1"/>
  <c r="G438" i="24" s="1"/>
  <c r="D438" i="24" s="1"/>
  <c r="G439" i="24" a="1"/>
  <c r="G439" i="24" s="1"/>
  <c r="D439" i="24" s="1"/>
  <c r="G436" i="24" a="1"/>
  <c r="G436" i="24" s="1"/>
  <c r="D436" i="24" s="1"/>
  <c r="G437" i="24" a="1"/>
  <c r="G437" i="24" s="1"/>
  <c r="D437" i="24" s="1"/>
  <c r="G434" i="24" a="1"/>
  <c r="G434" i="24" s="1"/>
  <c r="D434" i="24" s="1"/>
  <c r="G435" i="24" a="1"/>
  <c r="G435" i="24" s="1"/>
  <c r="D435" i="24" s="1"/>
  <c r="G433" i="24" a="1"/>
  <c r="G433" i="24" s="1"/>
  <c r="D433" i="24" s="1"/>
  <c r="G226" i="24" a="1"/>
  <c r="G226" i="24" s="1"/>
  <c r="D226" i="24" s="1"/>
  <c r="G431" i="24" a="1"/>
  <c r="G431" i="24" s="1"/>
  <c r="D431" i="24" s="1"/>
  <c r="G432" i="24" a="1"/>
  <c r="G432" i="24" s="1"/>
  <c r="D432" i="24" s="1"/>
  <c r="H110" i="14"/>
  <c r="G428" i="24" a="1"/>
  <c r="G428" i="24" s="1"/>
  <c r="D428" i="24" s="1"/>
  <c r="G429" i="24" a="1"/>
  <c r="G429" i="24" s="1"/>
  <c r="D429" i="24" s="1"/>
  <c r="G430" i="24" a="1"/>
  <c r="G430" i="24" s="1"/>
  <c r="D430" i="24" s="1"/>
  <c r="G425" i="24" a="1"/>
  <c r="G425" i="24" s="1"/>
  <c r="D425" i="24" s="1"/>
  <c r="G427" i="24" a="1"/>
  <c r="G427" i="24" s="1"/>
  <c r="D427" i="24" s="1"/>
  <c r="G419" i="24" a="1"/>
  <c r="G419" i="24" s="1"/>
  <c r="D419" i="24" s="1"/>
  <c r="G424" i="24" a="1"/>
  <c r="G424" i="24" s="1"/>
  <c r="D424" i="24" s="1"/>
  <c r="G421" i="24" a="1"/>
  <c r="G421" i="24" s="1"/>
  <c r="D421" i="24" s="1"/>
  <c r="G422" i="24" a="1"/>
  <c r="G422" i="24" s="1"/>
  <c r="D422" i="24" s="1"/>
  <c r="G423" i="24" a="1"/>
  <c r="G423" i="24" s="1"/>
  <c r="D423" i="24" s="1"/>
  <c r="G420" i="24" a="1"/>
  <c r="G420" i="24" s="1"/>
  <c r="D420" i="24" s="1"/>
  <c r="G418" i="24" a="1"/>
  <c r="G418" i="24" s="1"/>
  <c r="D418" i="24" s="1"/>
  <c r="G416" i="24" a="1"/>
  <c r="G416" i="24" s="1"/>
  <c r="D416" i="24" s="1"/>
  <c r="G413" i="24" a="1"/>
  <c r="G413" i="24" s="1"/>
  <c r="D413" i="24" s="1"/>
  <c r="G414" i="24" a="1"/>
  <c r="G414" i="24" s="1"/>
  <c r="D414" i="24" s="1"/>
  <c r="G417" i="24" a="1"/>
  <c r="G417" i="24" s="1"/>
  <c r="D417" i="24" s="1"/>
  <c r="G415" i="24" a="1"/>
  <c r="G415" i="24" s="1"/>
  <c r="D415" i="24" s="1"/>
  <c r="G411" i="24" a="1"/>
  <c r="G411" i="24" s="1"/>
  <c r="D411" i="24" s="1"/>
  <c r="G412" i="24" a="1"/>
  <c r="G412" i="24" s="1"/>
  <c r="D412" i="24" s="1"/>
  <c r="G409" i="24" a="1"/>
  <c r="G409" i="24" s="1"/>
  <c r="D409" i="24" s="1"/>
  <c r="G410" i="24" a="1"/>
  <c r="G410" i="24" s="1"/>
  <c r="D410" i="24" s="1"/>
  <c r="G407" i="24" a="1"/>
  <c r="G407" i="24" s="1"/>
  <c r="D407" i="24" s="1"/>
  <c r="G408" i="24" a="1"/>
  <c r="G408" i="24" s="1"/>
  <c r="D408" i="24" s="1"/>
  <c r="G405" i="24" a="1"/>
  <c r="G405" i="24" s="1"/>
  <c r="D405" i="24" s="1"/>
  <c r="G406" i="24" a="1"/>
  <c r="G406" i="24" s="1"/>
  <c r="D406" i="24" s="1"/>
  <c r="G403" i="24" a="1"/>
  <c r="G403" i="24" s="1"/>
  <c r="D403" i="24" s="1"/>
  <c r="G404" i="24" a="1"/>
  <c r="G404" i="24" s="1"/>
  <c r="D404" i="24" s="1"/>
  <c r="G401" i="24" a="1"/>
  <c r="G401" i="24" s="1"/>
  <c r="D401" i="24" s="1"/>
  <c r="G402" i="24" a="1"/>
  <c r="G402" i="24" s="1"/>
  <c r="D402" i="24" s="1"/>
  <c r="G399" i="24" a="1"/>
  <c r="G399" i="24" s="1"/>
  <c r="D399" i="24" s="1"/>
  <c r="G400" i="24" a="1"/>
  <c r="G400" i="24" s="1"/>
  <c r="D400" i="24" s="1"/>
  <c r="G397" i="24" a="1"/>
  <c r="G397" i="24" s="1"/>
  <c r="D397" i="24" s="1"/>
  <c r="G398" i="24" a="1"/>
  <c r="G398" i="24" s="1"/>
  <c r="D398" i="24" s="1"/>
  <c r="G395" i="24" a="1"/>
  <c r="G395" i="24" s="1"/>
  <c r="D395" i="24" s="1"/>
  <c r="G396" i="24" a="1"/>
  <c r="G396" i="24" s="1"/>
  <c r="D396" i="24" s="1"/>
  <c r="G393" i="24" a="1"/>
  <c r="G393" i="24" s="1"/>
  <c r="D393" i="24" s="1"/>
  <c r="G394" i="24" a="1"/>
  <c r="G394" i="24" s="1"/>
  <c r="D394" i="24" s="1"/>
  <c r="G391" i="24" a="1"/>
  <c r="G391" i="24" s="1"/>
  <c r="D391" i="24" s="1"/>
  <c r="G392" i="24" a="1"/>
  <c r="G392" i="24" s="1"/>
  <c r="D392" i="24" s="1"/>
  <c r="G389" i="24" a="1"/>
  <c r="G389" i="24" s="1"/>
  <c r="D389" i="24" s="1"/>
  <c r="G390" i="24" a="1"/>
  <c r="G390" i="24" s="1"/>
  <c r="D390" i="24" s="1"/>
  <c r="G387" i="24" a="1"/>
  <c r="G387" i="24" s="1"/>
  <c r="D387" i="24" s="1"/>
  <c r="G388" i="24" a="1"/>
  <c r="G388" i="24" s="1"/>
  <c r="D388" i="24" s="1"/>
  <c r="G385" i="24" a="1"/>
  <c r="G385" i="24" s="1"/>
  <c r="D385" i="24" s="1"/>
  <c r="G386" i="24" a="1"/>
  <c r="G386" i="24" s="1"/>
  <c r="D386" i="24" s="1"/>
  <c r="G383" i="24" a="1"/>
  <c r="G383" i="24" s="1"/>
  <c r="D383" i="24" s="1"/>
  <c r="G384" i="24" a="1"/>
  <c r="G384" i="24" s="1"/>
  <c r="D384" i="24" s="1"/>
  <c r="G381" i="24" a="1"/>
  <c r="G381" i="24" s="1"/>
  <c r="D381" i="24" s="1"/>
  <c r="G382" i="24" a="1"/>
  <c r="G382" i="24" s="1"/>
  <c r="D382" i="24" s="1"/>
  <c r="G379" i="24" a="1"/>
  <c r="G379" i="24" s="1"/>
  <c r="D379" i="24" s="1"/>
  <c r="G380" i="24" a="1"/>
  <c r="G380" i="24" s="1"/>
  <c r="D380" i="24" s="1"/>
  <c r="G377" i="24" a="1"/>
  <c r="G377" i="24" s="1"/>
  <c r="D377" i="24" s="1"/>
  <c r="G378" i="24" a="1"/>
  <c r="G378" i="24" s="1"/>
  <c r="D378" i="24" s="1"/>
  <c r="G373" i="24" a="1"/>
  <c r="G373" i="24" s="1"/>
  <c r="D373" i="24" s="1"/>
  <c r="G376" i="24" a="1"/>
  <c r="G376" i="24" s="1"/>
  <c r="D376" i="24" s="1"/>
  <c r="G374" i="24" a="1"/>
  <c r="G374" i="24" s="1"/>
  <c r="D374" i="24" s="1"/>
  <c r="G369" i="24" a="1"/>
  <c r="G369" i="24" s="1"/>
  <c r="D369" i="24" s="1"/>
  <c r="G375" i="24" a="1"/>
  <c r="G375" i="24" s="1"/>
  <c r="D375" i="24" s="1"/>
  <c r="G370" i="24" a="1"/>
  <c r="G370" i="24" s="1"/>
  <c r="D370" i="24" s="1"/>
  <c r="G368" i="24" a="1"/>
  <c r="G368" i="24" s="1"/>
  <c r="D368" i="24" s="1"/>
  <c r="G372" i="24" a="1"/>
  <c r="G372" i="24" s="1"/>
  <c r="D372" i="24" s="1"/>
  <c r="G371" i="24" a="1"/>
  <c r="G371" i="24" s="1"/>
  <c r="D371" i="24" s="1"/>
  <c r="G355" i="24" a="1"/>
  <c r="G355" i="24" s="1"/>
  <c r="D355" i="24" s="1"/>
  <c r="G362" i="24" a="1"/>
  <c r="G362" i="24" s="1"/>
  <c r="D362" i="24" s="1"/>
  <c r="G360" i="24" a="1"/>
  <c r="G360" i="24" s="1"/>
  <c r="D360" i="24" s="1"/>
  <c r="G363" i="24" a="1"/>
  <c r="G363" i="24" s="1"/>
  <c r="D363" i="24" s="1"/>
  <c r="G361" i="24" a="1"/>
  <c r="G361" i="24" s="1"/>
  <c r="D361" i="24" s="1"/>
  <c r="G365" i="24" a="1"/>
  <c r="G365" i="24" s="1"/>
  <c r="D365" i="24" s="1"/>
  <c r="G364" i="24" a="1"/>
  <c r="G364" i="24" s="1"/>
  <c r="D364" i="24" s="1"/>
  <c r="G366" i="24" a="1"/>
  <c r="G366" i="24" s="1"/>
  <c r="D366" i="24" s="1"/>
  <c r="G367" i="24" a="1"/>
  <c r="G367" i="24" s="1"/>
  <c r="D367" i="24" s="1"/>
  <c r="G359" i="24" a="1"/>
  <c r="G359" i="24" s="1"/>
  <c r="D359" i="24" s="1"/>
  <c r="G356" i="24" a="1"/>
  <c r="G356" i="24" s="1"/>
  <c r="D356" i="24" s="1"/>
  <c r="G351" i="24" a="1"/>
  <c r="G351" i="24" s="1"/>
  <c r="D351" i="24" s="1"/>
  <c r="G358" i="24" a="1"/>
  <c r="G358" i="24" s="1"/>
  <c r="D358" i="24" s="1"/>
  <c r="G348" i="24" a="1"/>
  <c r="G348" i="24" s="1"/>
  <c r="D348" i="24" s="1"/>
  <c r="G354" i="24" a="1"/>
  <c r="G354" i="24" s="1"/>
  <c r="D354" i="24" s="1"/>
  <c r="G350" i="24" a="1"/>
  <c r="G350" i="24" s="1"/>
  <c r="D350" i="24" s="1"/>
  <c r="G357" i="24" a="1"/>
  <c r="G357" i="24" s="1"/>
  <c r="D357" i="24" s="1"/>
  <c r="G349" i="24" a="1"/>
  <c r="G349" i="24" s="1"/>
  <c r="D349" i="24" s="1"/>
  <c r="G352" i="24" a="1"/>
  <c r="G352" i="24" s="1"/>
  <c r="D352" i="24" s="1"/>
  <c r="G353" i="24" a="1"/>
  <c r="G353" i="24" s="1"/>
  <c r="D353" i="24" s="1"/>
  <c r="G347" i="24" a="1"/>
  <c r="G347" i="24" s="1"/>
  <c r="D347" i="24" s="1"/>
  <c r="G345" i="24" a="1"/>
  <c r="G345" i="24" s="1"/>
  <c r="D345" i="24" s="1"/>
  <c r="G344" i="24" a="1"/>
  <c r="G344" i="24" s="1"/>
  <c r="D344" i="24" s="1"/>
  <c r="G346" i="24" a="1"/>
  <c r="G346" i="24" s="1"/>
  <c r="D346" i="24" s="1"/>
  <c r="G341" i="24" a="1"/>
  <c r="G341" i="24" s="1"/>
  <c r="D341" i="24" s="1"/>
  <c r="G342" i="24" a="1"/>
  <c r="G342" i="24" s="1"/>
  <c r="D342" i="24" s="1"/>
  <c r="G343" i="24" a="1"/>
  <c r="G343" i="24" s="1"/>
  <c r="D343" i="24" s="1"/>
  <c r="G340" i="24" a="1"/>
  <c r="G340" i="24" s="1"/>
  <c r="D340" i="24" s="1"/>
  <c r="G339" i="24" a="1"/>
  <c r="G339" i="24" s="1"/>
  <c r="D339" i="24" s="1"/>
  <c r="G335" i="24" a="1"/>
  <c r="G335" i="24" s="1"/>
  <c r="D335" i="24" s="1"/>
  <c r="G338" i="24" a="1"/>
  <c r="G338" i="24" s="1"/>
  <c r="D338" i="24" s="1"/>
  <c r="G337" i="24" a="1"/>
  <c r="G337" i="24" s="1"/>
  <c r="D337" i="24" s="1"/>
  <c r="G336" i="24" a="1"/>
  <c r="G336" i="24" s="1"/>
  <c r="D336" i="24" s="1"/>
  <c r="G334" i="24" a="1"/>
  <c r="G334" i="24" s="1"/>
  <c r="D334" i="24" s="1"/>
  <c r="G332" i="24" a="1"/>
  <c r="G332" i="24" s="1"/>
  <c r="D332" i="24" s="1"/>
  <c r="G331" i="24" a="1"/>
  <c r="G331" i="24" s="1"/>
  <c r="D331" i="24" s="1"/>
  <c r="G333" i="24" a="1"/>
  <c r="G333" i="24" s="1"/>
  <c r="D333" i="24" s="1"/>
  <c r="G321" i="24" a="1"/>
  <c r="G321" i="24" s="1"/>
  <c r="D321" i="24" s="1"/>
  <c r="G325" i="24" a="1"/>
  <c r="G325" i="24" s="1"/>
  <c r="D325" i="24" s="1"/>
  <c r="G324" i="24" a="1"/>
  <c r="G324" i="24" s="1"/>
  <c r="D324" i="24" s="1"/>
  <c r="G322" i="24" a="1"/>
  <c r="G322" i="24" s="1"/>
  <c r="D322" i="24" s="1"/>
  <c r="G330" i="24" a="1"/>
  <c r="G330" i="24" s="1"/>
  <c r="D330" i="24" s="1"/>
  <c r="G328" i="24" a="1"/>
  <c r="G328" i="24" s="1"/>
  <c r="D328" i="24" s="1"/>
  <c r="G326" i="24" a="1"/>
  <c r="G326" i="24" s="1"/>
  <c r="D326" i="24" s="1"/>
  <c r="G329" i="24" a="1"/>
  <c r="G329" i="24" s="1"/>
  <c r="D329" i="24" s="1"/>
  <c r="G323" i="24" a="1"/>
  <c r="G323" i="24" s="1"/>
  <c r="D323" i="24" s="1"/>
  <c r="G327" i="24" a="1"/>
  <c r="G327" i="24" s="1"/>
  <c r="D327" i="24" s="1"/>
  <c r="G319" i="24" a="1"/>
  <c r="G319" i="24" s="1"/>
  <c r="D319" i="24" s="1"/>
  <c r="G318" i="24" a="1"/>
  <c r="G318" i="24" s="1"/>
  <c r="D318" i="24" s="1"/>
  <c r="G313" i="24" a="1"/>
  <c r="G313" i="24" s="1"/>
  <c r="D313" i="24" s="1"/>
  <c r="G320" i="24" a="1"/>
  <c r="G320" i="24" s="1"/>
  <c r="D320" i="24" s="1"/>
  <c r="G312" i="24" a="1"/>
  <c r="G312" i="24" s="1"/>
  <c r="D312" i="24" s="1"/>
  <c r="G316" i="24" a="1"/>
  <c r="G316" i="24" s="1"/>
  <c r="D316" i="24" s="1"/>
  <c r="G317" i="24" a="1"/>
  <c r="G317" i="24" s="1"/>
  <c r="D317" i="24" s="1"/>
  <c r="G314" i="24" a="1"/>
  <c r="G314" i="24" s="1"/>
  <c r="D314" i="24" s="1"/>
  <c r="G310" i="24" a="1"/>
  <c r="G310" i="24" s="1"/>
  <c r="D310" i="24" s="1"/>
  <c r="G311" i="24" a="1"/>
  <c r="G311" i="24" s="1"/>
  <c r="D311" i="24" s="1"/>
  <c r="G315" i="24" a="1"/>
  <c r="G315" i="24" s="1"/>
  <c r="D315" i="24" s="1"/>
  <c r="G309" i="24" a="1"/>
  <c r="G309" i="24" s="1"/>
  <c r="D309" i="24" s="1"/>
  <c r="G299" i="24" a="1"/>
  <c r="G299" i="24" s="1"/>
  <c r="D299" i="24" s="1"/>
  <c r="G307" i="24" a="1"/>
  <c r="G307" i="24" s="1"/>
  <c r="D307" i="24" s="1"/>
  <c r="G300" i="24" a="1"/>
  <c r="G300" i="24" s="1"/>
  <c r="D300" i="24" s="1"/>
  <c r="G298" i="24" a="1"/>
  <c r="G298" i="24" s="1"/>
  <c r="D298" i="24" s="1"/>
  <c r="G302" i="24" a="1"/>
  <c r="G302" i="24" s="1"/>
  <c r="D302" i="24" s="1"/>
  <c r="G305" i="24" a="1"/>
  <c r="G305" i="24" s="1"/>
  <c r="D305" i="24" s="1"/>
  <c r="G303" i="24" a="1"/>
  <c r="G303" i="24" s="1"/>
  <c r="D303" i="24" s="1"/>
  <c r="G308" i="24" a="1"/>
  <c r="G308" i="24" s="1"/>
  <c r="D308" i="24" s="1"/>
  <c r="G306" i="24" a="1"/>
  <c r="G306" i="24" s="1"/>
  <c r="D306" i="24" s="1"/>
  <c r="G304" i="24" a="1"/>
  <c r="G304" i="24" s="1"/>
  <c r="D304" i="24" s="1"/>
  <c r="G301" i="24" a="1"/>
  <c r="G301" i="24" s="1"/>
  <c r="D301" i="24" s="1"/>
  <c r="G296" i="24" a="1"/>
  <c r="G296" i="24" s="1"/>
  <c r="D296" i="24" s="1"/>
  <c r="G297" i="24" a="1"/>
  <c r="G297" i="24" s="1"/>
  <c r="D297" i="24" s="1"/>
  <c r="G294" i="24" a="1"/>
  <c r="G294" i="24" s="1"/>
  <c r="D294" i="24" s="1"/>
  <c r="G295" i="24" a="1"/>
  <c r="G295" i="24" s="1"/>
  <c r="D295" i="24" s="1"/>
  <c r="G293" i="24" a="1"/>
  <c r="G293" i="24" s="1"/>
  <c r="D293" i="24" s="1"/>
  <c r="G285" i="24" a="1"/>
  <c r="G285" i="24" s="1"/>
  <c r="D285" i="24" s="1"/>
  <c r="G291" i="24" a="1"/>
  <c r="G291" i="24" s="1"/>
  <c r="D291" i="24" s="1"/>
  <c r="G280" i="24" a="1"/>
  <c r="G280" i="24" s="1"/>
  <c r="D280" i="24" s="1"/>
  <c r="G283" i="24" a="1"/>
  <c r="G283" i="24" s="1"/>
  <c r="D283" i="24" s="1"/>
  <c r="G286" i="24" a="1"/>
  <c r="G286" i="24" s="1"/>
  <c r="D286" i="24" s="1"/>
  <c r="G289" i="24" a="1"/>
  <c r="G289" i="24" s="1"/>
  <c r="D289" i="24" s="1"/>
  <c r="G288" i="24" a="1"/>
  <c r="G288" i="24" s="1"/>
  <c r="D288" i="24" s="1"/>
  <c r="G292" i="24" a="1"/>
  <c r="G292" i="24" s="1"/>
  <c r="D292" i="24" s="1"/>
  <c r="G284" i="24" a="1"/>
  <c r="G284" i="24" s="1"/>
  <c r="D284" i="24" s="1"/>
  <c r="G290" i="24" a="1"/>
  <c r="G290" i="24" s="1"/>
  <c r="D290" i="24" s="1"/>
  <c r="G287" i="24" a="1"/>
  <c r="G287" i="24" s="1"/>
  <c r="D287" i="24" s="1"/>
  <c r="G281" i="24" a="1"/>
  <c r="G281" i="24" s="1"/>
  <c r="D281" i="24" s="1"/>
  <c r="G282" i="24" a="1"/>
  <c r="G282" i="24" s="1"/>
  <c r="D282" i="24" s="1"/>
  <c r="G279" i="24" a="1"/>
  <c r="G279" i="24" s="1"/>
  <c r="D279" i="24" s="1"/>
  <c r="G276" i="24" a="1"/>
  <c r="G276" i="24" s="1"/>
  <c r="D276" i="24" s="1"/>
  <c r="G277" i="24" a="1"/>
  <c r="G277" i="24" s="1"/>
  <c r="D277" i="24" s="1"/>
  <c r="G274" i="24" a="1"/>
  <c r="G274" i="24" s="1"/>
  <c r="D274" i="24" s="1"/>
  <c r="G275" i="24" a="1"/>
  <c r="G275" i="24" s="1"/>
  <c r="D275" i="24" s="1"/>
  <c r="G278" i="24" a="1"/>
  <c r="G278" i="24" s="1"/>
  <c r="D278" i="24" s="1"/>
  <c r="G272" i="24" a="1"/>
  <c r="G272" i="24" s="1"/>
  <c r="D272" i="24" s="1"/>
  <c r="G273" i="24" a="1"/>
  <c r="G273" i="24" s="1"/>
  <c r="D273" i="24" s="1"/>
  <c r="G268" i="24" a="1"/>
  <c r="G268" i="24" s="1"/>
  <c r="D268" i="24" s="1"/>
  <c r="G271" i="24" a="1"/>
  <c r="G271" i="24" s="1"/>
  <c r="D271" i="24" s="1"/>
  <c r="G269" i="24" a="1"/>
  <c r="G269" i="24" s="1"/>
  <c r="D269" i="24" s="1"/>
  <c r="G265" i="24" a="1"/>
  <c r="G265" i="24" s="1"/>
  <c r="D265" i="24" s="1"/>
  <c r="G270" i="24" a="1"/>
  <c r="G270" i="24" s="1"/>
  <c r="D270" i="24" s="1"/>
  <c r="G267" i="24" a="1"/>
  <c r="G267" i="24" s="1"/>
  <c r="D267" i="24" s="1"/>
  <c r="G264" i="24" a="1"/>
  <c r="G264" i="24" s="1"/>
  <c r="D264" i="24" s="1"/>
  <c r="G262" i="24" a="1"/>
  <c r="G262" i="24" s="1"/>
  <c r="D262" i="24" s="1"/>
  <c r="G266" i="24" a="1"/>
  <c r="G266" i="24" s="1"/>
  <c r="D266" i="24" s="1"/>
  <c r="G263" i="24" a="1"/>
  <c r="G263" i="24" s="1"/>
  <c r="D263" i="24" s="1"/>
  <c r="G260" i="24" a="1"/>
  <c r="G260" i="24" s="1"/>
  <c r="D260" i="24" s="1"/>
  <c r="G261" i="24" a="1"/>
  <c r="G261" i="24" s="1"/>
  <c r="D261" i="24" s="1"/>
  <c r="G259" i="24" a="1"/>
  <c r="G259" i="24" s="1"/>
  <c r="D259" i="24" s="1"/>
  <c r="G258" i="24" a="1"/>
  <c r="G258" i="24" s="1"/>
  <c r="D258" i="24" s="1"/>
  <c r="G256" i="24" a="1"/>
  <c r="G256" i="24" s="1"/>
  <c r="D256" i="24" s="1"/>
  <c r="G257" i="24" a="1"/>
  <c r="G257" i="24" s="1"/>
  <c r="D257" i="24" s="1"/>
  <c r="G255" i="24" a="1"/>
  <c r="G255" i="24" s="1"/>
  <c r="D255" i="24" s="1"/>
  <c r="G252" i="24" a="1"/>
  <c r="G252" i="24" s="1"/>
  <c r="D252" i="24" s="1"/>
  <c r="G253" i="24" a="1"/>
  <c r="G253" i="24" s="1"/>
  <c r="D253" i="24" s="1"/>
  <c r="G254" i="24" a="1"/>
  <c r="G254" i="24" s="1"/>
  <c r="D254" i="24" s="1"/>
  <c r="G251" i="24" a="1"/>
  <c r="G251" i="24" s="1"/>
  <c r="D251" i="24" s="1"/>
  <c r="G244" i="24" a="1"/>
  <c r="G244" i="24" s="1"/>
  <c r="D244" i="24" s="1"/>
  <c r="G250" i="24" a="1"/>
  <c r="G250" i="24" s="1"/>
  <c r="D250" i="24" s="1"/>
  <c r="G249" i="24" a="1"/>
  <c r="G249" i="24" s="1"/>
  <c r="D249" i="24" s="1"/>
  <c r="G243" i="24" a="1"/>
  <c r="G243" i="24" s="1"/>
  <c r="D243" i="24" s="1"/>
  <c r="G248" i="24" a="1"/>
  <c r="G248" i="24" s="1"/>
  <c r="D248" i="24" s="1"/>
  <c r="G245" i="24" a="1"/>
  <c r="G245" i="24" s="1"/>
  <c r="D245" i="24" s="1"/>
  <c r="G246" i="24" a="1"/>
  <c r="G246" i="24" s="1"/>
  <c r="D246" i="24" s="1"/>
  <c r="G247" i="24" a="1"/>
  <c r="G247" i="24" s="1"/>
  <c r="D247" i="24" s="1"/>
  <c r="G242" i="24" a="1"/>
  <c r="G242" i="24" s="1"/>
  <c r="D242" i="24" s="1"/>
  <c r="G241" i="24" a="1"/>
  <c r="G241" i="24" s="1"/>
  <c r="D241" i="24" s="1"/>
  <c r="G232" i="24" a="1"/>
  <c r="G232" i="24" s="1"/>
  <c r="D232" i="24" s="1"/>
  <c r="G238" i="24" a="1"/>
  <c r="G238" i="24" s="1"/>
  <c r="D238" i="24" s="1"/>
  <c r="G233" i="24" a="1"/>
  <c r="G233" i="24" s="1"/>
  <c r="D233" i="24" s="1"/>
  <c r="G235" i="24" a="1"/>
  <c r="G235" i="24" s="1"/>
  <c r="D235" i="24" s="1"/>
  <c r="G234" i="24" a="1"/>
  <c r="G234" i="24" s="1"/>
  <c r="D234" i="24" s="1"/>
  <c r="G237" i="24" a="1"/>
  <c r="G237" i="24" s="1"/>
  <c r="D237" i="24" s="1"/>
  <c r="G240" i="24" a="1"/>
  <c r="G240" i="24" s="1"/>
  <c r="D240" i="24" s="1"/>
  <c r="G239" i="24" a="1"/>
  <c r="G239" i="24" s="1"/>
  <c r="D239" i="24" s="1"/>
  <c r="G236" i="24" a="1"/>
  <c r="G236" i="24" s="1"/>
  <c r="D236" i="24" s="1"/>
  <c r="G231" i="24" a="1"/>
  <c r="G231" i="24" s="1"/>
  <c r="D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G230" i="24" a="1"/>
  <c r="G230" i="24" s="1"/>
  <c r="D230" i="24" s="1"/>
  <c r="G228" i="24" a="1"/>
  <c r="G228" i="24" s="1"/>
  <c r="D228" i="24" s="1"/>
  <c r="G229" i="24" a="1"/>
  <c r="G229" i="24" s="1"/>
  <c r="D229" i="24" s="1"/>
  <c r="G225" i="24" a="1"/>
  <c r="G225" i="24" s="1"/>
  <c r="D225" i="24" s="1"/>
  <c r="G227" i="24" a="1"/>
  <c r="G227" i="24" s="1"/>
  <c r="D227" i="24" s="1"/>
  <c r="G221" i="24" a="1"/>
  <c r="G221" i="24" s="1"/>
  <c r="D221" i="24" s="1"/>
  <c r="G224" i="24" a="1"/>
  <c r="G224" i="24" s="1"/>
  <c r="D224" i="24" s="1"/>
  <c r="G222" i="24" a="1"/>
  <c r="G222" i="24" s="1"/>
  <c r="D222" i="24" s="1"/>
  <c r="G223" i="24" a="1"/>
  <c r="G223" i="24" s="1"/>
  <c r="D223" i="24" s="1"/>
  <c r="G219" i="24" a="1"/>
  <c r="G219" i="24" s="1"/>
  <c r="D219" i="24" s="1"/>
  <c r="G220" i="24" a="1"/>
  <c r="G220" i="24" s="1"/>
  <c r="D220" i="24" s="1"/>
  <c r="G217" i="24" a="1"/>
  <c r="G217" i="24" s="1"/>
  <c r="D217" i="24" s="1"/>
  <c r="G218" i="24" a="1"/>
  <c r="G218" i="24" s="1"/>
  <c r="D218" i="24" s="1"/>
  <c r="G215" i="24" a="1"/>
  <c r="G215" i="24" s="1"/>
  <c r="D215" i="24" s="1"/>
  <c r="G216" i="24" a="1"/>
  <c r="G216" i="24" s="1"/>
  <c r="D216" i="24" s="1"/>
  <c r="G213" i="24" a="1"/>
  <c r="G213" i="24" s="1"/>
  <c r="D213" i="24" s="1"/>
  <c r="G214" i="24" a="1"/>
  <c r="G214" i="24" s="1"/>
  <c r="D214" i="24" s="1"/>
  <c r="G211" i="24" a="1"/>
  <c r="G211" i="24" s="1"/>
  <c r="D211" i="24" s="1"/>
  <c r="G212" i="24" a="1"/>
  <c r="G212" i="24" s="1"/>
  <c r="D212" i="24" s="1"/>
  <c r="G209" i="24" a="1"/>
  <c r="G209" i="24" s="1"/>
  <c r="D209" i="24" s="1"/>
  <c r="G210" i="24" a="1"/>
  <c r="G210" i="24" s="1"/>
  <c r="D210" i="24" s="1"/>
  <c r="G207" i="24" a="1"/>
  <c r="G207" i="24" s="1"/>
  <c r="D207" i="24" s="1"/>
  <c r="G208" i="24" a="1"/>
  <c r="G208" i="24" s="1"/>
  <c r="D208" i="24" s="1"/>
  <c r="G205" i="24" a="1"/>
  <c r="G205" i="24" s="1"/>
  <c r="D205" i="24" s="1"/>
  <c r="G206" i="24" a="1"/>
  <c r="G206" i="24" s="1"/>
  <c r="D206" i="24" s="1"/>
  <c r="G203" i="24" a="1"/>
  <c r="G203" i="24" s="1"/>
  <c r="D203" i="24" s="1"/>
  <c r="G204" i="24" a="1"/>
  <c r="G204" i="24" s="1"/>
  <c r="D204" i="24" s="1"/>
  <c r="G202" i="24" a="1"/>
  <c r="G202" i="24" s="1"/>
  <c r="D202" i="24" s="1"/>
  <c r="G200" i="24" a="1"/>
  <c r="G200" i="24" s="1"/>
  <c r="D200" i="24" s="1"/>
  <c r="G201" i="24" a="1"/>
  <c r="G201" i="24" s="1"/>
  <c r="D201" i="24" s="1"/>
  <c r="G199" i="24" a="1"/>
  <c r="G199" i="24" s="1"/>
  <c r="D199" i="24" s="1"/>
  <c r="G197" i="24" a="1"/>
  <c r="G197" i="24" s="1"/>
  <c r="D197" i="24" s="1"/>
  <c r="G198" i="24" a="1"/>
  <c r="G198" i="24" s="1"/>
  <c r="D198" i="24" s="1"/>
  <c r="G196" i="24" a="1"/>
  <c r="G196" i="24" s="1"/>
  <c r="D196" i="24" s="1"/>
  <c r="G192" i="24" a="1"/>
  <c r="G192" i="24" s="1"/>
  <c r="D192" i="24" s="1"/>
  <c r="G194" i="24" a="1"/>
  <c r="G194" i="24" s="1"/>
  <c r="D194" i="24" s="1"/>
  <c r="G195" i="24" a="1"/>
  <c r="G195" i="24" s="1"/>
  <c r="D195" i="24" s="1"/>
  <c r="G193" i="24" a="1"/>
  <c r="G193" i="24" s="1"/>
  <c r="D193" i="24" s="1"/>
  <c r="G191" i="24" a="1"/>
  <c r="G191" i="24" s="1"/>
  <c r="D191" i="24" s="1"/>
  <c r="G190" i="24" a="1"/>
  <c r="G190" i="24" s="1"/>
  <c r="D190" i="24" s="1"/>
  <c r="G189" i="24" a="1"/>
  <c r="G189" i="24" s="1"/>
  <c r="D189" i="24" s="1"/>
  <c r="G187" i="24" a="1"/>
  <c r="G187" i="24" s="1"/>
  <c r="D187" i="24" s="1"/>
  <c r="G188" i="24" a="1"/>
  <c r="G188" i="24" s="1"/>
  <c r="D188" i="24" s="1"/>
  <c r="G185" i="24" a="1"/>
  <c r="G185" i="24" s="1"/>
  <c r="D185" i="24" s="1"/>
  <c r="G186" i="24" a="1"/>
  <c r="G186" i="24" s="1"/>
  <c r="D186" i="24" s="1"/>
  <c r="G181" i="24" a="1"/>
  <c r="G181" i="24" s="1"/>
  <c r="D181" i="24" s="1"/>
  <c r="G183" i="24" a="1"/>
  <c r="G183" i="24" s="1"/>
  <c r="D183" i="24" s="1"/>
  <c r="G184" i="24" a="1"/>
  <c r="G184" i="24" s="1"/>
  <c r="D184" i="24" s="1"/>
  <c r="G176" i="24" a="1"/>
  <c r="G176" i="24" s="1"/>
  <c r="D176" i="24" s="1"/>
  <c r="G172" i="24" a="1"/>
  <c r="G172" i="24" s="1"/>
  <c r="D172" i="24" s="1"/>
  <c r="G182" i="24" a="1"/>
  <c r="G182" i="24" s="1"/>
  <c r="D182" i="24" s="1"/>
  <c r="G177" i="24" a="1"/>
  <c r="G177" i="24" s="1"/>
  <c r="D177" i="24" s="1"/>
  <c r="G173" i="24" a="1"/>
  <c r="G173" i="24" s="1"/>
  <c r="D173" i="24" s="1"/>
  <c r="G174" i="24" a="1"/>
  <c r="G174" i="24" s="1"/>
  <c r="D174" i="24" s="1"/>
  <c r="G175" i="24" a="1"/>
  <c r="G175" i="24" s="1"/>
  <c r="D175" i="24" s="1"/>
  <c r="G178" i="24" a="1"/>
  <c r="G178" i="24" s="1"/>
  <c r="D178" i="24" s="1"/>
  <c r="G179" i="24" a="1"/>
  <c r="G179" i="24" s="1"/>
  <c r="D179" i="24" s="1"/>
  <c r="G180" i="24" a="1"/>
  <c r="G180" i="24" s="1"/>
  <c r="D180" i="24" s="1"/>
  <c r="H44" i="14"/>
  <c r="H45" i="14"/>
  <c r="H48" i="14"/>
  <c r="H47" i="14"/>
  <c r="H46" i="14"/>
  <c r="H50" i="14"/>
  <c r="H51" i="14"/>
  <c r="H41" i="14"/>
  <c r="H42" i="14"/>
  <c r="H39" i="14"/>
  <c r="H40" i="14"/>
  <c r="AB24" i="12"/>
  <c r="AD24" i="12" s="1"/>
  <c r="AE24" i="12" s="1"/>
  <c r="F25" i="12"/>
  <c r="AB25" i="12"/>
  <c r="AD25" i="12" s="1"/>
  <c r="AE25" i="12" s="1"/>
  <c r="F13" i="12"/>
  <c r="AB13" i="12"/>
  <c r="AD13" i="12" s="1"/>
  <c r="AE13" i="12" s="1"/>
  <c r="G170" i="24" a="1"/>
  <c r="G170" i="24" s="1"/>
  <c r="D170" i="24" s="1"/>
  <c r="G171" i="24" a="1"/>
  <c r="G171" i="24" s="1"/>
  <c r="D171" i="24" s="1"/>
  <c r="G168" i="24" a="1"/>
  <c r="G168" i="24" s="1"/>
  <c r="D168" i="24" s="1"/>
  <c r="G169" i="24" a="1"/>
  <c r="G169" i="24" s="1"/>
  <c r="D169" i="24" s="1"/>
  <c r="G167" i="24" a="1"/>
  <c r="G167" i="24" s="1"/>
  <c r="D167" i="24" s="1"/>
  <c r="G166" i="24" a="1"/>
  <c r="G166" i="24" s="1"/>
  <c r="D166" i="24" s="1"/>
  <c r="G161" i="24" a="1"/>
  <c r="G161" i="24" s="1"/>
  <c r="D161" i="24" s="1"/>
  <c r="G162" i="24" a="1"/>
  <c r="G162" i="24" s="1"/>
  <c r="D162" i="24" s="1"/>
  <c r="G163" i="24" a="1"/>
  <c r="G163" i="24" s="1"/>
  <c r="D163" i="24" s="1"/>
  <c r="G159" i="24" a="1"/>
  <c r="G159" i="24" s="1"/>
  <c r="D159" i="24" s="1"/>
  <c r="G160" i="24" a="1"/>
  <c r="G160" i="24" s="1"/>
  <c r="D160" i="24" s="1"/>
  <c r="G158" i="24" a="1"/>
  <c r="G158" i="24" s="1"/>
  <c r="D158" i="24" s="1"/>
  <c r="G165" i="24" a="1"/>
  <c r="G165" i="24" s="1"/>
  <c r="D165" i="24" s="1"/>
  <c r="G164" i="24" a="1"/>
  <c r="G164" i="24" s="1"/>
  <c r="D164" i="24" s="1"/>
  <c r="G155" i="24" a="1"/>
  <c r="G155" i="24" s="1"/>
  <c r="D155" i="24" s="1"/>
  <c r="G157" i="24" a="1"/>
  <c r="G157" i="24" s="1"/>
  <c r="D157" i="24" s="1"/>
  <c r="G153" i="24" a="1"/>
  <c r="G153" i="24" s="1"/>
  <c r="D153" i="24" s="1"/>
  <c r="G156" i="24" a="1"/>
  <c r="G156" i="24" s="1"/>
  <c r="D156" i="24" s="1"/>
  <c r="G148" i="24" a="1"/>
  <c r="G148" i="24" s="1"/>
  <c r="D148" i="24" s="1"/>
  <c r="G151" i="24" a="1"/>
  <c r="G151" i="24" s="1"/>
  <c r="D151" i="24" s="1"/>
  <c r="G154" i="24" a="1"/>
  <c r="G154" i="24" s="1"/>
  <c r="D154" i="24" s="1"/>
  <c r="G149" i="24" a="1"/>
  <c r="G149" i="24" s="1"/>
  <c r="D149" i="24" s="1"/>
  <c r="G150" i="24" a="1"/>
  <c r="G150" i="24" s="1"/>
  <c r="D150" i="24" s="1"/>
  <c r="G147" i="24" a="1"/>
  <c r="G147" i="24" s="1"/>
  <c r="D147" i="24" s="1"/>
  <c r="G152" i="24" a="1"/>
  <c r="G152" i="24" s="1"/>
  <c r="D152" i="24" s="1"/>
  <c r="G146" i="24" a="1"/>
  <c r="G146" i="24" s="1"/>
  <c r="D146" i="24" s="1"/>
  <c r="P3" i="2"/>
  <c r="P26" i="2"/>
  <c r="G145" i="24" a="1"/>
  <c r="G145" i="24" s="1"/>
  <c r="D145" i="24" s="1"/>
  <c r="G141" i="24" a="1"/>
  <c r="G141" i="24" s="1"/>
  <c r="D141" i="24" s="1"/>
  <c r="G143" i="24" a="1"/>
  <c r="G143" i="24" s="1"/>
  <c r="D143" i="24" s="1"/>
  <c r="G144" i="24" a="1"/>
  <c r="G144" i="24" s="1"/>
  <c r="D144" i="24" s="1"/>
  <c r="G142" i="24" a="1"/>
  <c r="G142" i="24" s="1"/>
  <c r="D142" i="24" s="1"/>
  <c r="G139" i="24" a="1"/>
  <c r="G139" i="24" s="1"/>
  <c r="D139" i="24" s="1"/>
  <c r="G140" i="24" a="1"/>
  <c r="G140" i="24" s="1"/>
  <c r="D140" i="24" s="1"/>
  <c r="G126" i="24" a="1"/>
  <c r="G126" i="24" s="1"/>
  <c r="D126" i="24" s="1"/>
  <c r="G138" i="24" a="1"/>
  <c r="G138" i="24" s="1"/>
  <c r="D138" i="24" s="1"/>
  <c r="G137" i="24" a="1"/>
  <c r="G137" i="24" s="1"/>
  <c r="D137" i="24" s="1"/>
  <c r="G135" i="24" a="1"/>
  <c r="G135" i="24" s="1"/>
  <c r="D135" i="24" s="1"/>
  <c r="G129" i="24" a="1"/>
  <c r="G129" i="24" s="1"/>
  <c r="D129" i="24" s="1"/>
  <c r="G132" i="24" a="1"/>
  <c r="G132" i="24" s="1"/>
  <c r="D132" i="24" s="1"/>
  <c r="G125" i="24" a="1"/>
  <c r="G125" i="24" s="1"/>
  <c r="D125" i="24" s="1"/>
  <c r="G134" i="24" a="1"/>
  <c r="G134" i="24" s="1"/>
  <c r="D134" i="24" s="1"/>
  <c r="G128" i="24" a="1"/>
  <c r="G128" i="24" s="1"/>
  <c r="D128" i="24" s="1"/>
  <c r="G130" i="24" a="1"/>
  <c r="G130" i="24" s="1"/>
  <c r="D130" i="24" s="1"/>
  <c r="G133" i="24" a="1"/>
  <c r="G133" i="24" s="1"/>
  <c r="D133" i="24" s="1"/>
  <c r="G127" i="24" a="1"/>
  <c r="G127" i="24" s="1"/>
  <c r="D127" i="24" s="1"/>
  <c r="G136" i="24" a="1"/>
  <c r="G136" i="24" s="1"/>
  <c r="D136" i="24" s="1"/>
  <c r="G131" i="24" a="1"/>
  <c r="G131" i="24" s="1"/>
  <c r="D131" i="24" s="1"/>
  <c r="G122" i="24" a="1"/>
  <c r="G122" i="24" s="1"/>
  <c r="D122" i="24" s="1"/>
  <c r="G123" i="24" a="1"/>
  <c r="G123" i="24" s="1"/>
  <c r="D123" i="24" s="1"/>
  <c r="G124" i="24" a="1"/>
  <c r="G124" i="24" s="1"/>
  <c r="D124" i="24" s="1"/>
  <c r="G120" i="24" a="1"/>
  <c r="G120" i="24" s="1"/>
  <c r="D120" i="24" s="1"/>
  <c r="G121" i="24" a="1"/>
  <c r="G121" i="24" s="1"/>
  <c r="D121" i="24" s="1"/>
  <c r="G118" i="24" a="1"/>
  <c r="G118" i="24" s="1"/>
  <c r="D118" i="24" s="1"/>
  <c r="G119" i="24" a="1"/>
  <c r="G119" i="24" s="1"/>
  <c r="D119" i="24" s="1"/>
  <c r="G117" i="24" a="1"/>
  <c r="G117" i="24" s="1"/>
  <c r="D117" i="24" s="1"/>
  <c r="G115" i="24" a="1"/>
  <c r="G115" i="24" s="1"/>
  <c r="D115" i="24" s="1"/>
  <c r="G116" i="24" a="1"/>
  <c r="G116" i="24" s="1"/>
  <c r="D116" i="24" s="1"/>
  <c r="G43" i="24" a="1"/>
  <c r="G43" i="24" s="1"/>
  <c r="D43" i="24" s="1"/>
  <c r="G45" i="24" a="1"/>
  <c r="G45" i="24" s="1"/>
  <c r="D45" i="24" s="1"/>
  <c r="G76" i="24" a="1"/>
  <c r="G76" i="24" s="1"/>
  <c r="D76" i="24" s="1"/>
  <c r="G73" i="24" a="1"/>
  <c r="G73" i="24" s="1"/>
  <c r="D73" i="24" s="1"/>
  <c r="G74" i="24" a="1"/>
  <c r="G74" i="24" s="1"/>
  <c r="D74" i="24" s="1"/>
  <c r="G8" i="24" a="1"/>
  <c r="G8" i="24" s="1"/>
  <c r="D8" i="24" s="1"/>
  <c r="G82" i="24" a="1"/>
  <c r="G82" i="24" s="1"/>
  <c r="D82" i="24" s="1"/>
  <c r="G10" i="24" a="1"/>
  <c r="G10" i="24" s="1"/>
  <c r="D10" i="24" s="1"/>
  <c r="G107" i="24" a="1"/>
  <c r="G107" i="24" s="1"/>
  <c r="D107" i="24" s="1"/>
  <c r="G60" i="24" a="1"/>
  <c r="G60" i="24" s="1"/>
  <c r="D60" i="24" s="1"/>
  <c r="G7" i="24" a="1"/>
  <c r="G7" i="24" s="1"/>
  <c r="D7" i="24" s="1"/>
  <c r="G93" i="24" a="1"/>
  <c r="G93" i="24" s="1"/>
  <c r="D93" i="24" s="1"/>
  <c r="G68" i="24" a="1"/>
  <c r="G68" i="24" s="1"/>
  <c r="D68" i="24" s="1"/>
  <c r="G9" i="24" a="1"/>
  <c r="G9" i="24" s="1"/>
  <c r="D9" i="24" s="1"/>
  <c r="G67" i="24" a="1"/>
  <c r="G67" i="24" s="1"/>
  <c r="D67" i="24" s="1"/>
  <c r="G64" i="24" a="1"/>
  <c r="G64" i="24" s="1"/>
  <c r="D64" i="24" s="1"/>
  <c r="G65" i="24" a="1"/>
  <c r="G65" i="24" s="1"/>
  <c r="D65" i="24" s="1"/>
  <c r="G11" i="24" a="1"/>
  <c r="G11" i="24" s="1"/>
  <c r="D11" i="24" s="1"/>
  <c r="G106" i="24" a="1"/>
  <c r="G106" i="24" s="1"/>
  <c r="D106" i="24" s="1"/>
  <c r="G83" i="24" a="1"/>
  <c r="G83" i="24" s="1"/>
  <c r="D83" i="24" s="1"/>
  <c r="G77" i="24" a="1"/>
  <c r="G77" i="24" s="1"/>
  <c r="D77" i="24" s="1"/>
  <c r="G81" i="24" a="1"/>
  <c r="G81" i="24" s="1"/>
  <c r="D81" i="24" s="1"/>
  <c r="G62" i="24" a="1"/>
  <c r="G62" i="24" s="1"/>
  <c r="D62" i="24" s="1"/>
  <c r="G28" i="24" a="1"/>
  <c r="G28" i="24" s="1"/>
  <c r="D28" i="24" s="1"/>
  <c r="G47" i="24" a="1"/>
  <c r="G47" i="24" s="1"/>
  <c r="D47" i="24" s="1"/>
  <c r="G78" i="24" a="1"/>
  <c r="G78" i="24" s="1"/>
  <c r="D78" i="24" s="1"/>
  <c r="G19" i="24" a="1"/>
  <c r="G19" i="24" s="1"/>
  <c r="D19" i="24" s="1"/>
  <c r="G86" i="24" a="1"/>
  <c r="G86" i="24" s="1"/>
  <c r="D86" i="24" s="1"/>
  <c r="G72" i="24" a="1"/>
  <c r="G72" i="24" s="1"/>
  <c r="D72" i="24" s="1"/>
  <c r="G23" i="24" a="1"/>
  <c r="G23" i="24" s="1"/>
  <c r="D23" i="24" s="1"/>
  <c r="G94" i="24" a="1"/>
  <c r="G94" i="24" s="1"/>
  <c r="D94" i="24" s="1"/>
  <c r="G92" i="24" a="1"/>
  <c r="G92" i="24" s="1"/>
  <c r="D92" i="24" s="1"/>
  <c r="G14" i="24" a="1"/>
  <c r="G14" i="24" s="1"/>
  <c r="D14" i="24" s="1"/>
  <c r="G15" i="24" a="1"/>
  <c r="G15" i="24" s="1"/>
  <c r="D15" i="24" s="1"/>
  <c r="G96" i="24" a="1"/>
  <c r="G96" i="24" s="1"/>
  <c r="D96" i="24" s="1"/>
  <c r="G55" i="24" a="1"/>
  <c r="G55" i="24" s="1"/>
  <c r="D55" i="24" s="1"/>
  <c r="G25" i="24" a="1"/>
  <c r="G25" i="24" s="1"/>
  <c r="D25" i="24" s="1"/>
  <c r="G17" i="24" a="1"/>
  <c r="G17" i="24" s="1"/>
  <c r="D17" i="24" s="1"/>
  <c r="G34" i="24" a="1"/>
  <c r="G34" i="24" s="1"/>
  <c r="D34" i="24" s="1"/>
  <c r="G88" i="24" a="1"/>
  <c r="G88" i="24" s="1"/>
  <c r="D88" i="24" s="1"/>
  <c r="G37" i="24" a="1"/>
  <c r="G37" i="24" s="1"/>
  <c r="D37" i="24" s="1"/>
  <c r="G30" i="24" a="1"/>
  <c r="G30" i="24" s="1"/>
  <c r="D30" i="24" s="1"/>
  <c r="G22" i="24" a="1"/>
  <c r="G22" i="24" s="1"/>
  <c r="D22" i="24" s="1"/>
  <c r="G39" i="24" a="1"/>
  <c r="G39" i="24" s="1"/>
  <c r="D39" i="24" s="1"/>
  <c r="G85" i="24" a="1"/>
  <c r="G85" i="24" s="1"/>
  <c r="D85" i="24" s="1"/>
  <c r="G91" i="24" a="1"/>
  <c r="G91" i="24" s="1"/>
  <c r="D91" i="24" s="1"/>
  <c r="G20" i="24" a="1"/>
  <c r="G20" i="24" s="1"/>
  <c r="D20" i="24" s="1"/>
  <c r="G12" i="24" a="1"/>
  <c r="G12" i="24" s="1"/>
  <c r="D12" i="24" s="1"/>
  <c r="G29" i="24" a="1"/>
  <c r="G29" i="24" s="1"/>
  <c r="D29" i="24" s="1"/>
  <c r="G70" i="24" a="1"/>
  <c r="G70" i="24" s="1"/>
  <c r="D70" i="24" s="1"/>
  <c r="G97" i="24" a="1"/>
  <c r="G97" i="24" s="1"/>
  <c r="D97" i="24" s="1"/>
  <c r="G35" i="24" a="1"/>
  <c r="G35" i="24" s="1"/>
  <c r="D35" i="24" s="1"/>
  <c r="G27" i="24" a="1"/>
  <c r="G27" i="24" s="1"/>
  <c r="D27" i="24" s="1"/>
  <c r="G44" i="24" a="1"/>
  <c r="G44" i="24" s="1"/>
  <c r="D44" i="24" s="1"/>
  <c r="G16" i="24" a="1"/>
  <c r="G16" i="24" s="1"/>
  <c r="D16" i="24" s="1"/>
  <c r="G63" i="24" a="1"/>
  <c r="G63" i="24" s="1"/>
  <c r="D63" i="24" s="1"/>
  <c r="G24" i="24" a="1"/>
  <c r="G24" i="24" s="1"/>
  <c r="D24" i="24" s="1"/>
  <c r="G50" i="24" a="1"/>
  <c r="G50" i="24" s="1"/>
  <c r="D50" i="24" s="1"/>
  <c r="G40" i="24" a="1"/>
  <c r="G40" i="24" s="1"/>
  <c r="D40" i="24" s="1"/>
  <c r="G66" i="24" a="1"/>
  <c r="G66" i="24" s="1"/>
  <c r="D66" i="24" s="1"/>
  <c r="G49" i="24" a="1"/>
  <c r="G49" i="24" s="1"/>
  <c r="D49" i="24" s="1"/>
  <c r="G21" i="24" a="1"/>
  <c r="G21" i="24" s="1"/>
  <c r="D21" i="24" s="1"/>
  <c r="G75" i="24" a="1"/>
  <c r="G75" i="24" s="1"/>
  <c r="D75" i="24" s="1"/>
  <c r="G111" i="24" a="1"/>
  <c r="G111" i="24" s="1"/>
  <c r="D111" i="24" s="1"/>
  <c r="G114" i="24" a="1"/>
  <c r="G114" i="24" s="1"/>
  <c r="D114" i="24" s="1"/>
  <c r="G69" i="24" a="1"/>
  <c r="G69" i="24" s="1"/>
  <c r="D69" i="24" s="1"/>
  <c r="G53" i="24" a="1"/>
  <c r="G53" i="24" s="1"/>
  <c r="D53" i="24" s="1"/>
  <c r="G79" i="24" a="1"/>
  <c r="G79" i="24" s="1"/>
  <c r="D79" i="24" s="1"/>
  <c r="G95" i="24" a="1"/>
  <c r="G95" i="24" s="1"/>
  <c r="D95" i="24" s="1"/>
  <c r="G13" i="24" a="1"/>
  <c r="G13" i="24" s="1"/>
  <c r="D13" i="24" s="1"/>
  <c r="G52" i="24" a="1"/>
  <c r="G52" i="24" s="1"/>
  <c r="D52" i="24" s="1"/>
  <c r="G109" i="24" a="1"/>
  <c r="G109" i="24" s="1"/>
  <c r="D109" i="24" s="1"/>
  <c r="G84" i="24" a="1"/>
  <c r="G84" i="24" s="1"/>
  <c r="D84" i="24" s="1"/>
  <c r="G110" i="24" a="1"/>
  <c r="G110" i="24" s="1"/>
  <c r="D110" i="24" s="1"/>
  <c r="G41" i="24" a="1"/>
  <c r="G41" i="24" s="1"/>
  <c r="D41" i="24" s="1"/>
  <c r="G112" i="24" a="1"/>
  <c r="G112" i="24" s="1"/>
  <c r="D112" i="24" s="1"/>
  <c r="G99" i="24" a="1"/>
  <c r="G99" i="24" s="1"/>
  <c r="D99" i="24" s="1"/>
  <c r="G54" i="24" a="1"/>
  <c r="G54" i="24" s="1"/>
  <c r="D54" i="24" s="1"/>
  <c r="G61" i="24" a="1"/>
  <c r="G61" i="24" s="1"/>
  <c r="D61" i="24" s="1"/>
  <c r="G32" i="24" a="1"/>
  <c r="G32" i="24" s="1"/>
  <c r="D32" i="24" s="1"/>
  <c r="G6" i="24" a="1"/>
  <c r="G6" i="24" s="1"/>
  <c r="D6" i="24" s="1"/>
  <c r="G113" i="24" a="1"/>
  <c r="G113" i="24" s="1"/>
  <c r="D113" i="24" s="1"/>
  <c r="G98" i="24" a="1"/>
  <c r="G98" i="24" s="1"/>
  <c r="D98" i="24" s="1"/>
  <c r="G87" i="24" a="1"/>
  <c r="G87" i="24" s="1"/>
  <c r="D87" i="24" s="1"/>
  <c r="G59" i="24" a="1"/>
  <c r="G59" i="24" s="1"/>
  <c r="D59" i="24" s="1"/>
  <c r="G71" i="24" a="1"/>
  <c r="G71" i="24" s="1"/>
  <c r="D71" i="24" s="1"/>
  <c r="G18" i="24" a="1"/>
  <c r="G18" i="24" s="1"/>
  <c r="D18" i="24" s="1"/>
  <c r="G57" i="24" a="1"/>
  <c r="G57" i="24" s="1"/>
  <c r="D57" i="24" s="1"/>
  <c r="G90" i="24" a="1"/>
  <c r="G90" i="24" s="1"/>
  <c r="D90" i="24" s="1"/>
  <c r="G89" i="24" a="1"/>
  <c r="G89" i="24" s="1"/>
  <c r="D89" i="24" s="1"/>
  <c r="G46" i="24" a="1"/>
  <c r="G46" i="24" s="1"/>
  <c r="D46" i="24" s="1"/>
  <c r="G38" i="24" a="1"/>
  <c r="G38" i="24" s="1"/>
  <c r="D38" i="24" s="1"/>
  <c r="G58" i="24" a="1"/>
  <c r="G58" i="24" s="1"/>
  <c r="D58" i="24" s="1"/>
  <c r="G56" i="24" a="1"/>
  <c r="G56" i="24" s="1"/>
  <c r="D56" i="24" s="1"/>
  <c r="G108" i="24" a="1"/>
  <c r="G108" i="24" s="1"/>
  <c r="D108" i="24" s="1"/>
  <c r="G33" i="24" a="1"/>
  <c r="G33" i="24" s="1"/>
  <c r="D33" i="24" s="1"/>
  <c r="G51" i="24" a="1"/>
  <c r="G51" i="24" s="1"/>
  <c r="D51" i="24" s="1"/>
  <c r="G105" i="24" a="1"/>
  <c r="G105" i="24" s="1"/>
  <c r="D105" i="24" s="1"/>
  <c r="G31" i="24" a="1"/>
  <c r="G31" i="24" s="1"/>
  <c r="D31" i="24" s="1"/>
  <c r="C6" i="24"/>
  <c r="G104" i="24" a="1"/>
  <c r="G104" i="24" s="1"/>
  <c r="D104" i="24" s="1"/>
  <c r="G80" i="24" a="1"/>
  <c r="G80" i="24" s="1"/>
  <c r="D80" i="24" s="1"/>
  <c r="G36" i="24" a="1"/>
  <c r="G36" i="24" s="1"/>
  <c r="D36" i="24" s="1"/>
  <c r="G103" i="24" a="1"/>
  <c r="G103" i="24" s="1"/>
  <c r="D103" i="24" s="1"/>
  <c r="G26" i="24" a="1"/>
  <c r="G26" i="24" s="1"/>
  <c r="D26" i="24" s="1"/>
  <c r="G100" i="24" a="1"/>
  <c r="G100" i="24" s="1"/>
  <c r="D100" i="24" s="1"/>
  <c r="G101" i="24" a="1"/>
  <c r="G101" i="24" s="1"/>
  <c r="D101" i="24" s="1"/>
  <c r="G42" i="24" a="1"/>
  <c r="G42" i="24" s="1"/>
  <c r="D42" i="24" s="1"/>
  <c r="G48" i="24" a="1"/>
  <c r="G48" i="24" s="1"/>
  <c r="D48" i="24" s="1"/>
  <c r="G102" i="24" a="1"/>
  <c r="G102" i="24" s="1"/>
  <c r="D102" i="24" s="1"/>
  <c r="P5" i="2"/>
  <c r="P4" i="2"/>
  <c r="F24" i="12"/>
  <c r="H24" i="14"/>
  <c r="P6" i="2" s="1"/>
  <c r="H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AE46" i="12" l="1"/>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<sst xmlns="http://schemas.openxmlformats.org/spreadsheetml/2006/main" count="6736" uniqueCount="1647">
  <si>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</si>
  <si>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</si>
  <si>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</si>
  <si>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</si>
  <si>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</si>
  <si>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</si>
  <si>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</si>
  <si>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</si>
  <si>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</si>
  <si>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</si>
  <si>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</si>
  <si>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</si>
  <si>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</si>
  <si>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</si>
  <si>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</si>
  <si>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</si>
  <si>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</si>
  <si>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</si>
  <si>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</si>
  <si>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</si>
  <si>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</si>
  <si>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</si>
  <si>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</si>
  <si>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</si>
  <si>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</si>
  <si>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</si>
  <si>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</si>
  <si>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</si>
  <si>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</si>
  <si>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</si>
  <si>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</si>
  <si>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</si>
  <si>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</si>
  <si>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</si>
  <si>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</si>
  <si>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</si>
  <si>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</si>
  <si>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</si>
  <si>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</si>
  <si>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</si>
  <si>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</si>
  <si>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</si>
  <si>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</si>
  <si>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</si>
  <si>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</si>
  <si>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</si>
  <si>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</si>
  <si>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</si>
  <si>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</si>
  <si>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</si>
  <si>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</si>
  <si>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</si>
  <si>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</si>
  <si>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</si>
  <si>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</si>
  <si>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</si>
  <si>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</si>
  <si>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</si>
  <si>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</si>
  <si>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</si>
  <si>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</si>
  <si>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</si>
  <si>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</si>
  <si>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</si>
  <si>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</si>
  <si>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</si>
  <si>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</si>
  <si>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</si>
  <si>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</si>
  <si>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</si>
  <si>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</si>
  <si>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</si>
  <si>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</si>
  <si>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</si>
  <si>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</si>
  <si>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</si>
  <si>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</si>
  <si>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</si>
  <si>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</si>
  <si>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</si>
  <si>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</si>
  <si>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</si>
  <si>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</si>
  <si>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</si>
  <si>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</si>
  <si>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</si>
  <si>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</si>
  <si>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</si>
  <si>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</si>
  <si>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</si>
  <si>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</si>
  <si>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</si>
  <si>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</si>
  <si>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</si>
  <si>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</si>
  <si>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</si>
  <si>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</si>
  <si>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</si>
  <si>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</si>
  <si>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</si>
  <si>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</si>
  <si>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</si>
  <si>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</si>
  <si>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</si>
  <si>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</si>
  <si>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</si>
  <si>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</si>
  <si>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</si>
  <si>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</si>
  <si>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</si>
  <si>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</si>
  <si>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</si>
  <si>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</si>
  <si>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</si>
  <si>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</si>
  <si>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</si>
  <si>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</si>
  <si>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</si>
  <si>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</si>
  <si>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</si>
  <si>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</si>
  <si>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</si>
  <si>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</si>
  <si>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</si>
  <si>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</si>
  <si>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</si>
  <si>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</si>
  <si>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</si>
  <si>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</si>
  <si>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</si>
  <si>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</si>
  <si>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</si>
  <si>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</si>
  <si>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</si>
  <si>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</si>
  <si>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</si>
  <si>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</si>
  <si>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</si>
  <si>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</si>
  <si>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</si>
  <si>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</si>
  <si>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</si>
  <si>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</si>
  <si>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Lit-ID</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</si>
  <si>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</si>
  <si>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</si>
  <si>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</si>
  <si>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</si>
  <si>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</si>
  <si>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</si>
  <si>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</si>
  <si>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</si>
  <si>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</si>
  <si>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</si>
  <si>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</si>
  <si>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</si>
  <si>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</si>
  <si>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</si>
  <si>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</si>
  <si>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</si>
  <si>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</si>
  <si>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</si>
  <si>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</si>
  <si>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</si>
  <si>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</si>
  <si>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</si>
  <si>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</si>
  <si>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</si>
  <si>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</si>
  <si>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R79-363</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</si>
  <si>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</si>
  <si>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</si>
  <si>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</si>
  <si>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</si>
  <si>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</si>
  <si>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</si>
  <si>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</si>
  <si>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</si>
  <si>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</si>
  <si>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</si>
  <si>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</si>
  <si>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</si>
  <si>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</si>
  <si>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</si>
  <si>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</si>
  <si>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</si>
  <si>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</si>
  <si>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</si>
  <si>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</si>
  <si>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</si>
  <si>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</si>
  <si>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</si>
  <si>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</si>
  <si>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</si>
  <si>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</si>
  <si>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</si>
  <si>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</si>
  <si>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</si>
  <si>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</si>
  <si>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</si>
  <si>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</si>
  <si>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</si>
  <si>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</si>
  <si>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</si>
  <si>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</si>
  <si>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</si>
  <si>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</si>
  <si>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</si>
  <si>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</si>
  <si>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</si>
  <si>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</si>
  <si>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</si>
  <si>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</si>
  <si>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</si>
  <si>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</si>
  <si>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</si>
  <si>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</si>
  <si>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</si>
  <si>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</si>
  <si>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</si>
  <si>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</si>
  <si>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</si>
  <si>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</si>
  <si>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</si>
  <si>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</si>
  <si>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</si>
  <si>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</si>
  <si>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</si>
  <si>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</si>
  <si>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</si>
  <si>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</si>
  <si>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</si>
  <si>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</si>
  <si>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</si>
  <si>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</si>
  <si>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</si>
  <si>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</si>
  <si>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</si>
  <si>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</si>
  <si>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</si>
  <si>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</si>
  <si>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</si>
  <si>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</si>
  <si>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</si>
  <si>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</si>
  <si>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</si>
  <si>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</si>
  <si>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</si>
  <si>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</si>
  <si>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</si>
  <si>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</si>
  <si>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</si>
  <si>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</si>
  <si>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</si>
  <si>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</si>
  <si>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</si>
  <si>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</si>
  <si>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</si>
  <si>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</si>
  <si>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</si>
  <si>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</si>
  <si>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</si>
  <si>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</si>
  <si>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</si>
  <si>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</si>
  <si>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</si>
  <si>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</si>
  <si>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</si>
  <si>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</si>
  <si>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</si>
  <si>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</si>
  <si>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</si>
  <si>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</si>
  <si>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</si>
  <si>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</si>
  <si>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</si>
  <si>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</si>
  <si>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</si>
  <si>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</si>
  <si>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</si>
  <si>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</si>
  <si>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</si>
  <si>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</si>
  <si>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</si>
  <si>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</si>
  <si>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</si>
  <si>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</si>
  <si>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</si>
  <si>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</si>
  <si>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</si>
  <si>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</si>
  <si>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</si>
  <si>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</si>
  <si>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</si>
  <si>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</si>
  <si>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</si>
  <si>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</si>
  <si>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</si>
  <si>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</si>
  <si>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</si>
  <si>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</si>
  <si>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</si>
  <si>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</si>
  <si>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</si>
  <si>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</si>
  <si>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</si>
  <si>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</si>
  <si>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</si>
  <si>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</si>
  <si>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</si>
  <si>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</si>
  <si>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</si>
  <si>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</si>
  <si>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</si>
  <si>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</si>
  <si>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</si>
  <si>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</si>
  <si>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</si>
  <si>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</si>
  <si>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</si>
  <si>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</si>
  <si>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</si>
  <si>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</si>
  <si>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</si>
  <si>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</si>
  <si>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</si>
  <si>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</si>
  <si>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</si>
  <si>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</si>
  <si>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</si>
  <si>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</si>
  <si>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</si>
  <si>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</si>
  <si>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</si>
  <si>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</si>
  <si>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</si>
  <si>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</si>
  <si>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</si>
  <si>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</si>
  <si>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</si>
  <si>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</si>
  <si>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</si>
  <si>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</si>
  <si>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</si>
  <si>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</si>
  <si>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</si>
  <si>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</si>
  <si>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</si>
  <si>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</si>
  <si>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</si>
  <si>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</si>
  <si>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</si>
  <si>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</si>
  <si>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</si>
  <si>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</si>
  <si>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</si>
  <si>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</si>
  <si>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</si>
  <si>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</si>
  <si>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</si>
  <si>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</si>
  <si>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</si>
  <si>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</si>
  <si>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</si>
  <si>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</si>
  <si>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</si>
  <si>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</si>
  <si>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</si>
  <si>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</si>
  <si>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</si>
  <si>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</si>
  <si>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</si>
  <si>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</si>
  <si>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</si>
  <si>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</si>
  <si>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</si>
  <si>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</si>
  <si>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</si>
  <si>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</si>
  <si>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</si>
  <si>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</si>
  <si>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</si>
  <si>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</si>
  <si>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</si>
  <si>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</si>
  <si>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</si>
  <si>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</si>
  <si>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</si>
  <si>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</si>
  <si>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</si>
  <si>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</si>
  <si>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</si>
  <si>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</si>
  <si>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</si>
  <si>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</si>
  <si>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</si>
  <si>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</si>
  <si>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</si>
  <si>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</si>
  <si>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</si>
  <si>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</si>
  <si>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</si>
  <si>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</si>
  <si>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</si>
  <si>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</si>
  <si>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</si>
  <si>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</si>
  <si>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</si>
  <si>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</si>
  <si>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</si>
  <si>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</si>
  <si>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</si>
  <si>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</si>
  <si>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</si>
  <si>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</si>
  <si>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</si>
  <si>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</si>
  <si>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</si>
  <si>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</si>
  <si>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</si>
  <si>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</si>
  <si>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</si>
  <si>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</si>
  <si>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</si>
  <si>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</si>
  <si>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</si>
  <si>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</si>
  <si>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</si>
  <si>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</si>
  <si>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</si>
  <si>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</si>
  <si>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</si>
  <si>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</si>
  <si>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</si>
  <si>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</si>
  <si>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</si>
  <si>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</si>
  <si>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</si>
  <si>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</si>
  <si>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</si>
  <si>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</si>
  <si>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</si>
  <si>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</si>
  <si>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</si>
  <si>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</si>
  <si>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</si>
  <si>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</si>
  <si>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</si>
  <si>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</si>
  <si>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</si>
  <si>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</si>
  <si>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</si>
  <si>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</si>
  <si>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</si>
  <si>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</si>
  <si>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</si>
  <si>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</si>
  <si>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</si>
  <si>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</si>
  <si>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</si>
  <si>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</si>
  <si>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</si>
  <si>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</si>
  <si>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</si>
  <si>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</si>
  <si>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</si>
  <si>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</si>
  <si>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</si>
  <si>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</si>
  <si>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</si>
  <si>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</si>
  <si>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</si>
  <si>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</si>
  <si>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</si>
  <si>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</si>
  <si>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</si>
  <si>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</si>
  <si>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</si>
  <si>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</si>
  <si>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</si>
  <si>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</si>
  <si>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</si>
  <si>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</si>
  <si>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</si>
  <si>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</si>
  <si>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</si>
  <si>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</si>
  <si>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</si>
  <si>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</si>
  <si>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</si>
  <si>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</si>
  <si>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</si>
  <si>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</si>
  <si>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</si>
  <si>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</si>
  <si>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</si>
  <si>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</si>
  <si>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</si>
  <si>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</si>
  <si>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</si>
  <si>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</si>
  <si>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</si>
  <si>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</si>
  <si>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</si>
  <si>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</si>
  <si>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</si>
  <si>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</si>
  <si>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</si>
  <si>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</si>
  <si>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</si>
  <si>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</si>
  <si>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</si>
  <si>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</si>
  <si>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</si>
  <si>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</si>
  <si>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</si>
  <si>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</si>
  <si>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</si>
  <si>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</si>
  <si>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</si>
  <si>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</si>
  <si>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</si>
  <si>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</si>
  <si>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</si>
  <si>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</si>
  <si>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</si>
  <si>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</si>
  <si>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</si>
  <si>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</si>
  <si>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</si>
  <si>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</si>
  <si>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</si>
  <si>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</si>
  <si>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</si>
  <si>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</si>
  <si>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</si>
  <si>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</si>
  <si>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</si>
  <si>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</si>
  <si>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</si>
  <si>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</si>
  <si>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</si>
  <si>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</si>
  <si>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</si>
  <si>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</si>
  <si>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</si>
  <si>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</si>
  <si>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</si>
  <si>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</si>
  <si>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</si>
  <si>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</si>
  <si>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</si>
  <si>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</si>
  <si>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</si>
  <si>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</si>
  <si>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</si>
  <si>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</si>
  <si>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</si>
  <si>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</si>
  <si>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</si>
  <si>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</si>
  <si>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</si>
  <si>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</si>
  <si>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</si>
  <si>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</si>
  <si>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</si>
  <si>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</si>
  <si>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</si>
  <si>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</si>
  <si>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</si>
  <si>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</si>
  <si>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</si>
  <si>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</si>
  <si>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</si>
  <si>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</si>
  <si>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</si>
  <si>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</si>
  <si>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</si>
  <si>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</si>
  <si>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</si>
  <si>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</si>
  <si>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</si>
  <si>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</si>
  <si>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</si>
  <si>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</si>
  <si>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</si>
  <si>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</si>
  <si>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</si>
  <si>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</si>
  <si>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</si>
  <si>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</si>
  <si>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</si>
  <si>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</si>
  <si>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</si>
  <si>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</si>
  <si>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</si>
  <si>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</si>
  <si>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</si>
  <si>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</si>
  <si>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</si>
  <si>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</si>
  <si>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</si>
  <si>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</si>
  <si>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</si>
  <si>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</si>
  <si>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</si>
  <si>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</si>
  <si>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</si>
  <si>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</si>
  <si>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</si>
  <si>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</si>
  <si>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</si>
  <si>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</si>
  <si>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</si>
  <si>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</si>
  <si>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</si>
  <si>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</si>
  <si>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</si>
  <si>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</si>
  <si>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</si>
  <si>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</si>
  <si>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</si>
  <si>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</si>
  <si>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</si>
  <si>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</si>
  <si>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</si>
  <si>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</si>
  <si>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</si>
  <si>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</si>
  <si>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</si>
  <si>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</si>
  <si>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</si>
  <si>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</si>
  <si>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</si>
  <si>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</si>
  <si>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</si>
  <si>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</si>
  <si>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</si>
  <si>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</si>
  <si>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</si>
  <si>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</si>
  <si>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</si>
  <si>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</si>
  <si>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</si>
  <si>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</si>
  <si>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</si>
  <si>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</si>
  <si>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</si>
  <si>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</si>
  <si>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</si>
  <si>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</si>
  <si>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</si>
  <si>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</si>
  <si>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</si>
  <si>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</si>
  <si>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</si>
  <si>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</si>
  <si>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</si>
  <si>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</si>
  <si>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</si>
  <si>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</si>
  <si>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</si>
  <si>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</si>
  <si>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</si>
  <si>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</si>
  <si>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</si>
  <si>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</si>
  <si>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</si>
  <si>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</si>
  <si>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</si>
  <si>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</si>
  <si>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</si>
  <si>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</si>
  <si>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</si>
  <si>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</si>
  <si>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</si>
  <si>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</si>
  <si>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</si>
  <si>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</si>
  <si>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</si>
  <si>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</si>
  <si>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</si>
  <si>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</si>
  <si>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</si>
  <si>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</si>
  <si>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</si>
  <si>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</si>
  <si>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</si>
  <si>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</si>
  <si>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</si>
  <si>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</si>
  <si>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</si>
  <si>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</si>
  <si>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</si>
  <si>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</si>
  <si>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</si>
  <si>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</si>
  <si>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</si>
  <si>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</si>
  <si>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</si>
  <si>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</si>
  <si>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</si>
  <si>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</si>
  <si>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</si>
  <si>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</si>
  <si>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</si>
  <si>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</si>
  <si>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</si>
  <si>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</si>
  <si>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</si>
  <si>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</si>
  <si>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</si>
  <si>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</si>
  <si>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</si>
  <si>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</si>
  <si>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</si>
  <si>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</si>
  <si>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</si>
  <si>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</si>
  <si>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</si>
  <si>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</si>
  <si>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</si>
  <si>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</si>
  <si>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</si>
  <si>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</si>
  <si>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</si>
  <si>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</si>
  <si>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</si>
  <si>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</si>
  <si>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</si>
  <si>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</si>
  <si>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</si>
  <si>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</si>
  <si>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</si>
  <si>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</si>
  <si>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</si>
  <si>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</si>
  <si>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</si>
  <si>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</si>
  <si>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</si>
  <si>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</si>
  <si>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</si>
  <si>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</si>
  <si>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</si>
  <si>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</si>
  <si>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</si>
  <si>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</si>
  <si>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</si>
  <si>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</si>
  <si>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</si>
  <si>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</si>
  <si>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</si>
  <si>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</si>
  <si>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</si>
  <si>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</si>
  <si>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</si>
  <si>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</si>
  <si>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</si>
  <si>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</si>
  <si>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</si>
  <si>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</si>
  <si>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</si>
  <si>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</si>
  <si>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</si>
  <si>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</si>
  <si>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</si>
  <si>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</si>
  <si>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</si>
  <si>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</si>
  <si>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</si>
  <si>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</si>
  <si>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</si>
  <si>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</si>
  <si>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</si>
  <si>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</si>
  <si>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</si>
  <si>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</si>
  <si>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</si>
  <si>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</si>
  <si>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</si>
  <si>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</si>
  <si>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</si>
  <si>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</si>
  <si>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</si>
  <si>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</si>
  <si>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</si>
  <si>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</si>
  <si>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</si>
  <si>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</si>
  <si>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</si>
  <si>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</si>
  <si>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</si>
  <si>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</si>
  <si>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</si>
  <si>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</si>
  <si>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</si>
  <si>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</si>
  <si>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</si>
  <si>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</si>
  <si>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</si>
  <si>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</si>
  <si>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</si>
  <si>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</si>
  <si>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</si>
  <si>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</si>
  <si>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</si>
  <si>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</si>
  <si>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</si>
  <si>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</si>
  <si>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</si>
  <si>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</si>
  <si>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</si>
  <si>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</si>
  <si>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</si>
  <si>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</si>
  <si>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</si>
  <si>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</si>
  <si>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</si>
  <si>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</si>
  <si>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</si>
  <si>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</si>
  <si>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</si>
  <si>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</si>
  <si>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</si>
  <si>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</si>
  <si>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</si>
  <si>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</si>
  <si>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</si>
  <si>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</si>
  <si>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</si>
  <si>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</si>
  <si>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</si>
  <si>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</si>
  <si>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</si>
  <si>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</si>
  <si>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</si>
  <si>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</si>
  <si>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</si>
  <si>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</si>
  <si>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</si>
  <si>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</si>
  <si>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</si>
  <si>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</si>
  <si>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</si>
  <si>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</si>
  <si>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</si>
  <si>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</si>
  <si>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</si>
  <si>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</si>
  <si>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</si>
  <si>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</si>
  <si>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</si>
  <si>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</si>
  <si>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</si>
  <si>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</si>
  <si>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</si>
  <si>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</si>
  <si>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</si>
  <si>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</si>
  <si>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</si>
  <si>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</si>
  <si>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</si>
  <si>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</si>
  <si>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</si>
  <si>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</si>
  <si>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</si>
  <si>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</si>
  <si>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</si>
  <si>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</si>
  <si>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</si>
  <si>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</si>
  <si>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</si>
  <si>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</si>
  <si>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</si>
  <si>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</si>
  <si>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</si>
  <si>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</si>
  <si>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</si>
  <si>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</si>
  <si>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</si>
  <si>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</si>
  <si>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</si>
  <si>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</si>
  <si>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</si>
  <si>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</si>
  <si>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</si>
  <si>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</si>
  <si>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</si>
  <si>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</si>
  <si>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</si>
  <si>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</si>
  <si>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</si>
  <si>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</si>
  <si>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</si>
  <si>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</si>
  <si>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</si>
  <si>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</si>
  <si>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</si>
  <si>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</si>
  <si>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</si>
  <si>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</si>
  <si>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</si>
  <si>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</si>
  <si>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</si>
  <si>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</si>
  <si>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</si>
  <si>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</si>
  <si>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</si>
  <si>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</si>
  <si>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</si>
  <si>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</si>
  <si>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</si>
  <si>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</si>
  <si>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</si>
  <si>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</si>
  <si>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</si>
  <si>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</si>
  <si>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</si>
  <si>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</si>
  <si>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</si>
  <si>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</si>
  <si>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</si>
  <si>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</si>
  <si>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</si>
  <si>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</si>
  <si>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</si>
  <si>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</si>
  <si>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</si>
  <si>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</si>
  <si>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</si>
  <si>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</si>
  <si>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</si>
  <si>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</si>
  <si>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</si>
  <si>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</si>
  <si>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</si>
  <si>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</si>
  <si>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</si>
  <si>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</si>
  <si>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</si>
  <si>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</si>
  <si>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</si>
  <si>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</si>
  <si>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</si>
  <si>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</si>
  <si>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</si>
  <si>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</si>
  <si>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</si>
  <si>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</si>
  <si>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</si>
  <si>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</si>
  <si>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</si>
  <si>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</si>
  <si>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</si>
  <si>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</si>
  <si>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</si>
  <si>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</si>
  <si>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</si>
  <si>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</si>
  <si>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</si>
  <si>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</si>
  <si>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</si>
  <si>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A-1-03-10</t>
  </si>
  <si>
    <t>A-1-03-11</t>
  </si>
  <si>
    <t>A-1-03-12</t>
  </si>
  <si>
    <t>A-1-03-13</t>
  </si>
  <si>
    <t>A-1-03-14</t>
  </si>
  <si>
    <t>A-1-03-15</t>
  </si>
  <si>
    <t>A-1-03-16</t>
  </si>
  <si>
    <t>A-1-03-17</t>
  </si>
  <si>
    <t>A-1-03-18</t>
  </si>
  <si>
    <t>A-1-03-19</t>
  </si>
  <si>
    <t>A-1-03-20</t>
  </si>
  <si>
    <t>A-1-03-21</t>
  </si>
  <si>
    <t>A-1-03-22</t>
  </si>
  <si>
    <t>A-1-03-23</t>
  </si>
  <si>
    <t>A-1-03-24</t>
  </si>
  <si>
    <t>A-1-03-25</t>
  </si>
  <si>
    <t>A-1-03-26</t>
  </si>
  <si>
    <t>A-1-03-27</t>
  </si>
  <si>
    <t>A-1-03-28</t>
  </si>
  <si>
    <t>A-1-03-29</t>
  </si>
  <si>
    <t>A-1-03-30</t>
  </si>
  <si>
    <t>A-1-03-31</t>
  </si>
  <si>
    <t>A-1-03-32</t>
  </si>
  <si>
    <t>A-1-04</t>
  </si>
  <si>
    <t>A-1-04-10</t>
  </si>
  <si>
    <t>A-1-04-11</t>
  </si>
  <si>
    <t>A-1-04-12</t>
  </si>
  <si>
    <t>A-1-04-13</t>
  </si>
  <si>
    <t>A-1-04-14</t>
  </si>
  <si>
    <t>A-1-04-15</t>
  </si>
  <si>
    <t>A-1-04-16</t>
  </si>
  <si>
    <t>A-1-04-17</t>
  </si>
  <si>
    <t>A-1-04-18</t>
  </si>
  <si>
    <t>A-1-05</t>
  </si>
  <si>
    <t>A-1-05-10</t>
  </si>
  <si>
    <t>A-1-05-11</t>
  </si>
  <si>
    <t>A-1-05-12</t>
  </si>
  <si>
    <t>A-1-05-13</t>
  </si>
  <si>
    <t>A-1-05-14</t>
  </si>
  <si>
    <t>A-1-05-15</t>
  </si>
  <si>
    <t>A-1-05-16</t>
  </si>
  <si>
    <t>A-1-05-17</t>
  </si>
  <si>
    <t>A-1-05-18</t>
  </si>
  <si>
    <t>A-1-05-19</t>
  </si>
  <si>
    <t>A-1-05-20</t>
  </si>
  <si>
    <t>A-1-05-21</t>
  </si>
  <si>
    <t>A-1-05-22</t>
  </si>
  <si>
    <t>A-1-05-23</t>
  </si>
  <si>
    <t>A-1-05-24</t>
  </si>
  <si>
    <t>A-1-05-25</t>
  </si>
  <si>
    <t>A-1-05-26</t>
  </si>
  <si>
    <t>A-1-07</t>
  </si>
  <si>
    <t>A-1-07-10</t>
  </si>
  <si>
    <t>A-1-07-11</t>
  </si>
  <si>
    <t>A-1-07-12</t>
  </si>
  <si>
    <t>A-1-07-13</t>
  </si>
  <si>
    <t>A-1-07-14</t>
  </si>
  <si>
    <t>A-1-07-15</t>
  </si>
  <si>
    <t>A-1-07-16</t>
  </si>
  <si>
    <t>A-1-07-17</t>
  </si>
  <si>
    <t>A-1-07-18</t>
  </si>
  <si>
    <t>A-1-07-19</t>
  </si>
  <si>
    <t>A-1-07-20</t>
  </si>
  <si>
    <t>A-1-07-21</t>
  </si>
  <si>
    <t>A-1-07-22</t>
  </si>
  <si>
    <t>A-1-07-23</t>
  </si>
  <si>
    <t>CM-1-03-10</t>
  </si>
  <si>
    <t>CM-1-04-10</t>
  </si>
  <si>
    <t>EFT1-1-02-10</t>
  </si>
  <si>
    <t>EFT1-1-02-11</t>
  </si>
  <si>
    <t>EFT1-1-02-12</t>
  </si>
  <si>
    <t>EFT1-1-02-13</t>
  </si>
  <si>
    <t>EFT1-1-02-14</t>
  </si>
  <si>
    <t>EFT1-1-02-15</t>
  </si>
  <si>
    <t>EFT1-1-02-16</t>
  </si>
  <si>
    <t>EFT1-1-02-17</t>
  </si>
  <si>
    <t>EFT1-1-02-18</t>
  </si>
  <si>
    <t>EFT1-1-02-19</t>
  </si>
  <si>
    <t>EFT1-1-02-20</t>
  </si>
  <si>
    <t>EFT1-1-02-21</t>
  </si>
  <si>
    <t>EFT1-1-02-22</t>
  </si>
  <si>
    <t>EFT1-1-02-23</t>
  </si>
  <si>
    <t>EFT1-1-02-24</t>
  </si>
  <si>
    <t>EFT1-1-02-25</t>
  </si>
  <si>
    <t>EFT1-1-02-26</t>
  </si>
  <si>
    <t>EFT1-1-02-27</t>
  </si>
  <si>
    <t>EFT1-1-02-28</t>
  </si>
  <si>
    <t>EFT1-1-02-29</t>
  </si>
  <si>
    <t>EFT1-1-02-30</t>
  </si>
  <si>
    <t>EFT1-1-02-31</t>
  </si>
  <si>
    <t>EFT1-1-02-32</t>
  </si>
  <si>
    <t>EFT1-1-02-33</t>
  </si>
  <si>
    <t>EFT1-1-02-34</t>
  </si>
  <si>
    <t>EFT1-1-02-35</t>
  </si>
  <si>
    <t>EFT1-1-02-36</t>
  </si>
  <si>
    <t>EFT1-1-02-37</t>
  </si>
  <si>
    <t>EFT1-1-02-38</t>
  </si>
  <si>
    <t>EFT1-1-02-39</t>
  </si>
  <si>
    <t>EFT1-1-02-40</t>
  </si>
  <si>
    <t>EFT1-1-02-41</t>
  </si>
  <si>
    <t>EFT1-1-02-42</t>
  </si>
  <si>
    <t>EFT1-1-02-43</t>
  </si>
  <si>
    <t>EFT1-1-02-44</t>
  </si>
  <si>
    <t>EFT1-1-02-45</t>
  </si>
  <si>
    <t>EFT1-1-02-46</t>
  </si>
  <si>
    <t>EFT1-1-02-47</t>
  </si>
  <si>
    <t>EFT1-1-02-48</t>
  </si>
  <si>
    <t>EFT1-1-02-49</t>
  </si>
  <si>
    <t>EFT1-1-02-50</t>
  </si>
  <si>
    <t>EFT1-1-02-51</t>
  </si>
  <si>
    <t>EFT1-1-02-52</t>
  </si>
  <si>
    <t>EFT1-1-02-53</t>
  </si>
  <si>
    <t>EFT1-1-02-54</t>
  </si>
  <si>
    <t>EFT1-1-02-55</t>
  </si>
  <si>
    <t>EFT1-1-02-56</t>
  </si>
  <si>
    <t>EFT1-1-02-57</t>
  </si>
  <si>
    <t>EFT1-1-02-58</t>
  </si>
  <si>
    <t>EFT1-1-02-59</t>
  </si>
  <si>
    <t>EFT1-1-02-60</t>
  </si>
  <si>
    <t>EFT1-1-02-61</t>
  </si>
  <si>
    <t>EFT1-1-02-62</t>
  </si>
  <si>
    <t>EFT1-1-02-63</t>
  </si>
  <si>
    <t>EFT1-1-02-64</t>
  </si>
  <si>
    <t>EFT1-1-02-65</t>
  </si>
  <si>
    <t>GPDE-1-02-10</t>
  </si>
  <si>
    <t>GPDE-1-02-11</t>
  </si>
  <si>
    <t>GPDE-1-02-12</t>
  </si>
  <si>
    <t>GPDE-1-02-13</t>
  </si>
  <si>
    <t>GPDE-1-02-14</t>
  </si>
  <si>
    <t>GPDE-1-02-15</t>
  </si>
  <si>
    <t>GPDE-1-02-16</t>
  </si>
  <si>
    <t>GPDE-1-02-17</t>
  </si>
  <si>
    <t>GPDE-1-02-18</t>
  </si>
  <si>
    <t>GPDE-1-02-19</t>
  </si>
  <si>
    <t>GPDE-1-02-20</t>
  </si>
  <si>
    <t>GPDE-1-02-21</t>
  </si>
  <si>
    <t>GPDE-1-02-22</t>
  </si>
  <si>
    <t>GPDE-1-02-23</t>
  </si>
  <si>
    <t>GPDE-1-02-24</t>
  </si>
  <si>
    <t>GPDE-1-09</t>
  </si>
  <si>
    <t>HA-1-01-10</t>
  </si>
  <si>
    <t>HA-1-01-11</t>
  </si>
  <si>
    <t>HA-1-01-12</t>
  </si>
  <si>
    <t>HA-1-01-13</t>
  </si>
  <si>
    <t>HA-1-01-14</t>
  </si>
  <si>
    <t>HA-1-01-15</t>
  </si>
  <si>
    <t>HA-1-01-16</t>
  </si>
  <si>
    <t>HA-1-01-17</t>
  </si>
  <si>
    <t>HA-1-01-18</t>
  </si>
  <si>
    <t>HA-1-01-19</t>
  </si>
  <si>
    <t>HA-1-01-20</t>
  </si>
  <si>
    <t>HA-1-01-21</t>
  </si>
  <si>
    <t>HA-1-01-22</t>
  </si>
  <si>
    <t>HA-1-01-23</t>
  </si>
  <si>
    <t>HA-1-04-10</t>
  </si>
  <si>
    <t>HA-1-04-11</t>
  </si>
  <si>
    <t>HA-1-04-12</t>
  </si>
  <si>
    <t>HA-1-04-13</t>
  </si>
  <si>
    <t>HA-1-04-14</t>
  </si>
  <si>
    <t>HA-1-04-15</t>
  </si>
  <si>
    <t>HA-1-04-16</t>
  </si>
  <si>
    <t>HA-1-04-17</t>
  </si>
  <si>
    <t>HA-1-04-18</t>
  </si>
  <si>
    <t>HA-1-04-19</t>
  </si>
  <si>
    <t>HA-1-04-20</t>
  </si>
  <si>
    <t>HA-1-05-10</t>
  </si>
  <si>
    <t>HA-1-05-11</t>
  </si>
  <si>
    <t>HA-1-05-12</t>
  </si>
  <si>
    <t>HA-1-05-13</t>
  </si>
  <si>
    <t>HA-1-05-14</t>
  </si>
  <si>
    <t>HA-1-05-15</t>
  </si>
  <si>
    <t>HA-1-05-16</t>
  </si>
  <si>
    <t>HA-1-05-17</t>
  </si>
  <si>
    <t>HA-1-05-18</t>
  </si>
  <si>
    <t>HA-1-05-19</t>
  </si>
  <si>
    <t>HA-1-05-20</t>
  </si>
  <si>
    <t>HA-1-05-21</t>
  </si>
  <si>
    <t>HA-1-05-22</t>
  </si>
  <si>
    <t>HA-1-05-23</t>
  </si>
  <si>
    <t>HA-1-05-24</t>
  </si>
  <si>
    <t>HA-1-05-25</t>
  </si>
  <si>
    <t>HA-1-05-26</t>
  </si>
  <si>
    <t>HA-1-05-27</t>
  </si>
  <si>
    <t>HA-1-05-28</t>
  </si>
  <si>
    <t>HA-1-05-29</t>
  </si>
  <si>
    <t>HA-1-06-10</t>
  </si>
  <si>
    <t>HA-1-06-11</t>
  </si>
  <si>
    <t>HA-1-06-12</t>
  </si>
  <si>
    <t>HA-1-06-13</t>
  </si>
  <si>
    <t>QM-1-03-10</t>
  </si>
  <si>
    <t>QM-1-03-11</t>
  </si>
  <si>
    <t>QM-1-03-12</t>
  </si>
  <si>
    <t>QM-1-22</t>
  </si>
  <si>
    <t>QM-1-23</t>
  </si>
  <si>
    <t>QM-1-24</t>
  </si>
  <si>
    <t>QM-1-25</t>
  </si>
  <si>
    <t>QMS-1-02-10</t>
  </si>
  <si>
    <t>QMS-1-02-11</t>
  </si>
  <si>
    <t>RG-1-03-10</t>
  </si>
  <si>
    <t>RG-1-03-11</t>
  </si>
  <si>
    <t>RG-1-03-12</t>
  </si>
  <si>
    <t>RG-1-03-13</t>
  </si>
  <si>
    <t>RG-1-03-14</t>
  </si>
  <si>
    <t>RG-1-04-10</t>
  </si>
  <si>
    <t>RG-1-04-11</t>
  </si>
  <si>
    <t>RG-1-04-12</t>
  </si>
  <si>
    <t>RG-1-04-13</t>
  </si>
  <si>
    <t>RG-1-04-14</t>
  </si>
  <si>
    <t>RG-1-04-15</t>
  </si>
  <si>
    <t>RG-1-04-16</t>
  </si>
  <si>
    <t>RG-1-05-10</t>
  </si>
  <si>
    <t>RG-1-05-11</t>
  </si>
  <si>
    <t>RG-1-05-12</t>
  </si>
  <si>
    <t>RG-1-05-13</t>
  </si>
  <si>
    <t>RG-1-05-14</t>
  </si>
  <si>
    <t>RG-1-05-15</t>
  </si>
  <si>
    <t>RG-1-05-16</t>
  </si>
  <si>
    <t>RG-1-05-17</t>
  </si>
  <si>
    <t>RG-1-05-18</t>
  </si>
  <si>
    <t>RG-1-05-19</t>
  </si>
  <si>
    <t>RG-1-05-20</t>
  </si>
  <si>
    <t>RG-1-05-21</t>
  </si>
  <si>
    <t>RG-1-05-22</t>
  </si>
  <si>
    <t>RG-1-07-10</t>
  </si>
  <si>
    <t>RG-1-16</t>
  </si>
  <si>
    <t>RG-1-17</t>
  </si>
  <si>
    <t>TOP1-1-04-10</t>
  </si>
  <si>
    <t>TOP1-1-04-11</t>
  </si>
  <si>
    <t>TOP1-1-04-12</t>
  </si>
  <si>
    <t>TOP1-1-04-13</t>
  </si>
  <si>
    <t>TOP1-1-04-14</t>
  </si>
  <si>
    <t>TOP1-1-04-15</t>
  </si>
  <si>
    <t>TOP1-1-04-16</t>
  </si>
  <si>
    <t>TOP1-1-04-17</t>
  </si>
  <si>
    <t>TOP1-1-04-18</t>
  </si>
  <si>
    <t>TOP1-1-04-19</t>
  </si>
  <si>
    <t>TOP1-1-04-20</t>
  </si>
  <si>
    <t>TOP1-1-04-21</t>
  </si>
  <si>
    <t>TOP1-1-09-10</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</si>
  <si>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</si>
  <si>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</si>
  <si>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</si>
  <si>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</si>
  <si>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</si>
  <si>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</si>
  <si>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</si>
  <si>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</si>
  <si>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</si>
  <si>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</si>
  <si>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</si>
  <si>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</si>
  <si>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</si>
  <si>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A-1-03-01</t>
  </si>
  <si>
    <t>A-1-03-02</t>
  </si>
  <si>
    <t>A-1-03-03</t>
  </si>
  <si>
    <t>A-1-03-04</t>
  </si>
  <si>
    <t>A-1-03-05</t>
  </si>
  <si>
    <t>A-1-03-06</t>
  </si>
  <si>
    <t>A-1-03-07</t>
  </si>
  <si>
    <t>A-1-03-08</t>
  </si>
  <si>
    <t>A-1-03-09</t>
  </si>
  <si>
    <t>A-1-04-01</t>
  </si>
  <si>
    <t>A-1-04-02</t>
  </si>
  <si>
    <t>A-1-04-03</t>
  </si>
  <si>
    <t>A-1-04-04</t>
  </si>
  <si>
    <t>A-1-04-05</t>
  </si>
  <si>
    <t>A-1-04-06</t>
  </si>
  <si>
    <t>A-1-04-07</t>
  </si>
  <si>
    <t>A-1-04-08</t>
  </si>
  <si>
    <t>A-1-04-09</t>
  </si>
  <si>
    <t>A-1-05-01</t>
  </si>
  <si>
    <t>A-1-05-02</t>
  </si>
  <si>
    <t>A-1-05-03</t>
  </si>
  <si>
    <t>A-1-05-04</t>
  </si>
  <si>
    <t>A-1-05-05</t>
  </si>
  <si>
    <t>A-1-05-06</t>
  </si>
  <si>
    <t>A-1-05-07</t>
  </si>
  <si>
    <t>A-1-05-08</t>
  </si>
  <si>
    <t>A-1-05-09</t>
  </si>
  <si>
    <t>A-1-07-01</t>
  </si>
  <si>
    <t>A-1-07-02</t>
  </si>
  <si>
    <t>A-1-07-03</t>
  </si>
  <si>
    <t>A-1-07-04</t>
  </si>
  <si>
    <t>A-1-07-05</t>
  </si>
  <si>
    <t>A-1-07-06</t>
  </si>
  <si>
    <t>A-1-07-07</t>
  </si>
  <si>
    <t>A-1-07-08</t>
  </si>
  <si>
    <t>A-1-07-09</t>
  </si>
  <si>
    <t>CM-1-01-01</t>
  </si>
  <si>
    <t>CM-1-01-02</t>
  </si>
  <si>
    <t>CM-1-02-01</t>
  </si>
  <si>
    <t>CM-1-02-02</t>
  </si>
  <si>
    <t>CM-1-02-03</t>
  </si>
  <si>
    <t>CM-1-02-04</t>
  </si>
  <si>
    <t>CM-1-02-05</t>
  </si>
  <si>
    <t>CM-1-02-06</t>
  </si>
  <si>
    <t>CM-1-02-07</t>
  </si>
  <si>
    <t>CM-1-02-08</t>
  </si>
  <si>
    <t>CM-1-03-01</t>
  </si>
  <si>
    <t>CM-1-03-02</t>
  </si>
  <si>
    <t>CM-1-03-03</t>
  </si>
  <si>
    <t>CM-1-03-04</t>
  </si>
  <si>
    <t>CM-1-03-05</t>
  </si>
  <si>
    <t>CM-1-03-06</t>
  </si>
  <si>
    <t>CM-1-03-07</t>
  </si>
  <si>
    <t>CM-1-03-08</t>
  </si>
  <si>
    <t>CM-1-03-09</t>
  </si>
  <si>
    <t>CM-1-04-01</t>
  </si>
  <si>
    <t>CM-1-04-02</t>
  </si>
  <si>
    <t>CM-1-04-03</t>
  </si>
  <si>
    <t>CM-1-04-04</t>
  </si>
  <si>
    <t>CM-1-04-05</t>
  </si>
  <si>
    <t>CM-1-04-06</t>
  </si>
  <si>
    <t>CM-1-04-07</t>
  </si>
  <si>
    <t>CM-1-04-08</t>
  </si>
  <si>
    <t>CM-1-04-09</t>
  </si>
  <si>
    <t>CM-1-05-01</t>
  </si>
  <si>
    <t>CM-1-05-02</t>
  </si>
  <si>
    <t>CM-1-05-03</t>
  </si>
  <si>
    <t>CM-1-05-04</t>
  </si>
  <si>
    <t>CM-1-05-05</t>
  </si>
  <si>
    <t>CM-1-05-06</t>
  </si>
  <si>
    <t>CM-1-07-01</t>
  </si>
  <si>
    <t>CM-1-07-02</t>
  </si>
  <si>
    <t>CM-1-07-03</t>
  </si>
  <si>
    <t>CM-1-07-04</t>
  </si>
  <si>
    <t>EFT1-1-02-01</t>
  </si>
  <si>
    <t>EFT1-1-02-02</t>
  </si>
  <si>
    <t>EFT1-1-02-03</t>
  </si>
  <si>
    <t>EFT1-1-02-04</t>
  </si>
  <si>
    <t>EFT1-1-02-05</t>
  </si>
  <si>
    <t>EFT1-1-02-06</t>
  </si>
  <si>
    <t>EFT1-1-02-07</t>
  </si>
  <si>
    <t>EFT1-1-02-08</t>
  </si>
  <si>
    <t>EFT1-1-02-09</t>
  </si>
  <si>
    <t>GPDE-1-02-01</t>
  </si>
  <si>
    <t>GPDE-1-02-02</t>
  </si>
  <si>
    <t>GPDE-1-02-03</t>
  </si>
  <si>
    <t>GPDE-1-02-04</t>
  </si>
  <si>
    <t>GPDE-1-02-05</t>
  </si>
  <si>
    <t>GPDE-1-02-06</t>
  </si>
  <si>
    <t>GPDE-1-02-07</t>
  </si>
  <si>
    <t>GPDE-1-02-08</t>
  </si>
  <si>
    <t>GPDE-1-02-09</t>
  </si>
  <si>
    <t>GPDE-1-03-01</t>
  </si>
  <si>
    <t>GPDE-1-03-02</t>
  </si>
  <si>
    <t>GPDE-1-03-03</t>
  </si>
  <si>
    <t>GPDE-1-03-04</t>
  </si>
  <si>
    <t>GPDE-1-03-05</t>
  </si>
  <si>
    <t>GPDE-1-06-01</t>
  </si>
  <si>
    <t>GPDE-1-06-02</t>
  </si>
  <si>
    <t>GPDE-1-06-03</t>
  </si>
  <si>
    <t>GPDE-1-06-04</t>
  </si>
  <si>
    <t>GPDE-1-06-05</t>
  </si>
  <si>
    <t>GPDE-1-06-06</t>
  </si>
  <si>
    <t>GPDE-1-07-01</t>
  </si>
  <si>
    <t>GPDE-1-07-02</t>
  </si>
  <si>
    <t>GPDE-1-07-03</t>
  </si>
  <si>
    <t>GPDE-1-07-04</t>
  </si>
  <si>
    <t>GPDE-1-08-01</t>
  </si>
  <si>
    <t>GPDE-1-08-02</t>
  </si>
  <si>
    <t>GPDE-1-08-03</t>
  </si>
  <si>
    <t>GPDE-1-08-04</t>
  </si>
  <si>
    <t>GPDE-1-09-01</t>
  </si>
  <si>
    <t>GPDE-1-09-02</t>
  </si>
  <si>
    <t>HA-1-01-01</t>
  </si>
  <si>
    <t>HA-1-01-02</t>
  </si>
  <si>
    <t>HA-1-01-03</t>
  </si>
  <si>
    <t>HA-1-01-04</t>
  </si>
  <si>
    <t>HA-1-01-05</t>
  </si>
  <si>
    <t>HA-1-01-06</t>
  </si>
  <si>
    <t>HA-1-01-07</t>
  </si>
  <si>
    <t>HA-1-01-08</t>
  </si>
  <si>
    <t>HA-1-01-09</t>
  </si>
  <si>
    <t>HA-1-02-01</t>
  </si>
  <si>
    <t>HA-1-02-02</t>
  </si>
  <si>
    <t>HA-1-02-03</t>
  </si>
  <si>
    <t>HA-1-02-04</t>
  </si>
  <si>
    <t>HA-1-02-05</t>
  </si>
  <si>
    <t>HA-1-02-06</t>
  </si>
  <si>
    <t>HA-1-02-07</t>
  </si>
  <si>
    <t>HA-1-04-01</t>
  </si>
  <si>
    <t>HA-1-04-02</t>
  </si>
  <si>
    <t>HA-1-04-03</t>
  </si>
  <si>
    <t>HA-1-04-04</t>
  </si>
  <si>
    <t>HA-1-04-05</t>
  </si>
  <si>
    <t>HA-1-04-06</t>
  </si>
  <si>
    <t>HA-1-04-07</t>
  </si>
  <si>
    <t>HA-1-04-08</t>
  </si>
  <si>
    <t>HA-1-04-09</t>
  </si>
  <si>
    <t>HA-1-05-01</t>
  </si>
  <si>
    <t>HA-1-05-02</t>
  </si>
  <si>
    <t>HA-1-05-03</t>
  </si>
  <si>
    <t>HA-1-05-04</t>
  </si>
  <si>
    <t>HA-1-05-05</t>
  </si>
  <si>
    <t>HA-1-05-06</t>
  </si>
  <si>
    <t>HA-1-05-07</t>
  </si>
  <si>
    <t>HA-1-05-08</t>
  </si>
  <si>
    <t>HA-1-05-09</t>
  </si>
  <si>
    <t>HA-1-06-01</t>
  </si>
  <si>
    <t>HA-1-06-02</t>
  </si>
  <si>
    <t>HA-1-06-03</t>
  </si>
  <si>
    <t>HA-1-06-04</t>
  </si>
  <si>
    <t>HA-1-06-05</t>
  </si>
  <si>
    <t>HA-1-06-06</t>
  </si>
  <si>
    <t>HA-1-06-07</t>
  </si>
  <si>
    <t>HA-1-06-08</t>
  </si>
  <si>
    <t>HA-1-06-09</t>
  </si>
  <si>
    <t>HA-1-07-01</t>
  </si>
  <si>
    <t>HA-1-07-02</t>
  </si>
  <si>
    <t>HA-1-07-03</t>
  </si>
  <si>
    <t>HA-1-07-04</t>
  </si>
  <si>
    <t>HA-1-07-05</t>
  </si>
  <si>
    <t>HA-1-07-06</t>
  </si>
  <si>
    <t>HA-1-07-07</t>
  </si>
  <si>
    <t>HA-1-07-08</t>
  </si>
  <si>
    <t>HA-1-10-01</t>
  </si>
  <si>
    <t>HA-1-10-02</t>
  </si>
  <si>
    <t>HA-1-12-01</t>
  </si>
  <si>
    <t>QM-1-02-01</t>
  </si>
  <si>
    <t>QM-1-03-01</t>
  </si>
  <si>
    <t>QM-1-03-02</t>
  </si>
  <si>
    <t>QM-1-03-03</t>
  </si>
  <si>
    <t>QM-1-03-04</t>
  </si>
  <si>
    <t>QM-1-03-05</t>
  </si>
  <si>
    <t>QM-1-03-06</t>
  </si>
  <si>
    <t>QM-1-03-07</t>
  </si>
  <si>
    <t>QM-1-03-08</t>
  </si>
  <si>
    <t>QM-1-03-09</t>
  </si>
  <si>
    <t>QM-1-05-01</t>
  </si>
  <si>
    <t>QM-1-05-02</t>
  </si>
  <si>
    <t>QM-1-05-03</t>
  </si>
  <si>
    <t>QM-1-05-04</t>
  </si>
  <si>
    <t>QM-1-05-05</t>
  </si>
  <si>
    <t>QM-1-05-06</t>
  </si>
  <si>
    <t>QM-1-06-01</t>
  </si>
  <si>
    <t>QM-1-06-02</t>
  </si>
  <si>
    <t>QM-1-06-03</t>
  </si>
  <si>
    <t>QM-1-07-01</t>
  </si>
  <si>
    <t>QM-1-07-02</t>
  </si>
  <si>
    <t>QM-1-07-03</t>
  </si>
  <si>
    <t>QM-1-07-04</t>
  </si>
  <si>
    <t>QM-1-07-05</t>
  </si>
  <si>
    <t>QM-1-07-06</t>
  </si>
  <si>
    <t>QM-1-08-01</t>
  </si>
  <si>
    <t>QM-1-08-02</t>
  </si>
  <si>
    <t>QM-1-08-03</t>
  </si>
  <si>
    <t>QM-1-08-04</t>
  </si>
  <si>
    <t>QM-1-08-05</t>
  </si>
  <si>
    <t>QM-1-08-06</t>
  </si>
  <si>
    <t>QM-1-08-07</t>
  </si>
  <si>
    <t>QM-1-08-08</t>
  </si>
  <si>
    <t>QM-1-08-09</t>
  </si>
  <si>
    <t>QM-1-10-01</t>
  </si>
  <si>
    <t>QM-1-10-02</t>
  </si>
  <si>
    <t>QM-1-10-03</t>
  </si>
  <si>
    <t>QM-1-11-01</t>
  </si>
  <si>
    <t>QM-1-11-02</t>
  </si>
  <si>
    <t>QM-1-11-03</t>
  </si>
  <si>
    <t>QM-1-11-04</t>
  </si>
  <si>
    <t>QM-1-11-05</t>
  </si>
  <si>
    <t>QM-1-11-06</t>
  </si>
  <si>
    <t>QM-1-11-07</t>
  </si>
  <si>
    <t>QM-1-12-01</t>
  </si>
  <si>
    <t>QM-1-12-02</t>
  </si>
  <si>
    <t>QM-1-12-03</t>
  </si>
  <si>
    <t>QM-1-12-04</t>
  </si>
  <si>
    <t>QM-1-13-01</t>
  </si>
  <si>
    <t>QM-1-13-02</t>
  </si>
  <si>
    <t>QM-1-13-03</t>
  </si>
  <si>
    <t>QM-1-13-04</t>
  </si>
  <si>
    <t>QM-1-13-05</t>
  </si>
  <si>
    <t>QM-1-13-06</t>
  </si>
  <si>
    <t>QM-1-13-07</t>
  </si>
  <si>
    <t>QM-1-14-01</t>
  </si>
  <si>
    <t>QM-1-14-02</t>
  </si>
  <si>
    <t>QM-1-14-03</t>
  </si>
  <si>
    <t>QM-1-16-01</t>
  </si>
  <si>
    <t>QM-1-16-02</t>
  </si>
  <si>
    <t>QM-1-16-03</t>
  </si>
  <si>
    <t>QM-1-17-01</t>
  </si>
  <si>
    <t>QM-1-17-02</t>
  </si>
  <si>
    <t>QM-1-18-01</t>
  </si>
  <si>
    <t>QM-1-18-02</t>
  </si>
  <si>
    <t>QM-1-20-01</t>
  </si>
  <si>
    <t>QM-1-22-01</t>
  </si>
  <si>
    <t>QM-1-22-02</t>
  </si>
  <si>
    <t>QM-1-22-03</t>
  </si>
  <si>
    <t>QM-1-22-04</t>
  </si>
  <si>
    <t>QM-1-22-05</t>
  </si>
  <si>
    <t>QM-1-22-06</t>
  </si>
  <si>
    <t>QM-1-22-07</t>
  </si>
  <si>
    <t>QM-1-23-01</t>
  </si>
  <si>
    <t>QM-1-23-02</t>
  </si>
  <si>
    <t>QM-1-23-03</t>
  </si>
  <si>
    <t>QM-1-24-01</t>
  </si>
  <si>
    <t>QM-1-24-02</t>
  </si>
  <si>
    <t>QM-1-24-03</t>
  </si>
  <si>
    <t>QM-1-24-04</t>
  </si>
  <si>
    <t>QM-1-24-05</t>
  </si>
  <si>
    <t>QM-1-24-06</t>
  </si>
  <si>
    <t>QM-1-24-07</t>
  </si>
  <si>
    <t>QM-1-24-08</t>
  </si>
  <si>
    <t>QM-1-25-01</t>
  </si>
  <si>
    <t>QM-1-25-02</t>
  </si>
  <si>
    <t>QM-1-25-03</t>
  </si>
  <si>
    <t>QM-1-25-04</t>
  </si>
  <si>
    <t>QM-1-25-05</t>
  </si>
  <si>
    <t>QM-1-25-06</t>
  </si>
  <si>
    <t>QM-1-25-07</t>
  </si>
  <si>
    <t>QM-1-31-01</t>
  </si>
  <si>
    <t>QM-1-31-02</t>
  </si>
  <si>
    <t>QM-1-31-03</t>
  </si>
  <si>
    <t>QM-1-31-04</t>
  </si>
  <si>
    <t>QM-1-31-05</t>
  </si>
  <si>
    <t>QM-1-31-06</t>
  </si>
  <si>
    <t>QMS-1-02-01</t>
  </si>
  <si>
    <t>QMS-1-02-02</t>
  </si>
  <si>
    <t>QMS-1-02-03</t>
  </si>
  <si>
    <t>QMS-1-02-04</t>
  </si>
  <si>
    <t>QMS-1-02-05</t>
  </si>
  <si>
    <t>QMS-1-02-06</t>
  </si>
  <si>
    <t>QMS-1-02-07</t>
  </si>
  <si>
    <t>QMS-1-02-08</t>
  </si>
  <si>
    <t>QMS-1-02-09</t>
  </si>
  <si>
    <t>RG-1-02-01</t>
  </si>
  <si>
    <t>RG-1-02-02</t>
  </si>
  <si>
    <t>RG-1-02-03</t>
  </si>
  <si>
    <t>RG-1-02-04</t>
  </si>
  <si>
    <t>RG-1-02-05</t>
  </si>
  <si>
    <t>RG-1-02-06</t>
  </si>
  <si>
    <t>RG-1-02-07</t>
  </si>
  <si>
    <t>RG-1-03-01</t>
  </si>
  <si>
    <t>RG-1-03-02</t>
  </si>
  <si>
    <t>RG-1-03-03</t>
  </si>
  <si>
    <t>RG-1-03-04</t>
  </si>
  <si>
    <t>RG-1-03-05</t>
  </si>
  <si>
    <t>RG-1-03-06</t>
  </si>
  <si>
    <t>RG-1-03-07</t>
  </si>
  <si>
    <t>RG-1-03-08</t>
  </si>
  <si>
    <t>RG-1-03-09</t>
  </si>
  <si>
    <t>RG-1-04-01</t>
  </si>
  <si>
    <t>RG-1-04-02</t>
  </si>
  <si>
    <t>RG-1-04-03</t>
  </si>
  <si>
    <t>RG-1-04-04</t>
  </si>
  <si>
    <t>RG-1-04-05</t>
  </si>
  <si>
    <t>RG-1-04-06</t>
  </si>
  <si>
    <t>RG-1-04-07</t>
  </si>
  <si>
    <t>RG-1-04-08</t>
  </si>
  <si>
    <t>RG-1-04-09</t>
  </si>
  <si>
    <t>RG-1-05-01</t>
  </si>
  <si>
    <t>RG-1-05-02</t>
  </si>
  <si>
    <t>RG-1-05-03</t>
  </si>
  <si>
    <t>RG-1-05-04</t>
  </si>
  <si>
    <t>RG-1-05-05</t>
  </si>
  <si>
    <t>RG-1-05-06</t>
  </si>
  <si>
    <t>RG-1-05-07</t>
  </si>
  <si>
    <t>RG-1-05-08</t>
  </si>
  <si>
    <t>RG-1-05-09</t>
  </si>
  <si>
    <t>RG-1-07-01</t>
  </si>
  <si>
    <t>RG-1-07-02</t>
  </si>
  <si>
    <t>RG-1-07-03</t>
  </si>
  <si>
    <t>RG-1-07-04</t>
  </si>
  <si>
    <t>RG-1-07-05</t>
  </si>
  <si>
    <t>RG-1-07-06</t>
  </si>
  <si>
    <t>RG-1-07-07</t>
  </si>
  <si>
    <t>RG-1-07-08</t>
  </si>
  <si>
    <t>RG-1-07-09</t>
  </si>
  <si>
    <t>RG-1-08-01</t>
  </si>
  <si>
    <t>RG-1-08-02</t>
  </si>
  <si>
    <t>RG-1-08-03</t>
  </si>
  <si>
    <t>RG-1-09-01</t>
  </si>
  <si>
    <t>RG-1-09-02</t>
  </si>
  <si>
    <t>RG-1-09-03</t>
  </si>
  <si>
    <t>RG-1-09-04</t>
  </si>
  <si>
    <t>RG-1-09-05</t>
  </si>
  <si>
    <t>RG-1-09-06</t>
  </si>
  <si>
    <t>RG-1-09-07</t>
  </si>
  <si>
    <t>RG-1-16-01</t>
  </si>
  <si>
    <t>RG-1-16-02</t>
  </si>
  <si>
    <t>RG-1-16-03</t>
  </si>
  <si>
    <t>RG-1-17-01</t>
  </si>
  <si>
    <t>RG-1-17-02</t>
  </si>
  <si>
    <t>RG-1-17-03</t>
  </si>
  <si>
    <t>RG-1-17-04</t>
  </si>
  <si>
    <t>TOP1-1-02-01</t>
  </si>
  <si>
    <t>TOP1-1-02-02</t>
  </si>
  <si>
    <t>TOP1-1-02-03</t>
  </si>
  <si>
    <t>TOP1-1-02-04</t>
  </si>
  <si>
    <t>TOP1-1-02-05</t>
  </si>
  <si>
    <t>TOP1-1-02-06</t>
  </si>
  <si>
    <t>TOP1-1-02-07</t>
  </si>
  <si>
    <t>TOP1-1-04-01</t>
  </si>
  <si>
    <t>TOP1-1-04-02</t>
  </si>
  <si>
    <t>TOP1-1-04-03</t>
  </si>
  <si>
    <t>TOP1-1-04-04</t>
  </si>
  <si>
    <t>TOP1-1-04-05</t>
  </si>
  <si>
    <t>TOP1-1-04-06</t>
  </si>
  <si>
    <t>TOP1-1-04-07</t>
  </si>
  <si>
    <t>TOP1-1-04-08</t>
  </si>
  <si>
    <t>TOP1-1-04-09</t>
  </si>
  <si>
    <t>TOP1-1-09-01</t>
  </si>
  <si>
    <t>TOP1-1-09-02</t>
  </si>
  <si>
    <t>TOP1-1-09-03</t>
  </si>
  <si>
    <t>TOP1-1-09-04</t>
  </si>
  <si>
    <t>TOP1-1-09-05</t>
  </si>
  <si>
    <t>TOP1-1-09-06</t>
  </si>
  <si>
    <t>TOP1-1-09-07</t>
  </si>
  <si>
    <t>TOP1-1-09-08</t>
  </si>
  <si>
    <t>TOP1-1-09-09</t>
  </si>
  <si>
    <t>TEST 2</t>
  </si>
  <si>
    <t>RG-1-03-15</t>
  </si>
  <si>
    <t>TEST 3</t>
  </si>
  <si>
    <t>RG-1-03-16</t>
  </si>
  <si>
    <t>TEST 4</t>
  </si>
  <si>
    <t>EFT1-1-02-66</t>
  </si>
  <si>
    <t>TEST 5</t>
  </si>
  <si>
    <t>EFT1-1-02-67</t>
  </si>
  <si>
    <t>QM-1-16-04</t>
  </si>
  <si>
    <t>QM-1-16-05</t>
  </si>
  <si>
    <t>TEST 6</t>
  </si>
  <si>
    <t>EFT1-1-02-68</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</si>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</sst>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220">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98">
      <pivotArea field="0" type="button" dataOnly="0" labelOnly="1" outline="0" axis="axisPage" fieldPosition="0"/>
    </format>
    <format dxfId="97">
      <pivotArea field="5" type="button" dataOnly="0" labelOnly="1" outline="0" axis="axisRow" fieldPosition="1"/>
    </format>
    <format dxfId="96">
      <pivotArea dataOnly="0" labelOnly="1" fieldPosition="0">
        <references count="1">
          <reference field="5" count="17">
            <x v="5"/>
            <x v="6"/>
            <x v="9"/>
            <x v="13"/>
            <x v="14"/>
            <x v="18"/>
            <x v="23"/>
            <x v="24"/>
            <x v="28"/>
            <x v="30"/>
            <x v="31"/>
            <x v="32"/>
            <x v="39"/>
            <x v="43"/>
            <x v="46"/>
            <x v="47"/>
            <x v="49"/>
          </reference>
        </references>
      </pivotArea>
    </format>
    <format dxfId="95">
      <pivotArea dataOnly="0" labelOnly="1" grandRow="1" outline="0" fieldPosition="0"/>
    </format>
    <format dxfId="94">
      <pivotArea dataOnly="0" labelOnly="1" fieldPosition="0">
        <references count="2">
          <reference field="5" count="1" selected="0">
            <x v="5"/>
          </reference>
          <reference field="6" count="3">
            <x v="92"/>
            <x v="103"/>
            <x v="426"/>
          </reference>
        </references>
      </pivotArea>
    </format>
    <format dxfId="93">
      <pivotArea dataOnly="0" labelOnly="1" fieldPosition="0">
        <references count="2">
          <reference field="5" count="1" selected="0">
            <x v="6"/>
          </reference>
          <reference field="6" count="2">
            <x v="99"/>
            <x v="428"/>
          </reference>
        </references>
      </pivotArea>
    </format>
    <format dxfId="92">
      <pivotArea dataOnly="0" labelOnly="1" fieldPosition="0">
        <references count="2">
          <reference field="5" count="1" selected="0">
            <x v="9"/>
          </reference>
          <reference field="6" count="7">
            <x v="0"/>
            <x v="45"/>
            <x v="117"/>
            <x v="118"/>
            <x v="119"/>
            <x v="166"/>
            <x v="260"/>
          </reference>
        </references>
      </pivotArea>
    </format>
    <format dxfId="91">
      <pivotArea dataOnly="0" labelOnly="1" fieldPosition="0">
        <references count="2">
          <reference field="5" count="1" selected="0">
            <x v="13"/>
          </reference>
          <reference field="6" count="6">
            <x v="96"/>
            <x v="97"/>
            <x v="168"/>
            <x v="246"/>
            <x v="356"/>
            <x v="357"/>
          </reference>
        </references>
      </pivotArea>
    </format>
    <format dxfId="90">
      <pivotArea dataOnly="0" labelOnly="1" fieldPosition="0">
        <references count="2">
          <reference field="5" count="1" selected="0">
            <x v="14"/>
          </reference>
          <reference field="6" count="2">
            <x v="1"/>
            <x v="169"/>
          </reference>
        </references>
      </pivotArea>
    </format>
    <format dxfId="89">
      <pivotArea dataOnly="0" labelOnly="1" fieldPosition="0">
        <references count="2">
          <reference field="5" count="1" selected="0">
            <x v="18"/>
          </reference>
          <reference field="6" count="4">
            <x v="139"/>
            <x v="140"/>
            <x v="192"/>
            <x v="421"/>
          </reference>
        </references>
      </pivotArea>
    </format>
    <format dxfId="88">
      <pivotArea dataOnly="0" labelOnly="1" fieldPosition="0">
        <references count="2">
          <reference field="5" count="1" selected="0">
            <x v="23"/>
          </reference>
          <reference field="6" count="7">
            <x v="154"/>
            <x v="223"/>
            <x v="224"/>
            <x v="278"/>
            <x v="336"/>
            <x v="338"/>
            <x v="420"/>
          </reference>
        </references>
      </pivotArea>
    </format>
    <format dxfId="87">
      <pivotArea dataOnly="0" labelOnly="1" fieldPosition="0">
        <references count="2">
          <reference field="5" count="1" selected="0">
            <x v="24"/>
          </reference>
          <reference field="6" count="9">
            <x v="76"/>
            <x v="185"/>
            <x v="228"/>
            <x v="245"/>
            <x v="281"/>
            <x v="296"/>
            <x v="358"/>
            <x v="359"/>
            <x v="416"/>
          </reference>
        </references>
      </pivotArea>
    </format>
    <format dxfId="86">
      <pivotArea dataOnly="0" labelOnly="1" fieldPosition="0">
        <references count="2">
          <reference field="5" count="1" selected="0">
            <x v="28"/>
          </reference>
          <reference field="6" count="6">
            <x v="126"/>
            <x v="215"/>
            <x v="219"/>
            <x v="244"/>
            <x v="258"/>
            <x v="368"/>
          </reference>
        </references>
      </pivotArea>
    </format>
    <format dxfId="85">
      <pivotArea dataOnly="0" labelOnly="1" fieldPosition="0">
        <references count="2">
          <reference field="5" count="1" selected="0">
            <x v="30"/>
          </reference>
          <reference field="6" count="1">
            <x v="389"/>
          </reference>
        </references>
      </pivotArea>
    </format>
    <format dxfId="84">
      <pivotArea dataOnly="0" labelOnly="1" fieldPosition="0">
        <references count="2">
          <reference field="5" count="1" selected="0">
            <x v="31"/>
          </reference>
          <reference field="6" count="6">
            <x v="83"/>
            <x v="141"/>
            <x v="152"/>
            <x v="165"/>
            <x v="255"/>
            <x v="314"/>
          </reference>
        </references>
      </pivotArea>
    </format>
    <format dxfId="83">
      <pivotArea dataOnly="0" labelOnly="1" fieldPosition="0">
        <references count="2">
          <reference field="5" count="1" selected="0">
            <x v="32"/>
          </reference>
          <reference field="6" count="2">
            <x v="29"/>
            <x v="120"/>
          </reference>
        </references>
      </pivotArea>
    </format>
    <format dxfId="82">
      <pivotArea dataOnly="0" labelOnly="1" fieldPosition="0">
        <references count="2">
          <reference field="5" count="1" selected="0">
            <x v="39"/>
          </reference>
          <reference field="6" count="1">
            <x v="293"/>
          </reference>
        </references>
      </pivotArea>
    </format>
    <format dxfId="81">
      <pivotArea dataOnly="0" labelOnly="1" fieldPosition="0">
        <references count="2">
          <reference field="5" count="1" selected="0">
            <x v="43"/>
          </reference>
          <reference field="6" count="3">
            <x v="115"/>
            <x v="294"/>
            <x v="415"/>
          </reference>
        </references>
      </pivotArea>
    </format>
    <format dxfId="80">
      <pivotArea dataOnly="0" labelOnly="1" fieldPosition="0">
        <references count="2">
          <reference field="5" count="1" selected="0">
            <x v="46"/>
          </reference>
          <reference field="6" count="3">
            <x v="277"/>
            <x v="279"/>
            <x v="422"/>
          </reference>
        </references>
      </pivotArea>
    </format>
    <format dxfId="79">
      <pivotArea dataOnly="0" labelOnly="1" fieldPosition="0">
        <references count="2">
          <reference field="5" count="1" selected="0">
            <x v="47"/>
          </reference>
          <reference field="6" count="12">
            <x v="26"/>
            <x v="54"/>
            <x v="55"/>
            <x v="56"/>
            <x v="95"/>
            <x v="153"/>
            <x v="162"/>
            <x v="163"/>
            <x v="292"/>
            <x v="394"/>
            <x v="396"/>
            <x v="427"/>
          </reference>
        </references>
      </pivotArea>
    </format>
    <format dxfId="78">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219">
      <pivotArea type="all" dataOnly="0" outline="0" fieldPosition="0"/>
    </format>
    <format dxfId="218">
      <pivotArea outline="0" collapsedLevelsAreSubtotals="1" fieldPosition="0"/>
    </format>
    <format dxfId="217">
      <pivotArea field="3" type="button" dataOnly="0" labelOnly="1" outline="0" axis="axisRow" fieldPosition="0"/>
    </format>
    <format dxfId="216">
      <pivotArea dataOnly="0" labelOnly="1" fieldPosition="0">
        <references count="1">
          <reference field="3" count="0"/>
        </references>
      </pivotArea>
    </format>
    <format dxfId="215">
      <pivotArea dataOnly="0" labelOnly="1" grandRow="1" outline="0" fieldPosition="0"/>
    </format>
    <format dxfId="214">
      <pivotArea dataOnly="0" labelOnly="1" fieldPosition="0">
        <references count="2">
          <reference field="3" count="1" selected="0">
            <x v="5"/>
          </reference>
          <reference field="5" count="1">
            <x v="2"/>
          </reference>
        </references>
      </pivotArea>
    </format>
    <format dxfId="213">
      <pivotArea dataOnly="0" labelOnly="1" fieldPosition="0">
        <references count="2">
          <reference field="3" count="1" selected="0">
            <x v="0"/>
          </reference>
          <reference field="5" count="1">
            <x v="3"/>
          </reference>
        </references>
      </pivotArea>
    </format>
    <format dxfId="212">
      <pivotArea dataOnly="0" labelOnly="1" fieldPosition="0">
        <references count="2">
          <reference field="3" count="1" selected="0">
            <x v="4"/>
          </reference>
          <reference field="5" count="1">
            <x v="0"/>
          </reference>
        </references>
      </pivotArea>
    </format>
    <format dxfId="211">
      <pivotArea dataOnly="0" labelOnly="1" fieldPosition="0">
        <references count="2">
          <reference field="3" count="1" selected="0">
            <x v="6"/>
          </reference>
          <reference field="5" count="1">
            <x v="5"/>
          </reference>
        </references>
      </pivotArea>
    </format>
    <format dxfId="210">
      <pivotArea dataOnly="0" labelOnly="1" fieldPosition="0">
        <references count="2">
          <reference field="3" count="1" selected="0">
            <x v="7"/>
          </reference>
          <reference field="5" count="1">
            <x v="1"/>
          </reference>
        </references>
      </pivotArea>
    </format>
    <format dxfId="209">
      <pivotArea dataOnly="0" labelOnly="1" fieldPosition="0">
        <references count="2">
          <reference field="3" count="1" selected="0">
            <x v="3"/>
          </reference>
          <reference field="5" count="1">
            <x v="6"/>
          </reference>
        </references>
      </pivotArea>
    </format>
    <format dxfId="208">
      <pivotArea dataOnly="0" labelOnly="1" fieldPosition="0">
        <references count="2">
          <reference field="3" count="1" selected="0">
            <x v="1"/>
          </reference>
          <reference field="5" count="1">
            <x v="7"/>
          </reference>
        </references>
      </pivotArea>
    </format>
    <format dxfId="207">
      <pivotArea dataOnly="0" labelOnly="1" fieldPosition="0">
        <references count="2">
          <reference field="3" count="1" selected="0">
            <x v="2"/>
          </reference>
          <reference field="5" count="1">
            <x v="4"/>
          </reference>
        </references>
      </pivotArea>
    </format>
    <format dxfId="206">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205">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204">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203">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202">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201">
      <pivotArea dataOnly="0" labelOnly="1" fieldPosition="0">
        <references count="3">
          <reference field="3" count="1" selected="0">
            <x v="3"/>
          </reference>
          <reference field="5" count="1" selected="0">
            <x v="6"/>
          </reference>
          <reference field="6" count="7">
            <x v="4"/>
            <x v="9"/>
            <x v="29"/>
            <x v="30"/>
            <x v="42"/>
            <x v="49"/>
            <x v="63"/>
          </reference>
        </references>
      </pivotArea>
    </format>
    <format dxfId="200">
      <pivotArea dataOnly="0" labelOnly="1" fieldPosition="0">
        <references count="3">
          <reference field="3" count="1" selected="0">
            <x v="1"/>
          </reference>
          <reference field="5" count="1" selected="0">
            <x v="7"/>
          </reference>
          <reference field="6" count="2">
            <x v="84"/>
            <x v="85"/>
          </reference>
        </references>
      </pivotArea>
    </format>
    <format dxfId="199">
      <pivotArea dataOnly="0" labelOnly="1" fieldPosition="0">
        <references count="3">
          <reference field="3" count="1" selected="0">
            <x v="2"/>
          </reference>
          <reference field="5" count="1" selected="0">
            <x v="4"/>
          </reference>
          <reference field="6" count="1">
            <x v="16"/>
          </reference>
        </references>
      </pivotArea>
    </format>
    <format dxfId="1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19">
    <queryTableFields count="18">
      <queryTableField id="1" name="Subject" tableColumnId="1"/>
      <queryTableField id="2" name="UnitID" tableColumnId="2"/>
      <queryTableField id="3" name="Lit-ID" tableColumnId="3"/>
      <queryTableField id="4" name="TopicID" tableColumnId="4"/>
      <queryTableField id="5" name="TopicIDCount" tableColumnId="5"/>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H136" totalsRowShown="0">
  <autoFilter ref="B2:H136" xr:uid="{C725ABB9-6A6E-1844-95DD-BC37C41778EF}"/>
  <sortState xmlns:xlrd2="http://schemas.microsoft.com/office/spreadsheetml/2017/richdata2" ref="B3:H26">
    <sortCondition ref="E2:E26"/>
  </sortState>
  <tableColumns count="7">
    <tableColumn id="1" xr3:uid="{1D83675A-0FD6-C047-8E7F-25EE6F0A27AF}" name="Subject"/>
    <tableColumn id="7" xr3:uid="{3EDA59E8-6AFD-8147-A23B-69E2CE359416}" name="Phase"/>
    <tableColumn id="8" xr3:uid="{8D0FE10F-8C01-114F-AE2B-60EA7453CD65}" name="Order"/>
    <tableColumn id="9" xr3:uid="{23229C23-23D9-D84D-A347-DDD543FEF14A}" name="TopicID" dataDxfId="63">
      <calculatedColumnFormula>tbl_TOPIC[[#This Row],[Subject]] &amp; "-" &amp; tbl_TOPIC[[#This Row],[Phase]] &amp; "-" &amp; TEXT(tbl_TOPIC[[#This Row],[Order]], "00")</calculatedColumnFormula>
    </tableColumn>
    <tableColumn id="2" xr3:uid="{B4162ACC-F859-C441-A9F2-11C3BFF92CB1}" name="Topic"/>
    <tableColumn id="3" xr3:uid="{9433E892-5400-CD42-BBCF-7F419881A48A}" name="ParentTopic"/>
    <tableColumn id="4" xr3:uid="{0869B673-3D53-7A4E-9291-35B7FA1F0605}" name="TopicPath" dataDxfId="62">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0" totalsRowShown="0">
  <autoFilter ref="B2:Q80" xr:uid="{ECB98322-E31F-524D-8144-BAE95A764B0B}"/>
  <tableColumns count="16">
    <tableColumn id="1" xr3:uid="{B0BDB3E5-0477-6C42-B1F9-C663058DD9F7}" name="Date" dataDxfId="77"/>
    <tableColumn id="5" xr3:uid="{4BC1AC80-181C-0F4F-83F5-29709E1C908E}" name="Week" dataDxfId="76">
      <calculatedColumnFormula>TEXT(WEEKNUM(tbl_SEIN[[#This Row],[Date]], 2), "00") &amp; "-" &amp; YEAR(tbl_SEIN[[#This Row],[Date]])</calculatedColumnFormula>
    </tableColumn>
    <tableColumn id="2" xr3:uid="{9AEA456D-936D-F944-9928-6782C6AA5738}" name="Subject"/>
    <tableColumn id="18" xr3:uid="{5812D58E-1BDE-8A47-8562-8B8E91E4B369}" name="SubjectCount" dataDxfId="75">
      <calculatedColumnFormula array="1">SUM((tbl_SEIN[[#This Row],[Subject]]=INDEX(tbl_SEIN[Subject],1):tbl_SEIN[[#This Row],[Subject]])*1)</calculatedColumnFormula>
    </tableColumn>
    <tableColumn id="16" xr3:uid="{83172AB2-C048-1846-85A5-19EEE03421C7}" name="NoteID" dataDxfId="74">
      <calculatedColumnFormula>D3 &amp; "-" &amp; TEXT(E3, "00")</calculatedColumnFormula>
    </tableColumn>
    <tableColumn id="11" xr3:uid="{175895A0-2521-EE47-A27E-72FD5E366912}" name="Phase" dataDxfId="73"/>
    <tableColumn id="14" xr3:uid="{CDFD7C7F-F39D-2F4C-A6A8-FE0C59022D41}" name="Spalte1" dataDxfId="72">
      <calculatedColumnFormula>IF(tbl_SEIN[[#This Row],[Phase]]="", "", "Phase" &amp; tbl_SEIN[[#This Row],[Phase]])</calculatedColumnFormula>
    </tableColumn>
    <tableColumn id="19" xr3:uid="{F0179597-5409-1C4C-8EA2-4E3D4E1BCA76}" name="TopicID" dataDxfId="71">
      <calculatedColumnFormula>_xlfn.XLOOKUP(tbl_SEIN[[#This Row],[Topic]], tbl_TOPIC[Topic], tbl_TOPIC[TopicID], "")</calculatedColumnFormula>
    </tableColumn>
    <tableColumn id="6" xr3:uid="{E55C5964-9257-BB4E-BF4D-E88694C0FB3D}" name="Topic" dataDxfId="70"/>
    <tableColumn id="3" xr3:uid="{42863BBD-0B65-0745-87B0-FAD67BF22445}" name="Process"/>
    <tableColumn id="4" xr3:uid="{ED6C51A0-C937-1D4A-B22B-A24029E54C01}" name="Time" dataDxfId="69"/>
    <tableColumn id="12" xr3:uid="{406F7C8E-EFD4-0048-886E-CB56E049C383}" name="PredComp" dataDxfId="68"/>
    <tableColumn id="13" xr3:uid="{332E8DB7-7D71-7F4D-9003-4605C87C1B03}" name="ExpComp" dataDxfId="67"/>
    <tableColumn id="15" xr3:uid="{F4B9AC22-9B89-384F-9D6D-F6FBDBA70B28}" name="Relev" dataDxfId="66"/>
    <tableColumn id="17" xr3:uid="{6E71B335-7684-6B48-B6FF-F5C8D4670997}" name="TopicPath" dataDxfId="65">
      <calculatedColumnFormula>_xlfn.XLOOKUP(tbl_SEIN[[#This Row],[Topic]], tbl_TOPIC[Topic], tbl_TOPIC[TopicPath], "")</calculatedColumnFormula>
    </tableColumn>
    <tableColumn id="7" xr3:uid="{F99A32E4-07ED-D440-BF8D-BAE3DEF591CD}" name="TopicParent" dataDxfId="64">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T598" totalsRowShown="0" dataDxfId="61">
  <autoFilter ref="C4:T598" xr:uid="{6BE9ED4C-7840-5748-B211-F23E2AC2647F}"/>
  <tableColumns count="18">
    <tableColumn id="1" xr3:uid="{5A908F32-ED2D-6B44-B48E-F765927236E0}" name="Subject" dataDxfId="60">
      <calculatedColumnFormula>_xlfn.XLOOKUP(tbl_CONTENT[[#This Row],[TopicID]], tbl_TOPIC[TopicID], tbl_TOPIC[Subject], "")</calculatedColumnFormula>
    </tableColumn>
    <tableColumn id="45" xr3:uid="{4CE93F93-29F3-6344-BE97-B284980039D6}" name="UnitID" dataDxfId="59">
      <calculatedColumnFormula xml:space="preserve"> tbl_CONTENT[[#This Row],[TopicID]] &amp; "-" &amp; TEXT(tbl_CONTENT[[#This Row],[TopicIDCount]], "00")</calculatedColumnFormula>
    </tableColumn>
    <tableColumn id="2" xr3:uid="{61F01C5F-4954-0840-9C42-581418F5387A}" name="Lit-ID" dataDxfId="58"/>
    <tableColumn id="3" xr3:uid="{E9E99A15-EB54-8848-AE5A-4BCD11C34666}" name="TopicID" dataDxfId="57">
      <calculatedColumnFormula>_xlfn.XLOOKUP(tbl_CONTENT[[#This Row],[Topic]], tbl_TOPIC[Topic], tbl_TOPIC[TopicID], "")</calculatedColumnFormula>
    </tableColumn>
    <tableColumn id="14" xr3:uid="{473EDE4A-4B8E-5045-A00C-20398C8EC1D7}" name="TopicIDCount" dataDxfId="56">
      <calculatedColumnFormula array="1">SUM((tbl_CONTENT[[#This Row],[TopicID]]=INDEX(tbl_CONTENT[TopicID],1):tbl_CONTENT[[#This Row],[TopicID]])*1)</calculatedColumnFormula>
    </tableColumn>
    <tableColumn id="13" xr3:uid="{DEA73332-DEFE-0E42-BCD5-BB79E3E53E4E}" name="Topic" dataDxfId="55"/>
    <tableColumn id="4" xr3:uid="{D31AE625-8867-0B4E-B4B9-B68A6D62E1B8}" name="Content" dataDxfId="54"/>
    <tableColumn id="5" xr3:uid="{56182988-75A2-744C-9E88-EA3BFE259096}" name="CTyp" dataDxfId="53"/>
    <tableColumn id="8" xr3:uid="{286BD1E8-7C21-804A-BE07-CEDF025561FD}" name="AQ-State" dataDxfId="52"/>
    <tableColumn id="9" xr3:uid="{39DD9C8A-AF1E-DF46-AEEF-3F0DBF1586C2}" name="Layer" dataDxfId="51"/>
    <tableColumn id="16" xr3:uid="{A968EDF9-E94A-2242-AD25-EC418BE7AAAA}" name="Comp" dataDxfId="50"/>
    <tableColumn id="27" xr3:uid="{FCECCD77-B292-E34B-9674-295A2EDD7AEB}" name="RelInt" dataDxfId="49"/>
    <tableColumn id="28" xr3:uid="{888AA591-1AC8-9F4B-8B3E-9D3481DEFE86}" name="RelId" dataDxfId="48"/>
    <tableColumn id="17" xr3:uid="{5384DD29-A876-414E-AA03-742164B6772B}" name="Cont" dataDxfId="47"/>
    <tableColumn id="26" xr3:uid="{2730D2CD-9116-AC49-A144-C24E4C8CD937}" name="Cint" dataDxfId="46">
      <calculatedColumnFormula>IFERROR(
 (1.907*EXP(1)^(-0.5*tbl_CONTENT[[#This Row],[Layer]])) *
 ((tbl_CONTENT[[#This Row],[RelInt]]-1)^(2.5)*4^(1-2.5)+1) +
 ((tbl_CONTENT[[#This Row],[Comp]]-1)^(2.5)*4^(1-2.5)+1)*(0.5*((tbl_CONTENT[[#This Row],[RelInt]]-1)/4)^(2.5)+1),
 0
)</calculatedColumnFormula>
    </tableColumn>
    <tableColumn id="29" xr3:uid="{405F84FF-5683-0B42-B7C5-646BB762B2F9}" name="CID" dataDxfId="45">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44"/>
    <tableColumn id="30" xr3:uid="{BA0F9437-8654-8448-8344-868E1C4E625F}" name="Comments" dataDxfId="4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R595" tableType="queryTable" totalsRowShown="0">
  <autoFilter ref="A1:R595" xr:uid="{9D047219-126B-2843-BCDA-5A4368B2D0A0}"/>
  <tableColumns count="18">
    <tableColumn id="1" xr3:uid="{46615572-3301-2C49-AF9F-AD69C63E63BF}" uniqueName="1" name="Subject" queryTableFieldId="1"/>
    <tableColumn id="2" xr3:uid="{EA82E035-4A2A-3B4E-B953-44AD7D64663F}" uniqueName="2" name="UnitID" queryTableFieldId="2"/>
    <tableColumn id="3" xr3:uid="{AF141716-6FD8-564F-A8AC-F6A90D639B6A}" uniqueName="3" name="Lit-ID" queryTableFieldId="3"/>
    <tableColumn id="4" xr3:uid="{8FC0000C-4394-F74A-AC34-6E18E1FCDF50}" uniqueName="4" name="TopicID" queryTableFieldId="4"/>
    <tableColumn id="5" xr3:uid="{AEF013D3-5191-E743-919B-96A801FD2B4F}" uniqueName="5" name="TopicIDCount" queryTableFieldId="5"/>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97" dataDxfId="196" totalsRowDxfId="195">
  <autoFilter ref="B9:AE61" xr:uid="{84B9E424-D27B-2343-8EAA-EA83290C41DE}"/>
  <tableColumns count="30">
    <tableColumn id="1" xr3:uid="{951E3833-AE90-9F49-9609-852A0C16C484}" name="KW-Jahr" totalsRowLabel="Ergebnis" dataDxfId="194"/>
    <tableColumn id="2" xr3:uid="{A96F14D5-CA5B-7840-A2C6-76E5FB575C7A}" name="Subject" dataDxfId="193"/>
    <tableColumn id="3" xr3:uid="{9DB526D7-3689-7A4F-BF23-5002945C4D84}" name="AQ-S" dataDxfId="192" totalsRowDxfId="191">
      <calculatedColumnFormula>SUMIFS(tbl_SEIN[Time],
            tbl_SEIN[Week], $B10,
            tbl_SEIN[Subject], $C10,
            tbl_SEIN[Process], D$9)</calculatedColumnFormula>
    </tableColumn>
    <tableColumn id="4" xr3:uid="{9256B60F-838A-CD49-BFB6-5697DEFBE731}" name="AQ-L" dataDxfId="190" totalsRowDxfId="189"/>
    <tableColumn id="5" xr3:uid="{353591FB-B6EC-6545-94CA-F7D0D724691F}" name="AQ-∆" dataDxfId="188">
      <calculatedColumnFormula>tbl_AUSWERTUNG[[#This Row],[AQ-S]]-tbl_AUSWERTUNG[[#This Row],[AQ-L]]</calculatedColumnFormula>
    </tableColumn>
    <tableColumn id="23" xr3:uid="{2C04A465-474F-8E46-98DA-691F3DF6D167}" name="MON-S" dataDxfId="187">
      <calculatedColumnFormula>SUMIFS(tbl_SEIN[Time],
            tbl_SEIN[Week], $B10,
            tbl_SEIN[Subject], $C10,
            tbl_SEIN[Process], G$9)</calculatedColumnFormula>
    </tableColumn>
    <tableColumn id="22" xr3:uid="{7BA568E2-9000-7F44-AC8E-1D93FDF0A7DF}" name="MON-L" dataDxfId="186"/>
    <tableColumn id="21" xr3:uid="{62BAF0F4-A2F0-F344-B9E1-962303461EFA}" name="MON-∆" dataDxfId="185">
      <calculatedColumnFormula>tbl_AUSWERTUNG[[#This Row],[MON-S]]-tbl_AUSWERTUNG[[#This Row],[MON-L]]</calculatedColumnFormula>
    </tableColumn>
    <tableColumn id="6" xr3:uid="{0182267E-F0D4-4F47-8262-38634D068A63}" name="VL-S" dataDxfId="184" totalsRowDxfId="183">
      <calculatedColumnFormula>SUMIFS(tbl_SEIN[Time],
            tbl_SEIN[Week], $B10,
            tbl_SEIN[Subject], $C10,
            tbl_SEIN[Process], J$9)</calculatedColumnFormula>
    </tableColumn>
    <tableColumn id="7" xr3:uid="{5D1A6456-0FBA-574F-954F-6D25BC66324D}" name="VL-L" dataDxfId="182" totalsRowDxfId="181"/>
    <tableColumn id="8" xr3:uid="{471BFCD0-7D9A-C045-BD24-A9DC2A2361E5}" name="VL-∆" dataDxfId="180" totalsRowDxfId="179">
      <calculatedColumnFormula>tbl_AUSWERTUNG[[#This Row],[VL-S]]-tbl_AUSWERTUNG[[#This Row],[VL-L]]</calculatedColumnFormula>
    </tableColumn>
    <tableColumn id="9" xr3:uid="{3E88718E-7181-5A47-A3E9-3400C209CDE4}" name="EX-S" dataDxfId="178" totalsRowDxfId="177">
      <calculatedColumnFormula>SUMIFS(tbl_SEIN[Time],
            tbl_SEIN[Week], $B10,
            tbl_SEIN[Subject], $C10,
            tbl_SEIN[Process], M$9)</calculatedColumnFormula>
    </tableColumn>
    <tableColumn id="10" xr3:uid="{F857429C-F7D1-0E49-B668-A36B15CD93CD}" name="EX-L" dataDxfId="176" totalsRowDxfId="175"/>
    <tableColumn id="11" xr3:uid="{4306B735-0957-A044-8BDC-0A4A211608D3}" name="EX-∆" dataDxfId="174" totalsRowDxfId="173">
      <calculatedColumnFormula>tbl_AUSWERTUNG[[#This Row],[EX-S]]-tbl_AUSWERTUNG[[#This Row],[EX-L]]</calculatedColumnFormula>
    </tableColumn>
    <tableColumn id="12" xr3:uid="{91ED57C9-EB78-B441-AAA5-D83D88B0ED19}" name="ST-S" dataDxfId="172" totalsRowDxfId="171">
      <calculatedColumnFormula>SUMIFS(tbl_SEIN[Time],
            tbl_SEIN[Week], $B10,
            tbl_SEIN[Subject], $C10,
            tbl_SEIN[Process], P$9)</calculatedColumnFormula>
    </tableColumn>
    <tableColumn id="13" xr3:uid="{CDCE9D15-98AC-704D-AB77-D8CC00DD9D8A}" name="ST-L" dataDxfId="170" totalsRowDxfId="169"/>
    <tableColumn id="14" xr3:uid="{1D1428DD-39B9-0B47-9C72-76CBC8865B6A}" name="ST-∆" dataDxfId="168" totalsRowDxfId="167">
      <calculatedColumnFormula>tbl_AUSWERTUNG[[#This Row],[ST-S]]-tbl_AUSWERTUNG[[#This Row],[ST-L]]</calculatedColumnFormula>
    </tableColumn>
    <tableColumn id="15" xr3:uid="{0976D8DF-6866-3844-B8EA-D708F9F97AF5}" name="LRN-S" dataDxfId="166" totalsRowDxfId="165">
      <calculatedColumnFormula>SUMIFS(tbl_SEIN[Time],
            tbl_SEIN[Week], $B10,
            tbl_SEIN[Subject], $C10,
            tbl_SEIN[Process], S$9)</calculatedColumnFormula>
    </tableColumn>
    <tableColumn id="16" xr3:uid="{DA7BF54E-68C3-AC4D-BF03-0A13EDC88123}" name="LRN-L" dataDxfId="164" totalsRowDxfId="163"/>
    <tableColumn id="17" xr3:uid="{5B6658C2-5780-EF47-A81B-C460CC3E057D}" name="LRN-∆" dataDxfId="162" totalsRowDxfId="161">
      <calculatedColumnFormula>tbl_AUSWERTUNG[[#This Row],[LRN-S]]-tbl_AUSWERTUNG[[#This Row],[LRN-L]]</calculatedColumnFormula>
    </tableColumn>
    <tableColumn id="18" xr3:uid="{46CB4F27-010E-8F48-B7A0-73B6B56248C3}" name="AP-S" dataDxfId="160" totalsRowDxfId="159">
      <calculatedColumnFormula>SUMIFS(tbl_SEIN[Time],
            tbl_SEIN[Week], $B10,
            tbl_SEIN[Subject], $C10,
            tbl_SEIN[Process], V$9)</calculatedColumnFormula>
    </tableColumn>
    <tableColumn id="19" xr3:uid="{D2060AAD-0DE0-E946-BE74-77D3E9DA0990}" name="AP-L" dataDxfId="158" totalsRowDxfId="157"/>
    <tableColumn id="20" xr3:uid="{48BFB546-98AF-5141-98EB-E34C822E15EA}" name="AP-∆" dataDxfId="156" totalsRowDxfId="155">
      <calculatedColumnFormula>tbl_AUSWERTUNG[[#This Row],[AP-S]]-tbl_AUSWERTUNG[[#This Row],[AP-L]]</calculatedColumnFormula>
    </tableColumn>
    <tableColumn id="24" xr3:uid="{C4863EEA-67DF-E24D-9E78-7C07B31FD369}" name="PRES-S" dataDxfId="154">
      <calculatedColumnFormula>SUMIFS(tbl_SEIN[Time],
            tbl_SEIN[Week], $B10,
            tbl_SEIN[Subject], $C10,
            tbl_SEIN[Process], Y$9)</calculatedColumnFormula>
    </tableColumn>
    <tableColumn id="25" xr3:uid="{8A7BB308-D5D5-E84A-A29F-E1B6AD3790CE}" name="PRES-L" dataDxfId="153" totalsRowDxfId="152"/>
    <tableColumn id="26" xr3:uid="{C20DA585-C622-304A-B7B5-D99EB1953E8F}" name="PRES-∆" dataDxfId="151" totalsRowDxfId="150">
      <calculatedColumnFormula>tbl_AUSWERTUNG[[#This Row],[PRES-S]]-tbl_AUSWERTUNG[[#This Row],[PRES-L]]</calculatedColumnFormula>
    </tableColumn>
    <tableColumn id="27" xr3:uid="{054AC68C-E0AD-EE46-A293-0A729F91C4F1}" name="S" dataDxfId="149" totalsRowDxfId="148">
      <calculatedColumnFormula>SUM(D10,J10,M10,P10,S10,V10,Y10,G10)</calculatedColumnFormula>
    </tableColumn>
    <tableColumn id="28" xr3:uid="{7C4B8280-16F0-974C-A0E9-DA34E3F9C95D}" name="L" dataDxfId="147" totalsRowDxfId="146">
      <calculatedColumnFormula>SUM(E10,K10,N10,Q10,T10,W10,Z10,H10)</calculatedColumnFormula>
    </tableColumn>
    <tableColumn id="29" xr3:uid="{F4EF9949-0840-F74F-8C2A-396EC811C830}" name="∆" dataDxfId="145" totalsRowDxfId="144">
      <calculatedColumnFormula>tbl_AUSWERTUNG[[#This Row],[S]]-tbl_AUSWERTUNG[[#This Row],[L]]</calculatedColumnFormula>
    </tableColumn>
    <tableColumn id="30" xr3:uid="{538C0504-C005-5E4E-BDB6-12DF75009FAD}" name="∆*" totalsRowFunction="count" dataDxfId="143" totalsRowDxfId="142">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41" dataDxfId="140" totalsRowDxfId="139">
  <autoFilter ref="X75:AQ84" xr:uid="{5C66D082-B578-9E45-8B3D-E1DAF88301A5}"/>
  <tableColumns count="20">
    <tableColumn id="1" xr3:uid="{616C766F-7659-3444-BF71-7942E077C885}" name="Subject" dataDxfId="138" totalsRowDxfId="137"/>
    <tableColumn id="2" xr3:uid="{B3F071D9-F7A6-1F4C-921D-279D4ACDE81A}" name="CP" totalsRowFunction="custom" dataDxfId="136" totalsRowDxfId="135">
      <totalsRowFormula>SUM(Y76:Y84)</totalsRowFormula>
    </tableColumn>
    <tableColumn id="3" xr3:uid="{0530B3D9-C2E1-624D-9C90-5B333D72748C}" name="Phase" dataDxfId="134" totalsRowDxfId="133"/>
    <tableColumn id="4" xr3:uid="{D2EE7BE9-2815-E84A-AF8F-AB50633029C3}" name="State (P2)" dataDxfId="132" totalsRowDxfId="131"/>
    <tableColumn id="5" xr3:uid="{02BFE7E3-68AD-4743-AA92-EBACFBA75311}" name="VL (h)" totalsRowFunction="custom" dataDxfId="130" totalsRowDxfId="129">
      <totalsRowFormula>SUBTOTAL(109,AB76:AB84)</totalsRowFormula>
    </tableColumn>
    <tableColumn id="6" xr3:uid="{6D2EC961-4511-4448-97D7-D84571E1041C}" name="ÜB (h)" totalsRowFunction="custom" dataDxfId="128" totalsRowDxfId="127">
      <totalsRowFormula>SUBTOTAL(109,AC76:AC84)</totalsRowFormula>
    </tableColumn>
    <tableColumn id="7" xr3:uid="{83D33FAE-A75C-F843-98F1-90584A8D7F90}" name="Tot (Vera.)" totalsRowFunction="custom" dataDxfId="126" totalsRowDxfId="125">
      <calculatedColumnFormula>SUM(AB76:AC76)</calculatedColumnFormula>
      <totalsRowFormula>SUBTOTAL(109,AD76:AD84)</totalsRowFormula>
    </tableColumn>
    <tableColumn id="22" xr3:uid="{3DC3D878-0ACA-B149-B049-169D8A391938}" name="_" dataDxfId="124" totalsRowDxfId="123"/>
    <tableColumn id="21" xr3:uid="{CF6CAE1F-A846-074C-94E7-F97D68BD426F}" name="Subject2" dataDxfId="122" totalsRowDxfId="121"/>
    <tableColumn id="8" xr3:uid="{D8AAF759-F9DE-804F-9043-DE05B6324AA0}" name="SAQ" totalsRowFunction="custom" dataDxfId="120" totalsRowDxfId="119">
      <totalsRowFormula>SUBTOTAL(109,AG76:AG84)</totalsRowFormula>
    </tableColumn>
    <tableColumn id="9" xr3:uid="{6EA44CC8-A12A-C140-BC02-D173C80C2060}" name="CAQ (VL)" totalsRowFunction="custom" dataDxfId="118" totalsRowDxfId="117">
      <totalsRowFormula>SUBTOTAL(109,AH76:AH84)</totalsRowFormula>
    </tableColumn>
    <tableColumn id="10" xr3:uid="{ECC0B2D4-CA7F-4F40-AF43-19343F262E5E}" name="CAQ (EX)" totalsRowFunction="custom" dataDxfId="116" totalsRowDxfId="115">
      <totalsRowFormula>SUBTOTAL(109,AI76:AI84)</totalsRowFormula>
    </tableColumn>
    <tableColumn id="11" xr3:uid="{9B4C3241-01DC-B34A-9723-EBA3CCD6C0C7}" name="CAQ (SS)" totalsRowFunction="custom" dataDxfId="114" totalsRowDxfId="113">
      <totalsRowFormula>SUBTOTAL(109,AJ76:AJ84)</totalsRowFormula>
    </tableColumn>
    <tableColumn id="12" xr3:uid="{51402162-D816-3E48-8BE9-AF83BADE8190}" name="Stud" totalsRowFunction="custom" dataDxfId="112" totalsRowDxfId="111">
      <totalsRowFormula>SUBTOTAL(109,AK76:AK84)</totalsRowFormula>
    </tableColumn>
    <tableColumn id="13" xr3:uid="{9168C634-EAE4-2742-A5C5-DFCBD90D19C4}" name="Exc" totalsRowFunction="custom" dataDxfId="110" totalsRowDxfId="109">
      <totalsRowFormula>SUBTOTAL(109,AL76:AL84)</totalsRowFormula>
    </tableColumn>
    <tableColumn id="14" xr3:uid="{6F60B46B-1FEA-7A47-B176-4C7CB61BDE09}" name="Rep" totalsRowFunction="custom" dataDxfId="108" totalsRowDxfId="107">
      <totalsRowFormula>SUBTOTAL(109,AM76:AM84)</totalsRowFormula>
    </tableColumn>
    <tableColumn id="15" xr3:uid="{55A1DDA8-7AF4-0145-8542-559400AEDC81}" name="Pres" totalsRowFunction="custom" dataDxfId="106" totalsRowDxfId="105">
      <totalsRowFormula>SUBTOTAL(109,AN76:AN84)</totalsRowFormula>
    </tableColumn>
    <tableColumn id="16" xr3:uid="{25795924-EB83-0741-A9C1-26E962CD7612}" name="Sum" totalsRowFunction="custom" dataDxfId="104" totalsRowDxfId="103">
      <calculatedColumnFormula>SUM(AG76:AN76)</calculatedColumnFormula>
      <totalsRowFormula>SUBTOTAL(109,AO76:AO84)</totalsRowFormula>
    </tableColumn>
    <tableColumn id="17" xr3:uid="{8FD94020-8DC9-B34D-9F8F-4812AAE57A0A}" name="Sum/M" totalsRowFunction="custom" dataDxfId="102" totalsRowDxfId="101">
      <calculatedColumnFormula>Tabelle81116[[#This Row],[Sum]]-SUM(Tabelle81116[[#This Row],[CAQ (VL)]:[CAQ (EX)]])</calculatedColumnFormula>
      <totalsRowFormula>SUM(AP76:AP84)</totalsRowFormula>
    </tableColumn>
    <tableColumn id="18" xr3:uid="{DB6207BD-A809-F74C-B4D3-09A52046BF44}" name="Subject22" dataDxfId="100" totalsRowDxfId="99"/>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H136"/>
  <sheetViews>
    <sheetView topLeftCell="A114" workbookViewId="0">
      <selection activeCell="F133" sqref="F133"/>
    </sheetView>
    <sheetView workbookViewId="1"/>
  </sheetViews>
  <sheetFormatPr baseColWidth="10" defaultRowHeight="16" customHeight="1" x14ac:dyDescent="0.2"/>
  <cols>
    <col min="3" max="4" width="5.33203125" customWidth="1"/>
    <col min="5" max="5" width="11.5" customWidth="1"/>
    <col min="6" max="6" width="41.83203125" customWidth="1"/>
    <col min="7" max="7" width="23.6640625" customWidth="1"/>
    <col min="8" max="8" width="83.6640625" customWidth="1"/>
  </cols>
  <sheetData>
    <row r="2" spans="2:8" ht="16" customHeight="1" x14ac:dyDescent="0.2">
      <c r="B2" t="s">
        <v>6</v>
      </c>
      <c r="C2" t="s">
        <v>40</v>
      </c>
      <c r="D2" t="s">
        <v>157</v>
      </c>
      <c r="E2" t="s">
        <v>156</v>
      </c>
      <c r="F2" t="s">
        <v>93</v>
      </c>
      <c r="G2" t="s">
        <v>94</v>
      </c>
      <c r="H2" t="s">
        <v>95</v>
      </c>
    </row>
    <row r="3" spans="2:8" ht="16" customHeight="1" x14ac:dyDescent="0.2">
      <c r="B3" s="21" t="s">
        <v>119</v>
      </c>
      <c r="C3" s="21">
        <v>1</v>
      </c>
      <c r="D3" s="21"/>
      <c r="E3" s="21" t="str">
        <f>tbl_TOPIC[[#This Row],[Subject]] &amp; "-" &amp; tbl_TOPIC[[#This Row],[Phase]] &amp; "-" &amp; TEXT(tbl_TOPIC[[#This Row],[Order]], "00")</f>
        <v>HA-1-00</v>
      </c>
      <c r="F3" t="s">
        <v>126</v>
      </c>
      <c r="G3" t="s">
        <v>125</v>
      </c>
      <c r="H3" s="22" t="str">
        <f>IF(ISBLANK(tbl_TOPIC[[#This Row],[ParentTopic]]), tbl_TOPIC[[#This Row],[Topic]], _xlfn.XLOOKUP(tbl_TOPIC[[#This Row],[ParentTopic]], tbl_TOPIC[Topic], tbl_TOPIC[TopicPath]) &amp; "/" &amp; tbl_TOPIC[[#This Row],[Topic]])</f>
        <v>Homologie mit Koeffizienten/Tensorprodukt von abelschen Gruppen (HmK)</v>
      </c>
    </row>
    <row r="4" spans="2:8" ht="16" customHeight="1" x14ac:dyDescent="0.2">
      <c r="B4" s="21" t="s">
        <v>119</v>
      </c>
      <c r="C4" s="21">
        <v>1</v>
      </c>
      <c r="D4" s="21"/>
      <c r="E4" s="21" t="str">
        <f>tbl_TOPIC[[#This Row],[Subject]] &amp; "-" &amp; tbl_TOPIC[[#This Row],[Phase]] &amp; "-" &amp; TEXT(tbl_TOPIC[[#This Row],[Order]], "00")</f>
        <v>HA-1-00</v>
      </c>
      <c r="F4" t="s">
        <v>127</v>
      </c>
      <c r="G4" t="s">
        <v>125</v>
      </c>
      <c r="H4" s="22" t="str">
        <f>IF(ISBLANK(tbl_TOPIC[[#This Row],[ParentTopic]]), tbl_TOPIC[[#This Row],[Topic]], _xlfn.XLOOKUP(tbl_TOPIC[[#This Row],[ParentTopic]], tbl_TOPIC[Topic], tbl_TOPIC[TopicPath]) &amp; "/" &amp; tbl_TOPIC[[#This Row],[Topic]])</f>
        <v>Homologie mit Koeffizienten/Torsionsprodukt von abelschen Gruppen (HmK)</v>
      </c>
    </row>
    <row r="5" spans="2:8" ht="16" customHeight="1" x14ac:dyDescent="0.2">
      <c r="B5" s="21" t="s">
        <v>119</v>
      </c>
      <c r="C5" s="21">
        <v>1</v>
      </c>
      <c r="D5" s="21"/>
      <c r="E5" s="21" t="str">
        <f>tbl_TOPIC[[#This Row],[Subject]] &amp; "-" &amp; tbl_TOPIC[[#This Row],[Phase]] &amp; "-" &amp; TEXT(tbl_TOPIC[[#This Row],[Order]], "00")</f>
        <v>HA-1-00</v>
      </c>
      <c r="F5" t="s">
        <v>128</v>
      </c>
      <c r="H5" s="22" t="str">
        <f>IF(ISBLANK(tbl_TOPIC[[#This Row],[ParentTopic]]), tbl_TOPIC[[#This Row],[Topic]], _xlfn.XLOOKUP(tbl_TOPIC[[#This Row],[ParentTopic]], tbl_TOPIC[Topic], tbl_TOPIC[TopicPath]) &amp; "/" &amp; tbl_TOPIC[[#This Row],[Topic]])</f>
        <v>Homologisches Kreuzprodukt (HA)</v>
      </c>
    </row>
    <row r="6" spans="2:8" ht="16" customHeight="1" x14ac:dyDescent="0.2">
      <c r="B6" s="21" t="s">
        <v>119</v>
      </c>
      <c r="C6" s="21">
        <v>1</v>
      </c>
      <c r="D6" s="21"/>
      <c r="E6" s="21" t="str">
        <f>tbl_TOPIC[[#This Row],[Subject]] &amp; "-" &amp; tbl_TOPIC[[#This Row],[Phase]] &amp; "-" &amp; TEXT(tbl_TOPIC[[#This Row],[Order]], "00")</f>
        <v>HA-1-00</v>
      </c>
      <c r="F6" t="s">
        <v>131</v>
      </c>
      <c r="H6" s="22" t="str">
        <f>IF(ISBLANK(tbl_TOPIC[[#This Row],[ParentTopic]]), tbl_TOPIC[[#This Row],[Topic]], _xlfn.XLOOKUP(tbl_TOPIC[[#This Row],[ParentTopic]], tbl_TOPIC[Topic], tbl_TOPIC[TopicPath]) &amp; "/" &amp; tbl_TOPIC[[#This Row],[Topic]])</f>
        <v>Homologische Algebra</v>
      </c>
    </row>
    <row r="7" spans="2:8" ht="16" customHeight="1" x14ac:dyDescent="0.2">
      <c r="B7" s="21" t="s">
        <v>119</v>
      </c>
      <c r="C7" s="21">
        <v>1</v>
      </c>
      <c r="D7" s="21">
        <v>1</v>
      </c>
      <c r="E7" s="21" t="str">
        <f>tbl_TOPIC[[#This Row],[Subject]] &amp; "-" &amp; tbl_TOPIC[[#This Row],[Phase]] &amp; "-" &amp; TEXT(tbl_TOPIC[[#This Row],[Order]], "00")</f>
        <v>HA-1-01</v>
      </c>
      <c r="F7" t="s">
        <v>159</v>
      </c>
      <c r="H7" s="22" t="str">
        <f>IF(ISBLANK(tbl_TOPIC[[#This Row],[ParentTopic]]), tbl_TOPIC[[#This Row],[Topic]], _xlfn.XLOOKUP(tbl_TOPIC[[#This Row],[ParentTopic]], tbl_TOPIC[Topic], tbl_TOPIC[TopicPath]) &amp; "/" &amp; tbl_TOPIC[[#This Row],[Topic]])</f>
        <v>Kategorien und Funktoren in HA</v>
      </c>
    </row>
    <row r="8" spans="2:8" ht="16" customHeight="1" x14ac:dyDescent="0.2">
      <c r="B8" s="21" t="s">
        <v>119</v>
      </c>
      <c r="C8" s="21">
        <v>1</v>
      </c>
      <c r="D8" s="21">
        <v>2</v>
      </c>
      <c r="E8" s="21" t="str">
        <f>tbl_TOPIC[[#This Row],[Subject]] &amp; "-" &amp; tbl_TOPIC[[#This Row],[Phase]] &amp; "-" &amp; TEXT(tbl_TOPIC[[#This Row],[Order]], "00")</f>
        <v>HA-1-02</v>
      </c>
      <c r="F8" t="s">
        <v>132</v>
      </c>
      <c r="H8" s="22" t="str">
        <f>IF(ISBLANK(tbl_TOPIC[[#This Row],[ParentTopic]]), tbl_TOPIC[[#This Row],[Topic]], _xlfn.XLOOKUP(tbl_TOPIC[[#This Row],[ParentTopic]], tbl_TOPIC[Topic], tbl_TOPIC[TopicPath]) &amp; "/" &amp; tbl_TOPIC[[#This Row],[Topic]])</f>
        <v>Moduln in HA</v>
      </c>
    </row>
    <row r="9" spans="2:8" ht="16" customHeight="1" x14ac:dyDescent="0.2">
      <c r="B9" s="21" t="s">
        <v>119</v>
      </c>
      <c r="C9" s="21">
        <v>1</v>
      </c>
      <c r="D9" s="21">
        <v>3</v>
      </c>
      <c r="E9" s="21" t="str">
        <f>tbl_TOPIC[[#This Row],[Subject]] &amp; "-" &amp; tbl_TOPIC[[#This Row],[Phase]] &amp; "-" &amp; TEXT(tbl_TOPIC[[#This Row],[Order]], "00")</f>
        <v>HA-1-03</v>
      </c>
      <c r="F9" t="s">
        <v>133</v>
      </c>
      <c r="H9" s="22" t="str">
        <f>IF(ISBLANK(tbl_TOPIC[[#This Row],[ParentTopic]]), tbl_TOPIC[[#This Row],[Topic]], _xlfn.XLOOKUP(tbl_TOPIC[[#This Row],[ParentTopic]], tbl_TOPIC[Topic], tbl_TOPIC[TopicPath]) &amp; "/" &amp; tbl_TOPIC[[#This Row],[Topic]])</f>
        <v>Tensorprodukt in HA</v>
      </c>
    </row>
    <row r="10" spans="2:8" ht="16" customHeight="1" x14ac:dyDescent="0.2">
      <c r="B10" t="s">
        <v>119</v>
      </c>
      <c r="C10">
        <v>1</v>
      </c>
      <c r="D10">
        <v>4</v>
      </c>
      <c r="E10" t="str">
        <f>tbl_TOPIC[[#This Row],[Subject]] &amp; "-" &amp; tbl_TOPIC[[#This Row],[Phase]] &amp; "-" &amp; TEXT(tbl_TOPIC[[#This Row],[Order]], "00")</f>
        <v>HA-1-04</v>
      </c>
      <c r="F10" t="s">
        <v>134</v>
      </c>
      <c r="H10" s="22" t="str">
        <f>IF(ISBLANK(tbl_TOPIC[[#This Row],[ParentTopic]]), tbl_TOPIC[[#This Row],[Topic]], _xlfn.XLOOKUP(tbl_TOPIC[[#This Row],[ParentTopic]], tbl_TOPIC[Topic], tbl_TOPIC[TopicPath]) &amp; "/" &amp; tbl_TOPIC[[#This Row],[Topic]])</f>
        <v>Abelsche Kategorien</v>
      </c>
    </row>
    <row r="11" spans="2:8" ht="16" customHeight="1" x14ac:dyDescent="0.2">
      <c r="B11" t="s">
        <v>119</v>
      </c>
      <c r="C11">
        <v>1</v>
      </c>
      <c r="D11">
        <v>5</v>
      </c>
      <c r="E11" t="str">
        <f>tbl_TOPIC[[#This Row],[Subject]] &amp; "-" &amp; tbl_TOPIC[[#This Row],[Phase]] &amp; "-" &amp; TEXT(tbl_TOPIC[[#This Row],[Order]], "00")</f>
        <v>HA-1-05</v>
      </c>
      <c r="F11" t="s">
        <v>141</v>
      </c>
      <c r="H11" s="22" t="str">
        <f>IF(ISBLANK(tbl_TOPIC[[#This Row],[ParentTopic]]), tbl_TOPIC[[#This Row],[Topic]], _xlfn.XLOOKUP(tbl_TOPIC[[#This Row],[ParentTopic]], tbl_TOPIC[Topic], tbl_TOPIC[TopicPath]) &amp; "/" &amp; tbl_TOPIC[[#This Row],[Topic]])</f>
        <v>Homologie Funktor in HA</v>
      </c>
    </row>
    <row r="12" spans="2:8" ht="16" customHeight="1" x14ac:dyDescent="0.2">
      <c r="B12" t="s">
        <v>119</v>
      </c>
      <c r="C12">
        <v>1</v>
      </c>
      <c r="D12">
        <v>6</v>
      </c>
      <c r="E12" t="str">
        <f>tbl_TOPIC[[#This Row],[Subject]] &amp; "-" &amp; tbl_TOPIC[[#This Row],[Phase]] &amp; "-" &amp; TEXT(tbl_TOPIC[[#This Row],[Order]], "00")</f>
        <v>HA-1-06</v>
      </c>
      <c r="F12" t="s">
        <v>140</v>
      </c>
      <c r="H12" s="22" t="str">
        <f>IF(ISBLANK(tbl_TOPIC[[#This Row],[ParentTopic]]), tbl_TOPIC[[#This Row],[Topic]], _xlfn.XLOOKUP(tbl_TOPIC[[#This Row],[ParentTopic]], tbl_TOPIC[Topic], tbl_TOPIC[TopicPath]) &amp; "/" &amp; tbl_TOPIC[[#This Row],[Topic]])</f>
        <v>Komplexe in HA</v>
      </c>
    </row>
    <row r="13" spans="2:8" ht="16" customHeight="1" x14ac:dyDescent="0.2">
      <c r="B13" t="s">
        <v>119</v>
      </c>
      <c r="C13">
        <v>1</v>
      </c>
      <c r="D13">
        <v>7</v>
      </c>
      <c r="E13" t="str">
        <f>tbl_TOPIC[[#This Row],[Subject]] &amp; "-" &amp; tbl_TOPIC[[#This Row],[Phase]] &amp; "-" &amp; TEXT(tbl_TOPIC[[#This Row],[Order]], "00")</f>
        <v>HA-1-07</v>
      </c>
      <c r="F13" t="s">
        <v>171</v>
      </c>
      <c r="H13" s="22" t="str">
        <f>IF(ISBLANK(tbl_TOPIC[[#This Row],[ParentTopic]]), tbl_TOPIC[[#This Row],[Topic]], _xlfn.XLOOKUP(tbl_TOPIC[[#This Row],[ParentTopic]], tbl_TOPIC[Topic], tbl_TOPIC[TopicPath]) &amp; "/" &amp; tbl_TOPIC[[#This Row],[Topic]])</f>
        <v>Hilftslemma für Diagramme der HA</v>
      </c>
    </row>
    <row r="14" spans="2:8" ht="16" customHeight="1" x14ac:dyDescent="0.2">
      <c r="B14" t="s">
        <v>119</v>
      </c>
      <c r="C14">
        <v>1</v>
      </c>
      <c r="D14">
        <v>8</v>
      </c>
      <c r="E14" t="str">
        <f>tbl_TOPIC[[#This Row],[Subject]] &amp; "-" &amp; tbl_TOPIC[[#This Row],[Phase]] &amp; "-" &amp; TEXT(tbl_TOPIC[[#This Row],[Order]], "00")</f>
        <v>HA-1-08</v>
      </c>
      <c r="F14" t="s">
        <v>172</v>
      </c>
      <c r="H14" s="22" t="str">
        <f>IF(ISBLANK(tbl_TOPIC[[#This Row],[ParentTopic]]), tbl_TOPIC[[#This Row],[Topic]], _xlfn.XLOOKUP(tbl_TOPIC[[#This Row],[ParentTopic]], tbl_TOPIC[Topic], tbl_TOPIC[TopicPath]) &amp; "/" &amp; tbl_TOPIC[[#This Row],[Topic]])</f>
        <v>Exaktheit von Sequenzen</v>
      </c>
    </row>
    <row r="15" spans="2:8" ht="16" customHeight="1" x14ac:dyDescent="0.2">
      <c r="B15" t="s">
        <v>119</v>
      </c>
      <c r="C15">
        <v>1</v>
      </c>
      <c r="D15">
        <v>10</v>
      </c>
      <c r="E15" t="str">
        <f>tbl_TOPIC[[#This Row],[Subject]] &amp; "-" &amp; tbl_TOPIC[[#This Row],[Phase]] &amp; "-" &amp; TEXT(tbl_TOPIC[[#This Row],[Order]], "00")</f>
        <v>HA-1-10</v>
      </c>
      <c r="F15" t="s">
        <v>121</v>
      </c>
      <c r="H15" s="22" t="str">
        <f>IF(ISBLANK(tbl_TOPIC[[#This Row],[ParentTopic]]), tbl_TOPIC[[#This Row],[Topic]], _xlfn.XLOOKUP(tbl_TOPIC[[#This Row],[ParentTopic]], tbl_TOPIC[Topic], tbl_TOPIC[TopicPath]) &amp; "/" &amp; tbl_TOPIC[[#This Row],[Topic]])</f>
        <v>Splitting</v>
      </c>
    </row>
    <row r="16" spans="2:8" ht="16" customHeight="1" x14ac:dyDescent="0.2">
      <c r="B16" t="s">
        <v>119</v>
      </c>
      <c r="C16">
        <v>1</v>
      </c>
      <c r="D16">
        <v>12</v>
      </c>
      <c r="E16" t="str">
        <f>tbl_TOPIC[[#This Row],[Subject]] &amp; "-" &amp; tbl_TOPIC[[#This Row],[Phase]] &amp; "-" &amp; TEXT(tbl_TOPIC[[#This Row],[Order]], "00")</f>
        <v>HA-1-12</v>
      </c>
      <c r="F16" t="s">
        <v>123</v>
      </c>
      <c r="H16" s="22" t="str">
        <f>IF(ISBLANK(tbl_TOPIC[[#This Row],[ParentTopic]]), tbl_TOPIC[[#This Row],[Topic]], _xlfn.XLOOKUP(tbl_TOPIC[[#This Row],[ParentTopic]], tbl_TOPIC[Topic], tbl_TOPIC[TopicPath]) &amp; "/" &amp; tbl_TOPIC[[#This Row],[Topic]])</f>
        <v>Kategorische Formulierung der Homologietheorie</v>
      </c>
    </row>
    <row r="17" spans="2:8" ht="16" customHeight="1" x14ac:dyDescent="0.2">
      <c r="B17" s="30" t="s">
        <v>119</v>
      </c>
      <c r="C17" s="32">
        <v>1</v>
      </c>
      <c r="D17" s="21">
        <v>14</v>
      </c>
      <c r="E17" s="21" t="str">
        <f>tbl_TOPIC[[#This Row],[Subject]] &amp; "-" &amp; tbl_TOPIC[[#This Row],[Phase]] &amp; "-" &amp; TEXT(tbl_TOPIC[[#This Row],[Order]], "00")</f>
        <v>HA-1-14</v>
      </c>
      <c r="F17" t="s">
        <v>125</v>
      </c>
      <c r="H17" s="22" t="str">
        <f>IF(ISBLANK(tbl_TOPIC[[#This Row],[ParentTopic]]), tbl_TOPIC[[#This Row],[Topic]], _xlfn.XLOOKUP(tbl_TOPIC[[#This Row],[ParentTopic]], tbl_TOPIC[Topic], tbl_TOPIC[TopicPath]) &amp; "/" &amp; tbl_TOPIC[[#This Row],[Topic]])</f>
        <v>Homologie mit Koeffizienten</v>
      </c>
    </row>
    <row r="18" spans="2:8" ht="16" customHeight="1" x14ac:dyDescent="0.2">
      <c r="B18" s="29" t="s">
        <v>100</v>
      </c>
      <c r="C18" s="31">
        <v>1</v>
      </c>
      <c r="D18">
        <v>1</v>
      </c>
      <c r="E18" t="str">
        <f>tbl_TOPIC[[#This Row],[Subject]] &amp; "-" &amp; tbl_TOPIC[[#This Row],[Phase]] &amp; "-" &amp; TEXT(tbl_TOPIC[[#This Row],[Order]], "00")</f>
        <v>TOP1-1-01</v>
      </c>
      <c r="F18" t="s">
        <v>104</v>
      </c>
      <c r="H18" s="22" t="str">
        <f>IF(ISBLANK(tbl_TOPIC[[#This Row],[ParentTopic]]), tbl_TOPIC[[#This Row],[Topic]], _xlfn.XLOOKUP(tbl_TOPIC[[#This Row],[ParentTopic]], tbl_TOPIC[Topic], tbl_TOPIC[TopicPath]) &amp; "/" &amp; tbl_TOPIC[[#This Row],[Topic]])</f>
        <v>Singuläre Homologie (SHT)</v>
      </c>
    </row>
    <row r="19" spans="2:8" ht="16" customHeight="1" x14ac:dyDescent="0.2">
      <c r="B19" s="29" t="s">
        <v>100</v>
      </c>
      <c r="C19" s="31">
        <v>1</v>
      </c>
      <c r="D19">
        <v>2</v>
      </c>
      <c r="E19" t="str">
        <f>tbl_TOPIC[[#This Row],[Subject]] &amp; "-" &amp; tbl_TOPIC[[#This Row],[Phase]] &amp; "-" &amp; TEXT(tbl_TOPIC[[#This Row],[Order]], "00")</f>
        <v>TOP1-1-02</v>
      </c>
      <c r="F19" t="s">
        <v>103</v>
      </c>
      <c r="G19" t="s">
        <v>104</v>
      </c>
      <c r="H19" s="22" t="str">
        <f>IF(ISBLANK(tbl_TOPIC[[#This Row],[ParentTopic]]), tbl_TOPIC[[#This Row],[Topic]], _xlfn.XLOOKUP(tbl_TOPIC[[#This Row],[ParentTopic]], tbl_TOPIC[Topic], tbl_TOPIC[TopicPath]) &amp; "/" &amp; tbl_TOPIC[[#This Row],[Topic]])</f>
        <v>Singuläre Homologie (SHT)/Basics der SHT</v>
      </c>
    </row>
    <row r="20" spans="2:8" ht="16" customHeight="1" x14ac:dyDescent="0.2">
      <c r="B20" s="29" t="s">
        <v>100</v>
      </c>
      <c r="C20" s="31">
        <v>1</v>
      </c>
      <c r="D20">
        <v>3</v>
      </c>
      <c r="E20" t="str">
        <f>tbl_TOPIC[[#This Row],[Subject]] &amp; "-" &amp; tbl_TOPIC[[#This Row],[Phase]] &amp; "-" &amp; TEXT(tbl_TOPIC[[#This Row],[Order]], "00")</f>
        <v>TOP1-1-03</v>
      </c>
      <c r="F20" t="s">
        <v>120</v>
      </c>
      <c r="G20" t="s">
        <v>104</v>
      </c>
      <c r="H20" s="22" t="str">
        <f>IF(ISBLANK(tbl_TOPIC[[#This Row],[ParentTopic]]), tbl_TOPIC[[#This Row],[Topic]], _xlfn.XLOOKUP(tbl_TOPIC[[#This Row],[ParentTopic]], tbl_TOPIC[Topic], tbl_TOPIC[TopicPath]) &amp; "/" &amp; tbl_TOPIC[[#This Row],[Topic]])</f>
        <v>Singuläre Homologie (SHT)/Kategorische Formulierung der SHT</v>
      </c>
    </row>
    <row r="21" spans="2:8" ht="16" customHeight="1" x14ac:dyDescent="0.2">
      <c r="B21" s="29" t="s">
        <v>100</v>
      </c>
      <c r="C21" s="31">
        <v>1</v>
      </c>
      <c r="D21">
        <v>4</v>
      </c>
      <c r="E21" t="str">
        <f>tbl_TOPIC[[#This Row],[Subject]] &amp; "-" &amp; tbl_TOPIC[[#This Row],[Phase]] &amp; "-" &amp; TEXT(tbl_TOPIC[[#This Row],[Order]], "00")</f>
        <v>TOP1-1-04</v>
      </c>
      <c r="F21" t="s">
        <v>102</v>
      </c>
      <c r="G21" t="s">
        <v>104</v>
      </c>
      <c r="H21" s="22" t="str">
        <f>IF(ISBLANK(tbl_TOPIC[[#This Row],[ParentTopic]]), tbl_TOPIC[[#This Row],[Topic]], _xlfn.XLOOKUP(tbl_TOPIC[[#This Row],[ParentTopic]], tbl_TOPIC[Topic], tbl_TOPIC[TopicPath]) &amp; "/" &amp; tbl_TOPIC[[#This Row],[Topic]])</f>
        <v>Singuläre Homologie (SHT)/Unterteilung  und Ausschneidung in SHT</v>
      </c>
    </row>
    <row r="22" spans="2:8" ht="16" customHeight="1" x14ac:dyDescent="0.2">
      <c r="B22" s="29" t="s">
        <v>100</v>
      </c>
      <c r="C22" s="31">
        <v>1</v>
      </c>
      <c r="D22">
        <v>5</v>
      </c>
      <c r="E22" t="str">
        <f>tbl_TOPIC[[#This Row],[Subject]] &amp; "-" &amp; tbl_TOPIC[[#This Row],[Phase]] &amp; "-" &amp; TEXT(tbl_TOPIC[[#This Row],[Order]], "00")</f>
        <v>TOP1-1-05</v>
      </c>
      <c r="F22" t="s">
        <v>101</v>
      </c>
      <c r="G22" t="s">
        <v>104</v>
      </c>
      <c r="H22" s="22" t="str">
        <f>IF(ISBLANK(tbl_TOPIC[[#This Row],[ParentTopic]]), tbl_TOPIC[[#This Row],[Topic]], _xlfn.XLOOKUP(tbl_TOPIC[[#This Row],[ParentTopic]], tbl_TOPIC[Topic], tbl_TOPIC[TopicPath]) &amp; "/" &amp; tbl_TOPIC[[#This Row],[Topic]])</f>
        <v>Singuläre Homologie (SHT)/Mayer-Vietoris Sequenz in SHT</v>
      </c>
    </row>
    <row r="23" spans="2:8" ht="16" customHeight="1" x14ac:dyDescent="0.2">
      <c r="B23" s="29" t="s">
        <v>100</v>
      </c>
      <c r="C23" s="31">
        <v>1</v>
      </c>
      <c r="D23">
        <v>6</v>
      </c>
      <c r="E23" t="str">
        <f>tbl_TOPIC[[#This Row],[Subject]] &amp; "-" &amp; tbl_TOPIC[[#This Row],[Phase]] &amp; "-" &amp; TEXT(tbl_TOPIC[[#This Row],[Order]], "00")</f>
        <v>TOP1-1-06</v>
      </c>
      <c r="F23" t="s">
        <v>105</v>
      </c>
      <c r="G23" t="s">
        <v>104</v>
      </c>
      <c r="H23" s="22" t="str">
        <f>IF(ISBLANK(tbl_TOPIC[[#This Row],[ParentTopic]]), tbl_TOPIC[[#This Row],[Topic]], _xlfn.XLOOKUP(tbl_TOPIC[[#This Row],[ParentTopic]], tbl_TOPIC[Topic], tbl_TOPIC[TopicPath]) &amp; "/" &amp; tbl_TOPIC[[#This Row],[Topic]])</f>
        <v>Singuläre Homologie (SHT)/Kreuzprodukt in SHT</v>
      </c>
    </row>
    <row r="24" spans="2:8" ht="16" customHeight="1" x14ac:dyDescent="0.2">
      <c r="B24" t="s">
        <v>100</v>
      </c>
      <c r="C24">
        <v>1</v>
      </c>
      <c r="D24">
        <v>7</v>
      </c>
      <c r="E24" t="str">
        <f>tbl_TOPIC[[#This Row],[Subject]] &amp; "-" &amp; tbl_TOPIC[[#This Row],[Phase]] &amp; "-" &amp; TEXT(tbl_TOPIC[[#This Row],[Order]], "00")</f>
        <v>TOP1-1-07</v>
      </c>
      <c r="F24" t="s">
        <v>117</v>
      </c>
      <c r="G24" t="s">
        <v>105</v>
      </c>
      <c r="H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8" ht="16" customHeight="1" x14ac:dyDescent="0.2">
      <c r="B25" t="s">
        <v>100</v>
      </c>
      <c r="C25">
        <v>1</v>
      </c>
      <c r="D25">
        <v>8</v>
      </c>
      <c r="E25" t="str">
        <f>tbl_TOPIC[[#This Row],[Subject]] &amp; "-" &amp; tbl_TOPIC[[#This Row],[Phase]] &amp; "-" &amp; TEXT(tbl_TOPIC[[#This Row],[Order]], "00")</f>
        <v>TOP1-1-08</v>
      </c>
      <c r="F25" t="s">
        <v>118</v>
      </c>
      <c r="G25" t="s">
        <v>105</v>
      </c>
      <c r="H25" s="22" t="str">
        <f>IF(ISBLANK(tbl_TOPIC[[#This Row],[ParentTopic]]), tbl_TOPIC[[#This Row],[Topic]], _xlfn.XLOOKUP(tbl_TOPIC[[#This Row],[ParentTopic]], tbl_TOPIC[Topic], tbl_TOPIC[TopicPath]) &amp; "/" &amp; tbl_TOPIC[[#This Row],[Topic]])</f>
        <v>Singuläre Homologie (SHT)/Kreuzprodukt in SHT/Homologie Kreuzprodukt in SHT</v>
      </c>
    </row>
    <row r="26" spans="2:8" ht="16" customHeight="1" x14ac:dyDescent="0.2">
      <c r="B26" t="s">
        <v>100</v>
      </c>
      <c r="C26">
        <v>1</v>
      </c>
      <c r="D26">
        <v>9</v>
      </c>
      <c r="E26" t="str">
        <f>tbl_TOPIC[[#This Row],[Subject]] &amp; "-" &amp; tbl_TOPIC[[#This Row],[Phase]] &amp; "-" &amp; TEXT(tbl_TOPIC[[#This Row],[Order]], "00")</f>
        <v>TOP1-1-09</v>
      </c>
      <c r="F26" t="s">
        <v>122</v>
      </c>
      <c r="H26" s="22" t="str">
        <f>IF(ISBLANK(tbl_TOPIC[[#This Row],[ParentTopic]]), tbl_TOPIC[[#This Row],[Topic]], _xlfn.XLOOKUP(tbl_TOPIC[[#This Row],[ParentTopic]], tbl_TOPIC[Topic], tbl_TOPIC[TopicPath]) &amp; "/" &amp; tbl_TOPIC[[#This Row],[Topic]])</f>
        <v>Absolute und Relative Homologie</v>
      </c>
    </row>
    <row r="27" spans="2:8" ht="16" customHeight="1" x14ac:dyDescent="0.2">
      <c r="B27" t="s">
        <v>100</v>
      </c>
      <c r="C27">
        <v>1</v>
      </c>
      <c r="D27">
        <v>9</v>
      </c>
      <c r="E27" t="str">
        <f>tbl_TOPIC[[#This Row],[Subject]] &amp; "-" &amp; tbl_TOPIC[[#This Row],[Phase]] &amp; "-" &amp; TEXT(tbl_TOPIC[[#This Row],[Order]], "00")</f>
        <v>TOP1-1-09</v>
      </c>
      <c r="F27" t="s">
        <v>124</v>
      </c>
      <c r="H27" s="22" t="str">
        <f>IF(ISBLANK(tbl_TOPIC[[#This Row],[ParentTopic]]), tbl_TOPIC[[#This Row],[Topic]], _xlfn.XLOOKUP(tbl_TOPIC[[#This Row],[ParentTopic]], tbl_TOPIC[Topic], tbl_TOPIC[TopicPath]) &amp; "/" &amp; tbl_TOPIC[[#This Row],[Topic]])</f>
        <v>Reduzierte Homologie</v>
      </c>
    </row>
    <row r="28" spans="2:8" ht="16" customHeight="1" x14ac:dyDescent="0.2">
      <c r="B28" t="s">
        <v>106</v>
      </c>
      <c r="C28">
        <v>1</v>
      </c>
      <c r="D28">
        <v>1</v>
      </c>
      <c r="E28" t="str">
        <f>tbl_TOPIC[[#This Row],[Subject]] &amp; "-" &amp; tbl_TOPIC[[#This Row],[Phase]] &amp; "-" &amp; TEXT(tbl_TOPIC[[#This Row],[Order]], "00")</f>
        <v>GPDE-1-01</v>
      </c>
      <c r="F28" t="s">
        <v>331</v>
      </c>
      <c r="H28" s="22" t="str">
        <f>IF(ISBLANK(tbl_TOPIC[[#This Row],[ParentTopic]]), tbl_TOPIC[[#This Row],[Topic]], _xlfn.XLOOKUP(tbl_TOPIC[[#This Row],[ParentTopic]], tbl_TOPIC[Topic], tbl_TOPIC[TopicPath]) &amp; "/" &amp; tbl_TOPIC[[#This Row],[Topic]])</f>
        <v>GPDE Basics</v>
      </c>
    </row>
    <row r="29" spans="2:8" ht="16" customHeight="1" x14ac:dyDescent="0.2">
      <c r="B29" t="s">
        <v>106</v>
      </c>
      <c r="C29">
        <v>1</v>
      </c>
      <c r="D29">
        <v>3</v>
      </c>
      <c r="E29" t="str">
        <f>tbl_TOPIC[[#This Row],[Subject]] &amp; "-" &amp; tbl_TOPIC[[#This Row],[Phase]] &amp; "-" &amp; TEXT(tbl_TOPIC[[#This Row],[Order]], "00")</f>
        <v>GPDE-1-03</v>
      </c>
      <c r="F29" t="s">
        <v>330</v>
      </c>
      <c r="G29" t="s">
        <v>331</v>
      </c>
      <c r="H29" s="22" t="str">
        <f>IF(ISBLANK(tbl_TOPIC[[#This Row],[ParentTopic]]), tbl_TOPIC[[#This Row],[Topic]], _xlfn.XLOOKUP(tbl_TOPIC[[#This Row],[ParentTopic]], tbl_TOPIC[Topic], tbl_TOPIC[TopicPath]) &amp; "/" &amp; tbl_TOPIC[[#This Row],[Topic]])</f>
        <v>GPDE Basics/Regularitätsklassen</v>
      </c>
    </row>
    <row r="30" spans="2:8" ht="16" customHeight="1" x14ac:dyDescent="0.2">
      <c r="B30" t="s">
        <v>106</v>
      </c>
      <c r="C30">
        <v>1</v>
      </c>
      <c r="D30">
        <v>2</v>
      </c>
      <c r="E30" t="str">
        <f>tbl_TOPIC[[#This Row],[Subject]] &amp; "-" &amp; tbl_TOPIC[[#This Row],[Phase]] &amp; "-" &amp; TEXT(tbl_TOPIC[[#This Row],[Order]], "00")</f>
        <v>GPDE-1-02</v>
      </c>
      <c r="F30" t="s">
        <v>333</v>
      </c>
      <c r="G30" t="s">
        <v>331</v>
      </c>
      <c r="H30" s="22" t="str">
        <f>IF(ISBLANK(tbl_TOPIC[[#This Row],[ParentTopic]]), tbl_TOPIC[[#This Row],[Topic]], _xlfn.XLOOKUP(tbl_TOPIC[[#This Row],[ParentTopic]], tbl_TOPIC[Topic], tbl_TOPIC[TopicPath]) &amp; "/" &amp; tbl_TOPIC[[#This Row],[Topic]])</f>
        <v>GPDE Basics/Differentialoperatoren</v>
      </c>
    </row>
    <row r="31" spans="2:8" ht="16" customHeight="1" x14ac:dyDescent="0.2">
      <c r="B31" t="s">
        <v>106</v>
      </c>
      <c r="C31">
        <v>1</v>
      </c>
      <c r="D31">
        <v>4</v>
      </c>
      <c r="E31" t="str">
        <f>tbl_TOPIC[[#This Row],[Subject]] &amp; "-" &amp; tbl_TOPIC[[#This Row],[Phase]] &amp; "-" &amp; TEXT(tbl_TOPIC[[#This Row],[Order]], "00")</f>
        <v>GPDE-1-04</v>
      </c>
      <c r="F31" t="s">
        <v>347</v>
      </c>
      <c r="G31" t="s">
        <v>331</v>
      </c>
      <c r="H31" s="22" t="str">
        <f>IF(ISBLANK(tbl_TOPIC[[#This Row],[ParentTopic]]), tbl_TOPIC[[#This Row],[Topic]], _xlfn.XLOOKUP(tbl_TOPIC[[#This Row],[ParentTopic]], tbl_TOPIC[Topic], tbl_TOPIC[TopicPath]) &amp; "/" &amp; tbl_TOPIC[[#This Row],[Topic]])</f>
        <v>GPDE Basics/Ungleichungen und Abschätzungen</v>
      </c>
    </row>
    <row r="32" spans="2:8" ht="16" customHeight="1" x14ac:dyDescent="0.2">
      <c r="B32" t="s">
        <v>106</v>
      </c>
      <c r="C32">
        <v>1</v>
      </c>
      <c r="D32">
        <v>5</v>
      </c>
      <c r="E32" t="str">
        <f>tbl_TOPIC[[#This Row],[Subject]] &amp; "-" &amp; tbl_TOPIC[[#This Row],[Phase]] &amp; "-" &amp; TEXT(tbl_TOPIC[[#This Row],[Order]], "00")</f>
        <v>GPDE-1-05</v>
      </c>
      <c r="F32" t="s">
        <v>332</v>
      </c>
      <c r="H32" s="22" t="str">
        <f>IF(ISBLANK(tbl_TOPIC[[#This Row],[ParentTopic]]), tbl_TOPIC[[#This Row],[Topic]], _xlfn.XLOOKUP(tbl_TOPIC[[#This Row],[ParentTopic]], tbl_TOPIC[Topic], tbl_TOPIC[TopicPath]) &amp; "/" &amp; tbl_TOPIC[[#This Row],[Topic]])</f>
        <v>Maximum Prinzipien</v>
      </c>
    </row>
    <row r="33" spans="2:8" ht="16" customHeight="1" x14ac:dyDescent="0.2">
      <c r="B33" t="s">
        <v>106</v>
      </c>
      <c r="C33">
        <v>1</v>
      </c>
      <c r="D33">
        <v>6</v>
      </c>
      <c r="E33" t="str">
        <f>tbl_TOPIC[[#This Row],[Subject]] &amp; "-" &amp; tbl_TOPIC[[#This Row],[Phase]] &amp; "-" &amp; TEXT(tbl_TOPIC[[#This Row],[Order]], "00")</f>
        <v>GPDE-1-06</v>
      </c>
      <c r="F33" t="s">
        <v>334</v>
      </c>
      <c r="G33" t="s">
        <v>332</v>
      </c>
      <c r="H33" s="22" t="str">
        <f>IF(ISBLANK(tbl_TOPIC[[#This Row],[ParentTopic]]), tbl_TOPIC[[#This Row],[Topic]], _xlfn.XLOOKUP(tbl_TOPIC[[#This Row],[ParentTopic]], tbl_TOPIC[Topic], tbl_TOPIC[TopicPath]) &amp; "/" &amp; tbl_TOPIC[[#This Row],[Topic]])</f>
        <v>Maximum Prinzipien/Schwache Maximum Prinzipien</v>
      </c>
    </row>
    <row r="34" spans="2:8" ht="16" customHeight="1" x14ac:dyDescent="0.2">
      <c r="B34" t="s">
        <v>106</v>
      </c>
      <c r="C34">
        <v>1</v>
      </c>
      <c r="D34">
        <v>7</v>
      </c>
      <c r="E34" t="str">
        <f>tbl_TOPIC[[#This Row],[Subject]] &amp; "-" &amp; tbl_TOPIC[[#This Row],[Phase]] &amp; "-" &amp; TEXT(tbl_TOPIC[[#This Row],[Order]], "00")</f>
        <v>GPDE-1-07</v>
      </c>
      <c r="F34" t="s">
        <v>335</v>
      </c>
      <c r="G34" t="s">
        <v>332</v>
      </c>
      <c r="H34" s="22" t="str">
        <f>IF(ISBLANK(tbl_TOPIC[[#This Row],[ParentTopic]]), tbl_TOPIC[[#This Row],[Topic]], _xlfn.XLOOKUP(tbl_TOPIC[[#This Row],[ParentTopic]], tbl_TOPIC[Topic], tbl_TOPIC[TopicPath]) &amp; "/" &amp; tbl_TOPIC[[#This Row],[Topic]])</f>
        <v>Maximum Prinzipien/Starke Maximum Prinzipien</v>
      </c>
    </row>
    <row r="35" spans="2:8" ht="16" customHeight="1" x14ac:dyDescent="0.2">
      <c r="B35" t="s">
        <v>363</v>
      </c>
      <c r="C35">
        <v>1</v>
      </c>
      <c r="D35">
        <v>1</v>
      </c>
      <c r="E35" t="str">
        <f>tbl_TOPIC[[#This Row],[Subject]] &amp; "-" &amp; tbl_TOPIC[[#This Row],[Phase]] &amp; "-" &amp; TEXT(tbl_TOPIC[[#This Row],[Order]], "00")</f>
        <v>QM-1-01</v>
      </c>
      <c r="F35" t="s">
        <v>364</v>
      </c>
      <c r="H35" s="22" t="str">
        <f>IF(ISBLANK(tbl_TOPIC[[#This Row],[ParentTopic]]), tbl_TOPIC[[#This Row],[Topic]], _xlfn.XLOOKUP(tbl_TOPIC[[#This Row],[ParentTopic]], tbl_TOPIC[Topic], tbl_TOPIC[TopicPath]) &amp; "/" &amp; tbl_TOPIC[[#This Row],[Topic]])</f>
        <v>Quantenmechanik</v>
      </c>
    </row>
    <row r="36" spans="2:8" ht="16" customHeight="1" x14ac:dyDescent="0.2">
      <c r="B36" t="s">
        <v>363</v>
      </c>
      <c r="C36">
        <v>1</v>
      </c>
      <c r="D36">
        <v>2</v>
      </c>
      <c r="E36" t="str">
        <f>tbl_TOPIC[[#This Row],[Subject]] &amp; "-" &amp; tbl_TOPIC[[#This Row],[Phase]] &amp; "-" &amp; TEXT(tbl_TOPIC[[#This Row],[Order]], "00")</f>
        <v>QM-1-02</v>
      </c>
      <c r="F36" t="s">
        <v>365</v>
      </c>
      <c r="H36" s="22" t="str">
        <f>IF(ISBLANK(tbl_TOPIC[[#This Row],[ParentTopic]]), tbl_TOPIC[[#This Row],[Topic]], _xlfn.XLOOKUP(tbl_TOPIC[[#This Row],[ParentTopic]], tbl_TOPIC[Topic], tbl_TOPIC[TopicPath]) &amp; "/" &amp; tbl_TOPIC[[#This Row],[Topic]])</f>
        <v>Schrödinger Gleichung</v>
      </c>
    </row>
    <row r="37" spans="2:8" ht="16" customHeight="1" x14ac:dyDescent="0.2">
      <c r="B37" t="s">
        <v>363</v>
      </c>
      <c r="C37">
        <v>1</v>
      </c>
      <c r="D37">
        <v>3</v>
      </c>
      <c r="E37" t="str">
        <f>tbl_TOPIC[[#This Row],[Subject]] &amp; "-" &amp; tbl_TOPIC[[#This Row],[Phase]] &amp; "-" &amp; TEXT(tbl_TOPIC[[#This Row],[Order]], "00")</f>
        <v>QM-1-03</v>
      </c>
      <c r="F37" t="s">
        <v>366</v>
      </c>
      <c r="G37" t="s">
        <v>365</v>
      </c>
      <c r="H37" s="22" t="str">
        <f>IF(ISBLANK(tbl_TOPIC[[#This Row],[ParentTopic]]), tbl_TOPIC[[#This Row],[Topic]], _xlfn.XLOOKUP(tbl_TOPIC[[#This Row],[ParentTopic]], tbl_TOPIC[Topic], tbl_TOPIC[TopicPath]) &amp; "/" &amp; tbl_TOPIC[[#This Row],[Topic]])</f>
        <v>Schrödinger Gleichung/Wellenpakete in QM</v>
      </c>
    </row>
    <row r="38" spans="2:8" ht="16" customHeight="1" x14ac:dyDescent="0.2">
      <c r="B38" t="s">
        <v>363</v>
      </c>
      <c r="C38">
        <v>1</v>
      </c>
      <c r="D38">
        <v>4</v>
      </c>
      <c r="E38" t="str">
        <f>tbl_TOPIC[[#This Row],[Subject]] &amp; "-" &amp; tbl_TOPIC[[#This Row],[Phase]] &amp; "-" &amp; TEXT(tbl_TOPIC[[#This Row],[Order]], "00")</f>
        <v>QM-1-04</v>
      </c>
      <c r="F38" t="s">
        <v>367</v>
      </c>
      <c r="G38" t="s">
        <v>365</v>
      </c>
      <c r="H38" s="22" t="str">
        <f>IF(ISBLANK(tbl_TOPIC[[#This Row],[ParentTopic]]), tbl_TOPIC[[#This Row],[Topic]], _xlfn.XLOOKUP(tbl_TOPIC[[#This Row],[ParentTopic]], tbl_TOPIC[Topic], tbl_TOPIC[TopicPath]) &amp; "/" &amp; tbl_TOPIC[[#This Row],[Topic]])</f>
        <v>Schrödinger Gleichung/Einführung der Schrödinger Gleichung</v>
      </c>
    </row>
    <row r="39" spans="2:8" ht="16" customHeight="1" x14ac:dyDescent="0.2">
      <c r="B39" t="s">
        <v>363</v>
      </c>
      <c r="C39">
        <v>1</v>
      </c>
      <c r="D39">
        <v>5</v>
      </c>
      <c r="E39" t="str">
        <f>tbl_TOPIC[[#This Row],[Subject]] &amp; "-" &amp; tbl_TOPIC[[#This Row],[Phase]] &amp; "-" &amp; TEXT(tbl_TOPIC[[#This Row],[Order]], "00")</f>
        <v>QM-1-05</v>
      </c>
      <c r="F39" t="s">
        <v>368</v>
      </c>
      <c r="G39" t="s">
        <v>367</v>
      </c>
      <c r="H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8" ht="16" customHeight="1" x14ac:dyDescent="0.2">
      <c r="B40" t="s">
        <v>363</v>
      </c>
      <c r="C40">
        <v>1</v>
      </c>
      <c r="D40">
        <v>6</v>
      </c>
      <c r="E40" t="str">
        <f>tbl_TOPIC[[#This Row],[Subject]] &amp; "-" &amp; tbl_TOPIC[[#This Row],[Phase]] &amp; "-" &amp; TEXT(tbl_TOPIC[[#This Row],[Order]], "00")</f>
        <v>QM-1-06</v>
      </c>
      <c r="F40" t="s">
        <v>369</v>
      </c>
      <c r="G40" t="s">
        <v>367</v>
      </c>
      <c r="H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8" ht="16" customHeight="1" x14ac:dyDescent="0.2">
      <c r="B41" t="s">
        <v>363</v>
      </c>
      <c r="C41">
        <v>1</v>
      </c>
      <c r="D41">
        <v>7</v>
      </c>
      <c r="E41" t="str">
        <f>tbl_TOPIC[[#This Row],[Subject]] &amp; "-" &amp; tbl_TOPIC[[#This Row],[Phase]] &amp; "-" &amp; TEXT(tbl_TOPIC[[#This Row],[Order]], "00")</f>
        <v>QM-1-07</v>
      </c>
      <c r="F41" t="s">
        <v>370</v>
      </c>
      <c r="G41" t="s">
        <v>367</v>
      </c>
      <c r="H41" s="22" t="str">
        <f>IF(ISBLANK(tbl_TOPIC[[#This Row],[ParentTopic]]), tbl_TOPIC[[#This Row],[Topic]], _xlfn.XLOOKUP(tbl_TOPIC[[#This Row],[ParentTopic]], tbl_TOPIC[Topic], tbl_TOPIC[TopicPath]) &amp; "/" &amp; tbl_TOPIC[[#This Row],[Topic]])</f>
        <v>Schrödinger Gleichung/Einführung der Schrödinger Gleichung/Operatoren</v>
      </c>
    </row>
    <row r="42" spans="2:8" ht="16" customHeight="1" x14ac:dyDescent="0.2">
      <c r="B42" t="s">
        <v>363</v>
      </c>
      <c r="C42">
        <v>1</v>
      </c>
      <c r="D42">
        <v>8</v>
      </c>
      <c r="E42" t="str">
        <f>tbl_TOPIC[[#This Row],[Subject]] &amp; "-" &amp; tbl_TOPIC[[#This Row],[Phase]] &amp; "-" &amp; TEXT(tbl_TOPIC[[#This Row],[Order]], "00")</f>
        <v>QM-1-08</v>
      </c>
      <c r="F42" t="s">
        <v>371</v>
      </c>
      <c r="G42" t="s">
        <v>367</v>
      </c>
      <c r="H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8" ht="16" customHeight="1" x14ac:dyDescent="0.2">
      <c r="B43" t="s">
        <v>363</v>
      </c>
      <c r="C43">
        <v>1</v>
      </c>
      <c r="D43">
        <v>9</v>
      </c>
      <c r="E43" t="str">
        <f>tbl_TOPIC[[#This Row],[Subject]] &amp; "-" &amp; tbl_TOPIC[[#This Row],[Phase]] &amp; "-" &amp; TEXT(tbl_TOPIC[[#This Row],[Order]], "00")</f>
        <v>QM-1-09</v>
      </c>
      <c r="F43" t="s">
        <v>372</v>
      </c>
      <c r="G43" t="s">
        <v>365</v>
      </c>
      <c r="H43" s="22" t="str">
        <f>IF(ISBLANK(tbl_TOPIC[[#This Row],[ParentTopic]]), tbl_TOPIC[[#This Row],[Topic]], _xlfn.XLOOKUP(tbl_TOPIC[[#This Row],[ParentTopic]], tbl_TOPIC[Topic], tbl_TOPIC[TopicPath]) &amp; "/" &amp; tbl_TOPIC[[#This Row],[Topic]])</f>
        <v>Schrödinger Gleichung/Interpretation der Wellenfunktion</v>
      </c>
    </row>
    <row r="44" spans="2:8" ht="16" customHeight="1" x14ac:dyDescent="0.2">
      <c r="B44" t="s">
        <v>363</v>
      </c>
      <c r="C44">
        <v>1</v>
      </c>
      <c r="D44">
        <v>10</v>
      </c>
      <c r="E44" t="str">
        <f>tbl_TOPIC[[#This Row],[Subject]] &amp; "-" &amp; tbl_TOPIC[[#This Row],[Phase]] &amp; "-" &amp; TEXT(tbl_TOPIC[[#This Row],[Order]], "00")</f>
        <v>QM-1-10</v>
      </c>
      <c r="F44" t="s">
        <v>373</v>
      </c>
      <c r="G44" t="s">
        <v>372</v>
      </c>
      <c r="H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8" ht="16" customHeight="1" x14ac:dyDescent="0.2">
      <c r="B45" t="s">
        <v>363</v>
      </c>
      <c r="C45">
        <v>1</v>
      </c>
      <c r="D45">
        <v>11</v>
      </c>
      <c r="E45" t="str">
        <f>tbl_TOPIC[[#This Row],[Subject]] &amp; "-" &amp; tbl_TOPIC[[#This Row],[Phase]] &amp; "-" &amp; TEXT(tbl_TOPIC[[#This Row],[Order]], "00")</f>
        <v>QM-1-11</v>
      </c>
      <c r="F45" t="s">
        <v>374</v>
      </c>
      <c r="G45" t="s">
        <v>372</v>
      </c>
      <c r="H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8" ht="16" customHeight="1" x14ac:dyDescent="0.2">
      <c r="B46" t="s">
        <v>363</v>
      </c>
      <c r="C46">
        <v>1</v>
      </c>
      <c r="D46">
        <v>12</v>
      </c>
      <c r="E46" t="str">
        <f>tbl_TOPIC[[#This Row],[Subject]] &amp; "-" &amp; tbl_TOPIC[[#This Row],[Phase]] &amp; "-" &amp; TEXT(tbl_TOPIC[[#This Row],[Order]], "00")</f>
        <v>QM-1-12</v>
      </c>
      <c r="F46" t="s">
        <v>375</v>
      </c>
      <c r="G46" t="s">
        <v>372</v>
      </c>
      <c r="H46" s="22" t="str">
        <f>IF(ISBLANK(tbl_TOPIC[[#This Row],[ParentTopic]]), tbl_TOPIC[[#This Row],[Topic]], _xlfn.XLOOKUP(tbl_TOPIC[[#This Row],[ParentTopic]], tbl_TOPIC[Topic], tbl_TOPIC[TopicPath]) &amp; "/" &amp; tbl_TOPIC[[#This Row],[Topic]])</f>
        <v>Schrödinger Gleichung/Interpretation der Wellenfunktion/Impulsraum</v>
      </c>
    </row>
    <row r="47" spans="2:8" ht="16" customHeight="1" x14ac:dyDescent="0.2">
      <c r="B47" t="s">
        <v>363</v>
      </c>
      <c r="C47">
        <v>1</v>
      </c>
      <c r="D47">
        <v>13</v>
      </c>
      <c r="E47" t="str">
        <f>tbl_TOPIC[[#This Row],[Subject]] &amp; "-" &amp; tbl_TOPIC[[#This Row],[Phase]] &amp; "-" &amp; TEXT(tbl_TOPIC[[#This Row],[Order]], "00")</f>
        <v>QM-1-13</v>
      </c>
      <c r="F47" t="s">
        <v>376</v>
      </c>
      <c r="G47" t="s">
        <v>372</v>
      </c>
      <c r="H47" s="22" t="str">
        <f>IF(ISBLANK(tbl_TOPIC[[#This Row],[ParentTopic]]), tbl_TOPIC[[#This Row],[Topic]], _xlfn.XLOOKUP(tbl_TOPIC[[#This Row],[ParentTopic]], tbl_TOPIC[Topic], tbl_TOPIC[TopicPath]) &amp; "/" &amp; tbl_TOPIC[[#This Row],[Topic]])</f>
        <v>Schrödinger Gleichung/Interpretation der Wellenfunktion/Erwartungswert</v>
      </c>
    </row>
    <row r="48" spans="2:8" ht="16" customHeight="1" x14ac:dyDescent="0.2">
      <c r="B48" t="s">
        <v>363</v>
      </c>
      <c r="C48">
        <v>1</v>
      </c>
      <c r="D48">
        <v>14</v>
      </c>
      <c r="E48" t="str">
        <f>tbl_TOPIC[[#This Row],[Subject]] &amp; "-" &amp; tbl_TOPIC[[#This Row],[Phase]] &amp; "-" &amp; TEXT(tbl_TOPIC[[#This Row],[Order]], "00")</f>
        <v>QM-1-14</v>
      </c>
      <c r="F48" t="s">
        <v>377</v>
      </c>
      <c r="G48" t="s">
        <v>372</v>
      </c>
      <c r="H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8" ht="16" customHeight="1" x14ac:dyDescent="0.2">
      <c r="B49" t="s">
        <v>363</v>
      </c>
      <c r="C49">
        <v>1</v>
      </c>
      <c r="D49">
        <v>15</v>
      </c>
      <c r="E49" t="str">
        <f>tbl_TOPIC[[#This Row],[Subject]] &amp; "-" &amp; tbl_TOPIC[[#This Row],[Phase]] &amp; "-" &amp; TEXT(tbl_TOPIC[[#This Row],[Order]], "00")</f>
        <v>QM-1-15</v>
      </c>
      <c r="F49" t="s">
        <v>378</v>
      </c>
      <c r="G49" t="s">
        <v>365</v>
      </c>
      <c r="H49" s="22" t="str">
        <f>IF(ISBLANK(tbl_TOPIC[[#This Row],[ParentTopic]]), tbl_TOPIC[[#This Row],[Topic]], _xlfn.XLOOKUP(tbl_TOPIC[[#This Row],[ParentTopic]], tbl_TOPIC[Topic], tbl_TOPIC[TopicPath]) &amp; "/" &amp; tbl_TOPIC[[#This Row],[Topic]])</f>
        <v>Schrödinger Gleichung/Ehrenfest Theorem</v>
      </c>
    </row>
    <row r="50" spans="2:8" ht="16" customHeight="1" x14ac:dyDescent="0.2">
      <c r="B50" t="s">
        <v>363</v>
      </c>
      <c r="C50">
        <v>1</v>
      </c>
      <c r="D50">
        <v>16</v>
      </c>
      <c r="E50" t="str">
        <f>tbl_TOPIC[[#This Row],[Subject]] &amp; "-" &amp; tbl_TOPIC[[#This Row],[Phase]] &amp; "-" &amp; TEXT(tbl_TOPIC[[#This Row],[Order]], "00")</f>
        <v>QM-1-16</v>
      </c>
      <c r="F50" t="s">
        <v>379</v>
      </c>
      <c r="G50" t="s">
        <v>378</v>
      </c>
      <c r="H50" s="22" t="str">
        <f>IF(ISBLANK(tbl_TOPIC[[#This Row],[ParentTopic]]), tbl_TOPIC[[#This Row],[Topic]], _xlfn.XLOOKUP(tbl_TOPIC[[#This Row],[ParentTopic]], tbl_TOPIC[Topic], tbl_TOPIC[TopicPath]) &amp; "/" &amp; tbl_TOPIC[[#This Row],[Topic]])</f>
        <v>Schrödinger Gleichung/Ehrenfest Theorem/Hermitisch konjugierte Operatoren</v>
      </c>
    </row>
    <row r="51" spans="2:8" ht="16" customHeight="1" x14ac:dyDescent="0.2">
      <c r="B51" t="s">
        <v>363</v>
      </c>
      <c r="C51">
        <v>1</v>
      </c>
      <c r="D51">
        <v>17</v>
      </c>
      <c r="E51" t="str">
        <f>tbl_TOPIC[[#This Row],[Subject]] &amp; "-" &amp; tbl_TOPIC[[#This Row],[Phase]] &amp; "-" &amp; TEXT(tbl_TOPIC[[#This Row],[Order]], "00")</f>
        <v>QM-1-17</v>
      </c>
      <c r="F51" t="s">
        <v>380</v>
      </c>
      <c r="G51" t="s">
        <v>378</v>
      </c>
      <c r="H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8" ht="16" customHeight="1" x14ac:dyDescent="0.2">
      <c r="B52" t="s">
        <v>363</v>
      </c>
      <c r="C52">
        <v>1</v>
      </c>
      <c r="D52">
        <v>18</v>
      </c>
      <c r="E52" t="str">
        <f>tbl_TOPIC[[#This Row],[Subject]] &amp; "-" &amp; tbl_TOPIC[[#This Row],[Phase]] &amp; "-" &amp; TEXT(tbl_TOPIC[[#This Row],[Order]], "00")</f>
        <v>QM-1-18</v>
      </c>
      <c r="F52" t="s">
        <v>381</v>
      </c>
      <c r="G52" t="s">
        <v>378</v>
      </c>
      <c r="H52" s="22" t="str">
        <f>IF(ISBLANK(tbl_TOPIC[[#This Row],[ParentTopic]]), tbl_TOPIC[[#This Row],[Topic]], _xlfn.XLOOKUP(tbl_TOPIC[[#This Row],[ParentTopic]], tbl_TOPIC[Topic], tbl_TOPIC[TopicPath]) &amp; "/" &amp; tbl_TOPIC[[#This Row],[Topic]])</f>
        <v>Schrödinger Gleichung/Ehrenfest Theorem/Quasiklassische Bewegung</v>
      </c>
    </row>
    <row r="53" spans="2:8" ht="16" customHeight="1" x14ac:dyDescent="0.2">
      <c r="B53" t="s">
        <v>24</v>
      </c>
      <c r="C53">
        <v>1</v>
      </c>
      <c r="D53">
        <v>1</v>
      </c>
      <c r="E53" t="str">
        <f>tbl_TOPIC[[#This Row],[Subject]] &amp; "-" &amp; tbl_TOPIC[[#This Row],[Phase]] &amp; "-" &amp; TEXT(tbl_TOPIC[[#This Row],[Order]], "00")</f>
        <v>QMS-1-01</v>
      </c>
      <c r="F53" t="s">
        <v>400</v>
      </c>
      <c r="H53" s="22" t="str">
        <f>IF(ISBLANK(tbl_TOPIC[[#This Row],[ParentTopic]]), tbl_TOPIC[[#This Row],[Topic]], _xlfn.XLOOKUP(tbl_TOPIC[[#This Row],[ParentTopic]], tbl_TOPIC[Topic], tbl_TOPIC[TopicPath]) &amp; "/" &amp; tbl_TOPIC[[#This Row],[Topic]])</f>
        <v>Symmetrie in Quantenmechanik</v>
      </c>
    </row>
    <row r="54" spans="2:8" ht="16" customHeight="1" x14ac:dyDescent="0.2">
      <c r="B54" t="s">
        <v>24</v>
      </c>
      <c r="C54">
        <v>1</v>
      </c>
      <c r="D54">
        <v>2</v>
      </c>
      <c r="E54" t="str">
        <f>tbl_TOPIC[[#This Row],[Subject]] &amp; "-" &amp; tbl_TOPIC[[#This Row],[Phase]] &amp; "-" &amp; TEXT(tbl_TOPIC[[#This Row],[Order]], "00")</f>
        <v>QMS-1-02</v>
      </c>
      <c r="F54" t="s">
        <v>401</v>
      </c>
      <c r="G54" t="s">
        <v>400</v>
      </c>
      <c r="H54" s="22" t="str">
        <f>IF(ISBLANK(tbl_TOPIC[[#This Row],[ParentTopic]]), tbl_TOPIC[[#This Row],[Topic]], _xlfn.XLOOKUP(tbl_TOPIC[[#This Row],[ParentTopic]], tbl_TOPIC[Topic], tbl_TOPIC[TopicPath]) &amp; "/" &amp; tbl_TOPIC[[#This Row],[Topic]])</f>
        <v>Symmetrie in Quantenmechanik/Raum Translation</v>
      </c>
    </row>
    <row r="55" spans="2:8" ht="16" customHeight="1" x14ac:dyDescent="0.2">
      <c r="B55" t="s">
        <v>24</v>
      </c>
      <c r="C55">
        <v>1</v>
      </c>
      <c r="D55">
        <v>3</v>
      </c>
      <c r="E55" t="str">
        <f>tbl_TOPIC[[#This Row],[Subject]] &amp; "-" &amp; tbl_TOPIC[[#This Row],[Phase]] &amp; "-" &amp; TEXT(tbl_TOPIC[[#This Row],[Order]], "00")</f>
        <v>QMS-1-03</v>
      </c>
      <c r="F55" t="s">
        <v>402</v>
      </c>
      <c r="G55" t="s">
        <v>400</v>
      </c>
      <c r="H55" s="22" t="str">
        <f>IF(ISBLANK(tbl_TOPIC[[#This Row],[ParentTopic]]), tbl_TOPIC[[#This Row],[Topic]], _xlfn.XLOOKUP(tbl_TOPIC[[#This Row],[ParentTopic]], tbl_TOPIC[Topic], tbl_TOPIC[TopicPath]) &amp; "/" &amp; tbl_TOPIC[[#This Row],[Topic]])</f>
        <v>Symmetrie in Quantenmechanik/Zeit Translation</v>
      </c>
    </row>
    <row r="56" spans="2:8" ht="16" customHeight="1" x14ac:dyDescent="0.2">
      <c r="B56" t="s">
        <v>24</v>
      </c>
      <c r="C56">
        <v>1</v>
      </c>
      <c r="D56">
        <v>4</v>
      </c>
      <c r="E56" t="str">
        <f>tbl_TOPIC[[#This Row],[Subject]] &amp; "-" &amp; tbl_TOPIC[[#This Row],[Phase]] &amp; "-" &amp; TEXT(tbl_TOPIC[[#This Row],[Order]], "00")</f>
        <v>QMS-1-04</v>
      </c>
      <c r="F56" t="s">
        <v>403</v>
      </c>
      <c r="G56" t="s">
        <v>400</v>
      </c>
      <c r="H56" s="22" t="str">
        <f>IF(ISBLANK(tbl_TOPIC[[#This Row],[ParentTopic]]), tbl_TOPIC[[#This Row],[Topic]], _xlfn.XLOOKUP(tbl_TOPIC[[#This Row],[ParentTopic]], tbl_TOPIC[Topic], tbl_TOPIC[TopicPath]) &amp; "/" &amp; tbl_TOPIC[[#This Row],[Topic]])</f>
        <v>Symmetrie in Quantenmechanik/Rotation</v>
      </c>
    </row>
    <row r="57" spans="2:8" ht="16" customHeight="1" x14ac:dyDescent="0.2">
      <c r="B57" t="s">
        <v>24</v>
      </c>
      <c r="C57">
        <v>1</v>
      </c>
      <c r="D57">
        <v>5</v>
      </c>
      <c r="E57" t="str">
        <f>tbl_TOPIC[[#This Row],[Subject]] &amp; "-" &amp; tbl_TOPIC[[#This Row],[Phase]] &amp; "-" &amp; TEXT(tbl_TOPIC[[#This Row],[Order]], "00")</f>
        <v>QMS-1-05</v>
      </c>
      <c r="F57" t="s">
        <v>404</v>
      </c>
      <c r="H57" s="22" t="str">
        <f>IF(ISBLANK(tbl_TOPIC[[#This Row],[ParentTopic]]), tbl_TOPIC[[#This Row],[Topic]], _xlfn.XLOOKUP(tbl_TOPIC[[#This Row],[ParentTopic]], tbl_TOPIC[Topic], tbl_TOPIC[TopicPath]) &amp; "/" &amp; tbl_TOPIC[[#This Row],[Topic]])</f>
        <v>Gruppentheorie für QMS</v>
      </c>
    </row>
    <row r="58" spans="2:8" ht="16" customHeight="1" x14ac:dyDescent="0.2">
      <c r="B58" t="s">
        <v>24</v>
      </c>
      <c r="C58">
        <v>1</v>
      </c>
      <c r="D58">
        <v>6</v>
      </c>
      <c r="E58" t="str">
        <f>tbl_TOPIC[[#This Row],[Subject]] &amp; "-" &amp; tbl_TOPIC[[#This Row],[Phase]] &amp; "-" &amp; TEXT(tbl_TOPIC[[#This Row],[Order]], "00")</f>
        <v>QMS-1-06</v>
      </c>
      <c r="F58" t="s">
        <v>405</v>
      </c>
      <c r="G58" t="s">
        <v>404</v>
      </c>
      <c r="H58" s="22" t="str">
        <f>IF(ISBLANK(tbl_TOPIC[[#This Row],[ParentTopic]]), tbl_TOPIC[[#This Row],[Topic]], _xlfn.XLOOKUP(tbl_TOPIC[[#This Row],[ParentTopic]], tbl_TOPIC[Topic], tbl_TOPIC[TopicPath]) &amp; "/" &amp; tbl_TOPIC[[#This Row],[Topic]])</f>
        <v>Gruppentheorie für QMS/Basics Gruppentheorie für QMS</v>
      </c>
    </row>
    <row r="59" spans="2:8" ht="16" customHeight="1" x14ac:dyDescent="0.2">
      <c r="B59" t="s">
        <v>24</v>
      </c>
      <c r="C59">
        <v>1</v>
      </c>
      <c r="D59">
        <v>7</v>
      </c>
      <c r="E59" t="str">
        <f>tbl_TOPIC[[#This Row],[Subject]] &amp; "-" &amp; tbl_TOPIC[[#This Row],[Phase]] &amp; "-" &amp; TEXT(tbl_TOPIC[[#This Row],[Order]], "00")</f>
        <v>QMS-1-07</v>
      </c>
      <c r="F59" t="s">
        <v>406</v>
      </c>
      <c r="G59" t="s">
        <v>404</v>
      </c>
      <c r="H59" s="22" t="str">
        <f>IF(ISBLANK(tbl_TOPIC[[#This Row],[ParentTopic]]), tbl_TOPIC[[#This Row],[Topic]], _xlfn.XLOOKUP(tbl_TOPIC[[#This Row],[ParentTopic]], tbl_TOPIC[Topic], tbl_TOPIC[TopicPath]) &amp; "/" &amp; tbl_TOPIC[[#This Row],[Topic]])</f>
        <v>Gruppentheorie für QMS/Repräsentation von Gruppen</v>
      </c>
    </row>
    <row r="60" spans="2:8" ht="16" customHeight="1" x14ac:dyDescent="0.2">
      <c r="B60" t="s">
        <v>24</v>
      </c>
      <c r="C60">
        <v>1</v>
      </c>
      <c r="D60">
        <v>8</v>
      </c>
      <c r="E60" t="str">
        <f>tbl_TOPIC[[#This Row],[Subject]] &amp; "-" &amp; tbl_TOPIC[[#This Row],[Phase]] &amp; "-" &amp; TEXT(tbl_TOPIC[[#This Row],[Order]], "00")</f>
        <v>QMS-1-08</v>
      </c>
      <c r="F60" t="s">
        <v>5</v>
      </c>
      <c r="G60" t="s">
        <v>404</v>
      </c>
      <c r="H60" s="22" t="str">
        <f>IF(ISBLANK(tbl_TOPIC[[#This Row],[ParentTopic]]), tbl_TOPIC[[#This Row],[Topic]], _xlfn.XLOOKUP(tbl_TOPIC[[#This Row],[ParentTopic]], tbl_TOPIC[Topic], tbl_TOPIC[TopicPath]) &amp; "/" &amp; tbl_TOPIC[[#This Row],[Topic]])</f>
        <v>Gruppentheorie für QMS/Lie Gruppen</v>
      </c>
    </row>
    <row r="61" spans="2:8" ht="16" customHeight="1" x14ac:dyDescent="0.2">
      <c r="B61" t="s">
        <v>24</v>
      </c>
      <c r="C61">
        <v>1</v>
      </c>
      <c r="D61">
        <v>9</v>
      </c>
      <c r="E61" t="str">
        <f>tbl_TOPIC[[#This Row],[Subject]] &amp; "-" &amp; tbl_TOPIC[[#This Row],[Phase]] &amp; "-" &amp; TEXT(tbl_TOPIC[[#This Row],[Order]], "00")</f>
        <v>QMS-1-09</v>
      </c>
      <c r="F61" t="s">
        <v>407</v>
      </c>
      <c r="G61" t="s">
        <v>404</v>
      </c>
      <c r="H61" s="22" t="str">
        <f>IF(ISBLANK(tbl_TOPIC[[#This Row],[ParentTopic]]), tbl_TOPIC[[#This Row],[Topic]], _xlfn.XLOOKUP(tbl_TOPIC[[#This Row],[ParentTopic]], tbl_TOPIC[Topic], tbl_TOPIC[TopicPath]) &amp; "/" &amp; tbl_TOPIC[[#This Row],[Topic]])</f>
        <v>Gruppentheorie für QMS/Einfache und Semi-Einfache Lie Gruppen</v>
      </c>
    </row>
    <row r="62" spans="2:8" ht="16" customHeight="1" x14ac:dyDescent="0.2">
      <c r="B62" t="s">
        <v>24</v>
      </c>
      <c r="C62">
        <v>1</v>
      </c>
      <c r="D62">
        <v>10</v>
      </c>
      <c r="E62" t="str">
        <f>tbl_TOPIC[[#This Row],[Subject]] &amp; "-" &amp; tbl_TOPIC[[#This Row],[Phase]] &amp; "-" &amp; TEXT(tbl_TOPIC[[#This Row],[Order]], "00")</f>
        <v>QMS-1-10</v>
      </c>
      <c r="F62" t="s">
        <v>412</v>
      </c>
      <c r="G62" t="s">
        <v>404</v>
      </c>
      <c r="H62" s="22" t="str">
        <f>IF(ISBLANK(tbl_TOPIC[[#This Row],[ParentTopic]]), tbl_TOPIC[[#This Row],[Topic]], _xlfn.XLOOKUP(tbl_TOPIC[[#This Row],[ParentTopic]], tbl_TOPIC[Topic], tbl_TOPIC[TopicPath]) &amp; "/" &amp; tbl_TOPIC[[#This Row],[Topic]])</f>
        <v>Gruppentheorie für QMS/Qasimir Operator, Multiplet, Schur Lemma</v>
      </c>
    </row>
    <row r="63" spans="2:8" ht="16" customHeight="1" x14ac:dyDescent="0.2">
      <c r="B63" t="s">
        <v>24</v>
      </c>
      <c r="C63">
        <v>1</v>
      </c>
      <c r="D63">
        <v>11</v>
      </c>
      <c r="E63" t="str">
        <f>tbl_TOPIC[[#This Row],[Subject]] &amp; "-" &amp; tbl_TOPIC[[#This Row],[Phase]] &amp; "-" &amp; TEXT(tbl_TOPIC[[#This Row],[Order]], "00")</f>
        <v>QMS-1-11</v>
      </c>
      <c r="F63" t="s">
        <v>408</v>
      </c>
      <c r="H63" s="22" t="str">
        <f>IF(ISBLANK(tbl_TOPIC[[#This Row],[ParentTopic]]), tbl_TOPIC[[#This Row],[Topic]], _xlfn.XLOOKUP(tbl_TOPIC[[#This Row],[ParentTopic]], tbl_TOPIC[Topic], tbl_TOPIC[TopicPath]) &amp; "/" &amp; tbl_TOPIC[[#This Row],[Topic]])</f>
        <v>Gruppe SU(3)</v>
      </c>
    </row>
    <row r="64" spans="2:8" ht="16" customHeight="1" x14ac:dyDescent="0.2">
      <c r="B64" t="s">
        <v>24</v>
      </c>
      <c r="C64">
        <v>1</v>
      </c>
      <c r="D64">
        <v>12</v>
      </c>
      <c r="E64" t="str">
        <f>tbl_TOPIC[[#This Row],[Subject]] &amp; "-" &amp; tbl_TOPIC[[#This Row],[Phase]] &amp; "-" &amp; TEXT(tbl_TOPIC[[#This Row],[Order]], "00")</f>
        <v>QMS-1-12</v>
      </c>
      <c r="F64" t="s">
        <v>409</v>
      </c>
      <c r="G64" t="s">
        <v>408</v>
      </c>
      <c r="H64" s="22" t="str">
        <f>IF(ISBLANK(tbl_TOPIC[[#This Row],[ParentTopic]]), tbl_TOPIC[[#This Row],[Topic]], _xlfn.XLOOKUP(tbl_TOPIC[[#This Row],[ParentTopic]], tbl_TOPIC[Topic], tbl_TOPIC[TopicPath]) &amp; "/" &amp; tbl_TOPIC[[#This Row],[Topic]])</f>
        <v>Gruppe SU(3)/Generatoren</v>
      </c>
    </row>
    <row r="65" spans="2:8" ht="16" customHeight="1" x14ac:dyDescent="0.2">
      <c r="B65" t="s">
        <v>24</v>
      </c>
      <c r="C65">
        <v>1</v>
      </c>
      <c r="D65">
        <v>13</v>
      </c>
      <c r="E65" t="str">
        <f>tbl_TOPIC[[#This Row],[Subject]] &amp; "-" &amp; tbl_TOPIC[[#This Row],[Phase]] &amp; "-" &amp; TEXT(tbl_TOPIC[[#This Row],[Order]], "00")</f>
        <v>QMS-1-13</v>
      </c>
      <c r="F65" t="s">
        <v>410</v>
      </c>
      <c r="G65" t="s">
        <v>408</v>
      </c>
      <c r="H65" s="22" t="str">
        <f>IF(ISBLANK(tbl_TOPIC[[#This Row],[ParentTopic]]), tbl_TOPIC[[#This Row],[Topic]], _xlfn.XLOOKUP(tbl_TOPIC[[#This Row],[ParentTopic]], tbl_TOPIC[Topic], tbl_TOPIC[TopicPath]) &amp; "/" &amp; tbl_TOPIC[[#This Row],[Topic]])</f>
        <v>Gruppe SU(3)/Struktur Konstanten</v>
      </c>
    </row>
    <row r="66" spans="2:8" ht="16" customHeight="1" x14ac:dyDescent="0.2">
      <c r="B66" t="s">
        <v>24</v>
      </c>
      <c r="C66">
        <v>1</v>
      </c>
      <c r="D66">
        <v>14</v>
      </c>
      <c r="E66" t="str">
        <f>tbl_TOPIC[[#This Row],[Subject]] &amp; "-" &amp; tbl_TOPIC[[#This Row],[Phase]] &amp; "-" &amp; TEXT(tbl_TOPIC[[#This Row],[Order]], "00")</f>
        <v>QMS-1-14</v>
      </c>
      <c r="F66" t="s">
        <v>411</v>
      </c>
      <c r="G66" t="s">
        <v>408</v>
      </c>
      <c r="H66" s="22" t="str">
        <f>IF(ISBLANK(tbl_TOPIC[[#This Row],[ParentTopic]]), tbl_TOPIC[[#This Row],[Topic]], _xlfn.XLOOKUP(tbl_TOPIC[[#This Row],[ParentTopic]], tbl_TOPIC[Topic], tbl_TOPIC[TopicPath]) &amp; "/" &amp; tbl_TOPIC[[#This Row],[Topic]])</f>
        <v>Gruppe SU(3)/Unteralgebren und Untergruppen</v>
      </c>
    </row>
    <row r="67" spans="2:8" ht="16" customHeight="1" x14ac:dyDescent="0.2">
      <c r="B67" t="s">
        <v>24</v>
      </c>
      <c r="C67">
        <v>1</v>
      </c>
      <c r="D67">
        <v>15</v>
      </c>
      <c r="E67" t="str">
        <f>tbl_TOPIC[[#This Row],[Subject]] &amp; "-" &amp; tbl_TOPIC[[#This Row],[Phase]] &amp; "-" &amp; TEXT(tbl_TOPIC[[#This Row],[Order]], "00")</f>
        <v>QMS-1-15</v>
      </c>
      <c r="F67" t="s">
        <v>413</v>
      </c>
      <c r="G67" t="s">
        <v>408</v>
      </c>
      <c r="H67" s="22" t="str">
        <f>IF(ISBLANK(tbl_TOPIC[[#This Row],[ParentTopic]]), tbl_TOPIC[[#This Row],[Topic]], _xlfn.XLOOKUP(tbl_TOPIC[[#This Row],[ParentTopic]], tbl_TOPIC[Topic], tbl_TOPIC[TopicPath]) &amp; "/" &amp; tbl_TOPIC[[#This Row],[Topic]])</f>
        <v>Gruppe SU(3)/Konstruktion von Multiplets von fundamentalen Repräsentationen</v>
      </c>
    </row>
    <row r="68" spans="2:8" ht="16" customHeight="1" x14ac:dyDescent="0.2">
      <c r="B68" t="s">
        <v>24</v>
      </c>
      <c r="C68">
        <v>1</v>
      </c>
      <c r="D68">
        <v>16</v>
      </c>
      <c r="E68" t="str">
        <f>tbl_TOPIC[[#This Row],[Subject]] &amp; "-" &amp; tbl_TOPIC[[#This Row],[Phase]] &amp; "-" &amp; TEXT(tbl_TOPIC[[#This Row],[Order]], "00")</f>
        <v>QMS-1-16</v>
      </c>
      <c r="F68" t="s">
        <v>414</v>
      </c>
      <c r="G68" t="s">
        <v>408</v>
      </c>
      <c r="H68" s="22" t="str">
        <f>IF(ISBLANK(tbl_TOPIC[[#This Row],[ParentTopic]]), tbl_TOPIC[[#This Row],[Topic]], _xlfn.XLOOKUP(tbl_TOPIC[[#This Row],[ParentTopic]], tbl_TOPIC[Topic], tbl_TOPIC[TopicPath]) &amp; "/" &amp; tbl_TOPIC[[#This Row],[Topic]])</f>
        <v>Gruppe SU(3)/Young Tableaux</v>
      </c>
    </row>
    <row r="69" spans="2:8" ht="16" customHeight="1" x14ac:dyDescent="0.2">
      <c r="B69" t="s">
        <v>363</v>
      </c>
      <c r="C69">
        <v>1</v>
      </c>
      <c r="D69">
        <v>19</v>
      </c>
      <c r="E69" t="str">
        <f>tbl_TOPIC[[#This Row],[Subject]] &amp; "-" &amp; tbl_TOPIC[[#This Row],[Phase]] &amp; "-" &amp; TEXT(tbl_TOPIC[[#This Row],[Order]], "00")</f>
        <v>QM-1-19</v>
      </c>
      <c r="F69" t="s">
        <v>457</v>
      </c>
      <c r="H69" s="22" t="str">
        <f>IF(ISBLANK(tbl_TOPIC[[#This Row],[ParentTopic]]), tbl_TOPIC[[#This Row],[Topic]], _xlfn.XLOOKUP(tbl_TOPIC[[#This Row],[ParentTopic]], tbl_TOPIC[Topic], tbl_TOPIC[TopicPath]) &amp; "/" &amp; tbl_TOPIC[[#This Row],[Topic]])</f>
        <v>QM-ÜB</v>
      </c>
    </row>
    <row r="70" spans="2:8" ht="16" customHeight="1" x14ac:dyDescent="0.2">
      <c r="B70" t="s">
        <v>363</v>
      </c>
      <c r="C70">
        <v>1</v>
      </c>
      <c r="D70">
        <v>20</v>
      </c>
      <c r="E70" t="str">
        <f>tbl_TOPIC[[#This Row],[Subject]] &amp; "-" &amp; tbl_TOPIC[[#This Row],[Phase]] &amp; "-" &amp; TEXT(tbl_TOPIC[[#This Row],[Order]], "00")</f>
        <v>QM-1-20</v>
      </c>
      <c r="F70" t="s">
        <v>456</v>
      </c>
      <c r="G70" t="s">
        <v>457</v>
      </c>
      <c r="H70" s="22" t="str">
        <f>IF(ISBLANK(tbl_TOPIC[[#This Row],[ParentTopic]]), tbl_TOPIC[[#This Row],[Topic]], _xlfn.XLOOKUP(tbl_TOPIC[[#This Row],[ParentTopic]], tbl_TOPIC[Topic], tbl_TOPIC[TopicPath]) &amp; "/" &amp; tbl_TOPIC[[#This Row],[Topic]])</f>
        <v>QM-ÜB/QM-ÜB-00: Hermitische Unitäre Matrizen</v>
      </c>
    </row>
    <row r="71" spans="2:8" ht="16" customHeight="1" x14ac:dyDescent="0.2">
      <c r="B71" t="s">
        <v>106</v>
      </c>
      <c r="C71">
        <v>1</v>
      </c>
      <c r="D71">
        <v>8</v>
      </c>
      <c r="E71" t="str">
        <f>tbl_TOPIC[[#This Row],[Subject]] &amp; "-" &amp; tbl_TOPIC[[#This Row],[Phase]] &amp; "-" &amp; TEXT(tbl_TOPIC[[#This Row],[Order]], "00")</f>
        <v>GPDE-1-08</v>
      </c>
      <c r="F71" t="s">
        <v>458</v>
      </c>
      <c r="G71" t="s">
        <v>332</v>
      </c>
      <c r="H71" s="22" t="str">
        <f>IF(ISBLANK(tbl_TOPIC[[#This Row],[ParentTopic]]), tbl_TOPIC[[#This Row],[Topic]], _xlfn.XLOOKUP(tbl_TOPIC[[#This Row],[ParentTopic]], tbl_TOPIC[Topic], tbl_TOPIC[TopicPath]) &amp; "/" &amp; tbl_TOPIC[[#This Row],[Topic]])</f>
        <v>Maximum Prinzipien/Hopf Lemma</v>
      </c>
    </row>
    <row r="72" spans="2:8" ht="16" customHeight="1" x14ac:dyDescent="0.2">
      <c r="B72" t="s">
        <v>106</v>
      </c>
      <c r="C72">
        <v>1</v>
      </c>
      <c r="D72">
        <v>9</v>
      </c>
      <c r="E72" t="str">
        <f>tbl_TOPIC[[#This Row],[Subject]] &amp; "-" &amp; tbl_TOPIC[[#This Row],[Phase]] &amp; "-" &amp; TEXT(tbl_TOPIC[[#This Row],[Order]], "00")</f>
        <v>GPDE-1-09</v>
      </c>
      <c r="F72" t="s">
        <v>459</v>
      </c>
      <c r="G72" t="s">
        <v>332</v>
      </c>
      <c r="H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8" ht="16" customHeight="1" x14ac:dyDescent="0.2">
      <c r="B73" t="s">
        <v>455</v>
      </c>
      <c r="C73">
        <v>1</v>
      </c>
      <c r="D73">
        <v>1</v>
      </c>
      <c r="E73" t="str">
        <f>tbl_TOPIC[[#This Row],[Subject]] &amp; "-" &amp; tbl_TOPIC[[#This Row],[Phase]] &amp; "-" &amp; TEXT(tbl_TOPIC[[#This Row],[Order]], "00")</f>
        <v>CM-1-01</v>
      </c>
      <c r="F73" t="s">
        <v>462</v>
      </c>
      <c r="H73" s="22" t="str">
        <f>IF(ISBLANK(tbl_TOPIC[[#This Row],[ParentTopic]]), tbl_TOPIC[[#This Row],[Topic]], _xlfn.XLOOKUP(tbl_TOPIC[[#This Row],[ParentTopic]], tbl_TOPIC[Topic], tbl_TOPIC[TopicPath]) &amp; "/" &amp; tbl_TOPIC[[#This Row],[Topic]])</f>
        <v>Klassische Streutheorie</v>
      </c>
    </row>
    <row r="74" spans="2:8" ht="16" customHeight="1" x14ac:dyDescent="0.2">
      <c r="B74" t="s">
        <v>455</v>
      </c>
      <c r="C74">
        <v>1</v>
      </c>
      <c r="D74">
        <v>2</v>
      </c>
      <c r="E74" t="str">
        <f>tbl_TOPIC[[#This Row],[Subject]] &amp; "-" &amp; tbl_TOPIC[[#This Row],[Phase]] &amp; "-" &amp; TEXT(tbl_TOPIC[[#This Row],[Order]], "00")</f>
        <v>CM-1-02</v>
      </c>
      <c r="F74" t="s">
        <v>463</v>
      </c>
      <c r="G74" t="s">
        <v>462</v>
      </c>
      <c r="H74" s="22" t="str">
        <f>IF(ISBLANK(tbl_TOPIC[[#This Row],[ParentTopic]]), tbl_TOPIC[[#This Row],[Topic]], _xlfn.XLOOKUP(tbl_TOPIC[[#This Row],[ParentTopic]], tbl_TOPIC[Topic], tbl_TOPIC[TopicPath]) &amp; "/" &amp; tbl_TOPIC[[#This Row],[Topic]])</f>
        <v>Klassische Streutheorie/Wirkungsquerschnitt</v>
      </c>
    </row>
    <row r="75" spans="2:8" ht="16" customHeight="1" x14ac:dyDescent="0.2">
      <c r="B75" t="s">
        <v>455</v>
      </c>
      <c r="C75">
        <v>1</v>
      </c>
      <c r="D75">
        <v>3</v>
      </c>
      <c r="E75" t="str">
        <f>tbl_TOPIC[[#This Row],[Subject]] &amp; "-" &amp; tbl_TOPIC[[#This Row],[Phase]] &amp; "-" &amp; TEXT(tbl_TOPIC[[#This Row],[Order]], "00")</f>
        <v>CM-1-03</v>
      </c>
      <c r="F75" t="s">
        <v>464</v>
      </c>
      <c r="G75" t="s">
        <v>462</v>
      </c>
      <c r="H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8" ht="16" customHeight="1" x14ac:dyDescent="0.2">
      <c r="B76" t="s">
        <v>455</v>
      </c>
      <c r="C76">
        <v>1</v>
      </c>
      <c r="D76">
        <v>4</v>
      </c>
      <c r="E76" t="str">
        <f>tbl_TOPIC[[#This Row],[Subject]] &amp; "-" &amp; tbl_TOPIC[[#This Row],[Phase]] &amp; "-" &amp; TEXT(tbl_TOPIC[[#This Row],[Order]], "00")</f>
        <v>CM-1-04</v>
      </c>
      <c r="F76" t="s">
        <v>465</v>
      </c>
      <c r="G76" t="s">
        <v>462</v>
      </c>
      <c r="H76" s="22" t="str">
        <f>IF(ISBLANK(tbl_TOPIC[[#This Row],[ParentTopic]]), tbl_TOPIC[[#This Row],[Topic]], _xlfn.XLOOKUP(tbl_TOPIC[[#This Row],[ParentTopic]], tbl_TOPIC[Topic], tbl_TOPIC[TopicPath]) &amp; "/" &amp; tbl_TOPIC[[#This Row],[Topic]])</f>
        <v>Klassische Streutheorie/Rücktransformation ins Laborsystem</v>
      </c>
    </row>
    <row r="77" spans="2:8" ht="16" customHeight="1" x14ac:dyDescent="0.2">
      <c r="B77" t="s">
        <v>455</v>
      </c>
      <c r="C77">
        <v>1</v>
      </c>
      <c r="D77">
        <v>5</v>
      </c>
      <c r="E77" t="str">
        <f>tbl_TOPIC[[#This Row],[Subject]] &amp; "-" &amp; tbl_TOPIC[[#This Row],[Phase]] &amp; "-" &amp; TEXT(tbl_TOPIC[[#This Row],[Order]], "00")</f>
        <v>CM-1-05</v>
      </c>
      <c r="F77" t="s">
        <v>484</v>
      </c>
      <c r="H77" s="22" t="str">
        <f>IF(ISBLANK(tbl_TOPIC[[#This Row],[ParentTopic]]), tbl_TOPIC[[#This Row],[Topic]], _xlfn.XLOOKUP(tbl_TOPIC[[#This Row],[ParentTopic]], tbl_TOPIC[Topic], tbl_TOPIC[TopicPath]) &amp; "/" &amp; tbl_TOPIC[[#This Row],[Topic]])</f>
        <v>2-Körper und effektives 1-Körper Problem</v>
      </c>
    </row>
    <row r="78" spans="2:8" ht="16" customHeight="1" x14ac:dyDescent="0.2">
      <c r="B78" t="s">
        <v>455</v>
      </c>
      <c r="C78">
        <v>1</v>
      </c>
      <c r="D78">
        <v>6</v>
      </c>
      <c r="E78" t="str">
        <f>tbl_TOPIC[[#This Row],[Subject]] &amp; "-" &amp; tbl_TOPIC[[#This Row],[Phase]] &amp; "-" &amp; TEXT(tbl_TOPIC[[#This Row],[Order]], "00")</f>
        <v>CM-1-06</v>
      </c>
      <c r="F78" t="s">
        <v>491</v>
      </c>
      <c r="H78" s="22" t="str">
        <f>IF(ISBLANK(tbl_TOPIC[[#This Row],[ParentTopic]]), tbl_TOPIC[[#This Row],[Topic]], _xlfn.XLOOKUP(tbl_TOPIC[[#This Row],[ParentTopic]], tbl_TOPIC[Topic], tbl_TOPIC[TopicPath]) &amp; "/" &amp; tbl_TOPIC[[#This Row],[Topic]])</f>
        <v>CM-ÜB</v>
      </c>
    </row>
    <row r="79" spans="2:8" ht="16" customHeight="1" x14ac:dyDescent="0.2">
      <c r="B79" t="s">
        <v>455</v>
      </c>
      <c r="C79">
        <v>1</v>
      </c>
      <c r="D79">
        <v>7</v>
      </c>
      <c r="E79" t="str">
        <f>tbl_TOPIC[[#This Row],[Subject]] &amp; "-" &amp; tbl_TOPIC[[#This Row],[Phase]] &amp; "-" &amp; TEXT(tbl_TOPIC[[#This Row],[Order]], "00")</f>
        <v>CM-1-07</v>
      </c>
      <c r="F79" t="s">
        <v>492</v>
      </c>
      <c r="G79" t="s">
        <v>491</v>
      </c>
      <c r="H79" s="22" t="str">
        <f>IF(ISBLANK(tbl_TOPIC[[#This Row],[ParentTopic]]), tbl_TOPIC[[#This Row],[Topic]], _xlfn.XLOOKUP(tbl_TOPIC[[#This Row],[ParentTopic]], tbl_TOPIC[Topic], tbl_TOPIC[TopicPath]) &amp; "/" &amp; tbl_TOPIC[[#This Row],[Topic]])</f>
        <v>CM-ÜB/CM-ÜB-01: Streutheorie</v>
      </c>
    </row>
    <row r="80" spans="2:8" ht="16" customHeight="1" x14ac:dyDescent="0.2">
      <c r="B80" t="s">
        <v>107</v>
      </c>
      <c r="C80">
        <v>1</v>
      </c>
      <c r="D80">
        <v>1</v>
      </c>
      <c r="E80" t="str">
        <f>tbl_TOPIC[[#This Row],[Subject]] &amp; "-" &amp; tbl_TOPIC[[#This Row],[Phase]] &amp; "-" &amp; TEXT(tbl_TOPIC[[#This Row],[Order]], "00")</f>
        <v>RG-1-01</v>
      </c>
      <c r="F80" t="s">
        <v>498</v>
      </c>
      <c r="H80" s="22" t="str">
        <f>IF(ISBLANK(tbl_TOPIC[[#This Row],[ParentTopic]]), tbl_TOPIC[[#This Row],[Topic]], _xlfn.XLOOKUP(tbl_TOPIC[[#This Row],[ParentTopic]], tbl_TOPIC[Topic], tbl_TOPIC[TopicPath]) &amp; "/" &amp; tbl_TOPIC[[#This Row],[Topic]])</f>
        <v>Differenzierbare Mannigfaltigkeiten</v>
      </c>
    </row>
    <row r="81" spans="2:8" ht="16" customHeight="1" x14ac:dyDescent="0.2">
      <c r="B81" t="s">
        <v>107</v>
      </c>
      <c r="C81">
        <v>1</v>
      </c>
      <c r="D81">
        <v>2</v>
      </c>
      <c r="E81" t="str">
        <f>tbl_TOPIC[[#This Row],[Subject]] &amp; "-" &amp; tbl_TOPIC[[#This Row],[Phase]] &amp; "-" &amp; TEXT(tbl_TOPIC[[#This Row],[Order]], "00")</f>
        <v>RG-1-02</v>
      </c>
      <c r="F81" t="s">
        <v>499</v>
      </c>
      <c r="G81" t="s">
        <v>498</v>
      </c>
      <c r="H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8" ht="16" customHeight="1" x14ac:dyDescent="0.2">
      <c r="B82" t="s">
        <v>107</v>
      </c>
      <c r="C82">
        <v>1</v>
      </c>
      <c r="D82">
        <v>3</v>
      </c>
      <c r="E82" t="str">
        <f>tbl_TOPIC[[#This Row],[Subject]] &amp; "-" &amp; tbl_TOPIC[[#This Row],[Phase]] &amp; "-" &amp; TEXT(tbl_TOPIC[[#This Row],[Order]], "00")</f>
        <v>RG-1-03</v>
      </c>
      <c r="F82" t="s">
        <v>500</v>
      </c>
      <c r="G82" t="s">
        <v>498</v>
      </c>
      <c r="H82" s="22" t="str">
        <f>IF(ISBLANK(tbl_TOPIC[[#This Row],[ParentTopic]]), tbl_TOPIC[[#This Row],[Topic]], _xlfn.XLOOKUP(tbl_TOPIC[[#This Row],[ParentTopic]], tbl_TOPIC[Topic], tbl_TOPIC[TopicPath]) &amp; "/" &amp; tbl_TOPIC[[#This Row],[Topic]])</f>
        <v>Differenzierbare Mannigfaltigkeiten/Glatte Mannigfaltigkeiten</v>
      </c>
    </row>
    <row r="83" spans="2:8" ht="16" customHeight="1" x14ac:dyDescent="0.2">
      <c r="B83" t="s">
        <v>107</v>
      </c>
      <c r="C83">
        <v>1</v>
      </c>
      <c r="D83">
        <v>4</v>
      </c>
      <c r="E83" t="str">
        <f>tbl_TOPIC[[#This Row],[Subject]] &amp; "-" &amp; tbl_TOPIC[[#This Row],[Phase]] &amp; "-" &amp; TEXT(tbl_TOPIC[[#This Row],[Order]], "00")</f>
        <v>RG-1-04</v>
      </c>
      <c r="F83" t="s">
        <v>501</v>
      </c>
      <c r="G83" t="s">
        <v>498</v>
      </c>
      <c r="H83" s="22" t="str">
        <f>IF(ISBLANK(tbl_TOPIC[[#This Row],[ParentTopic]]), tbl_TOPIC[[#This Row],[Topic]], _xlfn.XLOOKUP(tbl_TOPIC[[#This Row],[ParentTopic]], tbl_TOPIC[Topic], tbl_TOPIC[TopicPath]) &amp; "/" &amp; tbl_TOPIC[[#This Row],[Topic]])</f>
        <v>Differenzierbare Mannigfaltigkeiten/Glatte Abbildungen und Vektorfelder</v>
      </c>
    </row>
    <row r="84" spans="2:8" ht="16" customHeight="1" x14ac:dyDescent="0.2">
      <c r="B84" t="s">
        <v>107</v>
      </c>
      <c r="C84">
        <v>1</v>
      </c>
      <c r="D84">
        <v>5</v>
      </c>
      <c r="E84" t="str">
        <f>tbl_TOPIC[[#This Row],[Subject]] &amp; "-" &amp; tbl_TOPIC[[#This Row],[Phase]] &amp; "-" &amp; TEXT(tbl_TOPIC[[#This Row],[Order]], "00")</f>
        <v>RG-1-05</v>
      </c>
      <c r="F84" t="s">
        <v>502</v>
      </c>
      <c r="H84" s="22" t="str">
        <f>IF(ISBLANK(tbl_TOPIC[[#This Row],[ParentTopic]]), tbl_TOPIC[[#This Row],[Topic]], _xlfn.XLOOKUP(tbl_TOPIC[[#This Row],[ParentTopic]], tbl_TOPIC[Topic], tbl_TOPIC[TopicPath]) &amp; "/" &amp; tbl_TOPIC[[#This Row],[Topic]])</f>
        <v>Riemannische Mannigfaltigkeiten</v>
      </c>
    </row>
    <row r="85" spans="2:8" ht="16" customHeight="1" x14ac:dyDescent="0.2">
      <c r="B85" t="s">
        <v>107</v>
      </c>
      <c r="C85">
        <v>1</v>
      </c>
      <c r="D85">
        <v>6</v>
      </c>
      <c r="E85" t="str">
        <f>tbl_TOPIC[[#This Row],[Subject]] &amp; "-" &amp; tbl_TOPIC[[#This Row],[Phase]] &amp; "-" &amp; TEXT(tbl_TOPIC[[#This Row],[Order]], "00")</f>
        <v>RG-1-06</v>
      </c>
      <c r="F85" t="s">
        <v>503</v>
      </c>
      <c r="G85" t="s">
        <v>502</v>
      </c>
      <c r="H85" s="22" t="str">
        <f>IF(ISBLANK(tbl_TOPIC[[#This Row],[ParentTopic]]), tbl_TOPIC[[#This Row],[Topic]], _xlfn.XLOOKUP(tbl_TOPIC[[#This Row],[ParentTopic]], tbl_TOPIC[Topic], tbl_TOPIC[TopicPath]) &amp; "/" &amp; tbl_TOPIC[[#This Row],[Topic]])</f>
        <v>Riemannische Mannigfaltigkeiten/Definitionen und Beispiele</v>
      </c>
    </row>
    <row r="86" spans="2:8" ht="16" customHeight="1" x14ac:dyDescent="0.2">
      <c r="B86" t="s">
        <v>107</v>
      </c>
      <c r="C86">
        <v>1</v>
      </c>
      <c r="D86">
        <v>7</v>
      </c>
      <c r="E86" t="str">
        <f>tbl_TOPIC[[#This Row],[Subject]] &amp; "-" &amp; tbl_TOPIC[[#This Row],[Phase]] &amp; "-" &amp; TEXT(tbl_TOPIC[[#This Row],[Order]], "00")</f>
        <v>RG-1-07</v>
      </c>
      <c r="F86" t="s">
        <v>504</v>
      </c>
      <c r="G86" t="s">
        <v>502</v>
      </c>
      <c r="H86" s="22" t="str">
        <f>IF(ISBLANK(tbl_TOPIC[[#This Row],[ParentTopic]]), tbl_TOPIC[[#This Row],[Topic]], _xlfn.XLOOKUP(tbl_TOPIC[[#This Row],[ParentTopic]], tbl_TOPIC[Topic], tbl_TOPIC[TopicPath]) &amp; "/" &amp; tbl_TOPIC[[#This Row],[Topic]])</f>
        <v>Riemannische Mannigfaltigkeiten/Levi-Civita Zusammenhang</v>
      </c>
    </row>
    <row r="87" spans="2:8" ht="16" customHeight="1" x14ac:dyDescent="0.2">
      <c r="B87" t="s">
        <v>107</v>
      </c>
      <c r="C87">
        <v>1</v>
      </c>
      <c r="D87">
        <v>8</v>
      </c>
      <c r="E87" t="str">
        <f>tbl_TOPIC[[#This Row],[Subject]] &amp; "-" &amp; tbl_TOPIC[[#This Row],[Phase]] &amp; "-" &amp; TEXT(tbl_TOPIC[[#This Row],[Order]], "00")</f>
        <v>RG-1-08</v>
      </c>
      <c r="F87" t="s">
        <v>505</v>
      </c>
      <c r="G87" t="s">
        <v>502</v>
      </c>
      <c r="H87" s="22" t="str">
        <f>IF(ISBLANK(tbl_TOPIC[[#This Row],[ParentTopic]]), tbl_TOPIC[[#This Row],[Topic]], _xlfn.XLOOKUP(tbl_TOPIC[[#This Row],[ParentTopic]], tbl_TOPIC[Topic], tbl_TOPIC[TopicPath]) &amp; "/" &amp; tbl_TOPIC[[#This Row],[Topic]])</f>
        <v>Riemannische Mannigfaltigkeiten/Kovariante Ableitung längs einer Kurve</v>
      </c>
    </row>
    <row r="88" spans="2:8" ht="16" customHeight="1" x14ac:dyDescent="0.2">
      <c r="B88" t="s">
        <v>107</v>
      </c>
      <c r="C88">
        <v>1</v>
      </c>
      <c r="D88">
        <v>9</v>
      </c>
      <c r="E88" t="str">
        <f>tbl_TOPIC[[#This Row],[Subject]] &amp; "-" &amp; tbl_TOPIC[[#This Row],[Phase]] &amp; "-" &amp; TEXT(tbl_TOPIC[[#This Row],[Order]], "00")</f>
        <v>RG-1-09</v>
      </c>
      <c r="F88" t="s">
        <v>506</v>
      </c>
      <c r="G88" t="s">
        <v>502</v>
      </c>
      <c r="H88" s="22" t="str">
        <f>IF(ISBLANK(tbl_TOPIC[[#This Row],[ParentTopic]]), tbl_TOPIC[[#This Row],[Topic]], _xlfn.XLOOKUP(tbl_TOPIC[[#This Row],[ParentTopic]], tbl_TOPIC[Topic], tbl_TOPIC[TopicPath]) &amp; "/" &amp; tbl_TOPIC[[#This Row],[Topic]])</f>
        <v>Riemannische Mannigfaltigkeiten/Paralleltransport</v>
      </c>
    </row>
    <row r="89" spans="2:8" ht="16" customHeight="1" x14ac:dyDescent="0.2">
      <c r="B89" t="s">
        <v>107</v>
      </c>
      <c r="C89">
        <v>1</v>
      </c>
      <c r="D89">
        <v>10</v>
      </c>
      <c r="E89" t="str">
        <f>tbl_TOPIC[[#This Row],[Subject]] &amp; "-" &amp; tbl_TOPIC[[#This Row],[Phase]] &amp; "-" &amp; TEXT(tbl_TOPIC[[#This Row],[Order]], "00")</f>
        <v>RG-1-10</v>
      </c>
      <c r="F89" t="s">
        <v>507</v>
      </c>
      <c r="H89" s="22" t="str">
        <f>IF(ISBLANK(tbl_TOPIC[[#This Row],[ParentTopic]]), tbl_TOPIC[[#This Row],[Topic]], _xlfn.XLOOKUP(tbl_TOPIC[[#This Row],[ParentTopic]], tbl_TOPIC[Topic], tbl_TOPIC[TopicPath]) &amp; "/" &amp; tbl_TOPIC[[#This Row],[Topic]])</f>
        <v>Geodätische und Exponentialabbildung</v>
      </c>
    </row>
    <row r="90" spans="2:8" ht="16" customHeight="1" x14ac:dyDescent="0.2">
      <c r="B90" t="s">
        <v>107</v>
      </c>
      <c r="C90">
        <v>1</v>
      </c>
      <c r="D90">
        <v>11</v>
      </c>
      <c r="E90" t="str">
        <f>tbl_TOPIC[[#This Row],[Subject]] &amp; "-" &amp; tbl_TOPIC[[#This Row],[Phase]] &amp; "-" &amp; TEXT(tbl_TOPIC[[#This Row],[Order]], "00")</f>
        <v>RG-1-11</v>
      </c>
      <c r="F90" t="s">
        <v>508</v>
      </c>
      <c r="G90" t="s">
        <v>507</v>
      </c>
      <c r="H90" s="22" t="str">
        <f>IF(ISBLANK(tbl_TOPIC[[#This Row],[ParentTopic]]), tbl_TOPIC[[#This Row],[Topic]], _xlfn.XLOOKUP(tbl_TOPIC[[#This Row],[ParentTopic]], tbl_TOPIC[Topic], tbl_TOPIC[TopicPath]) &amp; "/" &amp; tbl_TOPIC[[#This Row],[Topic]])</f>
        <v>Geodätische und Exponentialabbildung/Geodätische</v>
      </c>
    </row>
    <row r="91" spans="2:8" ht="16" customHeight="1" x14ac:dyDescent="0.2">
      <c r="B91" t="s">
        <v>107</v>
      </c>
      <c r="C91">
        <v>1</v>
      </c>
      <c r="D91">
        <v>12</v>
      </c>
      <c r="E91" t="str">
        <f>tbl_TOPIC[[#This Row],[Subject]] &amp; "-" &amp; tbl_TOPIC[[#This Row],[Phase]] &amp; "-" &amp; TEXT(tbl_TOPIC[[#This Row],[Order]], "00")</f>
        <v>RG-1-12</v>
      </c>
      <c r="F91" t="s">
        <v>509</v>
      </c>
      <c r="G91" t="s">
        <v>507</v>
      </c>
      <c r="H91" s="22" t="str">
        <f>IF(ISBLANK(tbl_TOPIC[[#This Row],[ParentTopic]]), tbl_TOPIC[[#This Row],[Topic]], _xlfn.XLOOKUP(tbl_TOPIC[[#This Row],[ParentTopic]], tbl_TOPIC[Topic], tbl_TOPIC[TopicPath]) &amp; "/" &amp; tbl_TOPIC[[#This Row],[Topic]])</f>
        <v>Geodätische und Exponentialabbildung/Exponentialabbildung</v>
      </c>
    </row>
    <row r="92" spans="2:8" ht="16" customHeight="1" x14ac:dyDescent="0.2">
      <c r="B92" t="s">
        <v>107</v>
      </c>
      <c r="C92">
        <v>1</v>
      </c>
      <c r="D92">
        <v>13</v>
      </c>
      <c r="E92" t="str">
        <f>tbl_TOPIC[[#This Row],[Subject]] &amp; "-" &amp; tbl_TOPIC[[#This Row],[Phase]] &amp; "-" &amp; TEXT(tbl_TOPIC[[#This Row],[Order]], "00")</f>
        <v>RG-1-13</v>
      </c>
      <c r="F92" t="s">
        <v>510</v>
      </c>
      <c r="G92" t="s">
        <v>507</v>
      </c>
      <c r="H92" s="22" t="str">
        <f>IF(ISBLANK(tbl_TOPIC[[#This Row],[ParentTopic]]), tbl_TOPIC[[#This Row],[Topic]], _xlfn.XLOOKUP(tbl_TOPIC[[#This Row],[ParentTopic]], tbl_TOPIC[Topic], tbl_TOPIC[TopicPath]) &amp; "/" &amp; tbl_TOPIC[[#This Row],[Topic]])</f>
        <v>Geodätische und Exponentialabbildung/Satz von Hopf-Rinow</v>
      </c>
    </row>
    <row r="93" spans="2:8" ht="16" customHeight="1" x14ac:dyDescent="0.2">
      <c r="B93" t="s">
        <v>107</v>
      </c>
      <c r="C93">
        <v>1</v>
      </c>
      <c r="D93">
        <v>14</v>
      </c>
      <c r="E93" t="str">
        <f>tbl_TOPIC[[#This Row],[Subject]] &amp; "-" &amp; tbl_TOPIC[[#This Row],[Phase]] &amp; "-" &amp; TEXT(tbl_TOPIC[[#This Row],[Order]], "00")</f>
        <v>RG-1-14</v>
      </c>
      <c r="F93" t="s">
        <v>585</v>
      </c>
      <c r="H93" s="22" t="str">
        <f>IF(ISBLANK(tbl_TOPIC[[#This Row],[ParentTopic]]), tbl_TOPIC[[#This Row],[Topic]], _xlfn.XLOOKUP(tbl_TOPIC[[#This Row],[ParentTopic]], tbl_TOPIC[Topic], tbl_TOPIC[TopicPath]) &amp; "/" &amp; tbl_TOPIC[[#This Row],[Topic]])</f>
        <v>Riemannische Geometrie</v>
      </c>
    </row>
    <row r="94" spans="2:8" ht="16" customHeight="1" x14ac:dyDescent="0.2">
      <c r="B94" t="s">
        <v>108</v>
      </c>
      <c r="C94">
        <v>1</v>
      </c>
      <c r="D94">
        <v>1</v>
      </c>
      <c r="E94" t="str">
        <f>tbl_TOPIC[[#This Row],[Subject]] &amp; "-" &amp; tbl_TOPIC[[#This Row],[Phase]] &amp; "-" &amp; TEXT(tbl_TOPIC[[#This Row],[Order]], "00")</f>
        <v>TOP2-1-01</v>
      </c>
      <c r="F94" t="s">
        <v>587</v>
      </c>
      <c r="H94" s="22" t="str">
        <f>IF(ISBLANK(tbl_TOPIC[[#This Row],[ParentTopic]]), tbl_TOPIC[[#This Row],[Topic]], _xlfn.XLOOKUP(tbl_TOPIC[[#This Row],[ParentTopic]], tbl_TOPIC[Topic], tbl_TOPIC[TopicPath]) &amp; "/" &amp; tbl_TOPIC[[#This Row],[Topic]])</f>
        <v>Topologie 2</v>
      </c>
    </row>
    <row r="95" spans="2:8" ht="16" customHeight="1" x14ac:dyDescent="0.2">
      <c r="B95" t="s">
        <v>107</v>
      </c>
      <c r="C95">
        <v>1</v>
      </c>
      <c r="D95">
        <v>15</v>
      </c>
      <c r="E95" t="str">
        <f>tbl_TOPIC[[#This Row],[Subject]] &amp; "-" &amp; tbl_TOPIC[[#This Row],[Phase]] &amp; "-" &amp; TEXT(tbl_TOPIC[[#This Row],[Order]], "00")</f>
        <v>RG-1-15</v>
      </c>
      <c r="F95" t="s">
        <v>592</v>
      </c>
      <c r="H95" s="22" t="str">
        <f>IF(ISBLANK(tbl_TOPIC[[#This Row],[ParentTopic]]), tbl_TOPIC[[#This Row],[Topic]], _xlfn.XLOOKUP(tbl_TOPIC[[#This Row],[ParentTopic]], tbl_TOPIC[Topic], tbl_TOPIC[TopicPath]) &amp; "/" &amp; tbl_TOPIC[[#This Row],[Topic]])</f>
        <v>RG-ÜB</v>
      </c>
    </row>
    <row r="96" spans="2:8" ht="16" customHeight="1" x14ac:dyDescent="0.2">
      <c r="B96" t="s">
        <v>107</v>
      </c>
      <c r="C96">
        <v>1</v>
      </c>
      <c r="D96">
        <v>16</v>
      </c>
      <c r="E96" t="str">
        <f>tbl_TOPIC[[#This Row],[Subject]] &amp; "-" &amp; tbl_TOPIC[[#This Row],[Phase]] &amp; "-" &amp; TEXT(tbl_TOPIC[[#This Row],[Order]], "00")</f>
        <v>RG-1-16</v>
      </c>
      <c r="F96" t="s">
        <v>593</v>
      </c>
      <c r="G96" t="s">
        <v>592</v>
      </c>
      <c r="H96" s="22" t="str">
        <f>IF(ISBLANK(tbl_TOPIC[[#This Row],[ParentTopic]]), tbl_TOPIC[[#This Row],[Topic]], _xlfn.XLOOKUP(tbl_TOPIC[[#This Row],[ParentTopic]], tbl_TOPIC[Topic], tbl_TOPIC[TopicPath]) &amp; "/" &amp; tbl_TOPIC[[#This Row],[Topic]])</f>
        <v>RG-ÜB/RG-ÜB-01: Glatte Mannigfaltigkeiten</v>
      </c>
    </row>
    <row r="97" spans="2:8" ht="16" customHeight="1" x14ac:dyDescent="0.2">
      <c r="B97" t="s">
        <v>20</v>
      </c>
      <c r="C97">
        <v>1</v>
      </c>
      <c r="D97">
        <v>1</v>
      </c>
      <c r="E97" t="str">
        <f>tbl_TOPIC[[#This Row],[Subject]] &amp; "-" &amp; tbl_TOPIC[[#This Row],[Phase]] &amp; "-" &amp; TEXT(tbl_TOPIC[[#This Row],[Order]], "00")</f>
        <v>EFT1-1-01</v>
      </c>
      <c r="F97" t="s">
        <v>597</v>
      </c>
      <c r="H97" s="22" t="str">
        <f>IF(ISBLANK(tbl_TOPIC[[#This Row],[ParentTopic]]), tbl_TOPIC[[#This Row],[Topic]], _xlfn.XLOOKUP(tbl_TOPIC[[#This Row],[ParentTopic]], tbl_TOPIC[Topic], tbl_TOPIC[TopicPath]) &amp; "/" &amp; tbl_TOPIC[[#This Row],[Topic]])</f>
        <v>Eichfeldtheorie</v>
      </c>
    </row>
    <row r="98" spans="2:8" ht="16" customHeight="1" x14ac:dyDescent="0.2">
      <c r="B98" t="s">
        <v>20</v>
      </c>
      <c r="C98">
        <v>1</v>
      </c>
      <c r="D98">
        <v>2</v>
      </c>
      <c r="E98" t="str">
        <f>tbl_TOPIC[[#This Row],[Subject]] &amp; "-" &amp; tbl_TOPIC[[#This Row],[Phase]] &amp; "-" &amp; TEXT(tbl_TOPIC[[#This Row],[Order]], "00")</f>
        <v>EFT1-1-02</v>
      </c>
      <c r="F98" t="s">
        <v>598</v>
      </c>
      <c r="H98" s="22" t="str">
        <f>IF(ISBLANK(tbl_TOPIC[[#This Row],[ParentTopic]]), tbl_TOPIC[[#This Row],[Topic]], _xlfn.XLOOKUP(tbl_TOPIC[[#This Row],[ParentTopic]], tbl_TOPIC[Topic], tbl_TOPIC[TopicPath]) &amp; "/" &amp; tbl_TOPIC[[#This Row],[Topic]])</f>
        <v>Faserbündel</v>
      </c>
    </row>
    <row r="99" spans="2:8" ht="16" customHeight="1" x14ac:dyDescent="0.2">
      <c r="B99" t="s">
        <v>20</v>
      </c>
      <c r="C99">
        <v>1</v>
      </c>
      <c r="D99">
        <v>3</v>
      </c>
      <c r="E99" t="str">
        <f>tbl_TOPIC[[#This Row],[Subject]] &amp; "-" &amp; tbl_TOPIC[[#This Row],[Phase]] &amp; "-" &amp; TEXT(tbl_TOPIC[[#This Row],[Order]], "00")</f>
        <v>EFT1-1-03</v>
      </c>
      <c r="F99" t="s">
        <v>599</v>
      </c>
      <c r="H99" s="22" t="str">
        <f>IF(ISBLANK(tbl_TOPIC[[#This Row],[ParentTopic]]), tbl_TOPIC[[#This Row],[Topic]], _xlfn.XLOOKUP(tbl_TOPIC[[#This Row],[ParentTopic]], tbl_TOPIC[Topic], tbl_TOPIC[TopicPath]) &amp; "/" &amp; tbl_TOPIC[[#This Row],[Topic]])</f>
        <v>Prinzipialbündel</v>
      </c>
    </row>
    <row r="100" spans="2:8" ht="16" customHeight="1" x14ac:dyDescent="0.2">
      <c r="B100" t="s">
        <v>20</v>
      </c>
      <c r="C100">
        <v>1</v>
      </c>
      <c r="D100">
        <v>4</v>
      </c>
      <c r="E100" t="str">
        <f>tbl_TOPIC[[#This Row],[Subject]] &amp; "-" &amp; tbl_TOPIC[[#This Row],[Phase]] &amp; "-" &amp; TEXT(tbl_TOPIC[[#This Row],[Order]], "00")</f>
        <v>EFT1-1-04</v>
      </c>
      <c r="F100" t="s">
        <v>600</v>
      </c>
      <c r="H100" s="22" t="str">
        <f>IF(ISBLANK(tbl_TOPIC[[#This Row],[ParentTopic]]), tbl_TOPIC[[#This Row],[Topic]], _xlfn.XLOOKUP(tbl_TOPIC[[#This Row],[ParentTopic]], tbl_TOPIC[Topic], tbl_TOPIC[TopicPath]) &amp; "/" &amp; tbl_TOPIC[[#This Row],[Topic]])</f>
        <v>An- und Abmontieren von Fasern</v>
      </c>
    </row>
    <row r="101" spans="2:8" ht="16" customHeight="1" x14ac:dyDescent="0.2">
      <c r="B101" t="s">
        <v>20</v>
      </c>
      <c r="C101">
        <v>1</v>
      </c>
      <c r="D101">
        <v>5</v>
      </c>
      <c r="E101" t="str">
        <f>tbl_TOPIC[[#This Row],[Subject]] &amp; "-" &amp; tbl_TOPIC[[#This Row],[Phase]] &amp; "-" &amp; TEXT(tbl_TOPIC[[#This Row],[Order]], "00")</f>
        <v>EFT1-1-05</v>
      </c>
      <c r="F101" t="s">
        <v>601</v>
      </c>
      <c r="H101" s="22" t="str">
        <f>IF(ISBLANK(tbl_TOPIC[[#This Row],[ParentTopic]]), tbl_TOPIC[[#This Row],[Topic]], _xlfn.XLOOKUP(tbl_TOPIC[[#This Row],[ParentTopic]], tbl_TOPIC[Topic], tbl_TOPIC[TopicPath]) &amp; "/" &amp; tbl_TOPIC[[#This Row],[Topic]])</f>
        <v>Lie Gruppen in EFT</v>
      </c>
    </row>
    <row r="102" spans="2:8" ht="16" customHeight="1" x14ac:dyDescent="0.2">
      <c r="B102" t="s">
        <v>20</v>
      </c>
      <c r="C102">
        <v>1</v>
      </c>
      <c r="D102">
        <v>6</v>
      </c>
      <c r="E102" t="str">
        <f>tbl_TOPIC[[#This Row],[Subject]] &amp; "-" &amp; tbl_TOPIC[[#This Row],[Phase]] &amp; "-" &amp; TEXT(tbl_TOPIC[[#This Row],[Order]], "00")</f>
        <v>EFT1-1-06</v>
      </c>
      <c r="F102" t="s">
        <v>602</v>
      </c>
      <c r="H102" s="22" t="str">
        <f>IF(ISBLANK(tbl_TOPIC[[#This Row],[ParentTopic]]), tbl_TOPIC[[#This Row],[Topic]], _xlfn.XLOOKUP(tbl_TOPIC[[#This Row],[ParentTopic]], tbl_TOPIC[Topic], tbl_TOPIC[TopicPath]) &amp; "/" &amp; tbl_TOPIC[[#This Row],[Topic]])</f>
        <v>Invariante Vektorfelder und Differentialformen</v>
      </c>
    </row>
    <row r="103" spans="2:8" ht="16" customHeight="1" x14ac:dyDescent="0.2">
      <c r="B103" t="s">
        <v>20</v>
      </c>
      <c r="C103">
        <v>1</v>
      </c>
      <c r="D103">
        <v>7</v>
      </c>
      <c r="E103" t="str">
        <f>tbl_TOPIC[[#This Row],[Subject]] &amp; "-" &amp; tbl_TOPIC[[#This Row],[Phase]] &amp; "-" &amp; TEXT(tbl_TOPIC[[#This Row],[Order]], "00")</f>
        <v>EFT1-1-07</v>
      </c>
      <c r="F103" t="s">
        <v>603</v>
      </c>
      <c r="H103" s="22" t="str">
        <f>IF(ISBLANK(tbl_TOPIC[[#This Row],[ParentTopic]]), tbl_TOPIC[[#This Row],[Topic]], _xlfn.XLOOKUP(tbl_TOPIC[[#This Row],[ParentTopic]], tbl_TOPIC[Topic], tbl_TOPIC[TopicPath]) &amp; "/" &amp; tbl_TOPIC[[#This Row],[Topic]])</f>
        <v>Lie Algebren in EFT</v>
      </c>
    </row>
    <row r="104" spans="2:8" ht="16" customHeight="1" x14ac:dyDescent="0.2">
      <c r="B104" t="s">
        <v>20</v>
      </c>
      <c r="C104">
        <v>1</v>
      </c>
      <c r="D104">
        <v>8</v>
      </c>
      <c r="E104" t="str">
        <f>tbl_TOPIC[[#This Row],[Subject]] &amp; "-" &amp; tbl_TOPIC[[#This Row],[Phase]] &amp; "-" &amp; TEXT(tbl_TOPIC[[#This Row],[Order]], "00")</f>
        <v>EFT1-1-08</v>
      </c>
      <c r="F104" t="s">
        <v>604</v>
      </c>
      <c r="H104" s="22" t="str">
        <f>IF(ISBLANK(tbl_TOPIC[[#This Row],[ParentTopic]]), tbl_TOPIC[[#This Row],[Topic]], _xlfn.XLOOKUP(tbl_TOPIC[[#This Row],[ParentTopic]], tbl_TOPIC[Topic], tbl_TOPIC[TopicPath]) &amp; "/" &amp; tbl_TOPIC[[#This Row],[Topic]])</f>
        <v>Exponentialabbildung in EFT</v>
      </c>
    </row>
    <row r="105" spans="2:8" ht="16" customHeight="1" x14ac:dyDescent="0.2">
      <c r="B105" t="s">
        <v>20</v>
      </c>
      <c r="C105">
        <v>1</v>
      </c>
      <c r="D105">
        <v>8</v>
      </c>
      <c r="E105" t="str">
        <f>tbl_TOPIC[[#This Row],[Subject]] &amp; "-" &amp; tbl_TOPIC[[#This Row],[Phase]] &amp; "-" &amp; TEXT(tbl_TOPIC[[#This Row],[Order]], "00")</f>
        <v>EFT1-1-08</v>
      </c>
      <c r="F105" t="s">
        <v>605</v>
      </c>
      <c r="H105" s="22" t="str">
        <f>IF(ISBLANK(tbl_TOPIC[[#This Row],[ParentTopic]]), tbl_TOPIC[[#This Row],[Topic]], _xlfn.XLOOKUP(tbl_TOPIC[[#This Row],[ParentTopic]], tbl_TOPIC[Topic], tbl_TOPIC[TopicPath]) &amp; "/" &amp; tbl_TOPIC[[#This Row],[Topic]])</f>
        <v>Homogene Räume</v>
      </c>
    </row>
    <row r="106" spans="2:8" ht="16" customHeight="1" x14ac:dyDescent="0.2">
      <c r="B106" t="s">
        <v>363</v>
      </c>
      <c r="C106">
        <v>1</v>
      </c>
      <c r="D106">
        <v>21</v>
      </c>
      <c r="E106" t="str">
        <f>tbl_TOPIC[[#This Row],[Subject]] &amp; "-" &amp; tbl_TOPIC[[#This Row],[Phase]] &amp; "-" &amp; TEXT(tbl_TOPIC[[#This Row],[Order]], "00")</f>
        <v>QM-1-21</v>
      </c>
      <c r="F106" t="s">
        <v>678</v>
      </c>
      <c r="H106" s="22" t="str">
        <f>IF(ISBLANK(tbl_TOPIC[[#This Row],[ParentTopic]]), tbl_TOPIC[[#This Row],[Topic]], _xlfn.XLOOKUP(tbl_TOPIC[[#This Row],[ParentTopic]], tbl_TOPIC[Topic], tbl_TOPIC[TopicPath]) &amp; "/" &amp; tbl_TOPIC[[#This Row],[Topic]])</f>
        <v>Eindimensionale Systeme</v>
      </c>
    </row>
    <row r="107" spans="2:8" ht="16" customHeight="1" x14ac:dyDescent="0.2">
      <c r="B107" t="s">
        <v>363</v>
      </c>
      <c r="C107">
        <v>1</v>
      </c>
      <c r="D107">
        <v>22</v>
      </c>
      <c r="E107" t="str">
        <f>tbl_TOPIC[[#This Row],[Subject]] &amp; "-" &amp; tbl_TOPIC[[#This Row],[Phase]] &amp; "-" &amp; TEXT(tbl_TOPIC[[#This Row],[Order]], "00")</f>
        <v>QM-1-22</v>
      </c>
      <c r="F107" t="s">
        <v>679</v>
      </c>
      <c r="G107" t="s">
        <v>678</v>
      </c>
      <c r="H107" s="22" t="str">
        <f>IF(ISBLANK(tbl_TOPIC[[#This Row],[ParentTopic]]), tbl_TOPIC[[#This Row],[Topic]], _xlfn.XLOOKUP(tbl_TOPIC[[#This Row],[ParentTopic]], tbl_TOPIC[Topic], tbl_TOPIC[TopicPath]) &amp; "/" &amp; tbl_TOPIC[[#This Row],[Topic]])</f>
        <v>Eindimensionale Systeme/Stationäre Schrödinger Gleichung</v>
      </c>
    </row>
    <row r="108" spans="2:8" ht="16" customHeight="1" x14ac:dyDescent="0.2">
      <c r="B108" t="s">
        <v>363</v>
      </c>
      <c r="C108">
        <v>1</v>
      </c>
      <c r="D108">
        <v>23</v>
      </c>
      <c r="E108" t="str">
        <f>tbl_TOPIC[[#This Row],[Subject]] &amp; "-" &amp; tbl_TOPIC[[#This Row],[Phase]] &amp; "-" &amp; TEXT(tbl_TOPIC[[#This Row],[Order]], "00")</f>
        <v>QM-1-23</v>
      </c>
      <c r="F108" t="s">
        <v>680</v>
      </c>
      <c r="G108" t="s">
        <v>678</v>
      </c>
      <c r="H108" s="22" t="str">
        <f>IF(ISBLANK(tbl_TOPIC[[#This Row],[ParentTopic]]), tbl_TOPIC[[#This Row],[Topic]], _xlfn.XLOOKUP(tbl_TOPIC[[#This Row],[ParentTopic]], tbl_TOPIC[Topic], tbl_TOPIC[TopicPath]) &amp; "/" &amp; tbl_TOPIC[[#This Row],[Topic]])</f>
        <v>Eindimensionale Systeme/Eindimensionale Potentialstufe</v>
      </c>
    </row>
    <row r="109" spans="2:8" ht="16" customHeight="1" x14ac:dyDescent="0.2">
      <c r="B109" t="s">
        <v>363</v>
      </c>
      <c r="C109">
        <v>1</v>
      </c>
      <c r="D109">
        <v>24</v>
      </c>
      <c r="E109" t="str">
        <f>tbl_TOPIC[[#This Row],[Subject]] &amp; "-" &amp; tbl_TOPIC[[#This Row],[Phase]] &amp; "-" &amp; TEXT(tbl_TOPIC[[#This Row],[Order]], "00")</f>
        <v>QM-1-24</v>
      </c>
      <c r="F109" t="s">
        <v>681</v>
      </c>
      <c r="G109" t="s">
        <v>680</v>
      </c>
      <c r="H109" s="22" t="str">
        <f>IF(ISBLANK(tbl_TOPIC[[#This Row],[ParentTopic]]), tbl_TOPIC[[#This Row],[Topic]], _xlfn.XLOOKUP(tbl_TOPIC[[#This Row],[ParentTopic]], tbl_TOPIC[Topic], tbl_TOPIC[TopicPath]) &amp; "/" &amp; tbl_TOPIC[[#This Row],[Topic]])</f>
        <v>Eindimensionale Systeme/Eindimensionale Potentialstufe/Streuzustände</v>
      </c>
    </row>
    <row r="110" spans="2:8" ht="16" customHeight="1" x14ac:dyDescent="0.2">
      <c r="B110" t="s">
        <v>363</v>
      </c>
      <c r="C110">
        <v>1</v>
      </c>
      <c r="D110">
        <v>25</v>
      </c>
      <c r="E110" t="str">
        <f>tbl_TOPIC[[#This Row],[Subject]] &amp; "-" &amp; tbl_TOPIC[[#This Row],[Phase]] &amp; "-" &amp; TEXT(tbl_TOPIC[[#This Row],[Order]], "00")</f>
        <v>QM-1-25</v>
      </c>
      <c r="F110" t="s">
        <v>682</v>
      </c>
      <c r="G110" t="s">
        <v>680</v>
      </c>
      <c r="H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8" ht="16" customHeight="1" x14ac:dyDescent="0.2">
      <c r="B111" t="s">
        <v>363</v>
      </c>
      <c r="C111">
        <v>1</v>
      </c>
      <c r="D111">
        <v>26</v>
      </c>
      <c r="E111" t="str">
        <f>tbl_TOPIC[[#This Row],[Subject]] &amp; "-" &amp; tbl_TOPIC[[#This Row],[Phase]] &amp; "-" &amp; TEXT(tbl_TOPIC[[#This Row],[Order]], "00")</f>
        <v>QM-1-26</v>
      </c>
      <c r="F111" t="s">
        <v>683</v>
      </c>
      <c r="G111" t="s">
        <v>678</v>
      </c>
      <c r="H111" s="22" t="str">
        <f>IF(ISBLANK(tbl_TOPIC[[#This Row],[ParentTopic]]), tbl_TOPIC[[#This Row],[Topic]], _xlfn.XLOOKUP(tbl_TOPIC[[#This Row],[ParentTopic]], tbl_TOPIC[Topic], tbl_TOPIC[TopicPath]) &amp; "/" &amp; tbl_TOPIC[[#This Row],[Topic]])</f>
        <v>Eindimensionale Systeme/Potentialbarriere</v>
      </c>
    </row>
    <row r="112" spans="2:8" ht="16" customHeight="1" x14ac:dyDescent="0.2">
      <c r="B112" t="s">
        <v>363</v>
      </c>
      <c r="C112">
        <v>1</v>
      </c>
      <c r="D112">
        <v>27</v>
      </c>
      <c r="E112" t="str">
        <f>tbl_TOPIC[[#This Row],[Subject]] &amp; "-" &amp; tbl_TOPIC[[#This Row],[Phase]] &amp; "-" &amp; TEXT(tbl_TOPIC[[#This Row],[Order]], "00")</f>
        <v>QM-1-27</v>
      </c>
      <c r="F112" t="s">
        <v>684</v>
      </c>
      <c r="G112" t="s">
        <v>678</v>
      </c>
      <c r="H112" s="22" t="str">
        <f>IF(ISBLANK(tbl_TOPIC[[#This Row],[ParentTopic]]), tbl_TOPIC[[#This Row],[Topic]], _xlfn.XLOOKUP(tbl_TOPIC[[#This Row],[ParentTopic]], tbl_TOPIC[Topic], tbl_TOPIC[TopicPath]) &amp; "/" &amp; tbl_TOPIC[[#This Row],[Topic]])</f>
        <v>Eindimensionale Systeme/Unendlich tiefer Potentialtopf</v>
      </c>
    </row>
    <row r="113" spans="2:8" ht="16" customHeight="1" x14ac:dyDescent="0.2">
      <c r="B113" t="s">
        <v>363</v>
      </c>
      <c r="C113">
        <v>1</v>
      </c>
      <c r="D113">
        <v>28</v>
      </c>
      <c r="E113" t="str">
        <f>tbl_TOPIC[[#This Row],[Subject]] &amp; "-" &amp; tbl_TOPIC[[#This Row],[Phase]] &amp; "-" &amp; TEXT(tbl_TOPIC[[#This Row],[Order]], "00")</f>
        <v>QM-1-28</v>
      </c>
      <c r="F113" t="s">
        <v>685</v>
      </c>
      <c r="G113" t="s">
        <v>678</v>
      </c>
      <c r="H113" s="22" t="str">
        <f>IF(ISBLANK(tbl_TOPIC[[#This Row],[ParentTopic]]), tbl_TOPIC[[#This Row],[Topic]], _xlfn.XLOOKUP(tbl_TOPIC[[#This Row],[ParentTopic]], tbl_TOPIC[Topic], tbl_TOPIC[TopicPath]) &amp; "/" &amp; tbl_TOPIC[[#This Row],[Topic]])</f>
        <v>Eindimensionale Systeme/Potentialtopf mit endlicher Tiefe</v>
      </c>
    </row>
    <row r="114" spans="2:8" ht="16" customHeight="1" x14ac:dyDescent="0.2">
      <c r="B114" t="s">
        <v>363</v>
      </c>
      <c r="C114">
        <v>1</v>
      </c>
      <c r="D114">
        <v>29</v>
      </c>
      <c r="E114" t="str">
        <f>tbl_TOPIC[[#This Row],[Subject]] &amp; "-" &amp; tbl_TOPIC[[#This Row],[Phase]] &amp; "-" &amp; TEXT(tbl_TOPIC[[#This Row],[Order]], "00")</f>
        <v>QM-1-29</v>
      </c>
      <c r="F114" t="s">
        <v>686</v>
      </c>
      <c r="G114" t="s">
        <v>678</v>
      </c>
      <c r="H114" s="22" t="str">
        <f>IF(ISBLANK(tbl_TOPIC[[#This Row],[ParentTopic]]), tbl_TOPIC[[#This Row],[Topic]], _xlfn.XLOOKUP(tbl_TOPIC[[#This Row],[ParentTopic]], tbl_TOPIC[Topic], tbl_TOPIC[TopicPath]) &amp; "/" &amp; tbl_TOPIC[[#This Row],[Topic]])</f>
        <v>Eindimensionale Systeme/Paritätsoperator</v>
      </c>
    </row>
    <row r="115" spans="2:8" ht="16" customHeight="1" x14ac:dyDescent="0.2">
      <c r="B115" t="s">
        <v>363</v>
      </c>
      <c r="C115">
        <v>1</v>
      </c>
      <c r="D115">
        <v>30</v>
      </c>
      <c r="E115" t="str">
        <f>tbl_TOPIC[[#This Row],[Subject]] &amp; "-" &amp; tbl_TOPIC[[#This Row],[Phase]] &amp; "-" &amp; TEXT(tbl_TOPIC[[#This Row],[Order]], "00")</f>
        <v>QM-1-30</v>
      </c>
      <c r="F115" t="s">
        <v>687</v>
      </c>
      <c r="G115" t="s">
        <v>678</v>
      </c>
      <c r="H115" s="22" t="str">
        <f>IF(ISBLANK(tbl_TOPIC[[#This Row],[ParentTopic]]), tbl_TOPIC[[#This Row],[Topic]], _xlfn.XLOOKUP(tbl_TOPIC[[#This Row],[ParentTopic]], tbl_TOPIC[Topic], tbl_TOPIC[TopicPath]) &amp; "/" &amp; tbl_TOPIC[[#This Row],[Topic]])</f>
        <v>Eindimensionale Systeme/Zusammenfassung</v>
      </c>
    </row>
    <row r="116" spans="2:8" ht="16" customHeight="1" x14ac:dyDescent="0.2">
      <c r="B116" t="s">
        <v>363</v>
      </c>
      <c r="C116">
        <v>1</v>
      </c>
      <c r="D116">
        <v>31</v>
      </c>
      <c r="E116" t="str">
        <f>tbl_TOPIC[[#This Row],[Subject]] &amp; "-" &amp; tbl_TOPIC[[#This Row],[Phase]] &amp; "-" &amp; TEXT(tbl_TOPIC[[#This Row],[Order]], "00")</f>
        <v>QM-1-31</v>
      </c>
      <c r="F116" t="s">
        <v>693</v>
      </c>
      <c r="G116" t="s">
        <v>457</v>
      </c>
      <c r="H116" s="22" t="str">
        <f>IF(ISBLANK(tbl_TOPIC[[#This Row],[ParentTopic]]), tbl_TOPIC[[#This Row],[Topic]], _xlfn.XLOOKUP(tbl_TOPIC[[#This Row],[ParentTopic]], tbl_TOPIC[Topic], tbl_TOPIC[TopicPath]) &amp; "/" &amp; tbl_TOPIC[[#This Row],[Topic]])</f>
        <v>QM-ÜB/QM-ÜB-01: Delta-Distribution, Kommutator und W-keit</v>
      </c>
    </row>
    <row r="117" spans="2:8" ht="16" customHeight="1" x14ac:dyDescent="0.2">
      <c r="B117" t="s">
        <v>363</v>
      </c>
      <c r="C117">
        <v>1</v>
      </c>
      <c r="D117">
        <v>32</v>
      </c>
      <c r="E117" s="61" t="str">
        <f>tbl_TOPIC[[#This Row],[Subject]] &amp; "-" &amp; tbl_TOPIC[[#This Row],[Phase]] &amp; "-" &amp; TEXT(tbl_TOPIC[[#This Row],[Order]], "00")</f>
        <v>QM-1-32</v>
      </c>
      <c r="F117" t="s">
        <v>694</v>
      </c>
      <c r="H117" s="62" t="str">
        <f>IF(ISBLANK(tbl_TOPIC[[#This Row],[ParentTopic]]), tbl_TOPIC[[#This Row],[Topic]], _xlfn.XLOOKUP(tbl_TOPIC[[#This Row],[ParentTopic]], tbl_TOPIC[Topic], tbl_TOPIC[TopicPath]) &amp; "/" &amp; tbl_TOPIC[[#This Row],[Topic]])</f>
        <v>QM-Ex</v>
      </c>
    </row>
    <row r="118" spans="2:8" ht="16" customHeight="1" x14ac:dyDescent="0.2">
      <c r="B118" t="s">
        <v>363</v>
      </c>
      <c r="C118">
        <v>1</v>
      </c>
      <c r="D118">
        <v>33</v>
      </c>
      <c r="E118" s="61" t="str">
        <f>tbl_TOPIC[[#This Row],[Subject]] &amp; "-" &amp; tbl_TOPIC[[#This Row],[Phase]] &amp; "-" &amp; TEXT(tbl_TOPIC[[#This Row],[Order]], "00")</f>
        <v>QM-1-33</v>
      </c>
      <c r="F118" t="s">
        <v>695</v>
      </c>
      <c r="H118" s="62" t="str">
        <f>IF(ISBLANK(tbl_TOPIC[[#This Row],[ParentTopic]]), tbl_TOPIC[[#This Row],[Topic]], _xlfn.XLOOKUP(tbl_TOPIC[[#This Row],[ParentTopic]], tbl_TOPIC[Topic], tbl_TOPIC[TopicPath]) &amp; "/" &amp; tbl_TOPIC[[#This Row],[Topic]])</f>
        <v>QM-Ex-ÜB 00</v>
      </c>
    </row>
    <row r="119" spans="2:8" ht="16" customHeight="1" x14ac:dyDescent="0.2">
      <c r="B119" t="s">
        <v>455</v>
      </c>
      <c r="C119">
        <v>1</v>
      </c>
      <c r="D119">
        <v>8</v>
      </c>
      <c r="E119" s="61" t="str">
        <f>tbl_TOPIC[[#This Row],[Subject]] &amp; "-" &amp; tbl_TOPIC[[#This Row],[Phase]] &amp; "-" &amp; TEXT(tbl_TOPIC[[#This Row],[Order]], "00")</f>
        <v>CM-1-08</v>
      </c>
      <c r="F119" t="s">
        <v>811</v>
      </c>
      <c r="G119" t="s">
        <v>491</v>
      </c>
      <c r="H119" s="62" t="str">
        <f>IF(ISBLANK(tbl_TOPIC[[#This Row],[ParentTopic]]), tbl_TOPIC[[#This Row],[Topic]], _xlfn.XLOOKUP(tbl_TOPIC[[#This Row],[ParentTopic]], tbl_TOPIC[Topic], tbl_TOPIC[TopicPath]) &amp; "/" &amp; tbl_TOPIC[[#This Row],[Topic]])</f>
        <v>CM-ÜB/CM-ÜB-02: Runge-Lenz-Vektor, 1KP und Zwangsbedingungen</v>
      </c>
    </row>
    <row r="120" spans="2:8" ht="16" customHeight="1" x14ac:dyDescent="0.2">
      <c r="B120" t="s">
        <v>107</v>
      </c>
      <c r="C120">
        <v>1</v>
      </c>
      <c r="D120">
        <v>17</v>
      </c>
      <c r="E120" s="61" t="str">
        <f>tbl_TOPIC[[#This Row],[Subject]] &amp; "-" &amp; tbl_TOPIC[[#This Row],[Phase]] &amp; "-" &amp; TEXT(tbl_TOPIC[[#This Row],[Order]], "00")</f>
        <v>RG-1-17</v>
      </c>
      <c r="F120" t="s">
        <v>827</v>
      </c>
      <c r="G120" t="s">
        <v>592</v>
      </c>
      <c r="H120" s="62" t="str">
        <f>IF(ISBLANK(tbl_TOPIC[[#This Row],[ParentTopic]]), tbl_TOPIC[[#This Row],[Topic]], _xlfn.XLOOKUP(tbl_TOPIC[[#This Row],[ParentTopic]], tbl_TOPIC[Topic], tbl_TOPIC[TopicPath]) &amp; "/" &amp; tbl_TOPIC[[#This Row],[Topic]])</f>
        <v>RG-ÜB/RG-ÜB-02: Tangentialbündel und Hyperbolischer Raum</v>
      </c>
    </row>
    <row r="121" spans="2:8" ht="16" customHeight="1" x14ac:dyDescent="0.2">
      <c r="B121" t="s">
        <v>119</v>
      </c>
      <c r="C121">
        <v>1</v>
      </c>
      <c r="D121">
        <v>15</v>
      </c>
      <c r="E121" s="61" t="str">
        <f>tbl_TOPIC[[#This Row],[Subject]] &amp; "-" &amp; tbl_TOPIC[[#This Row],[Phase]] &amp; "-" &amp; TEXT(tbl_TOPIC[[#This Row],[Order]], "00")</f>
        <v>HA-1-15</v>
      </c>
      <c r="F121" t="s">
        <v>832</v>
      </c>
      <c r="H121" s="62" t="str">
        <f>IF(ISBLANK(tbl_TOPIC[[#This Row],[ParentTopic]]), tbl_TOPIC[[#This Row],[Topic]], _xlfn.XLOOKUP(tbl_TOPIC[[#This Row],[ParentTopic]], tbl_TOPIC[Topic], tbl_TOPIC[TopicPath]) &amp; "/" &amp; tbl_TOPIC[[#This Row],[Topic]])</f>
        <v>HOM-Funktor</v>
      </c>
    </row>
    <row r="122" spans="2:8" ht="16" customHeight="1" x14ac:dyDescent="0.2">
      <c r="B122" t="s">
        <v>882</v>
      </c>
      <c r="C122">
        <v>1</v>
      </c>
      <c r="D122">
        <v>1</v>
      </c>
      <c r="E122" s="61" t="str">
        <f>tbl_TOPIC[[#This Row],[Subject]] &amp; "-" &amp; tbl_TOPIC[[#This Row],[Phase]] &amp; "-" &amp; TEXT(tbl_TOPIC[[#This Row],[Order]], "00")</f>
        <v>A-1-01</v>
      </c>
      <c r="F122" t="s">
        <v>902</v>
      </c>
      <c r="H122" s="62" t="str">
        <f>IF(ISBLANK(tbl_TOPIC[[#This Row],[ParentTopic]]), tbl_TOPIC[[#This Row],[Topic]], _xlfn.XLOOKUP(tbl_TOPIC[[#This Row],[ParentTopic]], tbl_TOPIC[Topic], tbl_TOPIC[TopicPath]) &amp; "/" &amp; tbl_TOPIC[[#This Row],[Topic]])</f>
        <v>Algebra</v>
      </c>
    </row>
    <row r="123" spans="2:8" ht="16" customHeight="1" x14ac:dyDescent="0.2">
      <c r="B123" t="s">
        <v>882</v>
      </c>
      <c r="C123">
        <v>1</v>
      </c>
      <c r="D123">
        <v>2</v>
      </c>
      <c r="E123" s="61" t="str">
        <f>tbl_TOPIC[[#This Row],[Subject]] &amp; "-" &amp; tbl_TOPIC[[#This Row],[Phase]] &amp; "-" &amp; TEXT(tbl_TOPIC[[#This Row],[Order]], "00")</f>
        <v>A-1-02</v>
      </c>
      <c r="F123" t="s">
        <v>833</v>
      </c>
      <c r="H123" s="62" t="str">
        <f>IF(ISBLANK(tbl_TOPIC[[#This Row],[ParentTopic]]), tbl_TOPIC[[#This Row],[Topic]], _xlfn.XLOOKUP(tbl_TOPIC[[#This Row],[ParentTopic]], tbl_TOPIC[Topic], tbl_TOPIC[TopicPath]) &amp; "/" &amp; tbl_TOPIC[[#This Row],[Topic]])</f>
        <v>Ringe</v>
      </c>
    </row>
    <row r="124" spans="2:8" ht="16" customHeight="1" x14ac:dyDescent="0.2">
      <c r="B124" t="s">
        <v>882</v>
      </c>
      <c r="C124">
        <v>1</v>
      </c>
      <c r="D124">
        <v>3</v>
      </c>
      <c r="E124" s="61" t="str">
        <f>tbl_TOPIC[[#This Row],[Subject]] &amp; "-" &amp; tbl_TOPIC[[#This Row],[Phase]] &amp; "-" &amp; TEXT(tbl_TOPIC[[#This Row],[Order]], "00")</f>
        <v>A-1-03</v>
      </c>
      <c r="F124" t="s">
        <v>834</v>
      </c>
      <c r="G124" t="s">
        <v>833</v>
      </c>
      <c r="H124" s="62" t="str">
        <f>IF(ISBLANK(tbl_TOPIC[[#This Row],[ParentTopic]]), tbl_TOPIC[[#This Row],[Topic]], _xlfn.XLOOKUP(tbl_TOPIC[[#This Row],[ParentTopic]], tbl_TOPIC[Topic], tbl_TOPIC[TopicPath]) &amp; "/" &amp; tbl_TOPIC[[#This Row],[Topic]])</f>
        <v>Ringe/Ringe Basics</v>
      </c>
    </row>
    <row r="125" spans="2:8" ht="16" customHeight="1" x14ac:dyDescent="0.2">
      <c r="B125" t="s">
        <v>882</v>
      </c>
      <c r="C125">
        <v>1</v>
      </c>
      <c r="D125">
        <v>4</v>
      </c>
      <c r="E125" s="61" t="str">
        <f>tbl_TOPIC[[#This Row],[Subject]] &amp; "-" &amp; tbl_TOPIC[[#This Row],[Phase]] &amp; "-" &amp; TEXT(tbl_TOPIC[[#This Row],[Order]], "00")</f>
        <v>A-1-04</v>
      </c>
      <c r="F125" t="s">
        <v>853</v>
      </c>
      <c r="G125" t="s">
        <v>833</v>
      </c>
      <c r="H125" s="62" t="str">
        <f>IF(ISBLANK(tbl_TOPIC[[#This Row],[ParentTopic]]), tbl_TOPIC[[#This Row],[Topic]], _xlfn.XLOOKUP(tbl_TOPIC[[#This Row],[ParentTopic]], tbl_TOPIC[Topic], tbl_TOPIC[TopicPath]) &amp; "/" &amp; tbl_TOPIC[[#This Row],[Topic]])</f>
        <v>Ringe/Potenzreihenringe und Polynomringe</v>
      </c>
    </row>
    <row r="126" spans="2:8" ht="16" customHeight="1" x14ac:dyDescent="0.2">
      <c r="B126" t="s">
        <v>882</v>
      </c>
      <c r="C126">
        <v>1</v>
      </c>
      <c r="D126">
        <v>5</v>
      </c>
      <c r="E126" s="61" t="str">
        <f>tbl_TOPIC[[#This Row],[Subject]] &amp; "-" &amp; tbl_TOPIC[[#This Row],[Phase]] &amp; "-" &amp; TEXT(tbl_TOPIC[[#This Row],[Order]], "00")</f>
        <v>A-1-05</v>
      </c>
      <c r="F126" t="s">
        <v>881</v>
      </c>
      <c r="G126" t="s">
        <v>833</v>
      </c>
      <c r="H126" s="62" t="str">
        <f>IF(ISBLANK(tbl_TOPIC[[#This Row],[ParentTopic]]), tbl_TOPIC[[#This Row],[Topic]], _xlfn.XLOOKUP(tbl_TOPIC[[#This Row],[ParentTopic]], tbl_TOPIC[Topic], tbl_TOPIC[TopicPath]) &amp; "/" &amp; tbl_TOPIC[[#This Row],[Topic]])</f>
        <v>Ringe/Ideale und Quotienten</v>
      </c>
    </row>
    <row r="127" spans="2:8" ht="16" customHeight="1" x14ac:dyDescent="0.2">
      <c r="B127" t="s">
        <v>24</v>
      </c>
      <c r="C127">
        <v>1</v>
      </c>
      <c r="D127">
        <v>17</v>
      </c>
      <c r="E127" s="61" t="str">
        <f>tbl_TOPIC[[#This Row],[Subject]] &amp; "-" &amp; tbl_TOPIC[[#This Row],[Phase]] &amp; "-" &amp; TEXT(tbl_TOPIC[[#This Row],[Order]], "00")</f>
        <v>QMS-1-17</v>
      </c>
      <c r="F127" t="s">
        <v>903</v>
      </c>
      <c r="H127" s="62" t="str">
        <f>IF(ISBLANK(tbl_TOPIC[[#This Row],[ParentTopic]]), tbl_TOPIC[[#This Row],[Topic]], _xlfn.XLOOKUP(tbl_TOPIC[[#This Row],[ParentTopic]], tbl_TOPIC[Topic], tbl_TOPIC[TopicPath]) &amp; "/" &amp; tbl_TOPIC[[#This Row],[Topic]])</f>
        <v>QMS-Ex</v>
      </c>
    </row>
    <row r="128" spans="2:8" ht="16" customHeight="1" x14ac:dyDescent="0.2">
      <c r="B128" t="s">
        <v>24</v>
      </c>
      <c r="C128">
        <v>1</v>
      </c>
      <c r="D128">
        <v>18</v>
      </c>
      <c r="E128" s="61" t="str">
        <f>tbl_TOPIC[[#This Row],[Subject]] &amp; "-" &amp; tbl_TOPIC[[#This Row],[Phase]] &amp; "-" &amp; TEXT(tbl_TOPIC[[#This Row],[Order]], "00")</f>
        <v>QMS-1-18</v>
      </c>
      <c r="F128" t="s">
        <v>904</v>
      </c>
      <c r="H128" s="62" t="str">
        <f>IF(ISBLANK(tbl_TOPIC[[#This Row],[ParentTopic]]), tbl_TOPIC[[#This Row],[Topic]], _xlfn.XLOOKUP(tbl_TOPIC[[#This Row],[ParentTopic]], tbl_TOPIC[Topic], tbl_TOPIC[TopicPath]) &amp; "/" &amp; tbl_TOPIC[[#This Row],[Topic]])</f>
        <v>QMS-ÜB</v>
      </c>
    </row>
    <row r="129" spans="2:8" ht="16" customHeight="1" x14ac:dyDescent="0.2">
      <c r="B129" t="s">
        <v>24</v>
      </c>
      <c r="C129">
        <v>1</v>
      </c>
      <c r="D129">
        <v>19</v>
      </c>
      <c r="E129" s="61" t="str">
        <f>tbl_TOPIC[[#This Row],[Subject]] &amp; "-" &amp; tbl_TOPIC[[#This Row],[Phase]] &amp; "-" &amp; TEXT(tbl_TOPIC[[#This Row],[Order]], "00")</f>
        <v>QMS-1-19</v>
      </c>
      <c r="F129" t="s">
        <v>905</v>
      </c>
      <c r="G129" t="s">
        <v>904</v>
      </c>
      <c r="H129" s="62" t="str">
        <f>IF(ISBLANK(tbl_TOPIC[[#This Row],[ParentTopic]]), tbl_TOPIC[[#This Row],[Topic]], _xlfn.XLOOKUP(tbl_TOPIC[[#This Row],[ParentTopic]], tbl_TOPIC[Topic], tbl_TOPIC[TopicPath]) &amp; "/" &amp; tbl_TOPIC[[#This Row],[Topic]])</f>
        <v>QMS-ÜB/QMS-ÜB-01</v>
      </c>
    </row>
    <row r="130" spans="2:8" ht="16" customHeight="1" x14ac:dyDescent="0.2">
      <c r="B130" t="s">
        <v>363</v>
      </c>
      <c r="C130">
        <v>1</v>
      </c>
      <c r="D130">
        <v>34</v>
      </c>
      <c r="E130" s="61" t="str">
        <f>tbl_TOPIC[[#This Row],[Subject]] &amp; "-" &amp; tbl_TOPIC[[#This Row],[Phase]] &amp; "-" &amp; TEXT(tbl_TOPIC[[#This Row],[Order]], "00")</f>
        <v>QM-1-34</v>
      </c>
      <c r="F130" t="s">
        <v>908</v>
      </c>
      <c r="G130" t="s">
        <v>457</v>
      </c>
      <c r="H130" s="62" t="str">
        <f>IF(ISBLANK(tbl_TOPIC[[#This Row],[ParentTopic]]), tbl_TOPIC[[#This Row],[Topic]], _xlfn.XLOOKUP(tbl_TOPIC[[#This Row],[ParentTopic]], tbl_TOPIC[Topic], tbl_TOPIC[TopicPath]) &amp; "/" &amp; tbl_TOPIC[[#This Row],[Topic]])</f>
        <v>QM-ÜB/QM-ÜB-02:</v>
      </c>
    </row>
    <row r="131" spans="2:8" ht="16" customHeight="1" x14ac:dyDescent="0.2">
      <c r="B131" t="s">
        <v>455</v>
      </c>
      <c r="C131">
        <v>1</v>
      </c>
      <c r="D131">
        <v>9</v>
      </c>
      <c r="E131" s="61" t="str">
        <f>tbl_TOPIC[[#This Row],[Subject]] &amp; "-" &amp; tbl_TOPIC[[#This Row],[Phase]] &amp; "-" &amp; TEXT(tbl_TOPIC[[#This Row],[Order]], "00")</f>
        <v>CM-1-09</v>
      </c>
      <c r="F131" t="s">
        <v>934</v>
      </c>
      <c r="H131" s="62" t="str">
        <f>IF(ISBLANK(tbl_TOPIC[[#This Row],[ParentTopic]]), tbl_TOPIC[[#This Row],[Topic]], _xlfn.XLOOKUP(tbl_TOPIC[[#This Row],[ParentTopic]], tbl_TOPIC[Topic], tbl_TOPIC[TopicPath]) &amp; "/" &amp; tbl_TOPIC[[#This Row],[Topic]])</f>
        <v>CM-Ex</v>
      </c>
    </row>
    <row r="132" spans="2:8" ht="16" customHeight="1" x14ac:dyDescent="0.2">
      <c r="B132" t="s">
        <v>24</v>
      </c>
      <c r="C132">
        <v>1</v>
      </c>
      <c r="D132">
        <v>20</v>
      </c>
      <c r="E132" s="61" t="str">
        <f>tbl_TOPIC[[#This Row],[Subject]] &amp; "-" &amp; tbl_TOPIC[[#This Row],[Phase]] &amp; "-" &amp; TEXT(tbl_TOPIC[[#This Row],[Order]], "00")</f>
        <v>QMS-1-20</v>
      </c>
      <c r="F132" t="s">
        <v>935</v>
      </c>
      <c r="H132" s="62" t="str">
        <f>IF(ISBLANK(tbl_TOPIC[[#This Row],[ParentTopic]]), tbl_TOPIC[[#This Row],[Topic]], _xlfn.XLOOKUP(tbl_TOPIC[[#This Row],[ParentTopic]], tbl_TOPIC[Topic], tbl_TOPIC[TopicPath]) &amp; "/" &amp; tbl_TOPIC[[#This Row],[Topic]])</f>
        <v>QMS-VL</v>
      </c>
    </row>
    <row r="133" spans="2:8" ht="16" customHeight="1" x14ac:dyDescent="0.2">
      <c r="B133" t="s">
        <v>882</v>
      </c>
      <c r="C133">
        <v>1</v>
      </c>
      <c r="D133">
        <v>6</v>
      </c>
      <c r="E133" s="61" t="str">
        <f>tbl_TOPIC[[#This Row],[Subject]] &amp; "-" &amp; tbl_TOPIC[[#This Row],[Phase]] &amp; "-" &amp; TEXT(tbl_TOPIC[[#This Row],[Order]], "00")</f>
        <v>A-1-06</v>
      </c>
      <c r="F133" t="s">
        <v>937</v>
      </c>
      <c r="H133" s="62" t="str">
        <f>IF(ISBLANK(tbl_TOPIC[[#This Row],[ParentTopic]]), tbl_TOPIC[[#This Row],[Topic]], _xlfn.XLOOKUP(tbl_TOPIC[[#This Row],[ParentTopic]], tbl_TOPIC[Topic], tbl_TOPIC[TopicPath]) &amp; "/" &amp; tbl_TOPIC[[#This Row],[Topic]])</f>
        <v>Moduln</v>
      </c>
    </row>
    <row r="134" spans="2:8" ht="16" customHeight="1" x14ac:dyDescent="0.2">
      <c r="B134" t="s">
        <v>882</v>
      </c>
      <c r="C134">
        <v>1</v>
      </c>
      <c r="D134">
        <v>7</v>
      </c>
      <c r="E134" s="61" t="str">
        <f>tbl_TOPIC[[#This Row],[Subject]] &amp; "-" &amp; tbl_TOPIC[[#This Row],[Phase]] &amp; "-" &amp; TEXT(tbl_TOPIC[[#This Row],[Order]], "00")</f>
        <v>A-1-07</v>
      </c>
      <c r="F134" t="s">
        <v>938</v>
      </c>
      <c r="G134" t="s">
        <v>937</v>
      </c>
      <c r="H134" s="62" t="str">
        <f>IF(ISBLANK(tbl_TOPIC[[#This Row],[ParentTopic]]), tbl_TOPIC[[#This Row],[Topic]], _xlfn.XLOOKUP(tbl_TOPIC[[#This Row],[ParentTopic]], tbl_TOPIC[Topic], tbl_TOPIC[TopicPath]) &amp; "/" &amp; tbl_TOPIC[[#This Row],[Topic]])</f>
        <v>Moduln/Moduln Grundlagen</v>
      </c>
    </row>
    <row r="135" spans="2:8" ht="16" customHeight="1" x14ac:dyDescent="0.2">
      <c r="B135" t="s">
        <v>107</v>
      </c>
      <c r="C135">
        <v>1</v>
      </c>
      <c r="D135">
        <v>18</v>
      </c>
      <c r="E135" s="61" t="str">
        <f>tbl_TOPIC[[#This Row],[Subject]] &amp; "-" &amp; tbl_TOPIC[[#This Row],[Phase]] &amp; "-" &amp; TEXT(tbl_TOPIC[[#This Row],[Order]], "00")</f>
        <v>RG-1-18</v>
      </c>
      <c r="F135" t="s">
        <v>957</v>
      </c>
      <c r="G135" t="s">
        <v>592</v>
      </c>
      <c r="H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8" ht="16" customHeight="1" x14ac:dyDescent="0.2">
      <c r="B136" t="s">
        <v>455</v>
      </c>
      <c r="C136">
        <v>1</v>
      </c>
      <c r="D136">
        <v>10</v>
      </c>
      <c r="E136" s="61" t="str">
        <f>tbl_TOPIC[[#This Row],[Subject]] &amp; "-" &amp; tbl_TOPIC[[#This Row],[Phase]] &amp; "-" &amp; TEXT(tbl_TOPIC[[#This Row],[Order]], "00")</f>
        <v>CM-1-10</v>
      </c>
      <c r="F136" t="s">
        <v>958</v>
      </c>
      <c r="G136" t="s">
        <v>491</v>
      </c>
      <c r="H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0"/>
  <sheetViews>
    <sheetView zoomScaleNormal="117" workbookViewId="0">
      <pane ySplit="2" topLeftCell="A58" activePane="bottomLeft" state="frozen"/>
      <selection pane="bottomLeft" activeCell="J82" sqref="J82"/>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168</v>
      </c>
      <c r="G2" t="s">
        <v>40</v>
      </c>
      <c r="H2" t="s">
        <v>16</v>
      </c>
      <c r="I2" t="s">
        <v>156</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159</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171</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159</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331</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334</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335</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363</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364</v>
      </c>
      <c r="K30" t="s">
        <v>209</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363</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365</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400</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401</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363</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456</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335</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332</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332</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455</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462</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455</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462</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585</v>
      </c>
      <c r="K40" t="s">
        <v>209</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587</v>
      </c>
      <c r="K41" t="s">
        <v>209</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335</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458</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593</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597</v>
      </c>
      <c r="K45" t="s">
        <v>209</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363</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678</v>
      </c>
      <c r="K46" t="s">
        <v>209</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363</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366</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363</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367</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363</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372</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363</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693</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335</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363</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695</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458</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458</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455</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462</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455</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811</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333</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587</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459</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827</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882</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834</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882</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853</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882</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881</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905</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363</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372</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363</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378</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363</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678</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363</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908</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935</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455</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934</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333</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882</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938</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957</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455</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958</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597</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0"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T598"/>
  <sheetViews>
    <sheetView topLeftCell="A586" zoomScale="90" zoomScaleNormal="90" workbookViewId="0">
      <selection activeCell="I592" sqref="I592"/>
    </sheetView>
    <sheetView tabSelected="1" topLeftCell="A589" zoomScaleNormal="110" workbookViewId="1">
      <selection activeCell="H599" sqref="H599"/>
    </sheetView>
  </sheetViews>
  <sheetFormatPr baseColWidth="10" defaultRowHeight="16" x14ac:dyDescent="0.2"/>
  <cols>
    <col min="1" max="2" width="10.83203125" style="22"/>
    <col min="3" max="3" width="7.83203125" style="22" customWidth="1"/>
    <col min="4" max="4" width="13.5" style="22" customWidth="1"/>
    <col min="5" max="5" width="10.83203125" style="22"/>
    <col min="6" max="6" width="11.6640625" style="22" customWidth="1"/>
    <col min="7" max="7" width="9.33203125" style="22" hidden="1" customWidth="1"/>
    <col min="8" max="8" width="28.33203125" style="22" customWidth="1"/>
    <col min="9" max="9" width="33.33203125" style="22" customWidth="1"/>
    <col min="10" max="10" width="9" style="22" customWidth="1"/>
    <col min="11" max="11" width="7.33203125" style="22" customWidth="1"/>
    <col min="12" max="19" width="10" style="22" customWidth="1"/>
    <col min="20" max="20" width="24.1640625" style="22" customWidth="1"/>
    <col min="21" max="16384" width="10.83203125" style="22"/>
  </cols>
  <sheetData>
    <row r="1" spans="3:20" customFormat="1" x14ac:dyDescent="0.2"/>
    <row r="2" spans="3:20" customFormat="1" x14ac:dyDescent="0.2"/>
    <row r="3" spans="3:20" customFormat="1" x14ac:dyDescent="0.2"/>
    <row r="4" spans="3:20" customFormat="1" x14ac:dyDescent="0.2">
      <c r="C4" t="s">
        <v>6</v>
      </c>
      <c r="D4" t="s">
        <v>158</v>
      </c>
      <c r="E4" t="s">
        <v>143</v>
      </c>
      <c r="F4" t="s">
        <v>156</v>
      </c>
      <c r="G4" t="s">
        <v>160</v>
      </c>
      <c r="H4" t="s">
        <v>93</v>
      </c>
      <c r="I4" t="s">
        <v>142</v>
      </c>
      <c r="J4" t="s">
        <v>144</v>
      </c>
      <c r="K4" t="s">
        <v>145</v>
      </c>
      <c r="L4" t="s">
        <v>146</v>
      </c>
      <c r="M4" t="s">
        <v>161</v>
      </c>
      <c r="N4" t="s">
        <v>162</v>
      </c>
      <c r="O4" t="s">
        <v>163</v>
      </c>
      <c r="P4" t="s">
        <v>164</v>
      </c>
      <c r="Q4" t="s">
        <v>165</v>
      </c>
      <c r="R4" t="s">
        <v>166</v>
      </c>
      <c r="S4" t="s">
        <v>155</v>
      </c>
      <c r="T4" t="s">
        <v>167</v>
      </c>
    </row>
    <row r="5" spans="3:20" ht="34" x14ac:dyDescent="0.2">
      <c r="C5" s="22" t="str">
        <f>_xlfn.XLOOKUP(tbl_CONTENT[[#This Row],[TopicID]], tbl_TOPIC[TopicID], tbl_TOPIC[Subject], "")</f>
        <v>HA</v>
      </c>
      <c r="D5" s="22" t="str">
        <f xml:space="preserve"> tbl_CONTENT[[#This Row],[TopicID]] &amp; "-" &amp; TEXT(tbl_CONTENT[[#This Row],[TopicIDCount]], "00")</f>
        <v>HA-1-12-01</v>
      </c>
      <c r="E5" s="22" t="s">
        <v>169</v>
      </c>
      <c r="F5" s="22" t="str">
        <f>_xlfn.XLOOKUP(tbl_CONTENT[[#This Row],[Topic]], tbl_TOPIC[Topic], tbl_TOPIC[TopicID], "")</f>
        <v>HA-1-12</v>
      </c>
      <c r="G5" s="22" cm="1">
        <f t="array" ref="G5">SUM((tbl_CONTENT[[#This Row],[TopicID]]=INDEX(tbl_CONTENT[TopicID],1):tbl_CONTENT[[#This Row],[TopicID]])*1)</f>
        <v>1</v>
      </c>
      <c r="H5" s="22" t="s">
        <v>123</v>
      </c>
      <c r="I5" s="22" t="s">
        <v>170</v>
      </c>
      <c r="J5" s="22" t="s">
        <v>153</v>
      </c>
      <c r="K5" s="22">
        <v>1</v>
      </c>
      <c r="L5" s="22">
        <v>1</v>
      </c>
      <c r="M5" s="22">
        <v>1</v>
      </c>
      <c r="N5" s="22">
        <v>5</v>
      </c>
      <c r="O5" s="22">
        <v>5</v>
      </c>
      <c r="Q5" s="35">
        <f>IFERROR(
 (1.907*EXP(1)^(-0.5*tbl_CONTENT[[#This Row],[Layer]])) *
 ((tbl_CONTENT[[#This Row],[RelInt]]-1)^(2.5)*4^(1-2.5)+1) +
 ((tbl_CONTENT[[#This Row],[Comp]]-1)^(2.5)*4^(1-2.5)+1)*(0.5*((tbl_CONTENT[[#This Row],[RelInt]]-1)/4)^(2.5)+1),
 0
)</f>
        <v>7.2832698403599609</v>
      </c>
      <c r="R5" s="35">
        <f>IFERROR(
 (1.907*EXP(1)^(-0.5*VALUE(tbl_CONTENT[[#This Row],[Layer]]))) *
 ((VALUE(tbl_CONTENT[[#This Row],[RelId]])-1)^(2.5)*4^(1-2.5)+1) +
 ((VALUE(tbl_CONTENT[[#This Row],[Comp]])-1)^(2.5)*4^(1-2.5)+1)*(0.5*((VALUE(tbl_CONTENT[[#This Row],[RelId]])-1)/4)^(2.5)+1),
 0
)</f>
        <v>7.2832698403599609</v>
      </c>
    </row>
    <row r="6" spans="3:20" ht="34" x14ac:dyDescent="0.2">
      <c r="C6" s="22" t="str">
        <f>_xlfn.XLOOKUP(tbl_CONTENT[[#This Row],[TopicID]], tbl_TOPIC[TopicID], tbl_TOPIC[Subject], "")</f>
        <v>HA</v>
      </c>
      <c r="D6" s="22" t="str">
        <f xml:space="preserve"> tbl_CONTENT[[#This Row],[TopicID]] &amp; "-" &amp; TEXT(tbl_CONTENT[[#This Row],[TopicIDCount]], "00")</f>
        <v>HA-1-07-01</v>
      </c>
      <c r="F6" s="22" t="str">
        <f>_xlfn.XLOOKUP(tbl_CONTENT[[#This Row],[Topic]], tbl_TOPIC[Topic], tbl_TOPIC[TopicID], "")</f>
        <v>HA-1-07</v>
      </c>
      <c r="G6" s="22" cm="1">
        <f t="array" ref="G6">SUM((tbl_CONTENT[[#This Row],[TopicID]]=INDEX(tbl_CONTENT[TopicID],1):tbl_CONTENT[[#This Row],[TopicID]])*1)</f>
        <v>1</v>
      </c>
      <c r="H6" s="22" t="s">
        <v>171</v>
      </c>
      <c r="I6" s="22" t="s">
        <v>173</v>
      </c>
      <c r="J6" s="22" t="s">
        <v>150</v>
      </c>
      <c r="K6" s="22">
        <v>1</v>
      </c>
      <c r="L6" s="22">
        <v>1</v>
      </c>
      <c r="M6" s="22">
        <v>2</v>
      </c>
      <c r="N6" s="22">
        <v>5</v>
      </c>
      <c r="O6" s="22">
        <v>5</v>
      </c>
      <c r="Q6" s="35">
        <f>IFERROR(
 (1.907*EXP(1)^(-0.5*tbl_CONTENT[[#This Row],[Layer]])) *
 ((tbl_CONTENT[[#This Row],[RelInt]]-1)^(2.5)*4^(1-2.5)+1) +
 ((tbl_CONTENT[[#This Row],[Comp]]-1)^(2.5)*4^(1-2.5)+1)*(0.5*((tbl_CONTENT[[#This Row],[RelInt]]-1)/4)^(2.5)+1),
 0
)</f>
        <v>7.4707698403599609</v>
      </c>
      <c r="R6" s="35">
        <f>IFERROR(
 (1.907*EXP(1)^(-0.5*VALUE(tbl_CONTENT[[#This Row],[Layer]]))) *
 ((VALUE(tbl_CONTENT[[#This Row],[RelId]])-1)^(2.5)*4^(1-2.5)+1) +
 ((VALUE(tbl_CONTENT[[#This Row],[Comp]])-1)^(2.5)*4^(1-2.5)+1)*(0.5*((VALUE(tbl_CONTENT[[#This Row],[RelId]])-1)/4)^(2.5)+1),
 0
)</f>
        <v>7.4707698403599609</v>
      </c>
    </row>
    <row r="7" spans="3:20" ht="34" x14ac:dyDescent="0.2">
      <c r="C7" s="22" t="str">
        <f>_xlfn.XLOOKUP(tbl_CONTENT[[#This Row],[TopicID]], tbl_TOPIC[TopicID], tbl_TOPIC[Subject], "")</f>
        <v>HA</v>
      </c>
      <c r="D7" s="22" t="str">
        <f xml:space="preserve"> tbl_CONTENT[[#This Row],[TopicID]] &amp; "-" &amp; TEXT(tbl_CONTENT[[#This Row],[TopicIDCount]], "00")</f>
        <v>HA-1-07-02</v>
      </c>
      <c r="F7" s="22" t="str">
        <f>_xlfn.XLOOKUP(tbl_CONTENT[[#This Row],[Topic]], tbl_TOPIC[Topic], tbl_TOPIC[TopicID], "")</f>
        <v>HA-1-07</v>
      </c>
      <c r="G7" s="22" cm="1">
        <f t="array" ref="G7">SUM((tbl_CONTENT[[#This Row],[TopicID]]=INDEX(tbl_CONTENT[TopicID],1):tbl_CONTENT[[#This Row],[TopicID]])*1)</f>
        <v>2</v>
      </c>
      <c r="H7" s="22" t="s">
        <v>171</v>
      </c>
      <c r="I7" s="22" t="s">
        <v>174</v>
      </c>
      <c r="J7" s="22" t="s">
        <v>150</v>
      </c>
      <c r="K7" s="36">
        <v>1</v>
      </c>
      <c r="L7" s="22">
        <v>1</v>
      </c>
      <c r="M7" s="22">
        <v>2</v>
      </c>
      <c r="N7" s="22">
        <v>5</v>
      </c>
      <c r="O7" s="22">
        <v>5</v>
      </c>
      <c r="Q7" s="35">
        <f>IFERROR(
 (1.907*EXP(1)^(-0.5*tbl_CONTENT[[#This Row],[Layer]])) *
 ((tbl_CONTENT[[#This Row],[RelInt]]-1)^(2.5)*4^(1-2.5)+1) +
 ((tbl_CONTENT[[#This Row],[Comp]]-1)^(2.5)*4^(1-2.5)+1)*(0.5*((tbl_CONTENT[[#This Row],[RelInt]]-1)/4)^(2.5)+1),
 0
)</f>
        <v>7.4707698403599609</v>
      </c>
      <c r="R7" s="35">
        <f>IFERROR(
 (1.907*EXP(1)^(-0.5*VALUE(tbl_CONTENT[[#This Row],[Layer]]))) *
 ((VALUE(tbl_CONTENT[[#This Row],[RelId]])-1)^(2.5)*4^(1-2.5)+1) +
 ((VALUE(tbl_CONTENT[[#This Row],[Comp]])-1)^(2.5)*4^(1-2.5)+1)*(0.5*((VALUE(tbl_CONTENT[[#This Row],[RelId]])-1)/4)^(2.5)+1),
 0
)</f>
        <v>7.4707698403599609</v>
      </c>
    </row>
    <row r="8" spans="3:20" ht="34" x14ac:dyDescent="0.2">
      <c r="C8" s="22" t="str">
        <f>_xlfn.XLOOKUP(tbl_CONTENT[[#This Row],[TopicID]], tbl_TOPIC[TopicID], tbl_TOPIC[Subject], "")</f>
        <v>HA</v>
      </c>
      <c r="D8" s="22" t="str">
        <f xml:space="preserve"> tbl_CONTENT[[#This Row],[TopicID]] &amp; "-" &amp; TEXT(tbl_CONTENT[[#This Row],[TopicIDCount]], "00")</f>
        <v>HA-1-07-03</v>
      </c>
      <c r="F8" s="22" t="str">
        <f>_xlfn.XLOOKUP(tbl_CONTENT[[#This Row],[Topic]], tbl_TOPIC[Topic], tbl_TOPIC[TopicID], "")</f>
        <v>HA-1-07</v>
      </c>
      <c r="G8" s="22" cm="1">
        <f t="array" ref="G8">SUM((tbl_CONTENT[[#This Row],[TopicID]]=INDEX(tbl_CONTENT[TopicID],1):tbl_CONTENT[[#This Row],[TopicID]])*1)</f>
        <v>3</v>
      </c>
      <c r="H8" s="22" t="s">
        <v>171</v>
      </c>
      <c r="I8" s="22" t="s">
        <v>1630</v>
      </c>
      <c r="J8" s="22" t="s">
        <v>150</v>
      </c>
      <c r="K8" s="36">
        <v>1</v>
      </c>
      <c r="L8" s="22">
        <v>1</v>
      </c>
      <c r="M8" s="22">
        <v>3</v>
      </c>
      <c r="N8" s="22">
        <v>3</v>
      </c>
      <c r="O8" s="22">
        <v>3</v>
      </c>
      <c r="Q8" s="35">
        <f>IFERROR(
 (1.907*EXP(1)^(-0.5*tbl_CONTENT[[#This Row],[Layer]])) *
 ((tbl_CONTENT[[#This Row],[RelInt]]-1)^(2.5)*4^(1-2.5)+1) +
 ((tbl_CONTENT[[#This Row],[Comp]]-1)^(2.5)*4^(1-2.5)+1)*(0.5*((tbl_CONTENT[[#This Row],[RelInt]]-1)/4)^(2.5)+1),
 0
)</f>
        <v>3.8325269612168924</v>
      </c>
      <c r="R8" s="35">
        <f>IFERROR(
 (1.907*EXP(1)^(-0.5*VALUE(tbl_CONTENT[[#This Row],[Layer]]))) *
 ((VALUE(tbl_CONTENT[[#This Row],[RelId]])-1)^(2.5)*4^(1-2.5)+1) +
 ((VALUE(tbl_CONTENT[[#This Row],[Comp]])-1)^(2.5)*4^(1-2.5)+1)*(0.5*((VALUE(tbl_CONTENT[[#This Row],[RelId]])-1)/4)^(2.5)+1),
 0
)</f>
        <v>3.8325269612168924</v>
      </c>
    </row>
    <row r="9" spans="3:20" ht="34" x14ac:dyDescent="0.2">
      <c r="C9" s="22" t="str">
        <f>_xlfn.XLOOKUP(tbl_CONTENT[[#This Row],[TopicID]], tbl_TOPIC[TopicID], tbl_TOPIC[Subject], "")</f>
        <v>HA</v>
      </c>
      <c r="D9" s="22" t="str">
        <f xml:space="preserve"> tbl_CONTENT[[#This Row],[TopicID]] &amp; "-" &amp; TEXT(tbl_CONTENT[[#This Row],[TopicIDCount]], "00")</f>
        <v>HA-1-07-04</v>
      </c>
      <c r="F9" s="22" t="str">
        <f>_xlfn.XLOOKUP(tbl_CONTENT[[#This Row],[Topic]], tbl_TOPIC[Topic], tbl_TOPIC[TopicID], "")</f>
        <v>HA-1-07</v>
      </c>
      <c r="G9" s="22" cm="1">
        <f t="array" ref="G9">SUM((tbl_CONTENT[[#This Row],[TopicID]]=INDEX(tbl_CONTENT[TopicID],1):tbl_CONTENT[[#This Row],[TopicID]])*1)</f>
        <v>4</v>
      </c>
      <c r="H9" s="22" t="s">
        <v>171</v>
      </c>
      <c r="I9" s="22" t="s">
        <v>175</v>
      </c>
      <c r="J9" s="22" t="s">
        <v>150</v>
      </c>
      <c r="K9" s="36">
        <v>1</v>
      </c>
      <c r="L9" s="22">
        <v>1</v>
      </c>
      <c r="M9" s="22">
        <v>3</v>
      </c>
      <c r="N9" s="22">
        <v>4</v>
      </c>
      <c r="O9" s="22">
        <v>4</v>
      </c>
      <c r="Q9" s="35">
        <f>IFERROR(
 (1.907*EXP(1)^(-0.5*tbl_CONTENT[[#This Row],[Layer]])) *
 ((tbl_CONTENT[[#This Row],[RelInt]]-1)^(2.5)*4^(1-2.5)+1) +
 ((tbl_CONTENT[[#This Row],[Comp]]-1)^(2.5)*4^(1-2.5)+1)*(0.5*((tbl_CONTENT[[#This Row],[RelInt]]-1)/4)^(2.5)+1),
 0
)</f>
        <v>5.5333665110238019</v>
      </c>
      <c r="R9" s="35">
        <f>IFERROR(
 (1.907*EXP(1)^(-0.5*VALUE(tbl_CONTENT[[#This Row],[Layer]]))) *
 ((VALUE(tbl_CONTENT[[#This Row],[RelId]])-1)^(2.5)*4^(1-2.5)+1) +
 ((VALUE(tbl_CONTENT[[#This Row],[Comp]])-1)^(2.5)*4^(1-2.5)+1)*(0.5*((VALUE(tbl_CONTENT[[#This Row],[RelId]])-1)/4)^(2.5)+1),
 0
)</f>
        <v>5.5333665110238019</v>
      </c>
    </row>
    <row r="10" spans="3:20" ht="34" x14ac:dyDescent="0.2">
      <c r="C10" s="22" t="str">
        <f>_xlfn.XLOOKUP(tbl_CONTENT[[#This Row],[TopicID]], tbl_TOPIC[TopicID], tbl_TOPIC[Subject], "")</f>
        <v>HA</v>
      </c>
      <c r="D10" s="22" t="str">
        <f xml:space="preserve"> tbl_CONTENT[[#This Row],[TopicID]] &amp; "-" &amp; TEXT(tbl_CONTENT[[#This Row],[TopicIDCount]], "00")</f>
        <v>HA-1-07-05</v>
      </c>
      <c r="F10" s="22" t="str">
        <f>_xlfn.XLOOKUP(tbl_CONTENT[[#This Row],[Topic]], tbl_TOPIC[Topic], tbl_TOPIC[TopicID], "")</f>
        <v>HA-1-07</v>
      </c>
      <c r="G10" s="22" cm="1">
        <f t="array" ref="G10">SUM((tbl_CONTENT[[#This Row],[TopicID]]=INDEX(tbl_CONTENT[TopicID],1):tbl_CONTENT[[#This Row],[TopicID]])*1)</f>
        <v>5</v>
      </c>
      <c r="H10" s="22" t="s">
        <v>171</v>
      </c>
      <c r="I10" s="22" t="s">
        <v>1584</v>
      </c>
      <c r="J10" s="22" t="s">
        <v>150</v>
      </c>
      <c r="K10" s="36">
        <v>1</v>
      </c>
      <c r="L10" s="22">
        <v>1</v>
      </c>
      <c r="M10" s="22">
        <v>3</v>
      </c>
      <c r="N10" s="22">
        <v>3</v>
      </c>
      <c r="O10" s="22">
        <v>3</v>
      </c>
      <c r="Q10" s="35">
        <f>IFERROR(
 (1.907*EXP(1)^(-0.5*tbl_CONTENT[[#This Row],[Layer]])) *
 ((tbl_CONTENT[[#This Row],[RelInt]]-1)^(2.5)*4^(1-2.5)+1) +
 ((tbl_CONTENT[[#This Row],[Comp]]-1)^(2.5)*4^(1-2.5)+1)*(0.5*((tbl_CONTENT[[#This Row],[RelInt]]-1)/4)^(2.5)+1),
 0
)</f>
        <v>3.8325269612168924</v>
      </c>
      <c r="R10" s="35">
        <f>IFERROR(
 (1.907*EXP(1)^(-0.5*VALUE(tbl_CONTENT[[#This Row],[Layer]]))) *
 ((VALUE(tbl_CONTENT[[#This Row],[RelId]])-1)^(2.5)*4^(1-2.5)+1) +
 ((VALUE(tbl_CONTENT[[#This Row],[Comp]])-1)^(2.5)*4^(1-2.5)+1)*(0.5*((VALUE(tbl_CONTENT[[#This Row],[RelId]])-1)/4)^(2.5)+1),
 0
)</f>
        <v>3.8325269612168924</v>
      </c>
    </row>
    <row r="11" spans="3:20" ht="34" x14ac:dyDescent="0.2">
      <c r="C11" s="22" t="str">
        <f>_xlfn.XLOOKUP(tbl_CONTENT[[#This Row],[TopicID]], tbl_TOPIC[TopicID], tbl_TOPIC[Subject], "")</f>
        <v>HA</v>
      </c>
      <c r="D11" s="22" t="str">
        <f xml:space="preserve"> tbl_CONTENT[[#This Row],[TopicID]] &amp; "-" &amp; TEXT(tbl_CONTENT[[#This Row],[TopicIDCount]], "00")</f>
        <v>HA-1-07-06</v>
      </c>
      <c r="F11" s="22" t="str">
        <f>_xlfn.XLOOKUP(tbl_CONTENT[[#This Row],[Topic]], tbl_TOPIC[Topic], tbl_TOPIC[TopicID], "")</f>
        <v>HA-1-07</v>
      </c>
      <c r="G11" s="22" cm="1">
        <f t="array" ref="G11">SUM((tbl_CONTENT[[#This Row],[TopicID]]=INDEX(tbl_CONTENT[TopicID],1):tbl_CONTENT[[#This Row],[TopicID]])*1)</f>
        <v>6</v>
      </c>
      <c r="H11" s="22" t="s">
        <v>171</v>
      </c>
      <c r="I11" s="22" t="s">
        <v>1631</v>
      </c>
      <c r="J11" s="22" t="s">
        <v>150</v>
      </c>
      <c r="K11" s="36">
        <v>1</v>
      </c>
      <c r="L11" s="22">
        <v>1</v>
      </c>
      <c r="M11" s="22">
        <v>3</v>
      </c>
      <c r="N11" s="22">
        <v>4</v>
      </c>
      <c r="O11" s="22">
        <v>4</v>
      </c>
      <c r="Q11" s="35">
        <f>IFERROR(
 (1.907*EXP(1)^(-0.5*tbl_CONTENT[[#This Row],[Layer]])) *
 ((tbl_CONTENT[[#This Row],[RelInt]]-1)^(2.5)*4^(1-2.5)+1) +
 ((tbl_CONTENT[[#This Row],[Comp]]-1)^(2.5)*4^(1-2.5)+1)*(0.5*((tbl_CONTENT[[#This Row],[RelInt]]-1)/4)^(2.5)+1),
 0
)</f>
        <v>5.5333665110238019</v>
      </c>
      <c r="R11" s="35">
        <f>IFERROR(
 (1.907*EXP(1)^(-0.5*VALUE(tbl_CONTENT[[#This Row],[Layer]]))) *
 ((VALUE(tbl_CONTENT[[#This Row],[RelId]])-1)^(2.5)*4^(1-2.5)+1) +
 ((VALUE(tbl_CONTENT[[#This Row],[Comp]])-1)^(2.5)*4^(1-2.5)+1)*(0.5*((VALUE(tbl_CONTENT[[#This Row],[RelId]])-1)/4)^(2.5)+1),
 0
)</f>
        <v>5.5333665110238019</v>
      </c>
    </row>
    <row r="12" spans="3:20" ht="34" x14ac:dyDescent="0.2">
      <c r="C12" s="22" t="str">
        <f>_xlfn.XLOOKUP(tbl_CONTENT[[#This Row],[TopicID]], tbl_TOPIC[TopicID], tbl_TOPIC[Subject], "")</f>
        <v>HA</v>
      </c>
      <c r="D12" s="22" t="str">
        <f xml:space="preserve"> tbl_CONTENT[[#This Row],[TopicID]] &amp; "-" &amp; TEXT(tbl_CONTENT[[#This Row],[TopicIDCount]], "00")</f>
        <v>HA-1-07-07</v>
      </c>
      <c r="F12" s="22" t="str">
        <f>_xlfn.XLOOKUP(tbl_CONTENT[[#This Row],[Topic]], tbl_TOPIC[Topic], tbl_TOPIC[TopicID], "")</f>
        <v>HA-1-07</v>
      </c>
      <c r="G12" s="22" cm="1">
        <f t="array" ref="G12">SUM((tbl_CONTENT[[#This Row],[TopicID]]=INDEX(tbl_CONTENT[TopicID],1):tbl_CONTENT[[#This Row],[TopicID]])*1)</f>
        <v>7</v>
      </c>
      <c r="H12" s="22" t="s">
        <v>171</v>
      </c>
      <c r="I12" s="22" t="s">
        <v>177</v>
      </c>
      <c r="J12" s="22" t="s">
        <v>150</v>
      </c>
      <c r="K12" s="36">
        <v>1</v>
      </c>
      <c r="L12" s="22">
        <v>2</v>
      </c>
      <c r="M12" s="22">
        <v>3</v>
      </c>
      <c r="N12" s="22">
        <v>2</v>
      </c>
      <c r="O12" s="22">
        <v>2</v>
      </c>
      <c r="Q12" s="35">
        <f>IFERROR(
 (1.907*EXP(1)^(-0.5*tbl_CONTENT[[#This Row],[Layer]])) *
 ((tbl_CONTENT[[#This Row],[RelInt]]-1)^(2.5)*4^(1-2.5)+1) +
 ((tbl_CONTENT[[#This Row],[Comp]]-1)^(2.5)*4^(1-2.5)+1)*(0.5*((tbl_CONTENT[[#This Row],[RelInt]]-1)/4)^(2.5)+1),
 0
)</f>
        <v>2.5230196807457705</v>
      </c>
      <c r="R12" s="35">
        <f>IFERROR(
 (1.907*EXP(1)^(-0.5*VALUE(tbl_CONTENT[[#This Row],[Layer]]))) *
 ((VALUE(tbl_CONTENT[[#This Row],[RelId]])-1)^(2.5)*4^(1-2.5)+1) +
 ((VALUE(tbl_CONTENT[[#This Row],[Comp]])-1)^(2.5)*4^(1-2.5)+1)*(0.5*((VALUE(tbl_CONTENT[[#This Row],[RelId]])-1)/4)^(2.5)+1),
 0
)</f>
        <v>2.5230196807457705</v>
      </c>
    </row>
    <row r="13" spans="3:20" ht="34" x14ac:dyDescent="0.2">
      <c r="C13" s="22" t="str">
        <f>_xlfn.XLOOKUP(tbl_CONTENT[[#This Row],[TopicID]], tbl_TOPIC[TopicID], tbl_TOPIC[Subject], "")</f>
        <v>HA</v>
      </c>
      <c r="D13" s="22" t="str">
        <f xml:space="preserve"> tbl_CONTENT[[#This Row],[TopicID]] &amp; "-" &amp; TEXT(tbl_CONTENT[[#This Row],[TopicIDCount]], "00")</f>
        <v>HA-1-07-08</v>
      </c>
      <c r="F13" s="22" t="str">
        <f>_xlfn.XLOOKUP(tbl_CONTENT[[#This Row],[Topic]], tbl_TOPIC[Topic], tbl_TOPIC[TopicID], "")</f>
        <v>HA-1-07</v>
      </c>
      <c r="G13" s="22" cm="1">
        <f t="array" ref="G13">SUM((tbl_CONTENT[[#This Row],[TopicID]]=INDEX(tbl_CONTENT[TopicID],1):tbl_CONTENT[[#This Row],[TopicID]])*1)</f>
        <v>8</v>
      </c>
      <c r="H13" s="22" t="s">
        <v>171</v>
      </c>
      <c r="I13" s="22" t="s">
        <v>176</v>
      </c>
      <c r="J13" s="22" t="s">
        <v>150</v>
      </c>
      <c r="K13" s="36">
        <v>1</v>
      </c>
      <c r="L13" s="22">
        <v>1</v>
      </c>
      <c r="M13" s="22">
        <v>3</v>
      </c>
      <c r="N13" s="22">
        <v>4</v>
      </c>
      <c r="O13" s="22">
        <v>4</v>
      </c>
      <c r="Q13" s="35">
        <f>IFERROR(
 (1.907*EXP(1)^(-0.5*tbl_CONTENT[[#This Row],[Layer]])) *
 ((tbl_CONTENT[[#This Row],[RelInt]]-1)^(2.5)*4^(1-2.5)+1) +
 ((tbl_CONTENT[[#This Row],[Comp]]-1)^(2.5)*4^(1-2.5)+1)*(0.5*((tbl_CONTENT[[#This Row],[RelInt]]-1)/4)^(2.5)+1),
 0
)</f>
        <v>5.5333665110238019</v>
      </c>
      <c r="R13" s="35">
        <f>IFERROR(
 (1.907*EXP(1)^(-0.5*VALUE(tbl_CONTENT[[#This Row],[Layer]]))) *
 ((VALUE(tbl_CONTENT[[#This Row],[RelId]])-1)^(2.5)*4^(1-2.5)+1) +
 ((VALUE(tbl_CONTENT[[#This Row],[Comp]])-1)^(2.5)*4^(1-2.5)+1)*(0.5*((VALUE(tbl_CONTENT[[#This Row],[RelId]])-1)/4)^(2.5)+1),
 0
)</f>
        <v>5.5333665110238019</v>
      </c>
    </row>
    <row r="14" spans="3:20" ht="17" x14ac:dyDescent="0.2">
      <c r="C14" s="22" t="str">
        <f>_xlfn.XLOOKUP(tbl_CONTENT[[#This Row],[TopicID]], tbl_TOPIC[TopicID], tbl_TOPIC[Subject], "")</f>
        <v>HA</v>
      </c>
      <c r="D14" s="22" t="str">
        <f xml:space="preserve"> tbl_CONTENT[[#This Row],[TopicID]] &amp; "-" &amp; TEXT(tbl_CONTENT[[#This Row],[TopicIDCount]], "00")</f>
        <v>HA-1-10-01</v>
      </c>
      <c r="F14" s="22" t="str">
        <f>_xlfn.XLOOKUP(tbl_CONTENT[[#This Row],[Topic]], tbl_TOPIC[Topic], tbl_TOPIC[TopicID], "")</f>
        <v>HA-1-10</v>
      </c>
      <c r="G14" s="22" cm="1">
        <f t="array" ref="G14">SUM((tbl_CONTENT[[#This Row],[TopicID]]=INDEX(tbl_CONTENT[TopicID],1):tbl_CONTENT[[#This Row],[TopicID]])*1)</f>
        <v>1</v>
      </c>
      <c r="H14" s="22" t="s">
        <v>121</v>
      </c>
      <c r="I14" s="22" t="s">
        <v>178</v>
      </c>
      <c r="J14" s="22" t="s">
        <v>153</v>
      </c>
      <c r="K14" s="22">
        <v>1</v>
      </c>
      <c r="L14" s="22">
        <v>1</v>
      </c>
      <c r="M14" s="22">
        <v>3</v>
      </c>
      <c r="N14" s="22">
        <v>5</v>
      </c>
      <c r="O14" s="22">
        <v>5</v>
      </c>
      <c r="Q14" s="35">
        <f>IFERROR(
 (1.907*EXP(1)^(-0.5*tbl_CONTENT[[#This Row],[Layer]])) *
 ((tbl_CONTENT[[#This Row],[RelInt]]-1)^(2.5)*4^(1-2.5)+1) +
 ((tbl_CONTENT[[#This Row],[Comp]]-1)^(2.5)*4^(1-2.5)+1)*(0.5*((tbl_CONTENT[[#This Row],[RelInt]]-1)/4)^(2.5)+1),
 0
)</f>
        <v>8.3439300121397828</v>
      </c>
      <c r="R14" s="35">
        <f>IFERROR(
 (1.907*EXP(1)^(-0.5*VALUE(tbl_CONTENT[[#This Row],[Layer]]))) *
 ((VALUE(tbl_CONTENT[[#This Row],[RelId]])-1)^(2.5)*4^(1-2.5)+1) +
 ((VALUE(tbl_CONTENT[[#This Row],[Comp]])-1)^(2.5)*4^(1-2.5)+1)*(0.5*((VALUE(tbl_CONTENT[[#This Row],[RelId]])-1)/4)^(2.5)+1),
 0
)</f>
        <v>8.3439300121397828</v>
      </c>
    </row>
    <row r="15" spans="3:20" ht="17" x14ac:dyDescent="0.2">
      <c r="C15" s="22" t="str">
        <f>_xlfn.XLOOKUP(tbl_CONTENT[[#This Row],[TopicID]], tbl_TOPIC[TopicID], tbl_TOPIC[Subject], "")</f>
        <v>HA</v>
      </c>
      <c r="D15" s="22" t="str">
        <f xml:space="preserve"> tbl_CONTENT[[#This Row],[TopicID]] &amp; "-" &amp; TEXT(tbl_CONTENT[[#This Row],[TopicIDCount]], "00")</f>
        <v>HA-1-10-02</v>
      </c>
      <c r="F15" s="22" t="str">
        <f>_xlfn.XLOOKUP(tbl_CONTENT[[#This Row],[Topic]], tbl_TOPIC[Topic], tbl_TOPIC[TopicID], "")</f>
        <v>HA-1-10</v>
      </c>
      <c r="G15" s="22" cm="1">
        <f t="array" ref="G15">SUM((tbl_CONTENT[[#This Row],[TopicID]]=INDEX(tbl_CONTENT[TopicID],1):tbl_CONTENT[[#This Row],[TopicID]])*1)</f>
        <v>2</v>
      </c>
      <c r="H15" s="22" t="s">
        <v>121</v>
      </c>
      <c r="I15" s="22" t="s">
        <v>179</v>
      </c>
      <c r="J15" s="22" t="s">
        <v>150</v>
      </c>
      <c r="K15" s="22">
        <v>1</v>
      </c>
      <c r="L15" s="22">
        <v>1</v>
      </c>
      <c r="M15" s="22">
        <v>3</v>
      </c>
      <c r="N15" s="22">
        <v>5</v>
      </c>
      <c r="O15" s="22">
        <v>5</v>
      </c>
      <c r="Q15" s="35">
        <f>IFERROR(
 (1.907*EXP(1)^(-0.5*tbl_CONTENT[[#This Row],[Layer]])) *
 ((tbl_CONTENT[[#This Row],[RelInt]]-1)^(2.5)*4^(1-2.5)+1) +
 ((tbl_CONTENT[[#This Row],[Comp]]-1)^(2.5)*4^(1-2.5)+1)*(0.5*((tbl_CONTENT[[#This Row],[RelInt]]-1)/4)^(2.5)+1),
 0
)</f>
        <v>8.3439300121397828</v>
      </c>
      <c r="R15" s="35">
        <f>IFERROR(
 (1.907*EXP(1)^(-0.5*VALUE(tbl_CONTENT[[#This Row],[Layer]]))) *
 ((VALUE(tbl_CONTENT[[#This Row],[RelId]])-1)^(2.5)*4^(1-2.5)+1) +
 ((VALUE(tbl_CONTENT[[#This Row],[Comp]])-1)^(2.5)*4^(1-2.5)+1)*(0.5*((VALUE(tbl_CONTENT[[#This Row],[RelId]])-1)/4)^(2.5)+1),
 0
)</f>
        <v>8.3439300121397828</v>
      </c>
    </row>
    <row r="16" spans="3:20" ht="17" x14ac:dyDescent="0.2">
      <c r="C16" s="22" t="str">
        <f>_xlfn.XLOOKUP(tbl_CONTENT[[#This Row],[TopicID]], tbl_TOPIC[TopicID], tbl_TOPIC[Subject], "")</f>
        <v>HA</v>
      </c>
      <c r="D16" s="22" t="str">
        <f xml:space="preserve"> tbl_CONTENT[[#This Row],[TopicID]] &amp; "-" &amp; TEXT(tbl_CONTENT[[#This Row],[TopicIDCount]], "00")</f>
        <v>HA-1-01-01</v>
      </c>
      <c r="F16" s="22" t="str">
        <f>_xlfn.XLOOKUP(tbl_CONTENT[[#This Row],[Topic]], tbl_TOPIC[Topic], tbl_TOPIC[TopicID], "")</f>
        <v>HA-1-01</v>
      </c>
      <c r="G16" s="22" cm="1">
        <f t="array" ref="G16">SUM((tbl_CONTENT[[#This Row],[TopicID]]=INDEX(tbl_CONTENT[TopicID],1):tbl_CONTENT[[#This Row],[TopicID]])*1)</f>
        <v>1</v>
      </c>
      <c r="H16" s="22" t="s">
        <v>159</v>
      </c>
      <c r="I16" s="37" t="s">
        <v>188</v>
      </c>
      <c r="J16" s="22" t="s">
        <v>153</v>
      </c>
      <c r="K16" s="22">
        <v>1</v>
      </c>
      <c r="L16" s="22">
        <v>1</v>
      </c>
      <c r="M16" s="22">
        <v>2</v>
      </c>
      <c r="N16" s="22">
        <v>5</v>
      </c>
      <c r="O16" s="22">
        <v>5</v>
      </c>
      <c r="Q16" s="35">
        <f>IFERROR(
 (1.907*EXP(1)^(-0.5*tbl_CONTENT[[#This Row],[Layer]])) *
 ((tbl_CONTENT[[#This Row],[RelInt]]-1)^(2.5)*4^(1-2.5)+1) +
 ((tbl_CONTENT[[#This Row],[Comp]]-1)^(2.5)*4^(1-2.5)+1)*(0.5*((tbl_CONTENT[[#This Row],[RelInt]]-1)/4)^(2.5)+1),
 0
)</f>
        <v>7.4707698403599609</v>
      </c>
      <c r="R16" s="35">
        <f>IFERROR(
 (1.907*EXP(1)^(-0.5*VALUE(tbl_CONTENT[[#This Row],[Layer]]))) *
 ((VALUE(tbl_CONTENT[[#This Row],[RelId]])-1)^(2.5)*4^(1-2.5)+1) +
 ((VALUE(tbl_CONTENT[[#This Row],[Comp]])-1)^(2.5)*4^(1-2.5)+1)*(0.5*((VALUE(tbl_CONTENT[[#This Row],[RelId]])-1)/4)^(2.5)+1),
 0
)</f>
        <v>7.4707698403599609</v>
      </c>
    </row>
    <row r="17" spans="3:18" ht="17" x14ac:dyDescent="0.2">
      <c r="C17" s="22" t="str">
        <f>_xlfn.XLOOKUP(tbl_CONTENT[[#This Row],[TopicID]], tbl_TOPIC[TopicID], tbl_TOPIC[Subject], "")</f>
        <v>HA</v>
      </c>
      <c r="D17" s="22" t="str">
        <f xml:space="preserve"> tbl_CONTENT[[#This Row],[TopicID]] &amp; "-" &amp; TEXT(tbl_CONTENT[[#This Row],[TopicIDCount]], "00")</f>
        <v>HA-1-01-02</v>
      </c>
      <c r="F17" s="22" t="str">
        <f>_xlfn.XLOOKUP(tbl_CONTENT[[#This Row],[Topic]], tbl_TOPIC[Topic], tbl_TOPIC[TopicID], "")</f>
        <v>HA-1-01</v>
      </c>
      <c r="G17" s="22" cm="1">
        <f t="array" ref="G17">SUM((tbl_CONTENT[[#This Row],[TopicID]]=INDEX(tbl_CONTENT[TopicID],1):tbl_CONTENT[[#This Row],[TopicID]])*1)</f>
        <v>2</v>
      </c>
      <c r="H17" s="22" t="s">
        <v>159</v>
      </c>
      <c r="I17" s="22" t="s">
        <v>180</v>
      </c>
      <c r="J17" s="22" t="s">
        <v>181</v>
      </c>
      <c r="K17" s="22">
        <v>1</v>
      </c>
      <c r="L17" s="22">
        <v>1</v>
      </c>
      <c r="M17" s="22">
        <v>2</v>
      </c>
      <c r="N17" s="22">
        <v>4</v>
      </c>
      <c r="O17" s="22">
        <v>5</v>
      </c>
      <c r="Q17" s="35">
        <f>IFERROR(
 (1.907*EXP(1)^(-0.5*tbl_CONTENT[[#This Row],[Layer]])) *
 ((tbl_CONTENT[[#This Row],[RelInt]]-1)^(2.5)*4^(1-2.5)+1) +
 ((tbl_CONTENT[[#This Row],[Comp]]-1)^(2.5)*4^(1-2.5)+1)*(0.5*((tbl_CONTENT[[#This Row],[RelInt]]-1)/4)^(2.5)+1),
 0
)</f>
        <v>4.8094761878996088</v>
      </c>
      <c r="R17" s="35">
        <f>IFERROR(
 (1.907*EXP(1)^(-0.5*VALUE(tbl_CONTENT[[#This Row],[Layer]]))) *
 ((VALUE(tbl_CONTENT[[#This Row],[RelId]])-1)^(2.5)*4^(1-2.5)+1) +
 ((VALUE(tbl_CONTENT[[#This Row],[Comp]])-1)^(2.5)*4^(1-2.5)+1)*(0.5*((VALUE(tbl_CONTENT[[#This Row],[RelId]])-1)/4)^(2.5)+1),
 0
)</f>
        <v>7.4707698403599609</v>
      </c>
    </row>
    <row r="18" spans="3:18" ht="17" x14ac:dyDescent="0.2">
      <c r="C18" s="22" t="str">
        <f>_xlfn.XLOOKUP(tbl_CONTENT[[#This Row],[TopicID]], tbl_TOPIC[TopicID], tbl_TOPIC[Subject], "")</f>
        <v>HA</v>
      </c>
      <c r="D18" s="22" t="str">
        <f xml:space="preserve"> tbl_CONTENT[[#This Row],[TopicID]] &amp; "-" &amp; TEXT(tbl_CONTENT[[#This Row],[TopicIDCount]], "00")</f>
        <v>HA-1-01-03</v>
      </c>
      <c r="F18" s="22" t="str">
        <f>_xlfn.XLOOKUP(tbl_CONTENT[[#This Row],[Topic]], tbl_TOPIC[Topic], tbl_TOPIC[TopicID], "")</f>
        <v>HA-1-01</v>
      </c>
      <c r="G18" s="22" cm="1">
        <f t="array" ref="G18">SUM((tbl_CONTENT[[#This Row],[TopicID]]=INDEX(tbl_CONTENT[TopicID],1):tbl_CONTENT[[#This Row],[TopicID]])*1)</f>
        <v>3</v>
      </c>
      <c r="H18" s="22" t="s">
        <v>159</v>
      </c>
      <c r="I18" s="22" t="s">
        <v>187</v>
      </c>
      <c r="J18" s="22" t="s">
        <v>153</v>
      </c>
      <c r="K18" s="22">
        <v>1</v>
      </c>
      <c r="L18" s="22">
        <v>2</v>
      </c>
      <c r="M18" s="22">
        <v>2</v>
      </c>
      <c r="N18" s="22">
        <v>4</v>
      </c>
      <c r="O18" s="22">
        <v>5</v>
      </c>
      <c r="Q18" s="35">
        <f>IFERROR(
 (1.907*EXP(1)^(-0.5*tbl_CONTENT[[#This Row],[Layer]])) *
 ((tbl_CONTENT[[#This Row],[RelInt]]-1)^(2.5)*4^(1-2.5)+1) +
 ((tbl_CONTENT[[#This Row],[Comp]]-1)^(2.5)*4^(1-2.5)+1)*(0.5*((tbl_CONTENT[[#This Row],[RelInt]]-1)/4)^(2.5)+1),
 0
)</f>
        <v>3.4675646088337704</v>
      </c>
      <c r="R18" s="35">
        <f>IFERROR(
 (1.907*EXP(1)^(-0.5*VALUE(tbl_CONTENT[[#This Row],[Layer]]))) *
 ((VALUE(tbl_CONTENT[[#This Row],[RelId]])-1)^(2.5)*4^(1-2.5)+1) +
 ((VALUE(tbl_CONTENT[[#This Row],[Comp]])-1)^(2.5)*4^(1-2.5)+1)*(0.5*((VALUE(tbl_CONTENT[[#This Row],[RelId]])-1)/4)^(2.5)+1),
 0
)</f>
        <v>5.1952304715697029</v>
      </c>
    </row>
    <row r="19" spans="3:18" ht="17" x14ac:dyDescent="0.2">
      <c r="C19" s="22" t="str">
        <f>_xlfn.XLOOKUP(tbl_CONTENT[[#This Row],[TopicID]], tbl_TOPIC[TopicID], tbl_TOPIC[Subject], "")</f>
        <v>HA</v>
      </c>
      <c r="D19" s="22" t="str">
        <f xml:space="preserve"> tbl_CONTENT[[#This Row],[TopicID]] &amp; "-" &amp; TEXT(tbl_CONTENT[[#This Row],[TopicIDCount]], "00")</f>
        <v>HA-1-01-04</v>
      </c>
      <c r="F19" s="22" t="str">
        <f>_xlfn.XLOOKUP(tbl_CONTENT[[#This Row],[Topic]], tbl_TOPIC[Topic], tbl_TOPIC[TopicID], "")</f>
        <v>HA-1-01</v>
      </c>
      <c r="G19" s="22" cm="1">
        <f t="array" ref="G19">SUM((tbl_CONTENT[[#This Row],[TopicID]]=INDEX(tbl_CONTENT[TopicID],1):tbl_CONTENT[[#This Row],[TopicID]])*1)</f>
        <v>4</v>
      </c>
      <c r="H19" s="22" t="s">
        <v>159</v>
      </c>
      <c r="I19" s="22" t="s">
        <v>186</v>
      </c>
      <c r="J19" s="22" t="s">
        <v>153</v>
      </c>
      <c r="K19" s="22">
        <v>1</v>
      </c>
      <c r="L19" s="22">
        <v>2</v>
      </c>
      <c r="M19" s="22">
        <v>2</v>
      </c>
      <c r="N19" s="22">
        <v>4</v>
      </c>
      <c r="O19" s="22">
        <v>5</v>
      </c>
      <c r="Q19" s="35">
        <f>IFERROR(
 (1.907*EXP(1)^(-0.5*tbl_CONTENT[[#This Row],[Layer]])) *
 ((tbl_CONTENT[[#This Row],[RelInt]]-1)^(2.5)*4^(1-2.5)+1) +
 ((tbl_CONTENT[[#This Row],[Comp]]-1)^(2.5)*4^(1-2.5)+1)*(0.5*((tbl_CONTENT[[#This Row],[RelInt]]-1)/4)^(2.5)+1),
 0
)</f>
        <v>3.4675646088337704</v>
      </c>
      <c r="R19" s="35">
        <f>IFERROR(
 (1.907*EXP(1)^(-0.5*VALUE(tbl_CONTENT[[#This Row],[Layer]]))) *
 ((VALUE(tbl_CONTENT[[#This Row],[RelId]])-1)^(2.5)*4^(1-2.5)+1) +
 ((VALUE(tbl_CONTENT[[#This Row],[Comp]])-1)^(2.5)*4^(1-2.5)+1)*(0.5*((VALUE(tbl_CONTENT[[#This Row],[RelId]])-1)/4)^(2.5)+1),
 0
)</f>
        <v>5.1952304715697029</v>
      </c>
    </row>
    <row r="20" spans="3:18" ht="17" x14ac:dyDescent="0.2">
      <c r="C20" s="22" t="str">
        <f>_xlfn.XLOOKUP(tbl_CONTENT[[#This Row],[TopicID]], tbl_TOPIC[TopicID], tbl_TOPIC[Subject], "")</f>
        <v>HA</v>
      </c>
      <c r="D20" s="22" t="str">
        <f xml:space="preserve"> tbl_CONTENT[[#This Row],[TopicID]] &amp; "-" &amp; TEXT(tbl_CONTENT[[#This Row],[TopicIDCount]], "00")</f>
        <v>HA-1-01-05</v>
      </c>
      <c r="F20" s="22" t="str">
        <f>_xlfn.XLOOKUP(tbl_CONTENT[[#This Row],[Topic]], tbl_TOPIC[Topic], tbl_TOPIC[TopicID], "")</f>
        <v>HA-1-01</v>
      </c>
      <c r="G20" s="22" cm="1">
        <f t="array" ref="G20">SUM((tbl_CONTENT[[#This Row],[TopicID]]=INDEX(tbl_CONTENT[TopicID],1):tbl_CONTENT[[#This Row],[TopicID]])*1)</f>
        <v>5</v>
      </c>
      <c r="H20" s="22" t="s">
        <v>159</v>
      </c>
      <c r="I20" s="22" t="s">
        <v>182</v>
      </c>
      <c r="J20" s="22" t="s">
        <v>181</v>
      </c>
      <c r="K20" s="22">
        <v>1</v>
      </c>
      <c r="L20" s="22">
        <v>3</v>
      </c>
      <c r="M20" s="22">
        <v>2</v>
      </c>
      <c r="N20" s="22">
        <v>3</v>
      </c>
      <c r="O20" s="22">
        <v>5</v>
      </c>
      <c r="Q20" s="35">
        <f>IFERROR(
 (1.907*EXP(1)^(-0.5*tbl_CONTENT[[#This Row],[Layer]])) *
 ((tbl_CONTENT[[#This Row],[RelInt]]-1)^(2.5)*4^(1-2.5)+1) +
 ((tbl_CONTENT[[#This Row],[Comp]]-1)^(2.5)*4^(1-2.5)+1)*(0.5*((tbl_CONTENT[[#This Row],[RelInt]]-1)/4)^(2.5)+1),
 0
)</f>
        <v>1.9508265581762823</v>
      </c>
      <c r="R20" s="35">
        <f>IFERROR(
 (1.907*EXP(1)^(-0.5*VALUE(tbl_CONTENT[[#This Row],[Layer]]))) *
 ((VALUE(tbl_CONTENT[[#This Row],[RelId]])-1)^(2.5)*4^(1-2.5)+1) +
 ((VALUE(tbl_CONTENT[[#This Row],[Comp]])-1)^(2.5)*4^(1-2.5)+1)*(0.5*((VALUE(tbl_CONTENT[[#This Row],[RelId]])-1)/4)^(2.5)+1),
 0
)</f>
        <v>3.8150460770152788</v>
      </c>
    </row>
    <row r="21" spans="3:18" ht="17" x14ac:dyDescent="0.2">
      <c r="C21" s="22" t="str">
        <f>_xlfn.XLOOKUP(tbl_CONTENT[[#This Row],[TopicID]], tbl_TOPIC[TopicID], tbl_TOPIC[Subject], "")</f>
        <v>HA</v>
      </c>
      <c r="D21" s="22" t="str">
        <f xml:space="preserve"> tbl_CONTENT[[#This Row],[TopicID]] &amp; "-" &amp; TEXT(tbl_CONTENT[[#This Row],[TopicIDCount]], "00")</f>
        <v>HA-1-01-06</v>
      </c>
      <c r="F21" s="22" t="str">
        <f>_xlfn.XLOOKUP(tbl_CONTENT[[#This Row],[Topic]], tbl_TOPIC[Topic], tbl_TOPIC[TopicID], "")</f>
        <v>HA-1-01</v>
      </c>
      <c r="G21" s="22" cm="1">
        <f t="array" ref="G21">SUM((tbl_CONTENT[[#This Row],[TopicID]]=INDEX(tbl_CONTENT[TopicID],1):tbl_CONTENT[[#This Row],[TopicID]])*1)</f>
        <v>6</v>
      </c>
      <c r="H21" s="22" t="s">
        <v>159</v>
      </c>
      <c r="I21" s="37" t="s">
        <v>183</v>
      </c>
      <c r="J21" s="22" t="s">
        <v>153</v>
      </c>
      <c r="K21" s="22">
        <v>1</v>
      </c>
      <c r="L21" s="22">
        <v>1</v>
      </c>
      <c r="M21" s="22">
        <v>3</v>
      </c>
      <c r="N21" s="22">
        <v>5</v>
      </c>
      <c r="O21" s="22">
        <v>5</v>
      </c>
      <c r="Q21" s="35">
        <f>IFERROR(
 (1.907*EXP(1)^(-0.5*tbl_CONTENT[[#This Row],[Layer]])) *
 ((tbl_CONTENT[[#This Row],[RelInt]]-1)^(2.5)*4^(1-2.5)+1) +
 ((tbl_CONTENT[[#This Row],[Comp]]-1)^(2.5)*4^(1-2.5)+1)*(0.5*((tbl_CONTENT[[#This Row],[RelInt]]-1)/4)^(2.5)+1),
 0
)</f>
        <v>8.3439300121397828</v>
      </c>
      <c r="R21" s="35">
        <f>IFERROR(
 (1.907*EXP(1)^(-0.5*VALUE(tbl_CONTENT[[#This Row],[Layer]]))) *
 ((VALUE(tbl_CONTENT[[#This Row],[RelId]])-1)^(2.5)*4^(1-2.5)+1) +
 ((VALUE(tbl_CONTENT[[#This Row],[Comp]])-1)^(2.5)*4^(1-2.5)+1)*(0.5*((VALUE(tbl_CONTENT[[#This Row],[RelId]])-1)/4)^(2.5)+1),
 0
)</f>
        <v>8.3439300121397828</v>
      </c>
    </row>
    <row r="22" spans="3:18" ht="17" x14ac:dyDescent="0.2">
      <c r="C22" s="22" t="str">
        <f>_xlfn.XLOOKUP(tbl_CONTENT[[#This Row],[TopicID]], tbl_TOPIC[TopicID], tbl_TOPIC[Subject], "")</f>
        <v>HA</v>
      </c>
      <c r="D22" s="22" t="str">
        <f xml:space="preserve"> tbl_CONTENT[[#This Row],[TopicID]] &amp; "-" &amp; TEXT(tbl_CONTENT[[#This Row],[TopicIDCount]], "00")</f>
        <v>HA-1-01-07</v>
      </c>
      <c r="F22" s="22" t="str">
        <f>_xlfn.XLOOKUP(tbl_CONTENT[[#This Row],[Topic]], tbl_TOPIC[Topic], tbl_TOPIC[TopicID], "")</f>
        <v>HA-1-01</v>
      </c>
      <c r="G22" s="22" cm="1">
        <f t="array" ref="G22">SUM((tbl_CONTENT[[#This Row],[TopicID]]=INDEX(tbl_CONTENT[TopicID],1):tbl_CONTENT[[#This Row],[TopicID]])*1)</f>
        <v>7</v>
      </c>
      <c r="H22" s="22" t="s">
        <v>159</v>
      </c>
      <c r="I22" s="22" t="s">
        <v>184</v>
      </c>
      <c r="J22" s="22" t="s">
        <v>181</v>
      </c>
      <c r="K22" s="22">
        <v>1</v>
      </c>
      <c r="L22" s="22">
        <v>2</v>
      </c>
      <c r="M22" s="22">
        <v>4</v>
      </c>
      <c r="N22" s="22">
        <v>4</v>
      </c>
      <c r="O22" s="22">
        <v>5</v>
      </c>
      <c r="Q22" s="35">
        <f>IFERROR(
 (1.907*EXP(1)^(-0.5*tbl_CONTENT[[#This Row],[Layer]])) *
 ((tbl_CONTENT[[#This Row],[RelInt]]-1)^(2.5)*4^(1-2.5)+1) +
 ((tbl_CONTENT[[#This Row],[Comp]]-1)^(2.5)*4^(1-2.5)+1)*(0.5*((tbl_CONTENT[[#This Row],[RelInt]]-1)/4)^(2.5)+1),
 0
)</f>
        <v>5.7352849367469618</v>
      </c>
      <c r="R22" s="35">
        <f>IFERROR(
 (1.907*EXP(1)^(-0.5*VALUE(tbl_CONTENT[[#This Row],[Layer]]))) *
 ((VALUE(tbl_CONTENT[[#This Row],[RelId]])-1)^(2.5)*4^(1-2.5)+1) +
 ((VALUE(tbl_CONTENT[[#This Row],[Comp]])-1)^(2.5)*4^(1-2.5)+1)*(0.5*((VALUE(tbl_CONTENT[[#This Row],[RelId]])-1)/4)^(2.5)+1),
 0
)</f>
        <v>7.9305662093421851</v>
      </c>
    </row>
    <row r="23" spans="3:18" ht="17" x14ac:dyDescent="0.2">
      <c r="C23" s="22" t="str">
        <f>_xlfn.XLOOKUP(tbl_CONTENT[[#This Row],[TopicID]], tbl_TOPIC[TopicID], tbl_TOPIC[Subject], "")</f>
        <v>HA</v>
      </c>
      <c r="D23" s="22" t="str">
        <f xml:space="preserve"> tbl_CONTENT[[#This Row],[TopicID]] &amp; "-" &amp; TEXT(tbl_CONTENT[[#This Row],[TopicIDCount]], "00")</f>
        <v>HA-1-01-08</v>
      </c>
      <c r="F23" s="22" t="str">
        <f>_xlfn.XLOOKUP(tbl_CONTENT[[#This Row],[Topic]], tbl_TOPIC[Topic], tbl_TOPIC[TopicID], "")</f>
        <v>HA-1-01</v>
      </c>
      <c r="G23" s="22" cm="1">
        <f t="array" ref="G23">SUM((tbl_CONTENT[[#This Row],[TopicID]]=INDEX(tbl_CONTENT[TopicID],1):tbl_CONTENT[[#This Row],[TopicID]])*1)</f>
        <v>8</v>
      </c>
      <c r="H23" s="22" t="s">
        <v>159</v>
      </c>
      <c r="I23" s="37" t="s">
        <v>185</v>
      </c>
      <c r="J23" s="22" t="s">
        <v>153</v>
      </c>
      <c r="K23" s="22">
        <v>1</v>
      </c>
      <c r="L23" s="22">
        <v>1</v>
      </c>
      <c r="M23" s="22">
        <v>2</v>
      </c>
      <c r="N23" s="22">
        <v>5</v>
      </c>
      <c r="O23" s="22">
        <v>5</v>
      </c>
      <c r="Q23" s="35">
        <f>IFERROR(
 (1.907*EXP(1)^(-0.5*tbl_CONTENT[[#This Row],[Layer]])) *
 ((tbl_CONTENT[[#This Row],[RelInt]]-1)^(2.5)*4^(1-2.5)+1) +
 ((tbl_CONTENT[[#This Row],[Comp]]-1)^(2.5)*4^(1-2.5)+1)*(0.5*((tbl_CONTENT[[#This Row],[RelInt]]-1)/4)^(2.5)+1),
 0
)</f>
        <v>7.4707698403599609</v>
      </c>
      <c r="R23" s="35">
        <f>IFERROR(
 (1.907*EXP(1)^(-0.5*VALUE(tbl_CONTENT[[#This Row],[Layer]]))) *
 ((VALUE(tbl_CONTENT[[#This Row],[RelId]])-1)^(2.5)*4^(1-2.5)+1) +
 ((VALUE(tbl_CONTENT[[#This Row],[Comp]])-1)^(2.5)*4^(1-2.5)+1)*(0.5*((VALUE(tbl_CONTENT[[#This Row],[RelId]])-1)/4)^(2.5)+1),
 0
)</f>
        <v>7.4707698403599609</v>
      </c>
    </row>
    <row r="24" spans="3:18" ht="17" x14ac:dyDescent="0.2">
      <c r="C24" s="22" t="str">
        <f>_xlfn.XLOOKUP(tbl_CONTENT[[#This Row],[TopicID]], tbl_TOPIC[TopicID], tbl_TOPIC[Subject], "")</f>
        <v>HA</v>
      </c>
      <c r="D24" s="22" t="str">
        <f xml:space="preserve"> tbl_CONTENT[[#This Row],[TopicID]] &amp; "-" &amp; TEXT(tbl_CONTENT[[#This Row],[TopicIDCount]], "00")</f>
        <v>HA-1-01-09</v>
      </c>
      <c r="F24" s="22" t="str">
        <f>_xlfn.XLOOKUP(tbl_CONTENT[[#This Row],[Topic]], tbl_TOPIC[Topic], tbl_TOPIC[TopicID], "")</f>
        <v>HA-1-01</v>
      </c>
      <c r="G24" s="22" cm="1">
        <f t="array" ref="G24">SUM((tbl_CONTENT[[#This Row],[TopicID]]=INDEX(tbl_CONTENT[TopicID],1):tbl_CONTENT[[#This Row],[TopicID]])*1)</f>
        <v>9</v>
      </c>
      <c r="H24" s="22" t="s">
        <v>159</v>
      </c>
      <c r="I24" s="22" t="s">
        <v>189</v>
      </c>
      <c r="J24" s="22" t="s">
        <v>153</v>
      </c>
      <c r="K24" s="22">
        <v>1</v>
      </c>
      <c r="L24" s="22">
        <v>1</v>
      </c>
      <c r="M24" s="22">
        <v>2</v>
      </c>
      <c r="N24" s="22">
        <v>5</v>
      </c>
      <c r="O24" s="22">
        <v>5</v>
      </c>
      <c r="Q24" s="35">
        <f>IFERROR(
 (1.907*EXP(1)^(-0.5*tbl_CONTENT[[#This Row],[Layer]])) *
 ((tbl_CONTENT[[#This Row],[RelInt]]-1)^(2.5)*4^(1-2.5)+1) +
 ((tbl_CONTENT[[#This Row],[Comp]]-1)^(2.5)*4^(1-2.5)+1)*(0.5*((tbl_CONTENT[[#This Row],[RelInt]]-1)/4)^(2.5)+1),
 0
)</f>
        <v>7.4707698403599609</v>
      </c>
      <c r="R24" s="35">
        <f>IFERROR(
 (1.907*EXP(1)^(-0.5*VALUE(tbl_CONTENT[[#This Row],[Layer]]))) *
 ((VALUE(tbl_CONTENT[[#This Row],[RelId]])-1)^(2.5)*4^(1-2.5)+1) +
 ((VALUE(tbl_CONTENT[[#This Row],[Comp]])-1)^(2.5)*4^(1-2.5)+1)*(0.5*((VALUE(tbl_CONTENT[[#This Row],[RelId]])-1)/4)^(2.5)+1),
 0
)</f>
        <v>7.4707698403599609</v>
      </c>
    </row>
    <row r="25" spans="3:18" ht="17" x14ac:dyDescent="0.2">
      <c r="C25" s="22" t="str">
        <f>_xlfn.XLOOKUP(tbl_CONTENT[[#This Row],[TopicID]], tbl_TOPIC[TopicID], tbl_TOPIC[Subject], "")</f>
        <v>HA</v>
      </c>
      <c r="D25" s="22" t="str">
        <f xml:space="preserve"> tbl_CONTENT[[#This Row],[TopicID]] &amp; "-" &amp; TEXT(tbl_CONTENT[[#This Row],[TopicIDCount]], "00")</f>
        <v>HA-1-01-10</v>
      </c>
      <c r="F25" s="22" t="str">
        <f>_xlfn.XLOOKUP(tbl_CONTENT[[#This Row],[Topic]], tbl_TOPIC[Topic], tbl_TOPIC[TopicID], "")</f>
        <v>HA-1-01</v>
      </c>
      <c r="G25" s="22" cm="1">
        <f t="array" ref="G25">SUM((tbl_CONTENT[[#This Row],[TopicID]]=INDEX(tbl_CONTENT[TopicID],1):tbl_CONTENT[[#This Row],[TopicID]])*1)</f>
        <v>10</v>
      </c>
      <c r="H25" s="22" t="s">
        <v>159</v>
      </c>
      <c r="I25" s="22" t="s">
        <v>190</v>
      </c>
      <c r="J25" s="22" t="s">
        <v>153</v>
      </c>
      <c r="K25" s="22">
        <v>1</v>
      </c>
      <c r="L25" s="22">
        <v>2</v>
      </c>
      <c r="M25" s="22">
        <v>2</v>
      </c>
      <c r="N25" s="22">
        <v>4</v>
      </c>
      <c r="O25" s="22">
        <v>5</v>
      </c>
      <c r="Q25" s="35">
        <f>IFERROR(
 (1.907*EXP(1)^(-0.5*tbl_CONTENT[[#This Row],[Layer]])) *
 ((tbl_CONTENT[[#This Row],[RelInt]]-1)^(2.5)*4^(1-2.5)+1) +
 ((tbl_CONTENT[[#This Row],[Comp]]-1)^(2.5)*4^(1-2.5)+1)*(0.5*((tbl_CONTENT[[#This Row],[RelInt]]-1)/4)^(2.5)+1),
 0
)</f>
        <v>3.4675646088337704</v>
      </c>
      <c r="R25" s="35">
        <f>IFERROR(
 (1.907*EXP(1)^(-0.5*VALUE(tbl_CONTENT[[#This Row],[Layer]]))) *
 ((VALUE(tbl_CONTENT[[#This Row],[RelId]])-1)^(2.5)*4^(1-2.5)+1) +
 ((VALUE(tbl_CONTENT[[#This Row],[Comp]])-1)^(2.5)*4^(1-2.5)+1)*(0.5*((VALUE(tbl_CONTENT[[#This Row],[RelId]])-1)/4)^(2.5)+1),
 0
)</f>
        <v>5.1952304715697029</v>
      </c>
    </row>
    <row r="26" spans="3:18" ht="17" x14ac:dyDescent="0.2">
      <c r="C26" s="22" t="str">
        <f>_xlfn.XLOOKUP(tbl_CONTENT[[#This Row],[TopicID]], tbl_TOPIC[TopicID], tbl_TOPIC[Subject], "")</f>
        <v>HA</v>
      </c>
      <c r="D26" s="22" t="str">
        <f xml:space="preserve"> tbl_CONTENT[[#This Row],[TopicID]] &amp; "-" &amp; TEXT(tbl_CONTENT[[#This Row],[TopicIDCount]], "00")</f>
        <v>HA-1-01-11</v>
      </c>
      <c r="F26" s="22" t="str">
        <f>_xlfn.XLOOKUP(tbl_CONTENT[[#This Row],[Topic]], tbl_TOPIC[Topic], tbl_TOPIC[TopicID], "")</f>
        <v>HA-1-01</v>
      </c>
      <c r="G26" s="22" cm="1">
        <f t="array" ref="G26">SUM((tbl_CONTENT[[#This Row],[TopicID]]=INDEX(tbl_CONTENT[TopicID],1):tbl_CONTENT[[#This Row],[TopicID]])*1)</f>
        <v>11</v>
      </c>
      <c r="H26" s="22" t="s">
        <v>159</v>
      </c>
      <c r="I26" s="22" t="s">
        <v>191</v>
      </c>
      <c r="J26" s="22" t="s">
        <v>153</v>
      </c>
      <c r="K26" s="22">
        <v>1</v>
      </c>
      <c r="L26" s="22">
        <v>2</v>
      </c>
      <c r="M26" s="22">
        <v>2</v>
      </c>
      <c r="N26" s="22">
        <v>4</v>
      </c>
      <c r="O26" s="22">
        <v>5</v>
      </c>
      <c r="Q26" s="35">
        <f>IFERROR(
 (1.907*EXP(1)^(-0.5*tbl_CONTENT[[#This Row],[Layer]])) *
 ((tbl_CONTENT[[#This Row],[RelInt]]-1)^(2.5)*4^(1-2.5)+1) +
 ((tbl_CONTENT[[#This Row],[Comp]]-1)^(2.5)*4^(1-2.5)+1)*(0.5*((tbl_CONTENT[[#This Row],[RelInt]]-1)/4)^(2.5)+1),
 0
)</f>
        <v>3.4675646088337704</v>
      </c>
      <c r="R26" s="35">
        <f>IFERROR(
 (1.907*EXP(1)^(-0.5*VALUE(tbl_CONTENT[[#This Row],[Layer]]))) *
 ((VALUE(tbl_CONTENT[[#This Row],[RelId]])-1)^(2.5)*4^(1-2.5)+1) +
 ((VALUE(tbl_CONTENT[[#This Row],[Comp]])-1)^(2.5)*4^(1-2.5)+1)*(0.5*((VALUE(tbl_CONTENT[[#This Row],[RelId]])-1)/4)^(2.5)+1),
 0
)</f>
        <v>5.1952304715697029</v>
      </c>
    </row>
    <row r="27" spans="3:18" ht="17" x14ac:dyDescent="0.2">
      <c r="C27" s="22" t="str">
        <f>_xlfn.XLOOKUP(tbl_CONTENT[[#This Row],[TopicID]], tbl_TOPIC[TopicID], tbl_TOPIC[Subject], "")</f>
        <v>HA</v>
      </c>
      <c r="D27" s="22" t="str">
        <f xml:space="preserve"> tbl_CONTENT[[#This Row],[TopicID]] &amp; "-" &amp; TEXT(tbl_CONTENT[[#This Row],[TopicIDCount]], "00")</f>
        <v>HA-1-01-12</v>
      </c>
      <c r="F27" s="22" t="str">
        <f>_xlfn.XLOOKUP(tbl_CONTENT[[#This Row],[Topic]], tbl_TOPIC[Topic], tbl_TOPIC[TopicID], "")</f>
        <v>HA-1-01</v>
      </c>
      <c r="G27" s="22" cm="1">
        <f t="array" ref="G27">SUM((tbl_CONTENT[[#This Row],[TopicID]]=INDEX(tbl_CONTENT[TopicID],1):tbl_CONTENT[[#This Row],[TopicID]])*1)</f>
        <v>12</v>
      </c>
      <c r="H27" s="22" t="s">
        <v>159</v>
      </c>
      <c r="I27" s="22" t="s">
        <v>192</v>
      </c>
      <c r="J27" s="22" t="s">
        <v>153</v>
      </c>
      <c r="K27" s="22">
        <v>1</v>
      </c>
      <c r="L27" s="22">
        <v>2</v>
      </c>
      <c r="M27" s="22">
        <v>2</v>
      </c>
      <c r="N27" s="22">
        <v>4</v>
      </c>
      <c r="O27" s="22">
        <v>5</v>
      </c>
      <c r="Q27" s="35">
        <f>IFERROR(
 (1.907*EXP(1)^(-0.5*tbl_CONTENT[[#This Row],[Layer]])) *
 ((tbl_CONTENT[[#This Row],[RelInt]]-1)^(2.5)*4^(1-2.5)+1) +
 ((tbl_CONTENT[[#This Row],[Comp]]-1)^(2.5)*4^(1-2.5)+1)*(0.5*((tbl_CONTENT[[#This Row],[RelInt]]-1)/4)^(2.5)+1),
 0
)</f>
        <v>3.4675646088337704</v>
      </c>
      <c r="R27" s="35">
        <f>IFERROR(
 (1.907*EXP(1)^(-0.5*VALUE(tbl_CONTENT[[#This Row],[Layer]]))) *
 ((VALUE(tbl_CONTENT[[#This Row],[RelId]])-1)^(2.5)*4^(1-2.5)+1) +
 ((VALUE(tbl_CONTENT[[#This Row],[Comp]])-1)^(2.5)*4^(1-2.5)+1)*(0.5*((VALUE(tbl_CONTENT[[#This Row],[RelId]])-1)/4)^(2.5)+1),
 0
)</f>
        <v>5.1952304715697029</v>
      </c>
    </row>
    <row r="28" spans="3:18" ht="17" x14ac:dyDescent="0.2">
      <c r="C28" s="22" t="str">
        <f>_xlfn.XLOOKUP(tbl_CONTENT[[#This Row],[TopicID]], tbl_TOPIC[TopicID], tbl_TOPIC[Subject], "")</f>
        <v>HA</v>
      </c>
      <c r="D28" s="22" t="str">
        <f xml:space="preserve"> tbl_CONTENT[[#This Row],[TopicID]] &amp; "-" &amp; TEXT(tbl_CONTENT[[#This Row],[TopicIDCount]], "00")</f>
        <v>HA-1-01-13</v>
      </c>
      <c r="F28" s="22" t="str">
        <f>_xlfn.XLOOKUP(tbl_CONTENT[[#This Row],[Topic]], tbl_TOPIC[Topic], tbl_TOPIC[TopicID], "")</f>
        <v>HA-1-01</v>
      </c>
      <c r="G28" s="22" cm="1">
        <f t="array" ref="G28">SUM((tbl_CONTENT[[#This Row],[TopicID]]=INDEX(tbl_CONTENT[TopicID],1):tbl_CONTENT[[#This Row],[TopicID]])*1)</f>
        <v>13</v>
      </c>
      <c r="H28" s="22" t="s">
        <v>159</v>
      </c>
      <c r="I28" s="22" t="s">
        <v>193</v>
      </c>
      <c r="J28" s="22" t="s">
        <v>153</v>
      </c>
      <c r="K28" s="22">
        <v>1</v>
      </c>
      <c r="L28" s="22">
        <v>1</v>
      </c>
      <c r="M28" s="22">
        <v>2</v>
      </c>
      <c r="N28" s="22">
        <v>5</v>
      </c>
      <c r="O28" s="22">
        <v>5</v>
      </c>
      <c r="Q28" s="35">
        <f>IFERROR(
 (1.907*EXP(1)^(-0.5*tbl_CONTENT[[#This Row],[Layer]])) *
 ((tbl_CONTENT[[#This Row],[RelInt]]-1)^(2.5)*4^(1-2.5)+1) +
 ((tbl_CONTENT[[#This Row],[Comp]]-1)^(2.5)*4^(1-2.5)+1)*(0.5*((tbl_CONTENT[[#This Row],[RelInt]]-1)/4)^(2.5)+1),
 0
)</f>
        <v>7.4707698403599609</v>
      </c>
      <c r="R28" s="35">
        <f>IFERROR(
 (1.907*EXP(1)^(-0.5*VALUE(tbl_CONTENT[[#This Row],[Layer]]))) *
 ((VALUE(tbl_CONTENT[[#This Row],[RelId]])-1)^(2.5)*4^(1-2.5)+1) +
 ((VALUE(tbl_CONTENT[[#This Row],[Comp]])-1)^(2.5)*4^(1-2.5)+1)*(0.5*((VALUE(tbl_CONTENT[[#This Row],[RelId]])-1)/4)^(2.5)+1),
 0
)</f>
        <v>7.4707698403599609</v>
      </c>
    </row>
    <row r="29" spans="3:18" ht="17" x14ac:dyDescent="0.2">
      <c r="C29" s="22" t="str">
        <f>_xlfn.XLOOKUP(tbl_CONTENT[[#This Row],[TopicID]], tbl_TOPIC[TopicID], tbl_TOPIC[Subject], "")</f>
        <v>HA</v>
      </c>
      <c r="D29" s="22" t="str">
        <f xml:space="preserve"> tbl_CONTENT[[#This Row],[TopicID]] &amp; "-" &amp; TEXT(tbl_CONTENT[[#This Row],[TopicIDCount]], "00")</f>
        <v>HA-1-01-14</v>
      </c>
      <c r="F29" s="22" t="str">
        <f>_xlfn.XLOOKUP(tbl_CONTENT[[#This Row],[Topic]], tbl_TOPIC[Topic], tbl_TOPIC[TopicID], "")</f>
        <v>HA-1-01</v>
      </c>
      <c r="G29" s="22" cm="1">
        <f t="array" ref="G29">SUM((tbl_CONTENT[[#This Row],[TopicID]]=INDEX(tbl_CONTENT[TopicID],1):tbl_CONTENT[[#This Row],[TopicID]])*1)</f>
        <v>14</v>
      </c>
      <c r="H29" s="22" t="s">
        <v>159</v>
      </c>
      <c r="I29" s="22" t="s">
        <v>194</v>
      </c>
      <c r="J29" s="22" t="s">
        <v>153</v>
      </c>
      <c r="K29" s="22">
        <v>1</v>
      </c>
      <c r="L29" s="22">
        <v>1</v>
      </c>
      <c r="M29" s="22">
        <v>3</v>
      </c>
      <c r="N29" s="22">
        <v>2</v>
      </c>
      <c r="O29" s="22">
        <v>5</v>
      </c>
      <c r="Q29" s="35">
        <f>IFERROR(
 (1.907*EXP(1)^(-0.5*tbl_CONTENT[[#This Row],[Layer]])) *
 ((tbl_CONTENT[[#This Row],[RelInt]]-1)^(2.5)*4^(1-2.5)+1) +
 ((tbl_CONTENT[[#This Row],[Comp]]-1)^(2.5)*4^(1-2.5)+1)*(0.5*((tbl_CONTENT[[#This Row],[RelInt]]-1)/4)^(2.5)+1),
 0
)</f>
        <v>3.0350160387235787</v>
      </c>
      <c r="R29" s="35">
        <f>IFERROR(
 (1.907*EXP(1)^(-0.5*VALUE(tbl_CONTENT[[#This Row],[Layer]]))) *
 ((VALUE(tbl_CONTENT[[#This Row],[RelId]])-1)^(2.5)*4^(1-2.5)+1) +
 ((VALUE(tbl_CONTENT[[#This Row],[Comp]])-1)^(2.5)*4^(1-2.5)+1)*(0.5*((VALUE(tbl_CONTENT[[#This Row],[RelId]])-1)/4)^(2.5)+1),
 0
)</f>
        <v>8.3439300121397828</v>
      </c>
    </row>
    <row r="30" spans="3:18" ht="17" x14ac:dyDescent="0.2">
      <c r="C30" s="22" t="str">
        <f>_xlfn.XLOOKUP(tbl_CONTENT[[#This Row],[TopicID]], tbl_TOPIC[TopicID], tbl_TOPIC[Subject], "")</f>
        <v>HA</v>
      </c>
      <c r="D30" s="22" t="str">
        <f xml:space="preserve"> tbl_CONTENT[[#This Row],[TopicID]] &amp; "-" &amp; TEXT(tbl_CONTENT[[#This Row],[TopicIDCount]], "00")</f>
        <v>HA-1-01-15</v>
      </c>
      <c r="F30" s="22" t="str">
        <f>_xlfn.XLOOKUP(tbl_CONTENT[[#This Row],[Topic]], tbl_TOPIC[Topic], tbl_TOPIC[TopicID], "")</f>
        <v>HA-1-01</v>
      </c>
      <c r="G30" s="22" cm="1">
        <f t="array" ref="G30">SUM((tbl_CONTENT[[#This Row],[TopicID]]=INDEX(tbl_CONTENT[TopicID],1):tbl_CONTENT[[#This Row],[TopicID]])*1)</f>
        <v>15</v>
      </c>
      <c r="H30" s="22" t="s">
        <v>159</v>
      </c>
      <c r="I30" s="22" t="s">
        <v>195</v>
      </c>
      <c r="J30" s="22" t="s">
        <v>153</v>
      </c>
      <c r="K30" s="22">
        <v>1</v>
      </c>
      <c r="L30" s="22">
        <v>2</v>
      </c>
      <c r="M30" s="22">
        <v>2</v>
      </c>
      <c r="N30" s="22">
        <v>4</v>
      </c>
      <c r="O30" s="22">
        <v>5</v>
      </c>
      <c r="Q30" s="35">
        <f>IFERROR(
 (1.907*EXP(1)^(-0.5*tbl_CONTENT[[#This Row],[Layer]])) *
 ((tbl_CONTENT[[#This Row],[RelInt]]-1)^(2.5)*4^(1-2.5)+1) +
 ((tbl_CONTENT[[#This Row],[Comp]]-1)^(2.5)*4^(1-2.5)+1)*(0.5*((tbl_CONTENT[[#This Row],[RelInt]]-1)/4)^(2.5)+1),
 0
)</f>
        <v>3.4675646088337704</v>
      </c>
      <c r="R30" s="35">
        <f>IFERROR(
 (1.907*EXP(1)^(-0.5*VALUE(tbl_CONTENT[[#This Row],[Layer]]))) *
 ((VALUE(tbl_CONTENT[[#This Row],[RelId]])-1)^(2.5)*4^(1-2.5)+1) +
 ((VALUE(tbl_CONTENT[[#This Row],[Comp]])-1)^(2.5)*4^(1-2.5)+1)*(0.5*((VALUE(tbl_CONTENT[[#This Row],[RelId]])-1)/4)^(2.5)+1),
 0
)</f>
        <v>5.1952304715697029</v>
      </c>
    </row>
    <row r="31" spans="3:18" ht="17" x14ac:dyDescent="0.2">
      <c r="C31" s="22" t="str">
        <f>_xlfn.XLOOKUP(tbl_CONTENT[[#This Row],[TopicID]], tbl_TOPIC[TopicID], tbl_TOPIC[Subject], "")</f>
        <v>HA</v>
      </c>
      <c r="D31" s="22" t="str">
        <f xml:space="preserve"> tbl_CONTENT[[#This Row],[TopicID]] &amp; "-" &amp; TEXT(tbl_CONTENT[[#This Row],[TopicIDCount]], "00")</f>
        <v>HA-1-01-16</v>
      </c>
      <c r="F31" s="22" t="str">
        <f>_xlfn.XLOOKUP(tbl_CONTENT[[#This Row],[Topic]], tbl_TOPIC[Topic], tbl_TOPIC[TopicID], "")</f>
        <v>HA-1-01</v>
      </c>
      <c r="G31" s="22" cm="1">
        <f t="array" ref="G31">SUM((tbl_CONTENT[[#This Row],[TopicID]]=INDEX(tbl_CONTENT[TopicID],1):tbl_CONTENT[[#This Row],[TopicID]])*1)</f>
        <v>16</v>
      </c>
      <c r="H31" s="22" t="s">
        <v>159</v>
      </c>
      <c r="I31" s="37" t="s">
        <v>196</v>
      </c>
      <c r="J31" s="22" t="s">
        <v>153</v>
      </c>
      <c r="K31" s="22">
        <v>1</v>
      </c>
      <c r="L31" s="22">
        <v>1</v>
      </c>
      <c r="M31" s="22">
        <v>3</v>
      </c>
      <c r="N31" s="22">
        <v>5</v>
      </c>
      <c r="O31" s="22">
        <v>5</v>
      </c>
      <c r="Q31" s="35">
        <f>IFERROR(
 (1.907*EXP(1)^(-0.5*tbl_CONTENT[[#This Row],[Layer]])) *
 ((tbl_CONTENT[[#This Row],[RelInt]]-1)^(2.5)*4^(1-2.5)+1) +
 ((tbl_CONTENT[[#This Row],[Comp]]-1)^(2.5)*4^(1-2.5)+1)*(0.5*((tbl_CONTENT[[#This Row],[RelInt]]-1)/4)^(2.5)+1),
 0
)</f>
        <v>8.3439300121397828</v>
      </c>
      <c r="R31" s="35">
        <f>IFERROR(
 (1.907*EXP(1)^(-0.5*VALUE(tbl_CONTENT[[#This Row],[Layer]]))) *
 ((VALUE(tbl_CONTENT[[#This Row],[RelId]])-1)^(2.5)*4^(1-2.5)+1) +
 ((VALUE(tbl_CONTENT[[#This Row],[Comp]])-1)^(2.5)*4^(1-2.5)+1)*(0.5*((VALUE(tbl_CONTENT[[#This Row],[RelId]])-1)/4)^(2.5)+1),
 0
)</f>
        <v>8.3439300121397828</v>
      </c>
    </row>
    <row r="32" spans="3:18" ht="17" x14ac:dyDescent="0.2">
      <c r="C32" s="22" t="str">
        <f>_xlfn.XLOOKUP(tbl_CONTENT[[#This Row],[TopicID]], tbl_TOPIC[TopicID], tbl_TOPIC[Subject], "")</f>
        <v>HA</v>
      </c>
      <c r="D32" s="22" t="str">
        <f xml:space="preserve"> tbl_CONTENT[[#This Row],[TopicID]] &amp; "-" &amp; TEXT(tbl_CONTENT[[#This Row],[TopicIDCount]], "00")</f>
        <v>HA-1-01-17</v>
      </c>
      <c r="F32" s="22" t="str">
        <f>_xlfn.XLOOKUP(tbl_CONTENT[[#This Row],[Topic]], tbl_TOPIC[Topic], tbl_TOPIC[TopicID], "")</f>
        <v>HA-1-01</v>
      </c>
      <c r="G32" s="22" cm="1">
        <f t="array" ref="G32">SUM((tbl_CONTENT[[#This Row],[TopicID]]=INDEX(tbl_CONTENT[TopicID],1):tbl_CONTENT[[#This Row],[TopicID]])*1)</f>
        <v>17</v>
      </c>
      <c r="H32" s="22" t="s">
        <v>159</v>
      </c>
      <c r="I32" s="22" t="s">
        <v>197</v>
      </c>
      <c r="J32" s="22" t="s">
        <v>153</v>
      </c>
      <c r="K32" s="22">
        <v>1</v>
      </c>
      <c r="L32" s="22">
        <v>2</v>
      </c>
      <c r="M32" s="22">
        <v>2</v>
      </c>
      <c r="N32" s="22">
        <v>4</v>
      </c>
      <c r="O32" s="22">
        <v>5</v>
      </c>
      <c r="Q32" s="35">
        <f>IFERROR(
 (1.907*EXP(1)^(-0.5*tbl_CONTENT[[#This Row],[Layer]])) *
 ((tbl_CONTENT[[#This Row],[RelInt]]-1)^(2.5)*4^(1-2.5)+1) +
 ((tbl_CONTENT[[#This Row],[Comp]]-1)^(2.5)*4^(1-2.5)+1)*(0.5*((tbl_CONTENT[[#This Row],[RelInt]]-1)/4)^(2.5)+1),
 0
)</f>
        <v>3.4675646088337704</v>
      </c>
      <c r="R32" s="35">
        <f>IFERROR(
 (1.907*EXP(1)^(-0.5*VALUE(tbl_CONTENT[[#This Row],[Layer]]))) *
 ((VALUE(tbl_CONTENT[[#This Row],[RelId]])-1)^(2.5)*4^(1-2.5)+1) +
 ((VALUE(tbl_CONTENT[[#This Row],[Comp]])-1)^(2.5)*4^(1-2.5)+1)*(0.5*((VALUE(tbl_CONTENT[[#This Row],[RelId]])-1)/4)^(2.5)+1),
 0
)</f>
        <v>5.1952304715697029</v>
      </c>
    </row>
    <row r="33" spans="3:18" ht="34" x14ac:dyDescent="0.2">
      <c r="C33" s="22" t="str">
        <f>_xlfn.XLOOKUP(tbl_CONTENT[[#This Row],[TopicID]], tbl_TOPIC[TopicID], tbl_TOPIC[Subject], "")</f>
        <v>HA</v>
      </c>
      <c r="D33" s="22" t="str">
        <f xml:space="preserve"> tbl_CONTENT[[#This Row],[TopicID]] &amp; "-" &amp; TEXT(tbl_CONTENT[[#This Row],[TopicIDCount]], "00")</f>
        <v>HA-1-01-18</v>
      </c>
      <c r="F33" s="22" t="str">
        <f>_xlfn.XLOOKUP(tbl_CONTENT[[#This Row],[Topic]], tbl_TOPIC[Topic], tbl_TOPIC[TopicID], "")</f>
        <v>HA-1-01</v>
      </c>
      <c r="G33" s="22" cm="1">
        <f t="array" ref="G33">SUM((tbl_CONTENT[[#This Row],[TopicID]]=INDEX(tbl_CONTENT[TopicID],1):tbl_CONTENT[[#This Row],[TopicID]])*1)</f>
        <v>18</v>
      </c>
      <c r="H33" s="22" t="s">
        <v>159</v>
      </c>
      <c r="I33" s="22" t="s">
        <v>198</v>
      </c>
      <c r="J33" s="22" t="s">
        <v>153</v>
      </c>
      <c r="K33" s="22">
        <v>1</v>
      </c>
      <c r="L33" s="22">
        <v>2</v>
      </c>
      <c r="M33" s="22">
        <v>2</v>
      </c>
      <c r="N33" s="22">
        <v>4</v>
      </c>
      <c r="O33" s="22">
        <v>5</v>
      </c>
      <c r="Q33" s="35">
        <f>IFERROR(
 (1.907*EXP(1)^(-0.5*tbl_CONTENT[[#This Row],[Layer]])) *
 ((tbl_CONTENT[[#This Row],[RelInt]]-1)^(2.5)*4^(1-2.5)+1) +
 ((tbl_CONTENT[[#This Row],[Comp]]-1)^(2.5)*4^(1-2.5)+1)*(0.5*((tbl_CONTENT[[#This Row],[RelInt]]-1)/4)^(2.5)+1),
 0
)</f>
        <v>3.4675646088337704</v>
      </c>
      <c r="R33" s="35">
        <f>IFERROR(
 (1.907*EXP(1)^(-0.5*VALUE(tbl_CONTENT[[#This Row],[Layer]]))) *
 ((VALUE(tbl_CONTENT[[#This Row],[RelId]])-1)^(2.5)*4^(1-2.5)+1) +
 ((VALUE(tbl_CONTENT[[#This Row],[Comp]])-1)^(2.5)*4^(1-2.5)+1)*(0.5*((VALUE(tbl_CONTENT[[#This Row],[RelId]])-1)/4)^(2.5)+1),
 0
)</f>
        <v>5.1952304715697029</v>
      </c>
    </row>
    <row r="34" spans="3:18" ht="17" x14ac:dyDescent="0.2">
      <c r="C34" s="22" t="str">
        <f>_xlfn.XLOOKUP(tbl_CONTENT[[#This Row],[TopicID]], tbl_TOPIC[TopicID], tbl_TOPIC[Subject], "")</f>
        <v>HA</v>
      </c>
      <c r="D34" s="22" t="str">
        <f xml:space="preserve"> tbl_CONTENT[[#This Row],[TopicID]] &amp; "-" &amp; TEXT(tbl_CONTENT[[#This Row],[TopicIDCount]], "00")</f>
        <v>HA-1-01-19</v>
      </c>
      <c r="F34" s="22" t="str">
        <f>_xlfn.XLOOKUP(tbl_CONTENT[[#This Row],[Topic]], tbl_TOPIC[Topic], tbl_TOPIC[TopicID], "")</f>
        <v>HA-1-01</v>
      </c>
      <c r="G34" s="22" cm="1">
        <f t="array" ref="G34">SUM((tbl_CONTENT[[#This Row],[TopicID]]=INDEX(tbl_CONTENT[TopicID],1):tbl_CONTENT[[#This Row],[TopicID]])*1)</f>
        <v>19</v>
      </c>
      <c r="H34" s="22" t="s">
        <v>159</v>
      </c>
      <c r="I34" s="37" t="s">
        <v>199</v>
      </c>
      <c r="J34" s="22" t="s">
        <v>153</v>
      </c>
      <c r="K34" s="22">
        <v>1</v>
      </c>
      <c r="L34" s="22">
        <v>1</v>
      </c>
      <c r="M34" s="22">
        <v>3</v>
      </c>
      <c r="N34" s="22">
        <v>5</v>
      </c>
      <c r="O34" s="22">
        <v>5</v>
      </c>
      <c r="Q34" s="35">
        <f>IFERROR(
 (1.907*EXP(1)^(-0.5*tbl_CONTENT[[#This Row],[Layer]])) *
 ((tbl_CONTENT[[#This Row],[RelInt]]-1)^(2.5)*4^(1-2.5)+1) +
 ((tbl_CONTENT[[#This Row],[Comp]]-1)^(2.5)*4^(1-2.5)+1)*(0.5*((tbl_CONTENT[[#This Row],[RelInt]]-1)/4)^(2.5)+1),
 0
)</f>
        <v>8.3439300121397828</v>
      </c>
      <c r="R34" s="35">
        <f>IFERROR(
 (1.907*EXP(1)^(-0.5*VALUE(tbl_CONTENT[[#This Row],[Layer]]))) *
 ((VALUE(tbl_CONTENT[[#This Row],[RelId]])-1)^(2.5)*4^(1-2.5)+1) +
 ((VALUE(tbl_CONTENT[[#This Row],[Comp]])-1)^(2.5)*4^(1-2.5)+1)*(0.5*((VALUE(tbl_CONTENT[[#This Row],[RelId]])-1)/4)^(2.5)+1),
 0
)</f>
        <v>8.3439300121397828</v>
      </c>
    </row>
    <row r="35" spans="3:18" ht="34" x14ac:dyDescent="0.2">
      <c r="C35" s="22" t="str">
        <f>_xlfn.XLOOKUP(tbl_CONTENT[[#This Row],[TopicID]], tbl_TOPIC[TopicID], tbl_TOPIC[Subject], "")</f>
        <v>HA</v>
      </c>
      <c r="D35" s="22" t="str">
        <f xml:space="preserve"> tbl_CONTENT[[#This Row],[TopicID]] &amp; "-" &amp; TEXT(tbl_CONTENT[[#This Row],[TopicIDCount]], "00")</f>
        <v>HA-1-01-20</v>
      </c>
      <c r="F35" s="22" t="str">
        <f>_xlfn.XLOOKUP(tbl_CONTENT[[#This Row],[Topic]], tbl_TOPIC[Topic], tbl_TOPIC[TopicID], "")</f>
        <v>HA-1-01</v>
      </c>
      <c r="G35" s="22" cm="1">
        <f t="array" ref="G35">SUM((tbl_CONTENT[[#This Row],[TopicID]]=INDEX(tbl_CONTENT[TopicID],1):tbl_CONTENT[[#This Row],[TopicID]])*1)</f>
        <v>20</v>
      </c>
      <c r="H35" s="22" t="s">
        <v>159</v>
      </c>
      <c r="I35" s="22" t="s">
        <v>200</v>
      </c>
      <c r="J35" s="22" t="s">
        <v>181</v>
      </c>
      <c r="K35" s="22">
        <v>1</v>
      </c>
      <c r="L35" s="22">
        <v>2</v>
      </c>
      <c r="M35" s="22">
        <v>3</v>
      </c>
      <c r="N35" s="22">
        <v>5</v>
      </c>
      <c r="O35" s="22">
        <v>5</v>
      </c>
      <c r="Q35" s="35">
        <f>IFERROR(
 (1.907*EXP(1)^(-0.5*tbl_CONTENT[[#This Row],[Layer]])) *
 ((tbl_CONTENT[[#This Row],[RelInt]]-1)^(2.5)*4^(1-2.5)+1) +
 ((tbl_CONTENT[[#This Row],[Comp]]-1)^(2.5)*4^(1-2.5)+1)*(0.5*((tbl_CONTENT[[#This Row],[RelInt]]-1)/4)^(2.5)+1),
 0
)</f>
        <v>6.0683906433495247</v>
      </c>
      <c r="R35" s="35">
        <f>IFERROR(
 (1.907*EXP(1)^(-0.5*VALUE(tbl_CONTENT[[#This Row],[Layer]]))) *
 ((VALUE(tbl_CONTENT[[#This Row],[RelId]])-1)^(2.5)*4^(1-2.5)+1) +
 ((VALUE(tbl_CONTENT[[#This Row],[Comp]])-1)^(2.5)*4^(1-2.5)+1)*(0.5*((VALUE(tbl_CONTENT[[#This Row],[RelId]])-1)/4)^(2.5)+1),
 0
)</f>
        <v>6.0683906433495247</v>
      </c>
    </row>
    <row r="36" spans="3:18" ht="17" x14ac:dyDescent="0.2">
      <c r="C36" s="22" t="str">
        <f>_xlfn.XLOOKUP(tbl_CONTENT[[#This Row],[TopicID]], tbl_TOPIC[TopicID], tbl_TOPIC[Subject], "")</f>
        <v>HA</v>
      </c>
      <c r="D36" s="22" t="str">
        <f xml:space="preserve"> tbl_CONTENT[[#This Row],[TopicID]] &amp; "-" &amp; TEXT(tbl_CONTENT[[#This Row],[TopicIDCount]], "00")</f>
        <v>HA-1-01-21</v>
      </c>
      <c r="F36" s="22" t="str">
        <f>_xlfn.XLOOKUP(tbl_CONTENT[[#This Row],[Topic]], tbl_TOPIC[Topic], tbl_TOPIC[TopicID], "")</f>
        <v>HA-1-01</v>
      </c>
      <c r="G36" s="22" cm="1">
        <f t="array" ref="G36">SUM((tbl_CONTENT[[#This Row],[TopicID]]=INDEX(tbl_CONTENT[TopicID],1):tbl_CONTENT[[#This Row],[TopicID]])*1)</f>
        <v>21</v>
      </c>
      <c r="H36" s="22" t="s">
        <v>159</v>
      </c>
      <c r="I36" s="37" t="s">
        <v>201</v>
      </c>
      <c r="J36" s="22" t="s">
        <v>153</v>
      </c>
      <c r="K36" s="22">
        <v>1</v>
      </c>
      <c r="L36" s="22">
        <v>1</v>
      </c>
      <c r="M36" s="22">
        <v>2</v>
      </c>
      <c r="N36" s="22">
        <v>5</v>
      </c>
      <c r="O36" s="22">
        <v>5</v>
      </c>
      <c r="Q36" s="35">
        <f>IFERROR(
 (1.907*EXP(1)^(-0.5*tbl_CONTENT[[#This Row],[Layer]])) *
 ((tbl_CONTENT[[#This Row],[RelInt]]-1)^(2.5)*4^(1-2.5)+1) +
 ((tbl_CONTENT[[#This Row],[Comp]]-1)^(2.5)*4^(1-2.5)+1)*(0.5*((tbl_CONTENT[[#This Row],[RelInt]]-1)/4)^(2.5)+1),
 0
)</f>
        <v>7.4707698403599609</v>
      </c>
      <c r="R36" s="35">
        <f>IFERROR(
 (1.907*EXP(1)^(-0.5*VALUE(tbl_CONTENT[[#This Row],[Layer]]))) *
 ((VALUE(tbl_CONTENT[[#This Row],[RelId]])-1)^(2.5)*4^(1-2.5)+1) +
 ((VALUE(tbl_CONTENT[[#This Row],[Comp]])-1)^(2.5)*4^(1-2.5)+1)*(0.5*((VALUE(tbl_CONTENT[[#This Row],[RelId]])-1)/4)^(2.5)+1),
 0
)</f>
        <v>7.4707698403599609</v>
      </c>
    </row>
    <row r="37" spans="3:18" ht="17" x14ac:dyDescent="0.2">
      <c r="C37" s="22" t="str">
        <f>_xlfn.XLOOKUP(tbl_CONTENT[[#This Row],[TopicID]], tbl_TOPIC[TopicID], tbl_TOPIC[Subject], "")</f>
        <v>HA</v>
      </c>
      <c r="D37" s="22" t="str">
        <f xml:space="preserve"> tbl_CONTENT[[#This Row],[TopicID]] &amp; "-" &amp; TEXT(tbl_CONTENT[[#This Row],[TopicIDCount]], "00")</f>
        <v>HA-1-02-01</v>
      </c>
      <c r="F37" s="22" t="str">
        <f>_xlfn.XLOOKUP(tbl_CONTENT[[#This Row],[Topic]], tbl_TOPIC[Topic], tbl_TOPIC[TopicID], "")</f>
        <v>HA-1-02</v>
      </c>
      <c r="G37" s="22" cm="1">
        <f t="array" ref="G37">SUM((tbl_CONTENT[[#This Row],[TopicID]]=INDEX(tbl_CONTENT[TopicID],1):tbl_CONTENT[[#This Row],[TopicID]])*1)</f>
        <v>1</v>
      </c>
      <c r="H37" s="22" t="s">
        <v>132</v>
      </c>
      <c r="I37" s="22" t="s">
        <v>202</v>
      </c>
      <c r="J37" s="22" t="s">
        <v>153</v>
      </c>
      <c r="K37" s="22">
        <v>1</v>
      </c>
      <c r="L37" s="22">
        <v>1</v>
      </c>
      <c r="M37" s="22">
        <v>3</v>
      </c>
      <c r="N37" s="22">
        <v>2</v>
      </c>
      <c r="O37" s="22">
        <v>5</v>
      </c>
      <c r="Q37" s="35">
        <f>IFERROR(
 (1.907*EXP(1)^(-0.5*tbl_CONTENT[[#This Row],[Layer]])) *
 ((tbl_CONTENT[[#This Row],[RelInt]]-1)^(2.5)*4^(1-2.5)+1) +
 ((tbl_CONTENT[[#This Row],[Comp]]-1)^(2.5)*4^(1-2.5)+1)*(0.5*((tbl_CONTENT[[#This Row],[RelInt]]-1)/4)^(2.5)+1),
 0
)</f>
        <v>3.0350160387235787</v>
      </c>
      <c r="R37" s="35">
        <f>IFERROR(
 (1.907*EXP(1)^(-0.5*VALUE(tbl_CONTENT[[#This Row],[Layer]]))) *
 ((VALUE(tbl_CONTENT[[#This Row],[RelId]])-1)^(2.5)*4^(1-2.5)+1) +
 ((VALUE(tbl_CONTENT[[#This Row],[Comp]])-1)^(2.5)*4^(1-2.5)+1)*(0.5*((VALUE(tbl_CONTENT[[#This Row],[RelId]])-1)/4)^(2.5)+1),
 0
)</f>
        <v>8.3439300121397828</v>
      </c>
    </row>
    <row r="38" spans="3:18" ht="17" x14ac:dyDescent="0.2">
      <c r="C38" s="22" t="str">
        <f>_xlfn.XLOOKUP(tbl_CONTENT[[#This Row],[TopicID]], tbl_TOPIC[TopicID], tbl_TOPIC[Subject], "")</f>
        <v>HA</v>
      </c>
      <c r="D38" s="22" t="str">
        <f xml:space="preserve"> tbl_CONTENT[[#This Row],[TopicID]] &amp; "-" &amp; TEXT(tbl_CONTENT[[#This Row],[TopicIDCount]], "00")</f>
        <v>HA-1-02-02</v>
      </c>
      <c r="F38" s="22" t="str">
        <f>_xlfn.XLOOKUP(tbl_CONTENT[[#This Row],[Topic]], tbl_TOPIC[Topic], tbl_TOPIC[TopicID], "")</f>
        <v>HA-1-02</v>
      </c>
      <c r="G38" s="22" cm="1">
        <f t="array" ref="G38">SUM((tbl_CONTENT[[#This Row],[TopicID]]=INDEX(tbl_CONTENT[TopicID],1):tbl_CONTENT[[#This Row],[TopicID]])*1)</f>
        <v>2</v>
      </c>
      <c r="H38" s="22" t="s">
        <v>132</v>
      </c>
      <c r="I38" s="22" t="s">
        <v>203</v>
      </c>
      <c r="J38" s="22" t="s">
        <v>153</v>
      </c>
      <c r="K38" s="22">
        <v>1</v>
      </c>
      <c r="L38" s="22">
        <v>1</v>
      </c>
      <c r="M38" s="22">
        <v>2</v>
      </c>
      <c r="N38" s="22">
        <v>5</v>
      </c>
      <c r="O38" s="22">
        <v>5</v>
      </c>
      <c r="Q38" s="35">
        <f>IFERROR(
 (1.907*EXP(1)^(-0.5*tbl_CONTENT[[#This Row],[Layer]])) *
 ((tbl_CONTENT[[#This Row],[RelInt]]-1)^(2.5)*4^(1-2.5)+1) +
 ((tbl_CONTENT[[#This Row],[Comp]]-1)^(2.5)*4^(1-2.5)+1)*(0.5*((tbl_CONTENT[[#This Row],[RelInt]]-1)/4)^(2.5)+1),
 0
)</f>
        <v>7.4707698403599609</v>
      </c>
      <c r="R38" s="35">
        <f>IFERROR(
 (1.907*EXP(1)^(-0.5*VALUE(tbl_CONTENT[[#This Row],[Layer]]))) *
 ((VALUE(tbl_CONTENT[[#This Row],[RelId]])-1)^(2.5)*4^(1-2.5)+1) +
 ((VALUE(tbl_CONTENT[[#This Row],[Comp]])-1)^(2.5)*4^(1-2.5)+1)*(0.5*((VALUE(tbl_CONTENT[[#This Row],[RelId]])-1)/4)^(2.5)+1),
 0
)</f>
        <v>7.4707698403599609</v>
      </c>
    </row>
    <row r="39" spans="3:18" ht="17" x14ac:dyDescent="0.2">
      <c r="C39" s="22" t="str">
        <f>_xlfn.XLOOKUP(tbl_CONTENT[[#This Row],[TopicID]], tbl_TOPIC[TopicID], tbl_TOPIC[Subject], "")</f>
        <v>HA</v>
      </c>
      <c r="D39" s="22" t="str">
        <f xml:space="preserve"> tbl_CONTENT[[#This Row],[TopicID]] &amp; "-" &amp; TEXT(tbl_CONTENT[[#This Row],[TopicIDCount]], "00")</f>
        <v>HA-1-02-03</v>
      </c>
      <c r="F39" s="22" t="str">
        <f>_xlfn.XLOOKUP(tbl_CONTENT[[#This Row],[Topic]], tbl_TOPIC[Topic], tbl_TOPIC[TopicID], "")</f>
        <v>HA-1-02</v>
      </c>
      <c r="G39" s="22" cm="1">
        <f t="array" ref="G39">SUM((tbl_CONTENT[[#This Row],[TopicID]]=INDEX(tbl_CONTENT[TopicID],1):tbl_CONTENT[[#This Row],[TopicID]])*1)</f>
        <v>3</v>
      </c>
      <c r="H39" s="22" t="s">
        <v>132</v>
      </c>
      <c r="I39" s="22" t="s">
        <v>204</v>
      </c>
      <c r="K39" s="22">
        <v>1</v>
      </c>
      <c r="L39" s="22">
        <v>1</v>
      </c>
      <c r="M39" s="22">
        <v>2</v>
      </c>
      <c r="N39" s="22">
        <v>5</v>
      </c>
      <c r="O39" s="22">
        <v>5</v>
      </c>
      <c r="Q39" s="35">
        <f>IFERROR(
 (1.907*EXP(1)^(-0.5*tbl_CONTENT[[#This Row],[Layer]])) *
 ((tbl_CONTENT[[#This Row],[RelInt]]-1)^(2.5)*4^(1-2.5)+1) +
 ((tbl_CONTENT[[#This Row],[Comp]]-1)^(2.5)*4^(1-2.5)+1)*(0.5*((tbl_CONTENT[[#This Row],[RelInt]]-1)/4)^(2.5)+1),
 0
)</f>
        <v>7.4707698403599609</v>
      </c>
      <c r="R39" s="35">
        <f>IFERROR(
 (1.907*EXP(1)^(-0.5*VALUE(tbl_CONTENT[[#This Row],[Layer]]))) *
 ((VALUE(tbl_CONTENT[[#This Row],[RelId]])-1)^(2.5)*4^(1-2.5)+1) +
 ((VALUE(tbl_CONTENT[[#This Row],[Comp]])-1)^(2.5)*4^(1-2.5)+1)*(0.5*((VALUE(tbl_CONTENT[[#This Row],[RelId]])-1)/4)^(2.5)+1),
 0
)</f>
        <v>7.4707698403599609</v>
      </c>
    </row>
    <row r="40" spans="3:18" ht="17" x14ac:dyDescent="0.2">
      <c r="C40" s="22" t="str">
        <f>_xlfn.XLOOKUP(tbl_CONTENT[[#This Row],[TopicID]], tbl_TOPIC[TopicID], tbl_TOPIC[Subject], "")</f>
        <v>HA</v>
      </c>
      <c r="D40" s="22" t="str">
        <f xml:space="preserve"> tbl_CONTENT[[#This Row],[TopicID]] &amp; "-" &amp; TEXT(tbl_CONTENT[[#This Row],[TopicIDCount]], "00")</f>
        <v>HA-1-02-04</v>
      </c>
      <c r="F40" s="22" t="str">
        <f>_xlfn.XLOOKUP(tbl_CONTENT[[#This Row],[Topic]], tbl_TOPIC[Topic], tbl_TOPIC[TopicID], "")</f>
        <v>HA-1-02</v>
      </c>
      <c r="G40" s="22" cm="1">
        <f t="array" ref="G40">SUM((tbl_CONTENT[[#This Row],[TopicID]]=INDEX(tbl_CONTENT[TopicID],1):tbl_CONTENT[[#This Row],[TopicID]])*1)</f>
        <v>4</v>
      </c>
      <c r="H40" s="22" t="s">
        <v>132</v>
      </c>
      <c r="I40" s="22" t="s">
        <v>205</v>
      </c>
      <c r="J40" s="22" t="s">
        <v>153</v>
      </c>
      <c r="K40" s="22">
        <v>1</v>
      </c>
      <c r="L40" s="22">
        <v>2</v>
      </c>
      <c r="M40" s="22">
        <v>1</v>
      </c>
      <c r="N40" s="22">
        <v>4</v>
      </c>
      <c r="O40" s="22">
        <v>5</v>
      </c>
      <c r="Q40" s="35">
        <f>IFERROR(
 (1.907*EXP(1)^(-0.5*tbl_CONTENT[[#This Row],[Layer]])) *
 ((tbl_CONTENT[[#This Row],[RelInt]]-1)^(2.5)*4^(1-2.5)+1) +
 ((tbl_CONTENT[[#This Row],[Comp]]-1)^(2.5)*4^(1-2.5)+1)*(0.5*((tbl_CONTENT[[#This Row],[RelInt]]-1)/4)^(2.5)+1),
 0
)</f>
        <v>3.3121184032319735</v>
      </c>
      <c r="R40" s="35">
        <f>IFERROR(
 (1.907*EXP(1)^(-0.5*VALUE(tbl_CONTENT[[#This Row],[Layer]]))) *
 ((VALUE(tbl_CONTENT[[#This Row],[RelId]])-1)^(2.5)*4^(1-2.5)+1) +
 ((VALUE(tbl_CONTENT[[#This Row],[Comp]])-1)^(2.5)*4^(1-2.5)+1)*(0.5*((VALUE(tbl_CONTENT[[#This Row],[RelId]])-1)/4)^(2.5)+1),
 0
)</f>
        <v>5.0077304715697029</v>
      </c>
    </row>
    <row r="41" spans="3:18" ht="17" x14ac:dyDescent="0.2">
      <c r="C41" s="22" t="str">
        <f>_xlfn.XLOOKUP(tbl_CONTENT[[#This Row],[TopicID]], tbl_TOPIC[TopicID], tbl_TOPIC[Subject], "")</f>
        <v>HA</v>
      </c>
      <c r="D41" s="22" t="str">
        <f xml:space="preserve"> tbl_CONTENT[[#This Row],[TopicID]] &amp; "-" &amp; TEXT(tbl_CONTENT[[#This Row],[TopicIDCount]], "00")</f>
        <v>HA-1-02-05</v>
      </c>
      <c r="F41" s="22" t="str">
        <f>_xlfn.XLOOKUP(tbl_CONTENT[[#This Row],[Topic]], tbl_TOPIC[Topic], tbl_TOPIC[TopicID], "")</f>
        <v>HA-1-02</v>
      </c>
      <c r="G41" s="22" cm="1">
        <f t="array" ref="G41">SUM((tbl_CONTENT[[#This Row],[TopicID]]=INDEX(tbl_CONTENT[TopicID],1):tbl_CONTENT[[#This Row],[TopicID]])*1)</f>
        <v>5</v>
      </c>
      <c r="H41" s="22" t="s">
        <v>132</v>
      </c>
      <c r="I41" s="22" t="s">
        <v>206</v>
      </c>
      <c r="J41" s="22" t="s">
        <v>151</v>
      </c>
      <c r="K41" s="22">
        <v>1</v>
      </c>
      <c r="L41" s="22">
        <v>2</v>
      </c>
      <c r="M41" s="22">
        <v>3</v>
      </c>
      <c r="N41" s="22">
        <v>2</v>
      </c>
      <c r="O41" s="22">
        <v>5</v>
      </c>
      <c r="Q41" s="35">
        <f>IFERROR(
 (1.907*EXP(1)^(-0.5*tbl_CONTENT[[#This Row],[Layer]])) *
 ((tbl_CONTENT[[#This Row],[RelInt]]-1)^(2.5)*4^(1-2.5)+1) +
 ((tbl_CONTENT[[#This Row],[Comp]]-1)^(2.5)*4^(1-2.5)+1)*(0.5*((tbl_CONTENT[[#This Row],[RelInt]]-1)/4)^(2.5)+1),
 0
)</f>
        <v>2.5230196807457705</v>
      </c>
      <c r="R41" s="35">
        <f>IFERROR(
 (1.907*EXP(1)^(-0.5*VALUE(tbl_CONTENT[[#This Row],[Layer]]))) *
 ((VALUE(tbl_CONTENT[[#This Row],[RelId]])-1)^(2.5)*4^(1-2.5)+1) +
 ((VALUE(tbl_CONTENT[[#This Row],[Comp]])-1)^(2.5)*4^(1-2.5)+1)*(0.5*((VALUE(tbl_CONTENT[[#This Row],[RelId]])-1)/4)^(2.5)+1),
 0
)</f>
        <v>6.0683906433495247</v>
      </c>
    </row>
    <row r="42" spans="3:18" ht="17" x14ac:dyDescent="0.2">
      <c r="C42" s="22" t="str">
        <f>_xlfn.XLOOKUP(tbl_CONTENT[[#This Row],[TopicID]], tbl_TOPIC[TopicID], tbl_TOPIC[Subject], "")</f>
        <v>HA</v>
      </c>
      <c r="D42" s="22" t="str">
        <f xml:space="preserve"> tbl_CONTENT[[#This Row],[TopicID]] &amp; "-" &amp; TEXT(tbl_CONTENT[[#This Row],[TopicIDCount]], "00")</f>
        <v>HA-1-02-06</v>
      </c>
      <c r="F42" s="22" t="str">
        <f>_xlfn.XLOOKUP(tbl_CONTENT[[#This Row],[Topic]], tbl_TOPIC[Topic], tbl_TOPIC[TopicID], "")</f>
        <v>HA-1-02</v>
      </c>
      <c r="G42" s="22" cm="1">
        <f t="array" ref="G42">SUM((tbl_CONTENT[[#This Row],[TopicID]]=INDEX(tbl_CONTENT[TopicID],1):tbl_CONTENT[[#This Row],[TopicID]])*1)</f>
        <v>6</v>
      </c>
      <c r="H42" s="22" t="s">
        <v>132</v>
      </c>
      <c r="I42" s="22" t="s">
        <v>208</v>
      </c>
      <c r="J42" s="22" t="s">
        <v>153</v>
      </c>
      <c r="K42" s="22">
        <v>1</v>
      </c>
      <c r="L42" s="22">
        <v>2</v>
      </c>
      <c r="M42" s="22">
        <v>3</v>
      </c>
      <c r="N42" s="22">
        <v>4</v>
      </c>
      <c r="O42" s="22">
        <v>5</v>
      </c>
      <c r="Q42" s="35">
        <f>IFERROR(
 (1.907*EXP(1)^(-0.5*tbl_CONTENT[[#This Row],[Layer]])) *
 ((tbl_CONTENT[[#This Row],[RelInt]]-1)^(2.5)*4^(1-2.5)+1) +
 ((tbl_CONTENT[[#This Row],[Comp]]-1)^(2.5)*4^(1-2.5)+1)*(0.5*((tbl_CONTENT[[#This Row],[RelInt]]-1)/4)^(2.5)+1),
 0
)</f>
        <v>4.1914549319579635</v>
      </c>
      <c r="R42" s="35">
        <f>IFERROR(
 (1.907*EXP(1)^(-0.5*VALUE(tbl_CONTENT[[#This Row],[Layer]]))) *
 ((VALUE(tbl_CONTENT[[#This Row],[RelId]])-1)^(2.5)*4^(1-2.5)+1) +
 ((VALUE(tbl_CONTENT[[#This Row],[Comp]])-1)^(2.5)*4^(1-2.5)+1)*(0.5*((VALUE(tbl_CONTENT[[#This Row],[RelId]])-1)/4)^(2.5)+1),
 0
)</f>
        <v>6.0683906433495247</v>
      </c>
    </row>
    <row r="43" spans="3:18" ht="17" x14ac:dyDescent="0.2">
      <c r="C43" s="22" t="str">
        <f>_xlfn.XLOOKUP(tbl_CONTENT[[#This Row],[TopicID]], tbl_TOPIC[TopicID], tbl_TOPIC[Subject], "")</f>
        <v>HA</v>
      </c>
      <c r="D43" s="22" t="str">
        <f xml:space="preserve"> tbl_CONTENT[[#This Row],[TopicID]] &amp; "-" &amp; TEXT(tbl_CONTENT[[#This Row],[TopicIDCount]], "00")</f>
        <v>HA-1-02-07</v>
      </c>
      <c r="F43" s="22" t="str">
        <f>_xlfn.XLOOKUP(tbl_CONTENT[[#This Row],[Topic]], tbl_TOPIC[Topic], tbl_TOPIC[TopicID], "")</f>
        <v>HA-1-02</v>
      </c>
      <c r="G43" s="22" cm="1">
        <f t="array" ref="G43">SUM((tbl_CONTENT[[#This Row],[TopicID]]=INDEX(tbl_CONTENT[TopicID],1):tbl_CONTENT[[#This Row],[TopicID]])*1)</f>
        <v>7</v>
      </c>
      <c r="H43" s="22" t="s">
        <v>132</v>
      </c>
      <c r="I43" s="22" t="s">
        <v>207</v>
      </c>
      <c r="J43" s="22" t="s">
        <v>153</v>
      </c>
      <c r="K43" s="22">
        <v>1</v>
      </c>
      <c r="L43" s="22">
        <v>2</v>
      </c>
      <c r="M43" s="22">
        <v>3</v>
      </c>
      <c r="N43" s="22">
        <v>4</v>
      </c>
      <c r="O43" s="22">
        <v>5</v>
      </c>
      <c r="Q43" s="35">
        <f>IFERROR(
 (1.907*EXP(1)^(-0.5*tbl_CONTENT[[#This Row],[Layer]])) *
 ((tbl_CONTENT[[#This Row],[RelInt]]-1)^(2.5)*4^(1-2.5)+1) +
 ((tbl_CONTENT[[#This Row],[Comp]]-1)^(2.5)*4^(1-2.5)+1)*(0.5*((tbl_CONTENT[[#This Row],[RelInt]]-1)/4)^(2.5)+1),
 0
)</f>
        <v>4.1914549319579635</v>
      </c>
      <c r="R43" s="35">
        <f>IFERROR(
 (1.907*EXP(1)^(-0.5*VALUE(tbl_CONTENT[[#This Row],[Layer]]))) *
 ((VALUE(tbl_CONTENT[[#This Row],[RelId]])-1)^(2.5)*4^(1-2.5)+1) +
 ((VALUE(tbl_CONTENT[[#This Row],[Comp]])-1)^(2.5)*4^(1-2.5)+1)*(0.5*((VALUE(tbl_CONTENT[[#This Row],[RelId]])-1)/4)^(2.5)+1),
 0
)</f>
        <v>6.0683906433495247</v>
      </c>
    </row>
    <row r="44" spans="3:18" ht="17" x14ac:dyDescent="0.2">
      <c r="C44" s="22" t="str">
        <f>_xlfn.XLOOKUP(tbl_CONTENT[[#This Row],[TopicID]], tbl_TOPIC[TopicID], tbl_TOPIC[Subject], "")</f>
        <v>HA</v>
      </c>
      <c r="D44" s="22" t="str">
        <f xml:space="preserve"> tbl_CONTENT[[#This Row],[TopicID]] &amp; "-" &amp; TEXT(tbl_CONTENT[[#This Row],[TopicIDCount]], "00")</f>
        <v>HA-1-04-01</v>
      </c>
      <c r="F44" s="22" t="str">
        <f>_xlfn.XLOOKUP(tbl_CONTENT[[#This Row],[Topic]], tbl_TOPIC[Topic], tbl_TOPIC[TopicID], "")</f>
        <v>HA-1-04</v>
      </c>
      <c r="G44" s="22" cm="1">
        <f t="array" ref="G44">SUM((tbl_CONTENT[[#This Row],[TopicID]]=INDEX(tbl_CONTENT[TopicID],1):tbl_CONTENT[[#This Row],[TopicID]])*1)</f>
        <v>1</v>
      </c>
      <c r="H44" s="22" t="s">
        <v>134</v>
      </c>
      <c r="I44" s="22" t="s">
        <v>212</v>
      </c>
      <c r="J44" s="22" t="s">
        <v>153</v>
      </c>
      <c r="K44" s="22">
        <v>1</v>
      </c>
      <c r="L44" s="22">
        <v>1</v>
      </c>
      <c r="M44" s="22">
        <v>3</v>
      </c>
      <c r="N44" s="22">
        <v>5</v>
      </c>
      <c r="O44" s="22">
        <v>5</v>
      </c>
      <c r="Q44" s="35">
        <f>IFERROR(
 (1.907*EXP(1)^(-0.5*tbl_CONTENT[[#This Row],[Layer]])) *
 ((tbl_CONTENT[[#This Row],[RelInt]]-1)^(2.5)*4^(1-2.5)+1) +
 ((tbl_CONTENT[[#This Row],[Comp]]-1)^(2.5)*4^(1-2.5)+1)*(0.5*((tbl_CONTENT[[#This Row],[RelInt]]-1)/4)^(2.5)+1),
 0
)</f>
        <v>8.3439300121397828</v>
      </c>
      <c r="R44" s="35">
        <f>IFERROR(
 (1.907*EXP(1)^(-0.5*VALUE(tbl_CONTENT[[#This Row],[Layer]]))) *
 ((VALUE(tbl_CONTENT[[#This Row],[RelId]])-1)^(2.5)*4^(1-2.5)+1) +
 ((VALUE(tbl_CONTENT[[#This Row],[Comp]])-1)^(2.5)*4^(1-2.5)+1)*(0.5*((VALUE(tbl_CONTENT[[#This Row],[RelId]])-1)/4)^(2.5)+1),
 0
)</f>
        <v>8.3439300121397828</v>
      </c>
    </row>
    <row r="45" spans="3:18" ht="34" x14ac:dyDescent="0.2">
      <c r="C45" s="22" t="str">
        <f>_xlfn.XLOOKUP(tbl_CONTENT[[#This Row],[TopicID]], tbl_TOPIC[TopicID], tbl_TOPIC[Subject], "")</f>
        <v>HA</v>
      </c>
      <c r="D45" s="22" t="str">
        <f xml:space="preserve"> tbl_CONTENT[[#This Row],[TopicID]] &amp; "-" &amp; TEXT(tbl_CONTENT[[#This Row],[TopicIDCount]], "00")</f>
        <v>HA-1-04-02</v>
      </c>
      <c r="F45" s="22" t="str">
        <f>_xlfn.XLOOKUP(tbl_CONTENT[[#This Row],[Topic]], tbl_TOPIC[Topic], tbl_TOPIC[TopicID], "")</f>
        <v>HA-1-04</v>
      </c>
      <c r="G45" s="22" cm="1">
        <f t="array" ref="G45">SUM((tbl_CONTENT[[#This Row],[TopicID]]=INDEX(tbl_CONTENT[TopicID],1):tbl_CONTENT[[#This Row],[TopicID]])*1)</f>
        <v>2</v>
      </c>
      <c r="H45" s="22" t="s">
        <v>134</v>
      </c>
      <c r="I45" s="22" t="s">
        <v>213</v>
      </c>
      <c r="J45" s="22" t="s">
        <v>153</v>
      </c>
      <c r="K45" s="22">
        <v>1</v>
      </c>
      <c r="L45" s="22">
        <v>1</v>
      </c>
      <c r="M45" s="22">
        <v>3</v>
      </c>
      <c r="N45" s="22">
        <v>5</v>
      </c>
      <c r="O45" s="22">
        <v>5</v>
      </c>
      <c r="Q45" s="35">
        <f>IFERROR(
 (1.907*EXP(1)^(-0.5*tbl_CONTENT[[#This Row],[Layer]])) *
 ((tbl_CONTENT[[#This Row],[RelInt]]-1)^(2.5)*4^(1-2.5)+1) +
 ((tbl_CONTENT[[#This Row],[Comp]]-1)^(2.5)*4^(1-2.5)+1)*(0.5*((tbl_CONTENT[[#This Row],[RelInt]]-1)/4)^(2.5)+1),
 0
)</f>
        <v>8.3439300121397828</v>
      </c>
      <c r="R45" s="35">
        <f>IFERROR(
 (1.907*EXP(1)^(-0.5*VALUE(tbl_CONTENT[[#This Row],[Layer]]))) *
 ((VALUE(tbl_CONTENT[[#This Row],[RelId]])-1)^(2.5)*4^(1-2.5)+1) +
 ((VALUE(tbl_CONTENT[[#This Row],[Comp]])-1)^(2.5)*4^(1-2.5)+1)*(0.5*((VALUE(tbl_CONTENT[[#This Row],[RelId]])-1)/4)^(2.5)+1),
 0
)</f>
        <v>8.3439300121397828</v>
      </c>
    </row>
    <row r="46" spans="3:18" ht="17" x14ac:dyDescent="0.2">
      <c r="C46" s="22" t="str">
        <f>_xlfn.XLOOKUP(tbl_CONTENT[[#This Row],[TopicID]], tbl_TOPIC[TopicID], tbl_TOPIC[Subject], "")</f>
        <v>HA</v>
      </c>
      <c r="D46" s="22" t="str">
        <f xml:space="preserve"> tbl_CONTENT[[#This Row],[TopicID]] &amp; "-" &amp; TEXT(tbl_CONTENT[[#This Row],[TopicIDCount]], "00")</f>
        <v>HA-1-04-03</v>
      </c>
      <c r="F46" s="22" t="str">
        <f>_xlfn.XLOOKUP(tbl_CONTENT[[#This Row],[Topic]], tbl_TOPIC[Topic], tbl_TOPIC[TopicID], "")</f>
        <v>HA-1-04</v>
      </c>
      <c r="G46" s="22" cm="1">
        <f t="array" ref="G46">SUM((tbl_CONTENT[[#This Row],[TopicID]]=INDEX(tbl_CONTENT[TopicID],1):tbl_CONTENT[[#This Row],[TopicID]])*1)</f>
        <v>3</v>
      </c>
      <c r="H46" s="22" t="s">
        <v>134</v>
      </c>
      <c r="I46" s="22" t="s">
        <v>214</v>
      </c>
      <c r="J46" s="22" t="s">
        <v>153</v>
      </c>
      <c r="K46" s="22">
        <v>1</v>
      </c>
      <c r="L46" s="22">
        <v>2</v>
      </c>
      <c r="M46" s="22">
        <v>2</v>
      </c>
      <c r="N46" s="22">
        <v>2</v>
      </c>
      <c r="O46" s="22">
        <v>4</v>
      </c>
      <c r="Q46" s="35">
        <f>IFERROR(
 (1.907*EXP(1)^(-0.5*tbl_CONTENT[[#This Row],[Layer]])) *
 ((tbl_CONTENT[[#This Row],[RelInt]]-1)^(2.5)*4^(1-2.5)+1) +
 ((tbl_CONTENT[[#This Row],[Comp]]-1)^(2.5)*4^(1-2.5)+1)*(0.5*((tbl_CONTENT[[#This Row],[RelInt]]-1)/4)^(2.5)+1),
 0
)</f>
        <v>1.9318174811031832</v>
      </c>
      <c r="R46" s="35">
        <f>IFERROR(
 (1.907*EXP(1)^(-0.5*VALUE(tbl_CONTENT[[#This Row],[Layer]]))) *
 ((VALUE(tbl_CONTENT[[#This Row],[RelId]])-1)^(2.5)*4^(1-2.5)+1) +
 ((VALUE(tbl_CONTENT[[#This Row],[Comp]])-1)^(2.5)*4^(1-2.5)+1)*(0.5*((VALUE(tbl_CONTENT[[#This Row],[RelId]])-1)/4)^(2.5)+1),
 0
)</f>
        <v>3.4675646088337704</v>
      </c>
    </row>
    <row r="47" spans="3:18" ht="17" x14ac:dyDescent="0.2">
      <c r="C47" s="22" t="str">
        <f>_xlfn.XLOOKUP(tbl_CONTENT[[#This Row],[TopicID]], tbl_TOPIC[TopicID], tbl_TOPIC[Subject], "")</f>
        <v>HA</v>
      </c>
      <c r="D47" s="22" t="str">
        <f xml:space="preserve"> tbl_CONTENT[[#This Row],[TopicID]] &amp; "-" &amp; TEXT(tbl_CONTENT[[#This Row],[TopicIDCount]], "00")</f>
        <v>HA-1-04-04</v>
      </c>
      <c r="F47" s="22" t="str">
        <f>_xlfn.XLOOKUP(tbl_CONTENT[[#This Row],[Topic]], tbl_TOPIC[Topic], tbl_TOPIC[TopicID], "")</f>
        <v>HA-1-04</v>
      </c>
      <c r="G47" s="22" cm="1">
        <f t="array" ref="G47">SUM((tbl_CONTENT[[#This Row],[TopicID]]=INDEX(tbl_CONTENT[TopicID],1):tbl_CONTENT[[#This Row],[TopicID]])*1)</f>
        <v>4</v>
      </c>
      <c r="H47" s="22" t="s">
        <v>134</v>
      </c>
      <c r="I47" s="22" t="s">
        <v>215</v>
      </c>
      <c r="J47" s="22" t="s">
        <v>153</v>
      </c>
      <c r="K47" s="22">
        <v>1</v>
      </c>
      <c r="L47" s="22">
        <v>2</v>
      </c>
      <c r="M47" s="22">
        <v>4</v>
      </c>
      <c r="N47" s="22">
        <v>4</v>
      </c>
      <c r="O47" s="22">
        <v>5</v>
      </c>
      <c r="Q47" s="35">
        <f>IFERROR(
 (1.907*EXP(1)^(-0.5*tbl_CONTENT[[#This Row],[Layer]])) *
 ((tbl_CONTENT[[#This Row],[RelInt]]-1)^(2.5)*4^(1-2.5)+1) +
 ((tbl_CONTENT[[#This Row],[Comp]]-1)^(2.5)*4^(1-2.5)+1)*(0.5*((tbl_CONTENT[[#This Row],[RelInt]]-1)/4)^(2.5)+1),
 0
)</f>
        <v>5.7352849367469618</v>
      </c>
      <c r="R47" s="35">
        <f>IFERROR(
 (1.907*EXP(1)^(-0.5*VALUE(tbl_CONTENT[[#This Row],[Layer]]))) *
 ((VALUE(tbl_CONTENT[[#This Row],[RelId]])-1)^(2.5)*4^(1-2.5)+1) +
 ((VALUE(tbl_CONTENT[[#This Row],[Comp]])-1)^(2.5)*4^(1-2.5)+1)*(0.5*((VALUE(tbl_CONTENT[[#This Row],[RelId]])-1)/4)^(2.5)+1),
 0
)</f>
        <v>7.9305662093421851</v>
      </c>
    </row>
    <row r="48" spans="3:18" ht="17" x14ac:dyDescent="0.2">
      <c r="C48" s="22" t="str">
        <f>_xlfn.XLOOKUP(tbl_CONTENT[[#This Row],[TopicID]], tbl_TOPIC[TopicID], tbl_TOPIC[Subject], "")</f>
        <v>HA</v>
      </c>
      <c r="D48" s="22" t="str">
        <f xml:space="preserve"> tbl_CONTENT[[#This Row],[TopicID]] &amp; "-" &amp; TEXT(tbl_CONTENT[[#This Row],[TopicIDCount]], "00")</f>
        <v>HA-1-04-05</v>
      </c>
      <c r="F48" s="22" t="str">
        <f>_xlfn.XLOOKUP(tbl_CONTENT[[#This Row],[Topic]], tbl_TOPIC[Topic], tbl_TOPIC[TopicID], "")</f>
        <v>HA-1-04</v>
      </c>
      <c r="G48" s="22" cm="1">
        <f t="array" ref="G48">SUM((tbl_CONTENT[[#This Row],[TopicID]]=INDEX(tbl_CONTENT[TopicID],1):tbl_CONTENT[[#This Row],[TopicID]])*1)</f>
        <v>5</v>
      </c>
      <c r="H48" s="22" t="s">
        <v>134</v>
      </c>
      <c r="I48" s="22" t="s">
        <v>216</v>
      </c>
      <c r="J48" s="22" t="s">
        <v>153</v>
      </c>
      <c r="K48" s="22">
        <v>1</v>
      </c>
      <c r="L48" s="22">
        <v>2</v>
      </c>
      <c r="M48" s="22">
        <v>4</v>
      </c>
      <c r="N48" s="22">
        <v>4</v>
      </c>
      <c r="O48" s="22">
        <v>5</v>
      </c>
      <c r="Q48" s="35">
        <f>IFERROR(
 (1.907*EXP(1)^(-0.5*tbl_CONTENT[[#This Row],[Layer]])) *
 ((tbl_CONTENT[[#This Row],[RelInt]]-1)^(2.5)*4^(1-2.5)+1) +
 ((tbl_CONTENT[[#This Row],[Comp]]-1)^(2.5)*4^(1-2.5)+1)*(0.5*((tbl_CONTENT[[#This Row],[RelInt]]-1)/4)^(2.5)+1),
 0
)</f>
        <v>5.7352849367469618</v>
      </c>
      <c r="R48" s="35">
        <f>IFERROR(
 (1.907*EXP(1)^(-0.5*VALUE(tbl_CONTENT[[#This Row],[Layer]]))) *
 ((VALUE(tbl_CONTENT[[#This Row],[RelId]])-1)^(2.5)*4^(1-2.5)+1) +
 ((VALUE(tbl_CONTENT[[#This Row],[Comp]])-1)^(2.5)*4^(1-2.5)+1)*(0.5*((VALUE(tbl_CONTENT[[#This Row],[RelId]])-1)/4)^(2.5)+1),
 0
)</f>
        <v>7.9305662093421851</v>
      </c>
    </row>
    <row r="49" spans="3:18" ht="17" x14ac:dyDescent="0.2">
      <c r="C49" s="22" t="str">
        <f>_xlfn.XLOOKUP(tbl_CONTENT[[#This Row],[TopicID]], tbl_TOPIC[TopicID], tbl_TOPIC[Subject], "")</f>
        <v>HA</v>
      </c>
      <c r="D49" s="22" t="str">
        <f xml:space="preserve"> tbl_CONTENT[[#This Row],[TopicID]] &amp; "-" &amp; TEXT(tbl_CONTENT[[#This Row],[TopicIDCount]], "00")</f>
        <v>HA-1-04-06</v>
      </c>
      <c r="F49" s="22" t="str">
        <f>_xlfn.XLOOKUP(tbl_CONTENT[[#This Row],[Topic]], tbl_TOPIC[Topic], tbl_TOPIC[TopicID], "")</f>
        <v>HA-1-04</v>
      </c>
      <c r="G49" s="22" cm="1">
        <f t="array" ref="G49">SUM((tbl_CONTENT[[#This Row],[TopicID]]=INDEX(tbl_CONTENT[TopicID],1):tbl_CONTENT[[#This Row],[TopicID]])*1)</f>
        <v>6</v>
      </c>
      <c r="H49" s="22" t="s">
        <v>134</v>
      </c>
      <c r="I49" s="22" t="s">
        <v>217</v>
      </c>
      <c r="J49" s="22" t="s">
        <v>153</v>
      </c>
      <c r="K49" s="22">
        <v>1</v>
      </c>
      <c r="L49" s="22">
        <v>2</v>
      </c>
      <c r="M49" s="22">
        <v>3</v>
      </c>
      <c r="N49" s="22">
        <v>4</v>
      </c>
      <c r="O49" s="22">
        <v>5</v>
      </c>
      <c r="Q49" s="35">
        <f>IFERROR(
 (1.907*EXP(1)^(-0.5*tbl_CONTENT[[#This Row],[Layer]])) *
 ((tbl_CONTENT[[#This Row],[RelInt]]-1)^(2.5)*4^(1-2.5)+1) +
 ((tbl_CONTENT[[#This Row],[Comp]]-1)^(2.5)*4^(1-2.5)+1)*(0.5*((tbl_CONTENT[[#This Row],[RelInt]]-1)/4)^(2.5)+1),
 0
)</f>
        <v>4.1914549319579635</v>
      </c>
      <c r="R49" s="35">
        <f>IFERROR(
 (1.907*EXP(1)^(-0.5*VALUE(tbl_CONTENT[[#This Row],[Layer]]))) *
 ((VALUE(tbl_CONTENT[[#This Row],[RelId]])-1)^(2.5)*4^(1-2.5)+1) +
 ((VALUE(tbl_CONTENT[[#This Row],[Comp]])-1)^(2.5)*4^(1-2.5)+1)*(0.5*((VALUE(tbl_CONTENT[[#This Row],[RelId]])-1)/4)^(2.5)+1),
 0
)</f>
        <v>6.0683906433495247</v>
      </c>
    </row>
    <row r="50" spans="3:18" ht="17" x14ac:dyDescent="0.2">
      <c r="C50" s="22" t="str">
        <f>_xlfn.XLOOKUP(tbl_CONTENT[[#This Row],[TopicID]], tbl_TOPIC[TopicID], tbl_TOPIC[Subject], "")</f>
        <v>HA</v>
      </c>
      <c r="D50" s="22" t="str">
        <f xml:space="preserve"> tbl_CONTENT[[#This Row],[TopicID]] &amp; "-" &amp; TEXT(tbl_CONTENT[[#This Row],[TopicIDCount]], "00")</f>
        <v>HA-1-04-07</v>
      </c>
      <c r="F50" s="22" t="str">
        <f>_xlfn.XLOOKUP(tbl_CONTENT[[#This Row],[Topic]], tbl_TOPIC[Topic], tbl_TOPIC[TopicID], "")</f>
        <v>HA-1-04</v>
      </c>
      <c r="G50" s="22" cm="1">
        <f t="array" ref="G50">SUM((tbl_CONTENT[[#This Row],[TopicID]]=INDEX(tbl_CONTENT[TopicID],1):tbl_CONTENT[[#This Row],[TopicID]])*1)</f>
        <v>7</v>
      </c>
      <c r="H50" s="22" t="s">
        <v>134</v>
      </c>
      <c r="I50" s="22" t="s">
        <v>218</v>
      </c>
      <c r="J50" s="22" t="s">
        <v>153</v>
      </c>
      <c r="K50" s="22">
        <v>1</v>
      </c>
      <c r="L50" s="22">
        <v>2</v>
      </c>
      <c r="M50" s="22">
        <v>4</v>
      </c>
      <c r="N50" s="22">
        <v>4</v>
      </c>
      <c r="O50" s="22">
        <v>5</v>
      </c>
      <c r="Q50" s="35">
        <f>IFERROR(
 (1.907*EXP(1)^(-0.5*tbl_CONTENT[[#This Row],[Layer]])) *
 ((tbl_CONTENT[[#This Row],[RelInt]]-1)^(2.5)*4^(1-2.5)+1) +
 ((tbl_CONTENT[[#This Row],[Comp]]-1)^(2.5)*4^(1-2.5)+1)*(0.5*((tbl_CONTENT[[#This Row],[RelInt]]-1)/4)^(2.5)+1),
 0
)</f>
        <v>5.7352849367469618</v>
      </c>
      <c r="R50" s="35">
        <f>IFERROR(
 (1.907*EXP(1)^(-0.5*VALUE(tbl_CONTENT[[#This Row],[Layer]]))) *
 ((VALUE(tbl_CONTENT[[#This Row],[RelId]])-1)^(2.5)*4^(1-2.5)+1) +
 ((VALUE(tbl_CONTENT[[#This Row],[Comp]])-1)^(2.5)*4^(1-2.5)+1)*(0.5*((VALUE(tbl_CONTENT[[#This Row],[RelId]])-1)/4)^(2.5)+1),
 0
)</f>
        <v>7.9305662093421851</v>
      </c>
    </row>
    <row r="51" spans="3:18" ht="34" x14ac:dyDescent="0.2">
      <c r="C51" s="22" t="str">
        <f>_xlfn.XLOOKUP(tbl_CONTENT[[#This Row],[TopicID]], tbl_TOPIC[TopicID], tbl_TOPIC[Subject], "")</f>
        <v>HA</v>
      </c>
      <c r="D51" s="22" t="str">
        <f xml:space="preserve"> tbl_CONTENT[[#This Row],[TopicID]] &amp; "-" &amp; TEXT(tbl_CONTENT[[#This Row],[TopicIDCount]], "00")</f>
        <v>HA-1-04-08</v>
      </c>
      <c r="F51" s="22" t="str">
        <f>_xlfn.XLOOKUP(tbl_CONTENT[[#This Row],[Topic]], tbl_TOPIC[Topic], tbl_TOPIC[TopicID], "")</f>
        <v>HA-1-04</v>
      </c>
      <c r="G51" s="22" cm="1">
        <f t="array" ref="G51">SUM((tbl_CONTENT[[#This Row],[TopicID]]=INDEX(tbl_CONTENT[TopicID],1):tbl_CONTENT[[#This Row],[TopicID]])*1)</f>
        <v>8</v>
      </c>
      <c r="H51" s="22" t="s">
        <v>134</v>
      </c>
      <c r="I51" s="22" t="s">
        <v>219</v>
      </c>
      <c r="J51" s="22" t="s">
        <v>152</v>
      </c>
      <c r="K51" s="22">
        <v>1</v>
      </c>
      <c r="L51" s="22">
        <v>2</v>
      </c>
      <c r="M51" s="22">
        <v>2</v>
      </c>
      <c r="N51" s="22">
        <v>4</v>
      </c>
      <c r="O51" s="22">
        <v>5</v>
      </c>
      <c r="Q51" s="35">
        <f>IFERROR(
 (1.907*EXP(1)^(-0.5*tbl_CONTENT[[#This Row],[Layer]])) *
 ((tbl_CONTENT[[#This Row],[RelInt]]-1)^(2.5)*4^(1-2.5)+1) +
 ((tbl_CONTENT[[#This Row],[Comp]]-1)^(2.5)*4^(1-2.5)+1)*(0.5*((tbl_CONTENT[[#This Row],[RelInt]]-1)/4)^(2.5)+1),
 0
)</f>
        <v>3.4675646088337704</v>
      </c>
      <c r="R51" s="35">
        <f>IFERROR(
 (1.907*EXP(1)^(-0.5*VALUE(tbl_CONTENT[[#This Row],[Layer]]))) *
 ((VALUE(tbl_CONTENT[[#This Row],[RelId]])-1)^(2.5)*4^(1-2.5)+1) +
 ((VALUE(tbl_CONTENT[[#This Row],[Comp]])-1)^(2.5)*4^(1-2.5)+1)*(0.5*((VALUE(tbl_CONTENT[[#This Row],[RelId]])-1)/4)^(2.5)+1),
 0
)</f>
        <v>5.1952304715697029</v>
      </c>
    </row>
    <row r="52" spans="3:18" ht="34" x14ac:dyDescent="0.2">
      <c r="C52" s="22" t="str">
        <f>_xlfn.XLOOKUP(tbl_CONTENT[[#This Row],[TopicID]], tbl_TOPIC[TopicID], tbl_TOPIC[Subject], "")</f>
        <v>HA</v>
      </c>
      <c r="D52" s="22" t="str">
        <f xml:space="preserve"> tbl_CONTENT[[#This Row],[TopicID]] &amp; "-" &amp; TEXT(tbl_CONTENT[[#This Row],[TopicIDCount]], "00")</f>
        <v>HA-1-04-09</v>
      </c>
      <c r="F52" s="22" t="str">
        <f>_xlfn.XLOOKUP(tbl_CONTENT[[#This Row],[Topic]], tbl_TOPIC[Topic], tbl_TOPIC[TopicID], "")</f>
        <v>HA-1-04</v>
      </c>
      <c r="G52" s="22" cm="1">
        <f t="array" ref="G52">SUM((tbl_CONTENT[[#This Row],[TopicID]]=INDEX(tbl_CONTENT[TopicID],1):tbl_CONTENT[[#This Row],[TopicID]])*1)</f>
        <v>9</v>
      </c>
      <c r="H52" s="22" t="s">
        <v>134</v>
      </c>
      <c r="I52" s="22" t="s">
        <v>220</v>
      </c>
      <c r="J52" s="22" t="s">
        <v>153</v>
      </c>
      <c r="K52" s="22">
        <v>1</v>
      </c>
      <c r="L52" s="22">
        <v>2</v>
      </c>
      <c r="M52" s="22">
        <v>4</v>
      </c>
      <c r="N52" s="22">
        <v>4</v>
      </c>
      <c r="O52" s="22">
        <v>5</v>
      </c>
      <c r="Q52" s="35">
        <f>IFERROR(
 (1.907*EXP(1)^(-0.5*tbl_CONTENT[[#This Row],[Layer]])) *
 ((tbl_CONTENT[[#This Row],[RelInt]]-1)^(2.5)*4^(1-2.5)+1) +
 ((tbl_CONTENT[[#This Row],[Comp]]-1)^(2.5)*4^(1-2.5)+1)*(0.5*((tbl_CONTENT[[#This Row],[RelInt]]-1)/4)^(2.5)+1),
 0
)</f>
        <v>5.7352849367469618</v>
      </c>
      <c r="R52" s="35">
        <f>IFERROR(
 (1.907*EXP(1)^(-0.5*VALUE(tbl_CONTENT[[#This Row],[Layer]]))) *
 ((VALUE(tbl_CONTENT[[#This Row],[RelId]])-1)^(2.5)*4^(1-2.5)+1) +
 ((VALUE(tbl_CONTENT[[#This Row],[Comp]])-1)^(2.5)*4^(1-2.5)+1)*(0.5*((VALUE(tbl_CONTENT[[#This Row],[RelId]])-1)/4)^(2.5)+1),
 0
)</f>
        <v>7.9305662093421851</v>
      </c>
    </row>
    <row r="53" spans="3:18" ht="34" x14ac:dyDescent="0.2">
      <c r="C53" s="22" t="str">
        <f>_xlfn.XLOOKUP(tbl_CONTENT[[#This Row],[TopicID]], tbl_TOPIC[TopicID], tbl_TOPIC[Subject], "")</f>
        <v>HA</v>
      </c>
      <c r="D53" s="22" t="str">
        <f xml:space="preserve"> tbl_CONTENT[[#This Row],[TopicID]] &amp; "-" &amp; TEXT(tbl_CONTENT[[#This Row],[TopicIDCount]], "00")</f>
        <v>HA-1-04-10</v>
      </c>
      <c r="F53" s="22" t="str">
        <f>_xlfn.XLOOKUP(tbl_CONTENT[[#This Row],[Topic]], tbl_TOPIC[Topic], tbl_TOPIC[TopicID], "")</f>
        <v>HA-1-04</v>
      </c>
      <c r="G53" s="22" cm="1">
        <f t="array" ref="G53">SUM((tbl_CONTENT[[#This Row],[TopicID]]=INDEX(tbl_CONTENT[TopicID],1):tbl_CONTENT[[#This Row],[TopicID]])*1)</f>
        <v>10</v>
      </c>
      <c r="H53" s="22" t="s">
        <v>134</v>
      </c>
      <c r="I53" s="22" t="s">
        <v>221</v>
      </c>
      <c r="J53" s="22" t="s">
        <v>153</v>
      </c>
      <c r="K53" s="22">
        <v>1</v>
      </c>
      <c r="L53" s="22">
        <v>2</v>
      </c>
      <c r="M53" s="22">
        <v>3</v>
      </c>
      <c r="N53" s="22">
        <v>2</v>
      </c>
      <c r="O53" s="22">
        <v>4</v>
      </c>
      <c r="Q53" s="35">
        <f>IFERROR(
 (1.907*EXP(1)^(-0.5*tbl_CONTENT[[#This Row],[Layer]])) *
 ((tbl_CONTENT[[#This Row],[RelInt]]-1)^(2.5)*4^(1-2.5)+1) +
 ((tbl_CONTENT[[#This Row],[Comp]]-1)^(2.5)*4^(1-2.5)+1)*(0.5*((tbl_CONTENT[[#This Row],[RelInt]]-1)/4)^(2.5)+1),
 0
)</f>
        <v>2.5230196807457705</v>
      </c>
      <c r="R53" s="35">
        <f>IFERROR(
 (1.907*EXP(1)^(-0.5*VALUE(tbl_CONTENT[[#This Row],[Layer]]))) *
 ((VALUE(tbl_CONTENT[[#This Row],[RelId]])-1)^(2.5)*4^(1-2.5)+1) +
 ((VALUE(tbl_CONTENT[[#This Row],[Comp]])-1)^(2.5)*4^(1-2.5)+1)*(0.5*((VALUE(tbl_CONTENT[[#This Row],[RelId]])-1)/4)^(2.5)+1),
 0
)</f>
        <v>4.1914549319579635</v>
      </c>
    </row>
    <row r="54" spans="3:18" ht="17" x14ac:dyDescent="0.2">
      <c r="C54" s="22" t="str">
        <f>_xlfn.XLOOKUP(tbl_CONTENT[[#This Row],[TopicID]], tbl_TOPIC[TopicID], tbl_TOPIC[Subject], "")</f>
        <v>HA</v>
      </c>
      <c r="D54" s="22" t="str">
        <f xml:space="preserve"> tbl_CONTENT[[#This Row],[TopicID]] &amp; "-" &amp; TEXT(tbl_CONTENT[[#This Row],[TopicIDCount]], "00")</f>
        <v>HA-1-04-11</v>
      </c>
      <c r="F54" s="22" t="str">
        <f>_xlfn.XLOOKUP(tbl_CONTENT[[#This Row],[Topic]], tbl_TOPIC[Topic], tbl_TOPIC[TopicID], "")</f>
        <v>HA-1-04</v>
      </c>
      <c r="G54" s="22" cm="1">
        <f t="array" ref="G54">SUM((tbl_CONTENT[[#This Row],[TopicID]]=INDEX(tbl_CONTENT[TopicID],1):tbl_CONTENT[[#This Row],[TopicID]])*1)</f>
        <v>11</v>
      </c>
      <c r="H54" s="22" t="s">
        <v>134</v>
      </c>
      <c r="I54" s="22" t="s">
        <v>222</v>
      </c>
      <c r="J54" s="22" t="s">
        <v>153</v>
      </c>
      <c r="K54" s="22">
        <v>1</v>
      </c>
      <c r="L54" s="22">
        <v>1</v>
      </c>
      <c r="M54" s="22">
        <v>4</v>
      </c>
      <c r="N54" s="22">
        <v>5</v>
      </c>
      <c r="O54" s="22">
        <v>5</v>
      </c>
      <c r="Q54" s="35">
        <f>IFERROR(
 (1.907*EXP(1)^(-0.5*tbl_CONTENT[[#This Row],[Layer]])) *
 ((tbl_CONTENT[[#This Row],[RelInt]]-1)^(2.5)*4^(1-2.5)+1) +
 ((tbl_CONTENT[[#This Row],[Comp]]-1)^(2.5)*4^(1-2.5)+1)*(0.5*((tbl_CONTENT[[#This Row],[RelInt]]-1)/4)^(2.5)+1),
 0
)</f>
        <v>10.206105578132444</v>
      </c>
      <c r="R54" s="35">
        <f>IFERROR(
 (1.907*EXP(1)^(-0.5*VALUE(tbl_CONTENT[[#This Row],[Layer]]))) *
 ((VALUE(tbl_CONTENT[[#This Row],[RelId]])-1)^(2.5)*4^(1-2.5)+1) +
 ((VALUE(tbl_CONTENT[[#This Row],[Comp]])-1)^(2.5)*4^(1-2.5)+1)*(0.5*((VALUE(tbl_CONTENT[[#This Row],[RelId]])-1)/4)^(2.5)+1),
 0
)</f>
        <v>10.206105578132444</v>
      </c>
    </row>
    <row r="55" spans="3:18" ht="51" x14ac:dyDescent="0.2">
      <c r="C55" s="22" t="str">
        <f>_xlfn.XLOOKUP(tbl_CONTENT[[#This Row],[TopicID]], tbl_TOPIC[TopicID], tbl_TOPIC[Subject], "")</f>
        <v>HA</v>
      </c>
      <c r="D55" s="22" t="str">
        <f xml:space="preserve"> tbl_CONTENT[[#This Row],[TopicID]] &amp; "-" &amp; TEXT(tbl_CONTENT[[#This Row],[TopicIDCount]], "00")</f>
        <v>HA-1-04-12</v>
      </c>
      <c r="F55" s="22" t="str">
        <f>_xlfn.XLOOKUP(tbl_CONTENT[[#This Row],[Topic]], tbl_TOPIC[Topic], tbl_TOPIC[TopicID], "")</f>
        <v>HA-1-04</v>
      </c>
      <c r="G55" s="22" cm="1">
        <f t="array" ref="G55">SUM((tbl_CONTENT[[#This Row],[TopicID]]=INDEX(tbl_CONTENT[TopicID],1):tbl_CONTENT[[#This Row],[TopicID]])*1)</f>
        <v>12</v>
      </c>
      <c r="H55" s="22" t="s">
        <v>134</v>
      </c>
      <c r="I55" s="22" t="s">
        <v>223</v>
      </c>
      <c r="J55" s="22" t="s">
        <v>181</v>
      </c>
      <c r="K55" s="22">
        <v>1</v>
      </c>
      <c r="L55" s="22">
        <v>2</v>
      </c>
      <c r="M55" s="22">
        <v>3</v>
      </c>
      <c r="N55" s="22">
        <v>4</v>
      </c>
      <c r="O55" s="22">
        <v>5</v>
      </c>
      <c r="Q55" s="35">
        <f>IFERROR(
 (1.907*EXP(1)^(-0.5*tbl_CONTENT[[#This Row],[Layer]])) *
 ((tbl_CONTENT[[#This Row],[RelInt]]-1)^(2.5)*4^(1-2.5)+1) +
 ((tbl_CONTENT[[#This Row],[Comp]]-1)^(2.5)*4^(1-2.5)+1)*(0.5*((tbl_CONTENT[[#This Row],[RelInt]]-1)/4)^(2.5)+1),
 0
)</f>
        <v>4.1914549319579635</v>
      </c>
      <c r="R55" s="35">
        <f>IFERROR(
 (1.907*EXP(1)^(-0.5*VALUE(tbl_CONTENT[[#This Row],[Layer]]))) *
 ((VALUE(tbl_CONTENT[[#This Row],[RelId]])-1)^(2.5)*4^(1-2.5)+1) +
 ((VALUE(tbl_CONTENT[[#This Row],[Comp]])-1)^(2.5)*4^(1-2.5)+1)*(0.5*((VALUE(tbl_CONTENT[[#This Row],[RelId]])-1)/4)^(2.5)+1),
 0
)</f>
        <v>6.0683906433495247</v>
      </c>
    </row>
    <row r="56" spans="3:18" ht="17" x14ac:dyDescent="0.2">
      <c r="C56" s="22" t="str">
        <f>_xlfn.XLOOKUP(tbl_CONTENT[[#This Row],[TopicID]], tbl_TOPIC[TopicID], tbl_TOPIC[Subject], "")</f>
        <v>HA</v>
      </c>
      <c r="D56" s="22" t="str">
        <f xml:space="preserve"> tbl_CONTENT[[#This Row],[TopicID]] &amp; "-" &amp; TEXT(tbl_CONTENT[[#This Row],[TopicIDCount]], "00")</f>
        <v>HA-1-04-13</v>
      </c>
      <c r="F56" s="22" t="str">
        <f>_xlfn.XLOOKUP(tbl_CONTENT[[#This Row],[Topic]], tbl_TOPIC[Topic], tbl_TOPIC[TopicID], "")</f>
        <v>HA-1-04</v>
      </c>
      <c r="G56" s="22" cm="1">
        <f t="array" ref="G56">SUM((tbl_CONTENT[[#This Row],[TopicID]]=INDEX(tbl_CONTENT[TopicID],1):tbl_CONTENT[[#This Row],[TopicID]])*1)</f>
        <v>13</v>
      </c>
      <c r="H56" s="22" t="s">
        <v>134</v>
      </c>
      <c r="I56" s="22" t="s">
        <v>224</v>
      </c>
      <c r="J56" s="22" t="s">
        <v>153</v>
      </c>
      <c r="K56" s="22">
        <v>1</v>
      </c>
      <c r="L56" s="22">
        <v>3</v>
      </c>
      <c r="M56" s="22">
        <v>3</v>
      </c>
      <c r="N56" s="22">
        <v>3</v>
      </c>
      <c r="O56" s="22">
        <v>5</v>
      </c>
      <c r="Q56" s="35">
        <f>IFERROR(
 (1.907*EXP(1)^(-0.5*tbl_CONTENT[[#This Row],[Layer]])) *
 ((tbl_CONTENT[[#This Row],[RelInt]]-1)^(2.5)*4^(1-2.5)+1) +
 ((tbl_CONTENT[[#This Row],[Comp]]-1)^(2.5)*4^(1-2.5)+1)*(0.5*((tbl_CONTENT[[#This Row],[RelInt]]-1)/4)^(2.5)+1),
 0
)</f>
        <v>2.5843847959067898</v>
      </c>
      <c r="R56" s="35">
        <f>IFERROR(
 (1.907*EXP(1)^(-0.5*VALUE(tbl_CONTENT[[#This Row],[Layer]]))) *
 ((VALUE(tbl_CONTENT[[#This Row],[RelId]])-1)^(2.5)*4^(1-2.5)+1) +
 ((VALUE(tbl_CONTENT[[#This Row],[Comp]])-1)^(2.5)*4^(1-2.5)+1)*(0.5*((VALUE(tbl_CONTENT[[#This Row],[RelId]])-1)/4)^(2.5)+1),
 0
)</f>
        <v>4.6882062487951002</v>
      </c>
    </row>
    <row r="57" spans="3:18" ht="17" x14ac:dyDescent="0.2">
      <c r="C57" s="22" t="str">
        <f>_xlfn.XLOOKUP(tbl_CONTENT[[#This Row],[TopicID]], tbl_TOPIC[TopicID], tbl_TOPIC[Subject], "")</f>
        <v>HA</v>
      </c>
      <c r="D57" s="22" t="str">
        <f xml:space="preserve"> tbl_CONTENT[[#This Row],[TopicID]] &amp; "-" &amp; TEXT(tbl_CONTENT[[#This Row],[TopicIDCount]], "00")</f>
        <v>HA-1-04-14</v>
      </c>
      <c r="F57" s="22" t="str">
        <f>_xlfn.XLOOKUP(tbl_CONTENT[[#This Row],[Topic]], tbl_TOPIC[Topic], tbl_TOPIC[TopicID], "")</f>
        <v>HA-1-04</v>
      </c>
      <c r="G57" s="22" cm="1">
        <f t="array" ref="G57">SUM((tbl_CONTENT[[#This Row],[TopicID]]=INDEX(tbl_CONTENT[TopicID],1):tbl_CONTENT[[#This Row],[TopicID]])*1)</f>
        <v>14</v>
      </c>
      <c r="H57" s="22" t="s">
        <v>134</v>
      </c>
      <c r="I57" s="22" t="s">
        <v>225</v>
      </c>
      <c r="J57" s="22" t="s">
        <v>181</v>
      </c>
      <c r="K57" s="22">
        <v>1</v>
      </c>
      <c r="L57" s="22">
        <v>3</v>
      </c>
      <c r="M57" s="22">
        <v>3</v>
      </c>
      <c r="N57" s="22">
        <v>3</v>
      </c>
      <c r="O57" s="22">
        <v>4</v>
      </c>
      <c r="Q57" s="35">
        <f>IFERROR(
 (1.907*EXP(1)^(-0.5*tbl_CONTENT[[#This Row],[Layer]])) *
 ((tbl_CONTENT[[#This Row],[RelInt]]-1)^(2.5)*4^(1-2.5)+1) +
 ((tbl_CONTENT[[#This Row],[Comp]]-1)^(2.5)*4^(1-2.5)+1)*(0.5*((tbl_CONTENT[[#This Row],[RelInt]]-1)/4)^(2.5)+1),
 0
)</f>
        <v>2.5843847959067898</v>
      </c>
      <c r="R57" s="35">
        <f>IFERROR(
 (1.907*EXP(1)^(-0.5*VALUE(tbl_CONTENT[[#This Row],[Layer]]))) *
 ((VALUE(tbl_CONTENT[[#This Row],[RelId]])-1)^(2.5)*4^(1-2.5)+1) +
 ((VALUE(tbl_CONTENT[[#This Row],[Comp]])-1)^(2.5)*4^(1-2.5)+1)*(0.5*((VALUE(tbl_CONTENT[[#This Row],[RelId]])-1)/4)^(2.5)+1),
 0
)</f>
        <v>3.3775444166311392</v>
      </c>
    </row>
    <row r="58" spans="3:18" ht="34" x14ac:dyDescent="0.2">
      <c r="C58" s="22" t="str">
        <f>_xlfn.XLOOKUP(tbl_CONTENT[[#This Row],[TopicID]], tbl_TOPIC[TopicID], tbl_TOPIC[Subject], "")</f>
        <v>HA</v>
      </c>
      <c r="D58" s="22" t="str">
        <f xml:space="preserve"> tbl_CONTENT[[#This Row],[TopicID]] &amp; "-" &amp; TEXT(tbl_CONTENT[[#This Row],[TopicIDCount]], "00")</f>
        <v>HA-1-04-15</v>
      </c>
      <c r="F58" s="22" t="str">
        <f>_xlfn.XLOOKUP(tbl_CONTENT[[#This Row],[Topic]], tbl_TOPIC[Topic], tbl_TOPIC[TopicID], "")</f>
        <v>HA-1-04</v>
      </c>
      <c r="G58" s="22" cm="1">
        <f t="array" ref="G58">SUM((tbl_CONTENT[[#This Row],[TopicID]]=INDEX(tbl_CONTENT[TopicID],1):tbl_CONTENT[[#This Row],[TopicID]])*1)</f>
        <v>15</v>
      </c>
      <c r="H58" s="22" t="s">
        <v>134</v>
      </c>
      <c r="I58" s="40" t="s">
        <v>226</v>
      </c>
      <c r="J58" s="22" t="s">
        <v>148</v>
      </c>
      <c r="K58" s="22">
        <v>1</v>
      </c>
      <c r="L58" s="22">
        <v>2</v>
      </c>
      <c r="M58" s="22">
        <v>3</v>
      </c>
      <c r="N58" s="22">
        <v>4</v>
      </c>
      <c r="O58" s="22">
        <v>5</v>
      </c>
      <c r="Q58" s="35">
        <f>IFERROR(
 (1.907*EXP(1)^(-0.5*tbl_CONTENT[[#This Row],[Layer]])) *
 ((tbl_CONTENT[[#This Row],[RelInt]]-1)^(2.5)*4^(1-2.5)+1) +
 ((tbl_CONTENT[[#This Row],[Comp]]-1)^(2.5)*4^(1-2.5)+1)*(0.5*((tbl_CONTENT[[#This Row],[RelInt]]-1)/4)^(2.5)+1),
 0
)</f>
        <v>4.1914549319579635</v>
      </c>
      <c r="R58" s="35">
        <f>IFERROR(
 (1.907*EXP(1)^(-0.5*VALUE(tbl_CONTENT[[#This Row],[Layer]]))) *
 ((VALUE(tbl_CONTENT[[#This Row],[RelId]])-1)^(2.5)*4^(1-2.5)+1) +
 ((VALUE(tbl_CONTENT[[#This Row],[Comp]])-1)^(2.5)*4^(1-2.5)+1)*(0.5*((VALUE(tbl_CONTENT[[#This Row],[RelId]])-1)/4)^(2.5)+1),
 0
)</f>
        <v>6.0683906433495247</v>
      </c>
    </row>
    <row r="59" spans="3:18" ht="17" x14ac:dyDescent="0.2">
      <c r="C59" s="22" t="str">
        <f>_xlfn.XLOOKUP(tbl_CONTENT[[#This Row],[TopicID]], tbl_TOPIC[TopicID], tbl_TOPIC[Subject], "")</f>
        <v>HA</v>
      </c>
      <c r="D59" s="22" t="str">
        <f xml:space="preserve"> tbl_CONTENT[[#This Row],[TopicID]] &amp; "-" &amp; TEXT(tbl_CONTENT[[#This Row],[TopicIDCount]], "00")</f>
        <v>HA-1-04-16</v>
      </c>
      <c r="F59" s="22" t="str">
        <f>_xlfn.XLOOKUP(tbl_CONTENT[[#This Row],[Topic]], tbl_TOPIC[Topic], tbl_TOPIC[TopicID], "")</f>
        <v>HA-1-04</v>
      </c>
      <c r="G59" s="22" cm="1">
        <f t="array" ref="G59">SUM((tbl_CONTENT[[#This Row],[TopicID]]=INDEX(tbl_CONTENT[TopicID],1):tbl_CONTENT[[#This Row],[TopicID]])*1)</f>
        <v>16</v>
      </c>
      <c r="H59" s="22" t="s">
        <v>134</v>
      </c>
      <c r="I59" s="22" t="s">
        <v>227</v>
      </c>
      <c r="J59" s="22" t="s">
        <v>153</v>
      </c>
      <c r="K59" s="22">
        <v>1</v>
      </c>
      <c r="L59" s="22">
        <v>2</v>
      </c>
      <c r="M59" s="22">
        <v>3</v>
      </c>
      <c r="N59" s="22">
        <v>4</v>
      </c>
      <c r="O59" s="22">
        <v>5</v>
      </c>
      <c r="Q59" s="35">
        <f>IFERROR(
 (1.907*EXP(1)^(-0.5*tbl_CONTENT[[#This Row],[Layer]])) *
 ((tbl_CONTENT[[#This Row],[RelInt]]-1)^(2.5)*4^(1-2.5)+1) +
 ((tbl_CONTENT[[#This Row],[Comp]]-1)^(2.5)*4^(1-2.5)+1)*(0.5*((tbl_CONTENT[[#This Row],[RelInt]]-1)/4)^(2.5)+1),
 0
)</f>
        <v>4.1914549319579635</v>
      </c>
      <c r="R59" s="35">
        <f>IFERROR(
 (1.907*EXP(1)^(-0.5*VALUE(tbl_CONTENT[[#This Row],[Layer]]))) *
 ((VALUE(tbl_CONTENT[[#This Row],[RelId]])-1)^(2.5)*4^(1-2.5)+1) +
 ((VALUE(tbl_CONTENT[[#This Row],[Comp]])-1)^(2.5)*4^(1-2.5)+1)*(0.5*((VALUE(tbl_CONTENT[[#This Row],[RelId]])-1)/4)^(2.5)+1),
 0
)</f>
        <v>6.0683906433495247</v>
      </c>
    </row>
    <row r="60" spans="3:18" ht="34" x14ac:dyDescent="0.2">
      <c r="C60" s="22" t="str">
        <f>_xlfn.XLOOKUP(tbl_CONTENT[[#This Row],[TopicID]], tbl_TOPIC[TopicID], tbl_TOPIC[Subject], "")</f>
        <v>HA</v>
      </c>
      <c r="D60" s="22" t="str">
        <f xml:space="preserve"> tbl_CONTENT[[#This Row],[TopicID]] &amp; "-" &amp; TEXT(tbl_CONTENT[[#This Row],[TopicIDCount]], "00")</f>
        <v>HA-1-04-17</v>
      </c>
      <c r="F60" s="22" t="str">
        <f>_xlfn.XLOOKUP(tbl_CONTENT[[#This Row],[Topic]], tbl_TOPIC[Topic], tbl_TOPIC[TopicID], "")</f>
        <v>HA-1-04</v>
      </c>
      <c r="G60" s="22" cm="1">
        <f t="array" ref="G60">SUM((tbl_CONTENT[[#This Row],[TopicID]]=INDEX(tbl_CONTENT[TopicID],1):tbl_CONTENT[[#This Row],[TopicID]])*1)</f>
        <v>17</v>
      </c>
      <c r="H60" s="22" t="s">
        <v>134</v>
      </c>
      <c r="I60" s="22" t="s">
        <v>228</v>
      </c>
      <c r="J60" s="22" t="s">
        <v>152</v>
      </c>
      <c r="K60" s="22">
        <v>1</v>
      </c>
      <c r="L60" s="22">
        <v>2</v>
      </c>
      <c r="M60" s="22">
        <v>2</v>
      </c>
      <c r="N60" s="22">
        <v>5</v>
      </c>
      <c r="O60" s="22">
        <v>5</v>
      </c>
      <c r="Q60" s="35">
        <f>IFERROR(
 (1.907*EXP(1)^(-0.5*tbl_CONTENT[[#This Row],[Layer]])) *
 ((tbl_CONTENT[[#This Row],[RelInt]]-1)^(2.5)*4^(1-2.5)+1) +
 ((tbl_CONTENT[[#This Row],[Comp]]-1)^(2.5)*4^(1-2.5)+1)*(0.5*((tbl_CONTENT[[#This Row],[RelInt]]-1)/4)^(2.5)+1),
 0
)</f>
        <v>5.1952304715697029</v>
      </c>
      <c r="R60" s="35">
        <f>IFERROR(
 (1.907*EXP(1)^(-0.5*VALUE(tbl_CONTENT[[#This Row],[Layer]]))) *
 ((VALUE(tbl_CONTENT[[#This Row],[RelId]])-1)^(2.5)*4^(1-2.5)+1) +
 ((VALUE(tbl_CONTENT[[#This Row],[Comp]])-1)^(2.5)*4^(1-2.5)+1)*(0.5*((VALUE(tbl_CONTENT[[#This Row],[RelId]])-1)/4)^(2.5)+1),
 0
)</f>
        <v>5.1952304715697029</v>
      </c>
    </row>
    <row r="61" spans="3:18" ht="34" x14ac:dyDescent="0.2">
      <c r="C61" s="22" t="str">
        <f>_xlfn.XLOOKUP(tbl_CONTENT[[#This Row],[TopicID]], tbl_TOPIC[TopicID], tbl_TOPIC[Subject], "")</f>
        <v>HA</v>
      </c>
      <c r="D61" s="22" t="str">
        <f xml:space="preserve"> tbl_CONTENT[[#This Row],[TopicID]] &amp; "-" &amp; TEXT(tbl_CONTENT[[#This Row],[TopicIDCount]], "00")</f>
        <v>HA-1-04-18</v>
      </c>
      <c r="F61" s="22" t="str">
        <f>_xlfn.XLOOKUP(tbl_CONTENT[[#This Row],[Topic]], tbl_TOPIC[Topic], tbl_TOPIC[TopicID], "")</f>
        <v>HA-1-04</v>
      </c>
      <c r="G61" s="22" cm="1">
        <f t="array" ref="G61">SUM((tbl_CONTENT[[#This Row],[TopicID]]=INDEX(tbl_CONTENT[TopicID],1):tbl_CONTENT[[#This Row],[TopicID]])*1)</f>
        <v>18</v>
      </c>
      <c r="H61" s="22" t="s">
        <v>134</v>
      </c>
      <c r="I61" s="22" t="s">
        <v>229</v>
      </c>
      <c r="J61" s="22" t="s">
        <v>153</v>
      </c>
      <c r="K61" s="22">
        <v>0</v>
      </c>
      <c r="Q61" s="35">
        <f>IFERROR(
 (1.907*EXP(1)^(-0.5*tbl_CONTENT[[#This Row],[Layer]])) *
 ((tbl_CONTENT[[#This Row],[RelInt]]-1)^(2.5)*4^(1-2.5)+1) +
 ((tbl_CONTENT[[#This Row],[Comp]]-1)^(2.5)*4^(1-2.5)+1)*(0.5*((tbl_CONTENT[[#This Row],[RelInt]]-1)/4)^(2.5)+1),
 0
)</f>
        <v>0</v>
      </c>
      <c r="R61" s="35">
        <f>IFERROR(
 (1.907*EXP(1)^(-0.5*VALUE(tbl_CONTENT[[#This Row],[Layer]]))) *
 ((VALUE(tbl_CONTENT[[#This Row],[RelId]])-1)^(2.5)*4^(1-2.5)+1) +
 ((VALUE(tbl_CONTENT[[#This Row],[Comp]])-1)^(2.5)*4^(1-2.5)+1)*(0.5*((VALUE(tbl_CONTENT[[#This Row],[RelId]])-1)/4)^(2.5)+1),
 0
)</f>
        <v>0</v>
      </c>
    </row>
    <row r="62" spans="3:18" ht="34" x14ac:dyDescent="0.2">
      <c r="C62" s="22" t="str">
        <f>_xlfn.XLOOKUP(tbl_CONTENT[[#This Row],[TopicID]], tbl_TOPIC[TopicID], tbl_TOPIC[Subject], "")</f>
        <v>HA</v>
      </c>
      <c r="D62" s="22" t="str">
        <f xml:space="preserve"> tbl_CONTENT[[#This Row],[TopicID]] &amp; "-" &amp; TEXT(tbl_CONTENT[[#This Row],[TopicIDCount]], "00")</f>
        <v>HA-1-04-19</v>
      </c>
      <c r="F62" s="22" t="str">
        <f>_xlfn.XLOOKUP(tbl_CONTENT[[#This Row],[Topic]], tbl_TOPIC[Topic], tbl_TOPIC[TopicID], "")</f>
        <v>HA-1-04</v>
      </c>
      <c r="G62" s="22" cm="1">
        <f t="array" ref="G62">SUM((tbl_CONTENT[[#This Row],[TopicID]]=INDEX(tbl_CONTENT[TopicID],1):tbl_CONTENT[[#This Row],[TopicID]])*1)</f>
        <v>19</v>
      </c>
      <c r="H62" s="22" t="s">
        <v>134</v>
      </c>
      <c r="I62" s="22" t="s">
        <v>230</v>
      </c>
      <c r="J62" s="22" t="s">
        <v>153</v>
      </c>
      <c r="K62" s="22">
        <v>0</v>
      </c>
      <c r="Q62" s="35">
        <f>IFERROR(
 (1.907*EXP(1)^(-0.5*tbl_CONTENT[[#This Row],[Layer]])) *
 ((tbl_CONTENT[[#This Row],[RelInt]]-1)^(2.5)*4^(1-2.5)+1) +
 ((tbl_CONTENT[[#This Row],[Comp]]-1)^(2.5)*4^(1-2.5)+1)*(0.5*((tbl_CONTENT[[#This Row],[RelInt]]-1)/4)^(2.5)+1),
 0
)</f>
        <v>0</v>
      </c>
      <c r="R62" s="35">
        <f>IFERROR(
 (1.907*EXP(1)^(-0.5*VALUE(tbl_CONTENT[[#This Row],[Layer]]))) *
 ((VALUE(tbl_CONTENT[[#This Row],[RelId]])-1)^(2.5)*4^(1-2.5)+1) +
 ((VALUE(tbl_CONTENT[[#This Row],[Comp]])-1)^(2.5)*4^(1-2.5)+1)*(0.5*((VALUE(tbl_CONTENT[[#This Row],[RelId]])-1)/4)^(2.5)+1),
 0
)</f>
        <v>0</v>
      </c>
    </row>
    <row r="63" spans="3:18" ht="17" x14ac:dyDescent="0.2">
      <c r="C63" s="22" t="str">
        <f>_xlfn.XLOOKUP(tbl_CONTENT[[#This Row],[TopicID]], tbl_TOPIC[TopicID], tbl_TOPIC[Subject], "")</f>
        <v>HA</v>
      </c>
      <c r="D63" s="22" t="str">
        <f xml:space="preserve"> tbl_CONTENT[[#This Row],[TopicID]] &amp; "-" &amp; TEXT(tbl_CONTENT[[#This Row],[TopicIDCount]], "00")</f>
        <v>HA-1-06-01</v>
      </c>
      <c r="F63" s="22" t="str">
        <f>_xlfn.XLOOKUP(tbl_CONTENT[[#This Row],[Topic]], tbl_TOPIC[Topic], tbl_TOPIC[TopicID], "")</f>
        <v>HA-1-06</v>
      </c>
      <c r="G63" s="22" cm="1">
        <f t="array" ref="G63">SUM((tbl_CONTENT[[#This Row],[TopicID]]=INDEX(tbl_CONTENT[TopicID],1):tbl_CONTENT[[#This Row],[TopicID]])*1)</f>
        <v>1</v>
      </c>
      <c r="H63" s="22" t="s">
        <v>140</v>
      </c>
      <c r="I63" s="22" t="s">
        <v>231</v>
      </c>
      <c r="J63" s="22" t="s">
        <v>153</v>
      </c>
      <c r="K63" s="22">
        <v>1</v>
      </c>
      <c r="L63" s="22">
        <v>1</v>
      </c>
      <c r="M63" s="22">
        <v>3</v>
      </c>
      <c r="N63" s="22">
        <v>5</v>
      </c>
      <c r="O63" s="22">
        <v>5</v>
      </c>
      <c r="Q63" s="35">
        <f>IFERROR(
 (1.907*EXP(1)^(-0.5*tbl_CONTENT[[#This Row],[Layer]])) *
 ((tbl_CONTENT[[#This Row],[RelInt]]-1)^(2.5)*4^(1-2.5)+1) +
 ((tbl_CONTENT[[#This Row],[Comp]]-1)^(2.5)*4^(1-2.5)+1)*(0.5*((tbl_CONTENT[[#This Row],[RelInt]]-1)/4)^(2.5)+1),
 0
)</f>
        <v>8.3439300121397828</v>
      </c>
      <c r="R63" s="35">
        <f>IFERROR(
 (1.907*EXP(1)^(-0.5*VALUE(tbl_CONTENT[[#This Row],[Layer]]))) *
 ((VALUE(tbl_CONTENT[[#This Row],[RelId]])-1)^(2.5)*4^(1-2.5)+1) +
 ((VALUE(tbl_CONTENT[[#This Row],[Comp]])-1)^(2.5)*4^(1-2.5)+1)*(0.5*((VALUE(tbl_CONTENT[[#This Row],[RelId]])-1)/4)^(2.5)+1),
 0
)</f>
        <v>8.3439300121397828</v>
      </c>
    </row>
    <row r="64" spans="3:18" ht="34" x14ac:dyDescent="0.2">
      <c r="C64" s="22" t="str">
        <f>_xlfn.XLOOKUP(tbl_CONTENT[[#This Row],[TopicID]], tbl_TOPIC[TopicID], tbl_TOPIC[Subject], "")</f>
        <v>HA</v>
      </c>
      <c r="D64" s="22" t="str">
        <f xml:space="preserve"> tbl_CONTENT[[#This Row],[TopicID]] &amp; "-" &amp; TEXT(tbl_CONTENT[[#This Row],[TopicIDCount]], "00")</f>
        <v>HA-1-06-02</v>
      </c>
      <c r="F64" s="22" t="str">
        <f>_xlfn.XLOOKUP(tbl_CONTENT[[#This Row],[Topic]], tbl_TOPIC[Topic], tbl_TOPIC[TopicID], "")</f>
        <v>HA-1-06</v>
      </c>
      <c r="G64" s="22" cm="1">
        <f t="array" ref="G64">SUM((tbl_CONTENT[[#This Row],[TopicID]]=INDEX(tbl_CONTENT[TopicID],1):tbl_CONTENT[[#This Row],[TopicID]])*1)</f>
        <v>2</v>
      </c>
      <c r="H64" s="22" t="s">
        <v>140</v>
      </c>
      <c r="I64" s="22" t="s">
        <v>232</v>
      </c>
      <c r="J64" s="22" t="s">
        <v>153</v>
      </c>
      <c r="K64" s="22">
        <v>1</v>
      </c>
      <c r="L64" s="22">
        <v>1</v>
      </c>
      <c r="M64" s="22">
        <v>3</v>
      </c>
      <c r="N64" s="22">
        <v>5</v>
      </c>
      <c r="O64" s="22">
        <v>5</v>
      </c>
      <c r="Q64" s="35">
        <f>IFERROR(
 (1.907*EXP(1)^(-0.5*tbl_CONTENT[[#This Row],[Layer]])) *
 ((tbl_CONTENT[[#This Row],[RelInt]]-1)^(2.5)*4^(1-2.5)+1) +
 ((tbl_CONTENT[[#This Row],[Comp]]-1)^(2.5)*4^(1-2.5)+1)*(0.5*((tbl_CONTENT[[#This Row],[RelInt]]-1)/4)^(2.5)+1),
 0
)</f>
        <v>8.3439300121397828</v>
      </c>
      <c r="R64" s="35">
        <f>IFERROR(
 (1.907*EXP(1)^(-0.5*VALUE(tbl_CONTENT[[#This Row],[Layer]]))) *
 ((VALUE(tbl_CONTENT[[#This Row],[RelId]])-1)^(2.5)*4^(1-2.5)+1) +
 ((VALUE(tbl_CONTENT[[#This Row],[Comp]])-1)^(2.5)*4^(1-2.5)+1)*(0.5*((VALUE(tbl_CONTENT[[#This Row],[RelId]])-1)/4)^(2.5)+1),
 0
)</f>
        <v>8.3439300121397828</v>
      </c>
    </row>
    <row r="65" spans="3:18" ht="34" x14ac:dyDescent="0.2">
      <c r="C65" s="22" t="str">
        <f>_xlfn.XLOOKUP(tbl_CONTENT[[#This Row],[TopicID]], tbl_TOPIC[TopicID], tbl_TOPIC[Subject], "")</f>
        <v>HA</v>
      </c>
      <c r="D65" s="22" t="str">
        <f xml:space="preserve"> tbl_CONTENT[[#This Row],[TopicID]] &amp; "-" &amp; TEXT(tbl_CONTENT[[#This Row],[TopicIDCount]], "00")</f>
        <v>HA-1-06-03</v>
      </c>
      <c r="F65" s="22" t="str">
        <f>_xlfn.XLOOKUP(tbl_CONTENT[[#This Row],[Topic]], tbl_TOPIC[Topic], tbl_TOPIC[TopicID], "")</f>
        <v>HA-1-06</v>
      </c>
      <c r="G65" s="22" cm="1">
        <f t="array" ref="G65">SUM((tbl_CONTENT[[#This Row],[TopicID]]=INDEX(tbl_CONTENT[TopicID],1):tbl_CONTENT[[#This Row],[TopicID]])*1)</f>
        <v>3</v>
      </c>
      <c r="H65" s="22" t="s">
        <v>140</v>
      </c>
      <c r="I65" s="22" t="s">
        <v>233</v>
      </c>
      <c r="J65" s="22" t="s">
        <v>153</v>
      </c>
      <c r="K65" s="22">
        <v>1</v>
      </c>
      <c r="L65" s="22">
        <v>1</v>
      </c>
      <c r="M65" s="22">
        <v>3</v>
      </c>
      <c r="N65" s="22">
        <v>5</v>
      </c>
      <c r="O65" s="22">
        <v>5</v>
      </c>
      <c r="Q65" s="35">
        <f>IFERROR(
 (1.907*EXP(1)^(-0.5*tbl_CONTENT[[#This Row],[Layer]])) *
 ((tbl_CONTENT[[#This Row],[RelInt]]-1)^(2.5)*4^(1-2.5)+1) +
 ((tbl_CONTENT[[#This Row],[Comp]]-1)^(2.5)*4^(1-2.5)+1)*(0.5*((tbl_CONTENT[[#This Row],[RelInt]]-1)/4)^(2.5)+1),
 0
)</f>
        <v>8.3439300121397828</v>
      </c>
      <c r="R65" s="35">
        <f>IFERROR(
 (1.907*EXP(1)^(-0.5*VALUE(tbl_CONTENT[[#This Row],[Layer]]))) *
 ((VALUE(tbl_CONTENT[[#This Row],[RelId]])-1)^(2.5)*4^(1-2.5)+1) +
 ((VALUE(tbl_CONTENT[[#This Row],[Comp]])-1)^(2.5)*4^(1-2.5)+1)*(0.5*((VALUE(tbl_CONTENT[[#This Row],[RelId]])-1)/4)^(2.5)+1),
 0
)</f>
        <v>8.3439300121397828</v>
      </c>
    </row>
    <row r="66" spans="3:18" ht="17" x14ac:dyDescent="0.2">
      <c r="C66" s="22" t="str">
        <f>_xlfn.XLOOKUP(tbl_CONTENT[[#This Row],[TopicID]], tbl_TOPIC[TopicID], tbl_TOPIC[Subject], "")</f>
        <v>HA</v>
      </c>
      <c r="D66" s="22" t="str">
        <f xml:space="preserve"> tbl_CONTENT[[#This Row],[TopicID]] &amp; "-" &amp; TEXT(tbl_CONTENT[[#This Row],[TopicIDCount]], "00")</f>
        <v>HA-1-06-04</v>
      </c>
      <c r="F66" s="22" t="str">
        <f>_xlfn.XLOOKUP(tbl_CONTENT[[#This Row],[Topic]], tbl_TOPIC[Topic], tbl_TOPIC[TopicID], "")</f>
        <v>HA-1-06</v>
      </c>
      <c r="G66" s="22" cm="1">
        <f t="array" ref="G66">SUM((tbl_CONTENT[[#This Row],[TopicID]]=INDEX(tbl_CONTENT[TopicID],1):tbl_CONTENT[[#This Row],[TopicID]])*1)</f>
        <v>4</v>
      </c>
      <c r="H66" s="22" t="s">
        <v>140</v>
      </c>
      <c r="I66" s="22" t="s">
        <v>234</v>
      </c>
      <c r="J66" s="22" t="s">
        <v>153</v>
      </c>
      <c r="K66" s="22">
        <v>1</v>
      </c>
      <c r="L66" s="22">
        <v>2</v>
      </c>
      <c r="M66" s="22">
        <v>3</v>
      </c>
      <c r="N66" s="22">
        <v>4</v>
      </c>
      <c r="O66" s="22">
        <v>5</v>
      </c>
      <c r="Q66" s="35">
        <f>IFERROR(
 (1.907*EXP(1)^(-0.5*tbl_CONTENT[[#This Row],[Layer]])) *
 ((tbl_CONTENT[[#This Row],[RelInt]]-1)^(2.5)*4^(1-2.5)+1) +
 ((tbl_CONTENT[[#This Row],[Comp]]-1)^(2.5)*4^(1-2.5)+1)*(0.5*((tbl_CONTENT[[#This Row],[RelInt]]-1)/4)^(2.5)+1),
 0
)</f>
        <v>4.1914549319579635</v>
      </c>
      <c r="R66" s="35">
        <f>IFERROR(
 (1.907*EXP(1)^(-0.5*VALUE(tbl_CONTENT[[#This Row],[Layer]]))) *
 ((VALUE(tbl_CONTENT[[#This Row],[RelId]])-1)^(2.5)*4^(1-2.5)+1) +
 ((VALUE(tbl_CONTENT[[#This Row],[Comp]])-1)^(2.5)*4^(1-2.5)+1)*(0.5*((VALUE(tbl_CONTENT[[#This Row],[RelId]])-1)/4)^(2.5)+1),
 0
)</f>
        <v>6.0683906433495247</v>
      </c>
    </row>
    <row r="67" spans="3:18" ht="34" x14ac:dyDescent="0.2">
      <c r="C67" s="22" t="str">
        <f>_xlfn.XLOOKUP(tbl_CONTENT[[#This Row],[TopicID]], tbl_TOPIC[TopicID], tbl_TOPIC[Subject], "")</f>
        <v>HA</v>
      </c>
      <c r="D67" s="22" t="str">
        <f xml:space="preserve"> tbl_CONTENT[[#This Row],[TopicID]] &amp; "-" &amp; TEXT(tbl_CONTENT[[#This Row],[TopicIDCount]], "00")</f>
        <v>HA-1-06-05</v>
      </c>
      <c r="F67" s="22" t="str">
        <f>_xlfn.XLOOKUP(tbl_CONTENT[[#This Row],[Topic]], tbl_TOPIC[Topic], tbl_TOPIC[TopicID], "")</f>
        <v>HA-1-06</v>
      </c>
      <c r="G67" s="22" cm="1">
        <f t="array" ref="G67">SUM((tbl_CONTENT[[#This Row],[TopicID]]=INDEX(tbl_CONTENT[TopicID],1):tbl_CONTENT[[#This Row],[TopicID]])*1)</f>
        <v>5</v>
      </c>
      <c r="H67" s="22" t="s">
        <v>140</v>
      </c>
      <c r="I67" s="22" t="s">
        <v>235</v>
      </c>
      <c r="J67" s="22" t="s">
        <v>152</v>
      </c>
      <c r="K67" s="22">
        <v>1</v>
      </c>
      <c r="L67" s="22">
        <v>2</v>
      </c>
      <c r="M67" s="22">
        <v>2</v>
      </c>
      <c r="N67" s="22">
        <v>5</v>
      </c>
      <c r="O67" s="22">
        <v>5</v>
      </c>
      <c r="Q67" s="35">
        <f>IFERROR(
 (1.907*EXP(1)^(-0.5*tbl_CONTENT[[#This Row],[Layer]])) *
 ((tbl_CONTENT[[#This Row],[RelInt]]-1)^(2.5)*4^(1-2.5)+1) +
 ((tbl_CONTENT[[#This Row],[Comp]]-1)^(2.5)*4^(1-2.5)+1)*(0.5*((tbl_CONTENT[[#This Row],[RelInt]]-1)/4)^(2.5)+1),
 0
)</f>
        <v>5.1952304715697029</v>
      </c>
      <c r="R67" s="35">
        <f>IFERROR(
 (1.907*EXP(1)^(-0.5*VALUE(tbl_CONTENT[[#This Row],[Layer]]))) *
 ((VALUE(tbl_CONTENT[[#This Row],[RelId]])-1)^(2.5)*4^(1-2.5)+1) +
 ((VALUE(tbl_CONTENT[[#This Row],[Comp]])-1)^(2.5)*4^(1-2.5)+1)*(0.5*((VALUE(tbl_CONTENT[[#This Row],[RelId]])-1)/4)^(2.5)+1),
 0
)</f>
        <v>5.1952304715697029</v>
      </c>
    </row>
    <row r="68" spans="3:18" ht="34" x14ac:dyDescent="0.2">
      <c r="C68" s="22" t="str">
        <f>_xlfn.XLOOKUP(tbl_CONTENT[[#This Row],[TopicID]], tbl_TOPIC[TopicID], tbl_TOPIC[Subject], "")</f>
        <v>HA</v>
      </c>
      <c r="D68" s="22" t="str">
        <f xml:space="preserve"> tbl_CONTENT[[#This Row],[TopicID]] &amp; "-" &amp; TEXT(tbl_CONTENT[[#This Row],[TopicIDCount]], "00")</f>
        <v>HA-1-06-06</v>
      </c>
      <c r="F68" s="22" t="str">
        <f>_xlfn.XLOOKUP(tbl_CONTENT[[#This Row],[Topic]], tbl_TOPIC[Topic], tbl_TOPIC[TopicID], "")</f>
        <v>HA-1-06</v>
      </c>
      <c r="G68" s="22" cm="1">
        <f t="array" ref="G68">SUM((tbl_CONTENT[[#This Row],[TopicID]]=INDEX(tbl_CONTENT[TopicID],1):tbl_CONTENT[[#This Row],[TopicID]])*1)</f>
        <v>6</v>
      </c>
      <c r="H68" s="22" t="s">
        <v>140</v>
      </c>
      <c r="I68" s="22" t="s">
        <v>236</v>
      </c>
      <c r="J68" s="22" t="s">
        <v>147</v>
      </c>
      <c r="K68" s="22">
        <v>1</v>
      </c>
      <c r="L68" s="22">
        <v>3</v>
      </c>
      <c r="M68" s="22">
        <v>3</v>
      </c>
      <c r="N68" s="22">
        <v>4</v>
      </c>
      <c r="O68" s="22">
        <v>5</v>
      </c>
      <c r="Q68" s="35">
        <f>IFERROR(
 (1.907*EXP(1)^(-0.5*tbl_CONTENT[[#This Row],[Layer]])) *
 ((tbl_CONTENT[[#This Row],[RelInt]]-1)^(2.5)*4^(1-2.5)+1) +
 ((tbl_CONTENT[[#This Row],[Comp]]-1)^(2.5)*4^(1-2.5)+1)*(0.5*((tbl_CONTENT[[#This Row],[RelInt]]-1)/4)^(2.5)+1),
 0
)</f>
        <v>3.3775444166311392</v>
      </c>
      <c r="R68" s="35">
        <f>IFERROR(
 (1.907*EXP(1)^(-0.5*VALUE(tbl_CONTENT[[#This Row],[Layer]]))) *
 ((VALUE(tbl_CONTENT[[#This Row],[RelId]])-1)^(2.5)*4^(1-2.5)+1) +
 ((VALUE(tbl_CONTENT[[#This Row],[Comp]])-1)^(2.5)*4^(1-2.5)+1)*(0.5*((VALUE(tbl_CONTENT[[#This Row],[RelId]])-1)/4)^(2.5)+1),
 0
)</f>
        <v>4.6882062487951002</v>
      </c>
    </row>
    <row r="69" spans="3:18" ht="17" x14ac:dyDescent="0.2">
      <c r="C69" s="22" t="str">
        <f>_xlfn.XLOOKUP(tbl_CONTENT[[#This Row],[TopicID]], tbl_TOPIC[TopicID], tbl_TOPIC[Subject], "")</f>
        <v>HA</v>
      </c>
      <c r="D69" s="22" t="str">
        <f xml:space="preserve"> tbl_CONTENT[[#This Row],[TopicID]] &amp; "-" &amp; TEXT(tbl_CONTENT[[#This Row],[TopicIDCount]], "00")</f>
        <v>HA-1-06-07</v>
      </c>
      <c r="F69" s="22" t="str">
        <f>_xlfn.XLOOKUP(tbl_CONTENT[[#This Row],[Topic]], tbl_TOPIC[Topic], tbl_TOPIC[TopicID], "")</f>
        <v>HA-1-06</v>
      </c>
      <c r="G69" s="22" cm="1">
        <f t="array" ref="G69">SUM((tbl_CONTENT[[#This Row],[TopicID]]=INDEX(tbl_CONTENT[TopicID],1):tbl_CONTENT[[#This Row],[TopicID]])*1)</f>
        <v>7</v>
      </c>
      <c r="H69" s="22" t="s">
        <v>140</v>
      </c>
      <c r="I69" s="22" t="s">
        <v>237</v>
      </c>
      <c r="J69" s="22" t="s">
        <v>153</v>
      </c>
      <c r="K69" s="22">
        <v>1</v>
      </c>
      <c r="L69" s="22">
        <v>2</v>
      </c>
      <c r="M69" s="22">
        <v>2</v>
      </c>
      <c r="N69" s="22">
        <v>4</v>
      </c>
      <c r="O69" s="22">
        <v>5</v>
      </c>
      <c r="Q69" s="35">
        <f>IFERROR(
 (1.907*EXP(1)^(-0.5*tbl_CONTENT[[#This Row],[Layer]])) *
 ((tbl_CONTENT[[#This Row],[RelInt]]-1)^(2.5)*4^(1-2.5)+1) +
 ((tbl_CONTENT[[#This Row],[Comp]]-1)^(2.5)*4^(1-2.5)+1)*(0.5*((tbl_CONTENT[[#This Row],[RelInt]]-1)/4)^(2.5)+1),
 0
)</f>
        <v>3.4675646088337704</v>
      </c>
      <c r="R69" s="35">
        <f>IFERROR(
 (1.907*EXP(1)^(-0.5*VALUE(tbl_CONTENT[[#This Row],[Layer]]))) *
 ((VALUE(tbl_CONTENT[[#This Row],[RelId]])-1)^(2.5)*4^(1-2.5)+1) +
 ((VALUE(tbl_CONTENT[[#This Row],[Comp]])-1)^(2.5)*4^(1-2.5)+1)*(0.5*((VALUE(tbl_CONTENT[[#This Row],[RelId]])-1)/4)^(2.5)+1),
 0
)</f>
        <v>5.1952304715697029</v>
      </c>
    </row>
    <row r="70" spans="3:18" ht="17" x14ac:dyDescent="0.2">
      <c r="C70" s="22" t="str">
        <f>_xlfn.XLOOKUP(tbl_CONTENT[[#This Row],[TopicID]], tbl_TOPIC[TopicID], tbl_TOPIC[Subject], "")</f>
        <v>HA</v>
      </c>
      <c r="D70" s="22" t="str">
        <f xml:space="preserve"> tbl_CONTENT[[#This Row],[TopicID]] &amp; "-" &amp; TEXT(tbl_CONTENT[[#This Row],[TopicIDCount]], "00")</f>
        <v>HA-1-06-08</v>
      </c>
      <c r="F70" s="22" t="str">
        <f>_xlfn.XLOOKUP(tbl_CONTENT[[#This Row],[Topic]], tbl_TOPIC[Topic], tbl_TOPIC[TopicID], "")</f>
        <v>HA-1-06</v>
      </c>
      <c r="G70" s="22" cm="1">
        <f t="array" ref="G70">SUM((tbl_CONTENT[[#This Row],[TopicID]]=INDEX(tbl_CONTENT[TopicID],1):tbl_CONTENT[[#This Row],[TopicID]])*1)</f>
        <v>8</v>
      </c>
      <c r="H70" s="22" t="s">
        <v>140</v>
      </c>
      <c r="I70" s="22" t="s">
        <v>238</v>
      </c>
      <c r="J70" s="22" t="s">
        <v>153</v>
      </c>
      <c r="K70" s="22">
        <v>1</v>
      </c>
      <c r="L70" s="22">
        <v>3</v>
      </c>
      <c r="M70" s="22">
        <v>2</v>
      </c>
      <c r="N70" s="22">
        <v>3</v>
      </c>
      <c r="O70" s="22">
        <v>4</v>
      </c>
      <c r="Q70" s="35">
        <f>IFERROR(
 (1.907*EXP(1)^(-0.5*tbl_CONTENT[[#This Row],[Layer]])) *
 ((tbl_CONTENT[[#This Row],[RelInt]]-1)^(2.5)*4^(1-2.5)+1) +
 ((tbl_CONTENT[[#This Row],[Comp]]-1)^(2.5)*4^(1-2.5)+1)*(0.5*((tbl_CONTENT[[#This Row],[RelInt]]-1)/4)^(2.5)+1),
 0
)</f>
        <v>1.9508265581762823</v>
      </c>
      <c r="R70" s="35">
        <f>IFERROR(
 (1.907*EXP(1)^(-0.5*VALUE(tbl_CONTENT[[#This Row],[Layer]]))) *
 ((VALUE(tbl_CONTENT[[#This Row],[RelId]])-1)^(2.5)*4^(1-2.5)+1) +
 ((VALUE(tbl_CONTENT[[#This Row],[Comp]])-1)^(2.5)*4^(1-2.5)+1)*(0.5*((VALUE(tbl_CONTENT[[#This Row],[RelId]])-1)/4)^(2.5)+1),
 0
)</f>
        <v>2.6536540935069457</v>
      </c>
    </row>
    <row r="71" spans="3:18" ht="34" x14ac:dyDescent="0.2">
      <c r="C71" s="22" t="str">
        <f>_xlfn.XLOOKUP(tbl_CONTENT[[#This Row],[TopicID]], tbl_TOPIC[TopicID], tbl_TOPIC[Subject], "")</f>
        <v>HA</v>
      </c>
      <c r="D71" s="22" t="str">
        <f xml:space="preserve"> tbl_CONTENT[[#This Row],[TopicID]] &amp; "-" &amp; TEXT(tbl_CONTENT[[#This Row],[TopicIDCount]], "00")</f>
        <v>HA-1-06-09</v>
      </c>
      <c r="F71" s="22" t="str">
        <f>_xlfn.XLOOKUP(tbl_CONTENT[[#This Row],[Topic]], tbl_TOPIC[Topic], tbl_TOPIC[TopicID], "")</f>
        <v>HA-1-06</v>
      </c>
      <c r="G71" s="22" cm="1">
        <f t="array" ref="G71">SUM((tbl_CONTENT[[#This Row],[TopicID]]=INDEX(tbl_CONTENT[TopicID],1):tbl_CONTENT[[#This Row],[TopicID]])*1)</f>
        <v>9</v>
      </c>
      <c r="H71" s="22" t="s">
        <v>140</v>
      </c>
      <c r="I71" s="37" t="s">
        <v>239</v>
      </c>
      <c r="J71" s="22" t="s">
        <v>153</v>
      </c>
      <c r="K71" s="22">
        <v>1</v>
      </c>
      <c r="L71" s="22">
        <v>2</v>
      </c>
      <c r="M71" s="22">
        <v>3</v>
      </c>
      <c r="N71" s="22">
        <v>5</v>
      </c>
      <c r="O71" s="22">
        <v>5</v>
      </c>
      <c r="Q71" s="35">
        <f>IFERROR(
 (1.907*EXP(1)^(-0.5*tbl_CONTENT[[#This Row],[Layer]])) *
 ((tbl_CONTENT[[#This Row],[RelInt]]-1)^(2.5)*4^(1-2.5)+1) +
 ((tbl_CONTENT[[#This Row],[Comp]]-1)^(2.5)*4^(1-2.5)+1)*(0.5*((tbl_CONTENT[[#This Row],[RelInt]]-1)/4)^(2.5)+1),
 0
)</f>
        <v>6.0683906433495247</v>
      </c>
      <c r="R71" s="35">
        <f>IFERROR(
 (1.907*EXP(1)^(-0.5*VALUE(tbl_CONTENT[[#This Row],[Layer]]))) *
 ((VALUE(tbl_CONTENT[[#This Row],[RelId]])-1)^(2.5)*4^(1-2.5)+1) +
 ((VALUE(tbl_CONTENT[[#This Row],[Comp]])-1)^(2.5)*4^(1-2.5)+1)*(0.5*((VALUE(tbl_CONTENT[[#This Row],[RelId]])-1)/4)^(2.5)+1),
 0
)</f>
        <v>6.0683906433495247</v>
      </c>
    </row>
    <row r="72" spans="3:18" ht="34" x14ac:dyDescent="0.2">
      <c r="C72" s="22" t="str">
        <f>_xlfn.XLOOKUP(tbl_CONTENT[[#This Row],[TopicID]], tbl_TOPIC[TopicID], tbl_TOPIC[Subject], "")</f>
        <v>HA</v>
      </c>
      <c r="D72" s="22" t="str">
        <f xml:space="preserve"> tbl_CONTENT[[#This Row],[TopicID]] &amp; "-" &amp; TEXT(tbl_CONTENT[[#This Row],[TopicIDCount]], "00")</f>
        <v>HA-1-06-10</v>
      </c>
      <c r="F72" s="22" t="str">
        <f>_xlfn.XLOOKUP(tbl_CONTENT[[#This Row],[Topic]], tbl_TOPIC[Topic], tbl_TOPIC[TopicID], "")</f>
        <v>HA-1-06</v>
      </c>
      <c r="G72" s="22" cm="1">
        <f t="array" ref="G72">SUM((tbl_CONTENT[[#This Row],[TopicID]]=INDEX(tbl_CONTENT[TopicID],1):tbl_CONTENT[[#This Row],[TopicID]])*1)</f>
        <v>10</v>
      </c>
      <c r="H72" s="22" t="s">
        <v>140</v>
      </c>
      <c r="I72" s="22" t="s">
        <v>240</v>
      </c>
      <c r="J72" s="22" t="s">
        <v>153</v>
      </c>
      <c r="K72" s="22">
        <v>1</v>
      </c>
      <c r="L72" s="22">
        <v>2</v>
      </c>
      <c r="M72" s="22">
        <v>3</v>
      </c>
      <c r="N72" s="22">
        <v>5</v>
      </c>
      <c r="O72" s="22">
        <v>5</v>
      </c>
      <c r="Q72" s="35">
        <f>IFERROR(
 (1.907*EXP(1)^(-0.5*tbl_CONTENT[[#This Row],[Layer]])) *
 ((tbl_CONTENT[[#This Row],[RelInt]]-1)^(2.5)*4^(1-2.5)+1) +
 ((tbl_CONTENT[[#This Row],[Comp]]-1)^(2.5)*4^(1-2.5)+1)*(0.5*((tbl_CONTENT[[#This Row],[RelInt]]-1)/4)^(2.5)+1),
 0
)</f>
        <v>6.0683906433495247</v>
      </c>
      <c r="R72" s="35">
        <f>IFERROR(
 (1.907*EXP(1)^(-0.5*VALUE(tbl_CONTENT[[#This Row],[Layer]]))) *
 ((VALUE(tbl_CONTENT[[#This Row],[RelId]])-1)^(2.5)*4^(1-2.5)+1) +
 ((VALUE(tbl_CONTENT[[#This Row],[Comp]])-1)^(2.5)*4^(1-2.5)+1)*(0.5*((VALUE(tbl_CONTENT[[#This Row],[RelId]])-1)/4)^(2.5)+1),
 0
)</f>
        <v>6.0683906433495247</v>
      </c>
    </row>
    <row r="73" spans="3:18" ht="17" x14ac:dyDescent="0.2">
      <c r="C73" s="22" t="str">
        <f>_xlfn.XLOOKUP(tbl_CONTENT[[#This Row],[TopicID]], tbl_TOPIC[TopicID], tbl_TOPIC[Subject], "")</f>
        <v>HA</v>
      </c>
      <c r="D73" s="22" t="str">
        <f xml:space="preserve"> tbl_CONTENT[[#This Row],[TopicID]] &amp; "-" &amp; TEXT(tbl_CONTENT[[#This Row],[TopicIDCount]], "00")</f>
        <v>HA-1-06-11</v>
      </c>
      <c r="F73" s="22" t="str">
        <f>_xlfn.XLOOKUP(tbl_CONTENT[[#This Row],[Topic]], tbl_TOPIC[Topic], tbl_TOPIC[TopicID], "")</f>
        <v>HA-1-06</v>
      </c>
      <c r="G73" s="22" cm="1">
        <f t="array" ref="G73">SUM((tbl_CONTENT[[#This Row],[TopicID]]=INDEX(tbl_CONTENT[TopicID],1):tbl_CONTENT[[#This Row],[TopicID]])*1)</f>
        <v>11</v>
      </c>
      <c r="H73" s="22" t="s">
        <v>140</v>
      </c>
      <c r="I73" s="22" t="s">
        <v>290</v>
      </c>
      <c r="J73" s="22" t="s">
        <v>153</v>
      </c>
      <c r="K73" s="22">
        <v>1</v>
      </c>
      <c r="L73" s="22">
        <v>2</v>
      </c>
      <c r="M73" s="22">
        <v>2</v>
      </c>
      <c r="N73" s="22">
        <v>5</v>
      </c>
      <c r="O73" s="22">
        <v>5</v>
      </c>
      <c r="Q73" s="35">
        <f>IFERROR(
 (1.907*EXP(1)^(-0.5*tbl_CONTENT[[#This Row],[Layer]])) *
 ((tbl_CONTENT[[#This Row],[RelInt]]-1)^(2.5)*4^(1-2.5)+1) +
 ((tbl_CONTENT[[#This Row],[Comp]]-1)^(2.5)*4^(1-2.5)+1)*(0.5*((tbl_CONTENT[[#This Row],[RelInt]]-1)/4)^(2.5)+1),
 0
)</f>
        <v>5.1952304715697029</v>
      </c>
      <c r="R73" s="35">
        <f>IFERROR(
 (1.907*EXP(1)^(-0.5*VALUE(tbl_CONTENT[[#This Row],[Layer]]))) *
 ((VALUE(tbl_CONTENT[[#This Row],[RelId]])-1)^(2.5)*4^(1-2.5)+1) +
 ((VALUE(tbl_CONTENT[[#This Row],[Comp]])-1)^(2.5)*4^(1-2.5)+1)*(0.5*((VALUE(tbl_CONTENT[[#This Row],[RelId]])-1)/4)^(2.5)+1),
 0
)</f>
        <v>5.1952304715697029</v>
      </c>
    </row>
    <row r="74" spans="3:18" ht="34" x14ac:dyDescent="0.2">
      <c r="C74" s="22" t="str">
        <f>_xlfn.XLOOKUP(tbl_CONTENT[[#This Row],[TopicID]], tbl_TOPIC[TopicID], tbl_TOPIC[Subject], "")</f>
        <v>HA</v>
      </c>
      <c r="D74" s="22" t="str">
        <f xml:space="preserve"> tbl_CONTENT[[#This Row],[TopicID]] &amp; "-" &amp; TEXT(tbl_CONTENT[[#This Row],[TopicIDCount]], "00")</f>
        <v>HA-1-06-12</v>
      </c>
      <c r="F74" s="22" t="str">
        <f>_xlfn.XLOOKUP(tbl_CONTENT[[#This Row],[Topic]], tbl_TOPIC[Topic], tbl_TOPIC[TopicID], "")</f>
        <v>HA-1-06</v>
      </c>
      <c r="G74" s="22" cm="1">
        <f t="array" ref="G74">SUM((tbl_CONTENT[[#This Row],[TopicID]]=INDEX(tbl_CONTENT[TopicID],1):tbl_CONTENT[[#This Row],[TopicID]])*1)</f>
        <v>12</v>
      </c>
      <c r="H74" s="22" t="s">
        <v>140</v>
      </c>
      <c r="I74" s="22" t="s">
        <v>291</v>
      </c>
      <c r="J74" s="22" t="s">
        <v>152</v>
      </c>
      <c r="K74" s="22">
        <v>1</v>
      </c>
      <c r="L74" s="22">
        <v>2</v>
      </c>
      <c r="M74" s="22">
        <v>3</v>
      </c>
      <c r="N74" s="22">
        <v>4</v>
      </c>
      <c r="O74" s="22">
        <v>5</v>
      </c>
      <c r="Q74" s="35">
        <f>IFERROR(
 (1.907*EXP(1)^(-0.5*tbl_CONTENT[[#This Row],[Layer]])) *
 ((tbl_CONTENT[[#This Row],[RelInt]]-1)^(2.5)*4^(1-2.5)+1) +
 ((tbl_CONTENT[[#This Row],[Comp]]-1)^(2.5)*4^(1-2.5)+1)*(0.5*((tbl_CONTENT[[#This Row],[RelInt]]-1)/4)^(2.5)+1),
 0
)</f>
        <v>4.1914549319579635</v>
      </c>
      <c r="R74" s="35">
        <f>IFERROR(
 (1.907*EXP(1)^(-0.5*VALUE(tbl_CONTENT[[#This Row],[Layer]]))) *
 ((VALUE(tbl_CONTENT[[#This Row],[RelId]])-1)^(2.5)*4^(1-2.5)+1) +
 ((VALUE(tbl_CONTENT[[#This Row],[Comp]])-1)^(2.5)*4^(1-2.5)+1)*(0.5*((VALUE(tbl_CONTENT[[#This Row],[RelId]])-1)/4)^(2.5)+1),
 0
)</f>
        <v>6.0683906433495247</v>
      </c>
    </row>
    <row r="75" spans="3:18" ht="17" x14ac:dyDescent="0.2">
      <c r="C75" s="22" t="str">
        <f>_xlfn.XLOOKUP(tbl_CONTENT[[#This Row],[TopicID]], tbl_TOPIC[TopicID], tbl_TOPIC[Subject], "")</f>
        <v>HA</v>
      </c>
      <c r="D75" s="22" t="str">
        <f xml:space="preserve"> tbl_CONTENT[[#This Row],[TopicID]] &amp; "-" &amp; TEXT(tbl_CONTENT[[#This Row],[TopicIDCount]], "00")</f>
        <v>HA-1-05-01</v>
      </c>
      <c r="F75" s="22" t="str">
        <f>_xlfn.XLOOKUP(tbl_CONTENT[[#This Row],[Topic]], tbl_TOPIC[Topic], tbl_TOPIC[TopicID], "")</f>
        <v>HA-1-05</v>
      </c>
      <c r="G75" s="22" cm="1">
        <f t="array" ref="G75">SUM((tbl_CONTENT[[#This Row],[TopicID]]=INDEX(tbl_CONTENT[TopicID],1):tbl_CONTENT[[#This Row],[TopicID]])*1)</f>
        <v>1</v>
      </c>
      <c r="H75" s="22" t="s">
        <v>141</v>
      </c>
      <c r="I75" s="37" t="s">
        <v>241</v>
      </c>
      <c r="J75" s="22" t="s">
        <v>148</v>
      </c>
      <c r="K75" s="22">
        <v>1</v>
      </c>
      <c r="L75" s="22">
        <v>1</v>
      </c>
      <c r="M75" s="22">
        <v>2</v>
      </c>
      <c r="N75" s="22">
        <v>5</v>
      </c>
      <c r="O75" s="22">
        <v>5</v>
      </c>
      <c r="Q75" s="35">
        <f>IFERROR(
 (1.907*EXP(1)^(-0.5*tbl_CONTENT[[#This Row],[Layer]])) *
 ((tbl_CONTENT[[#This Row],[RelInt]]-1)^(2.5)*4^(1-2.5)+1) +
 ((tbl_CONTENT[[#This Row],[Comp]]-1)^(2.5)*4^(1-2.5)+1)*(0.5*((tbl_CONTENT[[#This Row],[RelInt]]-1)/4)^(2.5)+1),
 0
)</f>
        <v>7.4707698403599609</v>
      </c>
      <c r="R75" s="35">
        <f>IFERROR(
 (1.907*EXP(1)^(-0.5*VALUE(tbl_CONTENT[[#This Row],[Layer]]))) *
 ((VALUE(tbl_CONTENT[[#This Row],[RelId]])-1)^(2.5)*4^(1-2.5)+1) +
 ((VALUE(tbl_CONTENT[[#This Row],[Comp]])-1)^(2.5)*4^(1-2.5)+1)*(0.5*((VALUE(tbl_CONTENT[[#This Row],[RelId]])-1)/4)^(2.5)+1),
 0
)</f>
        <v>7.4707698403599609</v>
      </c>
    </row>
    <row r="76" spans="3:18" ht="34" x14ac:dyDescent="0.2">
      <c r="C76" s="22" t="str">
        <f>_xlfn.XLOOKUP(tbl_CONTENT[[#This Row],[TopicID]], tbl_TOPIC[TopicID], tbl_TOPIC[Subject], "")</f>
        <v>HA</v>
      </c>
      <c r="D76" s="22" t="str">
        <f xml:space="preserve"> tbl_CONTENT[[#This Row],[TopicID]] &amp; "-" &amp; TEXT(tbl_CONTENT[[#This Row],[TopicIDCount]], "00")</f>
        <v>HA-1-05-02</v>
      </c>
      <c r="F76" s="22" t="str">
        <f>_xlfn.XLOOKUP(tbl_CONTENT[[#This Row],[Topic]], tbl_TOPIC[Topic], tbl_TOPIC[TopicID], "")</f>
        <v>HA-1-05</v>
      </c>
      <c r="G76" s="22" cm="1">
        <f t="array" ref="G76">SUM((tbl_CONTENT[[#This Row],[TopicID]]=INDEX(tbl_CONTENT[TopicID],1):tbl_CONTENT[[#This Row],[TopicID]])*1)</f>
        <v>2</v>
      </c>
      <c r="H76" s="22" t="s">
        <v>141</v>
      </c>
      <c r="I76" s="37" t="s">
        <v>242</v>
      </c>
      <c r="J76" s="22" t="s">
        <v>148</v>
      </c>
      <c r="K76" s="22">
        <v>1</v>
      </c>
      <c r="L76" s="22">
        <v>1</v>
      </c>
      <c r="M76" s="22">
        <v>2</v>
      </c>
      <c r="N76" s="22">
        <v>5</v>
      </c>
      <c r="O76" s="22">
        <v>5</v>
      </c>
      <c r="Q76" s="35">
        <f>IFERROR(
 (1.907*EXP(1)^(-0.5*tbl_CONTENT[[#This Row],[Layer]])) *
 ((tbl_CONTENT[[#This Row],[RelInt]]-1)^(2.5)*4^(1-2.5)+1) +
 ((tbl_CONTENT[[#This Row],[Comp]]-1)^(2.5)*4^(1-2.5)+1)*(0.5*((tbl_CONTENT[[#This Row],[RelInt]]-1)/4)^(2.5)+1),
 0
)</f>
        <v>7.4707698403599609</v>
      </c>
      <c r="R76" s="35">
        <f>IFERROR(
 (1.907*EXP(1)^(-0.5*VALUE(tbl_CONTENT[[#This Row],[Layer]]))) *
 ((VALUE(tbl_CONTENT[[#This Row],[RelId]])-1)^(2.5)*4^(1-2.5)+1) +
 ((VALUE(tbl_CONTENT[[#This Row],[Comp]])-1)^(2.5)*4^(1-2.5)+1)*(0.5*((VALUE(tbl_CONTENT[[#This Row],[RelId]])-1)/4)^(2.5)+1),
 0
)</f>
        <v>7.4707698403599609</v>
      </c>
    </row>
    <row r="77" spans="3:18" ht="17" x14ac:dyDescent="0.2">
      <c r="C77" s="22" t="str">
        <f>_xlfn.XLOOKUP(tbl_CONTENT[[#This Row],[TopicID]], tbl_TOPIC[TopicID], tbl_TOPIC[Subject], "")</f>
        <v>HA</v>
      </c>
      <c r="D77" s="22" t="str">
        <f xml:space="preserve"> tbl_CONTENT[[#This Row],[TopicID]] &amp; "-" &amp; TEXT(tbl_CONTENT[[#This Row],[TopicIDCount]], "00")</f>
        <v>HA-1-05-03</v>
      </c>
      <c r="F77" s="22" t="str">
        <f>_xlfn.XLOOKUP(tbl_CONTENT[[#This Row],[Topic]], tbl_TOPIC[Topic], tbl_TOPIC[TopicID], "")</f>
        <v>HA-1-05</v>
      </c>
      <c r="G77" s="22" cm="1">
        <f t="array" ref="G77">SUM((tbl_CONTENT[[#This Row],[TopicID]]=INDEX(tbl_CONTENT[TopicID],1):tbl_CONTENT[[#This Row],[TopicID]])*1)</f>
        <v>3</v>
      </c>
      <c r="H77" s="22" t="s">
        <v>141</v>
      </c>
      <c r="I77" s="22" t="s">
        <v>243</v>
      </c>
      <c r="J77" s="22" t="s">
        <v>153</v>
      </c>
      <c r="K77" s="22">
        <v>1</v>
      </c>
      <c r="L77" s="22">
        <v>2</v>
      </c>
      <c r="M77" s="22">
        <v>2</v>
      </c>
      <c r="N77" s="22">
        <v>3</v>
      </c>
      <c r="O77" s="22">
        <v>4</v>
      </c>
      <c r="Q77" s="35">
        <f>IFERROR(
 (1.907*EXP(1)^(-0.5*tbl_CONTENT[[#This Row],[Layer]])) *
 ((tbl_CONTENT[[#This Row],[RelInt]]-1)^(2.5)*4^(1-2.5)+1) +
 ((tbl_CONTENT[[#This Row],[Comp]]-1)^(2.5)*4^(1-2.5)+1)*(0.5*((tbl_CONTENT[[#This Row],[RelInt]]-1)/4)^(2.5)+1),
 0
)</f>
        <v>2.4220509860226236</v>
      </c>
      <c r="R77" s="35">
        <f>IFERROR(
 (1.907*EXP(1)^(-0.5*VALUE(tbl_CONTENT[[#This Row],[Layer]]))) *
 ((VALUE(tbl_CONTENT[[#This Row],[RelId]])-1)^(2.5)*4^(1-2.5)+1) +
 ((VALUE(tbl_CONTENT[[#This Row],[Comp]])-1)^(2.5)*4^(1-2.5)+1)*(0.5*((VALUE(tbl_CONTENT[[#This Row],[RelId]])-1)/4)^(2.5)+1),
 0
)</f>
        <v>3.4675646088337704</v>
      </c>
    </row>
    <row r="78" spans="3:18" ht="17" x14ac:dyDescent="0.2">
      <c r="C78" s="22" t="str">
        <f>_xlfn.XLOOKUP(tbl_CONTENT[[#This Row],[TopicID]], tbl_TOPIC[TopicID], tbl_TOPIC[Subject], "")</f>
        <v>HA</v>
      </c>
      <c r="D78" s="22" t="str">
        <f xml:space="preserve"> tbl_CONTENT[[#This Row],[TopicID]] &amp; "-" &amp; TEXT(tbl_CONTENT[[#This Row],[TopicIDCount]], "00")</f>
        <v>HA-1-05-04</v>
      </c>
      <c r="F78" s="22" t="str">
        <f>_xlfn.XLOOKUP(tbl_CONTENT[[#This Row],[Topic]], tbl_TOPIC[Topic], tbl_TOPIC[TopicID], "")</f>
        <v>HA-1-05</v>
      </c>
      <c r="G78" s="22" cm="1">
        <f t="array" ref="G78">SUM((tbl_CONTENT[[#This Row],[TopicID]]=INDEX(tbl_CONTENT[TopicID],1):tbl_CONTENT[[#This Row],[TopicID]])*1)</f>
        <v>4</v>
      </c>
      <c r="H78" s="22" t="s">
        <v>141</v>
      </c>
      <c r="I78" s="22" t="s">
        <v>244</v>
      </c>
      <c r="J78" s="22" t="s">
        <v>153</v>
      </c>
      <c r="K78" s="22">
        <v>1</v>
      </c>
      <c r="L78" s="22">
        <v>2</v>
      </c>
      <c r="M78" s="22">
        <v>1</v>
      </c>
      <c r="N78" s="22">
        <v>3</v>
      </c>
      <c r="O78" s="22">
        <v>3</v>
      </c>
      <c r="Q78" s="35">
        <f>IFERROR(
 (1.907*EXP(1)^(-0.5*tbl_CONTENT[[#This Row],[Layer]])) *
 ((tbl_CONTENT[[#This Row],[RelInt]]-1)^(2.5)*4^(1-2.5)+1) +
 ((tbl_CONTENT[[#This Row],[Comp]]-1)^(2.5)*4^(1-2.5)+1)*(0.5*((tbl_CONTENT[[#This Row],[RelInt]]-1)/4)^(2.5)+1),
 0
)</f>
        <v>2.2860024425665837</v>
      </c>
      <c r="R78" s="35">
        <f>IFERROR(
 (1.907*EXP(1)^(-0.5*VALUE(tbl_CONTENT[[#This Row],[Layer]]))) *
 ((VALUE(tbl_CONTENT[[#This Row],[RelId]])-1)^(2.5)*4^(1-2.5)+1) +
 ((VALUE(tbl_CONTENT[[#This Row],[Comp]])-1)^(2.5)*4^(1-2.5)+1)*(0.5*((VALUE(tbl_CONTENT[[#This Row],[RelId]])-1)/4)^(2.5)+1),
 0
)</f>
        <v>2.2860024425665837</v>
      </c>
    </row>
    <row r="79" spans="3:18" ht="17" x14ac:dyDescent="0.2">
      <c r="C79" s="22" t="str">
        <f>_xlfn.XLOOKUP(tbl_CONTENT[[#This Row],[TopicID]], tbl_TOPIC[TopicID], tbl_TOPIC[Subject], "")</f>
        <v>HA</v>
      </c>
      <c r="D79" s="22" t="str">
        <f xml:space="preserve"> tbl_CONTENT[[#This Row],[TopicID]] &amp; "-" &amp; TEXT(tbl_CONTENT[[#This Row],[TopicIDCount]], "00")</f>
        <v>HA-1-05-05</v>
      </c>
      <c r="F79" s="22" t="str">
        <f>_xlfn.XLOOKUP(tbl_CONTENT[[#This Row],[Topic]], tbl_TOPIC[Topic], tbl_TOPIC[TopicID], "")</f>
        <v>HA-1-05</v>
      </c>
      <c r="G79" s="22" cm="1">
        <f t="array" ref="G79">SUM((tbl_CONTENT[[#This Row],[TopicID]]=INDEX(tbl_CONTENT[TopicID],1):tbl_CONTENT[[#This Row],[TopicID]])*1)</f>
        <v>5</v>
      </c>
      <c r="H79" s="22" t="s">
        <v>141</v>
      </c>
      <c r="I79" s="22" t="s">
        <v>245</v>
      </c>
      <c r="J79" s="22" t="s">
        <v>153</v>
      </c>
      <c r="K79" s="22">
        <v>1</v>
      </c>
      <c r="L79" s="22">
        <v>1</v>
      </c>
      <c r="M79" s="22">
        <v>2</v>
      </c>
      <c r="N79" s="22">
        <v>5</v>
      </c>
      <c r="O79" s="22">
        <v>5</v>
      </c>
      <c r="Q79" s="35">
        <f>IFERROR(
 (1.907*EXP(1)^(-0.5*tbl_CONTENT[[#This Row],[Layer]])) *
 ((tbl_CONTENT[[#This Row],[RelInt]]-1)^(2.5)*4^(1-2.5)+1) +
 ((tbl_CONTENT[[#This Row],[Comp]]-1)^(2.5)*4^(1-2.5)+1)*(0.5*((tbl_CONTENT[[#This Row],[RelInt]]-1)/4)^(2.5)+1),
 0
)</f>
        <v>7.4707698403599609</v>
      </c>
      <c r="R79" s="35">
        <f>IFERROR(
 (1.907*EXP(1)^(-0.5*VALUE(tbl_CONTENT[[#This Row],[Layer]]))) *
 ((VALUE(tbl_CONTENT[[#This Row],[RelId]])-1)^(2.5)*4^(1-2.5)+1) +
 ((VALUE(tbl_CONTENT[[#This Row],[Comp]])-1)^(2.5)*4^(1-2.5)+1)*(0.5*((VALUE(tbl_CONTENT[[#This Row],[RelId]])-1)/4)^(2.5)+1),
 0
)</f>
        <v>7.4707698403599609</v>
      </c>
    </row>
    <row r="80" spans="3:18" ht="17" x14ac:dyDescent="0.2">
      <c r="C80" s="22" t="str">
        <f>_xlfn.XLOOKUP(tbl_CONTENT[[#This Row],[TopicID]], tbl_TOPIC[TopicID], tbl_TOPIC[Subject], "")</f>
        <v>HA</v>
      </c>
      <c r="D80" s="22" t="str">
        <f xml:space="preserve"> tbl_CONTENT[[#This Row],[TopicID]] &amp; "-" &amp; TEXT(tbl_CONTENT[[#This Row],[TopicIDCount]], "00")</f>
        <v>HA-1-05-06</v>
      </c>
      <c r="F80" s="22" t="str">
        <f>_xlfn.XLOOKUP(tbl_CONTENT[[#This Row],[Topic]], tbl_TOPIC[Topic], tbl_TOPIC[TopicID], "")</f>
        <v>HA-1-05</v>
      </c>
      <c r="G80" s="22" cm="1">
        <f t="array" ref="G80">SUM((tbl_CONTENT[[#This Row],[TopicID]]=INDEX(tbl_CONTENT[TopicID],1):tbl_CONTENT[[#This Row],[TopicID]])*1)</f>
        <v>6</v>
      </c>
      <c r="H80" s="22" t="s">
        <v>141</v>
      </c>
      <c r="I80" s="22" t="s">
        <v>246</v>
      </c>
      <c r="J80" s="22" t="s">
        <v>153</v>
      </c>
      <c r="K80" s="22">
        <v>1</v>
      </c>
      <c r="L80" s="22">
        <v>1</v>
      </c>
      <c r="M80" s="22">
        <v>3</v>
      </c>
      <c r="N80" s="22">
        <v>5</v>
      </c>
      <c r="O80" s="22">
        <v>5</v>
      </c>
      <c r="Q80" s="35">
        <f>IFERROR(
 (1.907*EXP(1)^(-0.5*tbl_CONTENT[[#This Row],[Layer]])) *
 ((tbl_CONTENT[[#This Row],[RelInt]]-1)^(2.5)*4^(1-2.5)+1) +
 ((tbl_CONTENT[[#This Row],[Comp]]-1)^(2.5)*4^(1-2.5)+1)*(0.5*((tbl_CONTENT[[#This Row],[RelInt]]-1)/4)^(2.5)+1),
 0
)</f>
        <v>8.3439300121397828</v>
      </c>
      <c r="R80" s="35">
        <f>IFERROR(
 (1.907*EXP(1)^(-0.5*VALUE(tbl_CONTENT[[#This Row],[Layer]]))) *
 ((VALUE(tbl_CONTENT[[#This Row],[RelId]])-1)^(2.5)*4^(1-2.5)+1) +
 ((VALUE(tbl_CONTENT[[#This Row],[Comp]])-1)^(2.5)*4^(1-2.5)+1)*(0.5*((VALUE(tbl_CONTENT[[#This Row],[RelId]])-1)/4)^(2.5)+1),
 0
)</f>
        <v>8.3439300121397828</v>
      </c>
    </row>
    <row r="81" spans="3:18" ht="34" x14ac:dyDescent="0.2">
      <c r="C81" s="22" t="str">
        <f>_xlfn.XLOOKUP(tbl_CONTENT[[#This Row],[TopicID]], tbl_TOPIC[TopicID], tbl_TOPIC[Subject], "")</f>
        <v>HA</v>
      </c>
      <c r="D81" s="22" t="str">
        <f xml:space="preserve"> tbl_CONTENT[[#This Row],[TopicID]] &amp; "-" &amp; TEXT(tbl_CONTENT[[#This Row],[TopicIDCount]], "00")</f>
        <v>HA-1-05-07</v>
      </c>
      <c r="F81" s="22" t="str">
        <f>_xlfn.XLOOKUP(tbl_CONTENT[[#This Row],[Topic]], tbl_TOPIC[Topic], tbl_TOPIC[TopicID], "")</f>
        <v>HA-1-05</v>
      </c>
      <c r="G81" s="22" cm="1">
        <f t="array" ref="G81">SUM((tbl_CONTENT[[#This Row],[TopicID]]=INDEX(tbl_CONTENT[TopicID],1):tbl_CONTENT[[#This Row],[TopicID]])*1)</f>
        <v>7</v>
      </c>
      <c r="H81" s="22" t="s">
        <v>141</v>
      </c>
      <c r="I81" s="37" t="s">
        <v>247</v>
      </c>
      <c r="J81" s="22" t="s">
        <v>148</v>
      </c>
      <c r="K81" s="22">
        <v>1</v>
      </c>
      <c r="L81" s="22">
        <v>1</v>
      </c>
      <c r="M81" s="22">
        <v>3</v>
      </c>
      <c r="N81" s="22">
        <v>5</v>
      </c>
      <c r="O81" s="22">
        <v>5</v>
      </c>
      <c r="Q81" s="35">
        <f>IFERROR(
 (1.907*EXP(1)^(-0.5*tbl_CONTENT[[#This Row],[Layer]])) *
 ((tbl_CONTENT[[#This Row],[RelInt]]-1)^(2.5)*4^(1-2.5)+1) +
 ((tbl_CONTENT[[#This Row],[Comp]]-1)^(2.5)*4^(1-2.5)+1)*(0.5*((tbl_CONTENT[[#This Row],[RelInt]]-1)/4)^(2.5)+1),
 0
)</f>
        <v>8.3439300121397828</v>
      </c>
      <c r="R81" s="35">
        <f>IFERROR(
 (1.907*EXP(1)^(-0.5*VALUE(tbl_CONTENT[[#This Row],[Layer]]))) *
 ((VALUE(tbl_CONTENT[[#This Row],[RelId]])-1)^(2.5)*4^(1-2.5)+1) +
 ((VALUE(tbl_CONTENT[[#This Row],[Comp]])-1)^(2.5)*4^(1-2.5)+1)*(0.5*((VALUE(tbl_CONTENT[[#This Row],[RelId]])-1)/4)^(2.5)+1),
 0
)</f>
        <v>8.3439300121397828</v>
      </c>
    </row>
    <row r="82" spans="3:18" ht="51" x14ac:dyDescent="0.2">
      <c r="C82" s="22" t="str">
        <f>_xlfn.XLOOKUP(tbl_CONTENT[[#This Row],[TopicID]], tbl_TOPIC[TopicID], tbl_TOPIC[Subject], "")</f>
        <v>HA</v>
      </c>
      <c r="D82" s="22" t="str">
        <f xml:space="preserve"> tbl_CONTENT[[#This Row],[TopicID]] &amp; "-" &amp; TEXT(tbl_CONTENT[[#This Row],[TopicIDCount]], "00")</f>
        <v>HA-1-05-08</v>
      </c>
      <c r="F82" s="22" t="str">
        <f>_xlfn.XLOOKUP(tbl_CONTENT[[#This Row],[Topic]], tbl_TOPIC[Topic], tbl_TOPIC[TopicID], "")</f>
        <v>HA-1-05</v>
      </c>
      <c r="G82" s="22" cm="1">
        <f t="array" ref="G82">SUM((tbl_CONTENT[[#This Row],[TopicID]]=INDEX(tbl_CONTENT[TopicID],1):tbl_CONTENT[[#This Row],[TopicID]])*1)</f>
        <v>8</v>
      </c>
      <c r="H82" s="22" t="s">
        <v>141</v>
      </c>
      <c r="I82" s="22" t="s">
        <v>248</v>
      </c>
      <c r="J82" s="22" t="s">
        <v>181</v>
      </c>
      <c r="K82" s="22">
        <v>1</v>
      </c>
      <c r="L82" s="22">
        <v>2</v>
      </c>
      <c r="M82" s="22">
        <v>3</v>
      </c>
      <c r="N82" s="22">
        <v>4</v>
      </c>
      <c r="O82" s="22">
        <v>5</v>
      </c>
      <c r="Q82" s="35">
        <f>IFERROR(
 (1.907*EXP(1)^(-0.5*tbl_CONTENT[[#This Row],[Layer]])) *
 ((tbl_CONTENT[[#This Row],[RelInt]]-1)^(2.5)*4^(1-2.5)+1) +
 ((tbl_CONTENT[[#This Row],[Comp]]-1)^(2.5)*4^(1-2.5)+1)*(0.5*((tbl_CONTENT[[#This Row],[RelInt]]-1)/4)^(2.5)+1),
 0
)</f>
        <v>4.1914549319579635</v>
      </c>
      <c r="R82" s="35">
        <f>IFERROR(
 (1.907*EXP(1)^(-0.5*VALUE(tbl_CONTENT[[#This Row],[Layer]]))) *
 ((VALUE(tbl_CONTENT[[#This Row],[RelId]])-1)^(2.5)*4^(1-2.5)+1) +
 ((VALUE(tbl_CONTENT[[#This Row],[Comp]])-1)^(2.5)*4^(1-2.5)+1)*(0.5*((VALUE(tbl_CONTENT[[#This Row],[RelId]])-1)/4)^(2.5)+1),
 0
)</f>
        <v>6.0683906433495247</v>
      </c>
    </row>
    <row r="83" spans="3:18" ht="17" x14ac:dyDescent="0.2">
      <c r="C83" s="22" t="str">
        <f>_xlfn.XLOOKUP(tbl_CONTENT[[#This Row],[TopicID]], tbl_TOPIC[TopicID], tbl_TOPIC[Subject], "")</f>
        <v>HA</v>
      </c>
      <c r="D83" s="22" t="str">
        <f xml:space="preserve"> tbl_CONTENT[[#This Row],[TopicID]] &amp; "-" &amp; TEXT(tbl_CONTENT[[#This Row],[TopicIDCount]], "00")</f>
        <v>HA-1-05-09</v>
      </c>
      <c r="F83" s="22" t="str">
        <f>_xlfn.XLOOKUP(tbl_CONTENT[[#This Row],[Topic]], tbl_TOPIC[Topic], tbl_TOPIC[TopicID], "")</f>
        <v>HA-1-05</v>
      </c>
      <c r="G83" s="22" cm="1">
        <f t="array" ref="G83">SUM((tbl_CONTENT[[#This Row],[TopicID]]=INDEX(tbl_CONTENT[TopicID],1):tbl_CONTENT[[#This Row],[TopicID]])*1)</f>
        <v>9</v>
      </c>
      <c r="H83" s="22" t="s">
        <v>141</v>
      </c>
      <c r="I83" s="22" t="s">
        <v>249</v>
      </c>
      <c r="J83" s="22" t="s">
        <v>152</v>
      </c>
      <c r="K83" s="22">
        <v>1</v>
      </c>
      <c r="L83" s="22">
        <v>2</v>
      </c>
      <c r="M83" s="22">
        <v>3</v>
      </c>
      <c r="N83" s="22">
        <v>4</v>
      </c>
      <c r="O83" s="22">
        <v>5</v>
      </c>
      <c r="Q83" s="35">
        <f>IFERROR(
 (1.907*EXP(1)^(-0.5*tbl_CONTENT[[#This Row],[Layer]])) *
 ((tbl_CONTENT[[#This Row],[RelInt]]-1)^(2.5)*4^(1-2.5)+1) +
 ((tbl_CONTENT[[#This Row],[Comp]]-1)^(2.5)*4^(1-2.5)+1)*(0.5*((tbl_CONTENT[[#This Row],[RelInt]]-1)/4)^(2.5)+1),
 0
)</f>
        <v>4.1914549319579635</v>
      </c>
      <c r="R83" s="35">
        <f>IFERROR(
 (1.907*EXP(1)^(-0.5*VALUE(tbl_CONTENT[[#This Row],[Layer]]))) *
 ((VALUE(tbl_CONTENT[[#This Row],[RelId]])-1)^(2.5)*4^(1-2.5)+1) +
 ((VALUE(tbl_CONTENT[[#This Row],[Comp]])-1)^(2.5)*4^(1-2.5)+1)*(0.5*((VALUE(tbl_CONTENT[[#This Row],[RelId]])-1)/4)^(2.5)+1),
 0
)</f>
        <v>6.0683906433495247</v>
      </c>
    </row>
    <row r="84" spans="3:18" ht="34" x14ac:dyDescent="0.2">
      <c r="C84" s="22" t="str">
        <f>_xlfn.XLOOKUP(tbl_CONTENT[[#This Row],[TopicID]], tbl_TOPIC[TopicID], tbl_TOPIC[Subject], "")</f>
        <v>HA</v>
      </c>
      <c r="D84" s="22" t="str">
        <f xml:space="preserve"> tbl_CONTENT[[#This Row],[TopicID]] &amp; "-" &amp; TEXT(tbl_CONTENT[[#This Row],[TopicIDCount]], "00")</f>
        <v>HA-1-05-10</v>
      </c>
      <c r="F84" s="22" t="str">
        <f>_xlfn.XLOOKUP(tbl_CONTENT[[#This Row],[Topic]], tbl_TOPIC[Topic], tbl_TOPIC[TopicID], "")</f>
        <v>HA-1-05</v>
      </c>
      <c r="G84" s="22" cm="1">
        <f t="array" ref="G84">SUM((tbl_CONTENT[[#This Row],[TopicID]]=INDEX(tbl_CONTENT[TopicID],1):tbl_CONTENT[[#This Row],[TopicID]])*1)</f>
        <v>10</v>
      </c>
      <c r="H84" s="22" t="s">
        <v>141</v>
      </c>
      <c r="I84" s="22" t="s">
        <v>250</v>
      </c>
      <c r="J84" s="22" t="s">
        <v>147</v>
      </c>
      <c r="K84" s="22">
        <v>1</v>
      </c>
      <c r="L84" s="22">
        <v>3</v>
      </c>
      <c r="M84" s="22">
        <v>4</v>
      </c>
      <c r="N84" s="22">
        <v>3</v>
      </c>
      <c r="O84" s="22">
        <v>4</v>
      </c>
      <c r="Q84" s="35">
        <f>IFERROR(
 (1.907*EXP(1)^(-0.5*tbl_CONTENT[[#This Row],[Layer]])) *
 ((tbl_CONTENT[[#This Row],[RelInt]]-1)^(2.5)*4^(1-2.5)+1) +
 ((tbl_CONTENT[[#This Row],[Comp]]-1)^(2.5)*4^(1-2.5)+1)*(0.5*((tbl_CONTENT[[#This Row],[RelInt]]-1)/4)^(2.5)+1),
 0
)</f>
        <v>3.9355649207746723</v>
      </c>
      <c r="R84" s="35">
        <f>IFERROR(
 (1.907*EXP(1)^(-0.5*VALUE(tbl_CONTENT[[#This Row],[Layer]]))) *
 ((VALUE(tbl_CONTENT[[#This Row],[RelId]])-1)^(2.5)*4^(1-2.5)+1) +
 ((VALUE(tbl_CONTENT[[#This Row],[Comp]])-1)^(2.5)*4^(1-2.5)+1)*(0.5*((VALUE(tbl_CONTENT[[#This Row],[RelId]])-1)/4)^(2.5)+1),
 0
)</f>
        <v>4.921374421420138</v>
      </c>
    </row>
    <row r="85" spans="3:18" ht="68" x14ac:dyDescent="0.2">
      <c r="C85" s="22" t="str">
        <f>_xlfn.XLOOKUP(tbl_CONTENT[[#This Row],[TopicID]], tbl_TOPIC[TopicID], tbl_TOPIC[Subject], "")</f>
        <v>HA</v>
      </c>
      <c r="D85" s="22" t="str">
        <f xml:space="preserve"> tbl_CONTENT[[#This Row],[TopicID]] &amp; "-" &amp; TEXT(tbl_CONTENT[[#This Row],[TopicIDCount]], "00")</f>
        <v>HA-1-05-11</v>
      </c>
      <c r="F85" s="22" t="str">
        <f>_xlfn.XLOOKUP(tbl_CONTENT[[#This Row],[Topic]], tbl_TOPIC[Topic], tbl_TOPIC[TopicID], "")</f>
        <v>HA-1-05</v>
      </c>
      <c r="G85" s="22" cm="1">
        <f t="array" ref="G85">SUM((tbl_CONTENT[[#This Row],[TopicID]]=INDEX(tbl_CONTENT[TopicID],1):tbl_CONTENT[[#This Row],[TopicID]])*1)</f>
        <v>11</v>
      </c>
      <c r="H85" s="22" t="s">
        <v>141</v>
      </c>
      <c r="I85" s="22" t="s">
        <v>1585</v>
      </c>
      <c r="J85" s="22" t="s">
        <v>151</v>
      </c>
      <c r="K85" s="22">
        <v>1</v>
      </c>
      <c r="L85" s="22">
        <v>2</v>
      </c>
      <c r="M85" s="22">
        <v>3</v>
      </c>
      <c r="N85" s="22">
        <v>4</v>
      </c>
      <c r="O85" s="22">
        <v>5</v>
      </c>
      <c r="Q85" s="35">
        <f>IFERROR(
 (1.907*EXP(1)^(-0.5*tbl_CONTENT[[#This Row],[Layer]])) *
 ((tbl_CONTENT[[#This Row],[RelInt]]-1)^(2.5)*4^(1-2.5)+1) +
 ((tbl_CONTENT[[#This Row],[Comp]]-1)^(2.5)*4^(1-2.5)+1)*(0.5*((tbl_CONTENT[[#This Row],[RelInt]]-1)/4)^(2.5)+1),
 0
)</f>
        <v>4.1914549319579635</v>
      </c>
      <c r="R85" s="35">
        <f>IFERROR(
 (1.907*EXP(1)^(-0.5*VALUE(tbl_CONTENT[[#This Row],[Layer]]))) *
 ((VALUE(tbl_CONTENT[[#This Row],[RelId]])-1)^(2.5)*4^(1-2.5)+1) +
 ((VALUE(tbl_CONTENT[[#This Row],[Comp]])-1)^(2.5)*4^(1-2.5)+1)*(0.5*((VALUE(tbl_CONTENT[[#This Row],[RelId]])-1)/4)^(2.5)+1),
 0
)</f>
        <v>6.0683906433495247</v>
      </c>
    </row>
    <row r="86" spans="3:18" ht="68" x14ac:dyDescent="0.2">
      <c r="C86" s="22" t="str">
        <f>_xlfn.XLOOKUP(tbl_CONTENT[[#This Row],[TopicID]], tbl_TOPIC[TopicID], tbl_TOPIC[Subject], "")</f>
        <v>HA</v>
      </c>
      <c r="D86" s="22" t="str">
        <f xml:space="preserve"> tbl_CONTENT[[#This Row],[TopicID]] &amp; "-" &amp; TEXT(tbl_CONTENT[[#This Row],[TopicIDCount]], "00")</f>
        <v>HA-1-05-12</v>
      </c>
      <c r="F86" s="22" t="str">
        <f>_xlfn.XLOOKUP(tbl_CONTENT[[#This Row],[Topic]], tbl_TOPIC[Topic], tbl_TOPIC[TopicID], "")</f>
        <v>HA-1-05</v>
      </c>
      <c r="G86" s="22" cm="1">
        <f t="array" ref="G86">SUM((tbl_CONTENT[[#This Row],[TopicID]]=INDEX(tbl_CONTENT[TopicID],1):tbl_CONTENT[[#This Row],[TopicID]])*1)</f>
        <v>12</v>
      </c>
      <c r="H86" s="22" t="s">
        <v>141</v>
      </c>
      <c r="I86" s="22" t="s">
        <v>1632</v>
      </c>
      <c r="J86" s="22" t="s">
        <v>147</v>
      </c>
      <c r="K86" s="22">
        <v>0</v>
      </c>
      <c r="Q86" s="35">
        <f>IFERROR(
 (1.907*EXP(1)^(-0.5*tbl_CONTENT[[#This Row],[Layer]])) *
 ((tbl_CONTENT[[#This Row],[RelInt]]-1)^(2.5)*4^(1-2.5)+1) +
 ((tbl_CONTENT[[#This Row],[Comp]]-1)^(2.5)*4^(1-2.5)+1)*(0.5*((tbl_CONTENT[[#This Row],[RelInt]]-1)/4)^(2.5)+1),
 0
)</f>
        <v>0</v>
      </c>
      <c r="R86" s="35">
        <f>IFERROR(
 (1.907*EXP(1)^(-0.5*VALUE(tbl_CONTENT[[#This Row],[Layer]]))) *
 ((VALUE(tbl_CONTENT[[#This Row],[RelId]])-1)^(2.5)*4^(1-2.5)+1) +
 ((VALUE(tbl_CONTENT[[#This Row],[Comp]])-1)^(2.5)*4^(1-2.5)+1)*(0.5*((VALUE(tbl_CONTENT[[#This Row],[RelId]])-1)/4)^(2.5)+1),
 0
)</f>
        <v>0</v>
      </c>
    </row>
    <row r="87" spans="3:18" ht="51" x14ac:dyDescent="0.2">
      <c r="C87" s="22" t="str">
        <f>_xlfn.XLOOKUP(tbl_CONTENT[[#This Row],[TopicID]], tbl_TOPIC[TopicID], tbl_TOPIC[Subject], "")</f>
        <v>HA</v>
      </c>
      <c r="D87" s="22" t="str">
        <f xml:space="preserve"> tbl_CONTENT[[#This Row],[TopicID]] &amp; "-" &amp; TEXT(tbl_CONTENT[[#This Row],[TopicIDCount]], "00")</f>
        <v>HA-1-05-13</v>
      </c>
      <c r="F87" s="22" t="str">
        <f>_xlfn.XLOOKUP(tbl_CONTENT[[#This Row],[Topic]], tbl_TOPIC[Topic], tbl_TOPIC[TopicID], "")</f>
        <v>HA-1-05</v>
      </c>
      <c r="G87" s="22" cm="1">
        <f t="array" ref="G87">SUM((tbl_CONTENT[[#This Row],[TopicID]]=INDEX(tbl_CONTENT[TopicID],1):tbl_CONTENT[[#This Row],[TopicID]])*1)</f>
        <v>13</v>
      </c>
      <c r="H87" s="22" t="s">
        <v>141</v>
      </c>
      <c r="I87" s="22" t="s">
        <v>255</v>
      </c>
      <c r="J87" s="22" t="s">
        <v>151</v>
      </c>
      <c r="K87" s="22">
        <v>1</v>
      </c>
      <c r="L87" s="22">
        <v>2</v>
      </c>
      <c r="M87" s="22">
        <v>3</v>
      </c>
      <c r="N87" s="22">
        <v>5</v>
      </c>
      <c r="O87" s="22">
        <v>5</v>
      </c>
      <c r="Q87" s="35">
        <f>IFERROR(
 (1.907*EXP(1)^(-0.5*tbl_CONTENT[[#This Row],[Layer]])) *
 ((tbl_CONTENT[[#This Row],[RelInt]]-1)^(2.5)*4^(1-2.5)+1) +
 ((tbl_CONTENT[[#This Row],[Comp]]-1)^(2.5)*4^(1-2.5)+1)*(0.5*((tbl_CONTENT[[#This Row],[RelInt]]-1)/4)^(2.5)+1),
 0
)</f>
        <v>6.0683906433495247</v>
      </c>
      <c r="R87" s="35">
        <f>IFERROR(
 (1.907*EXP(1)^(-0.5*VALUE(tbl_CONTENT[[#This Row],[Layer]]))) *
 ((VALUE(tbl_CONTENT[[#This Row],[RelId]])-1)^(2.5)*4^(1-2.5)+1) +
 ((VALUE(tbl_CONTENT[[#This Row],[Comp]])-1)^(2.5)*4^(1-2.5)+1)*(0.5*((VALUE(tbl_CONTENT[[#This Row],[RelId]])-1)/4)^(2.5)+1),
 0
)</f>
        <v>6.0683906433495247</v>
      </c>
    </row>
    <row r="88" spans="3:18" ht="51" x14ac:dyDescent="0.2">
      <c r="C88" s="22" t="str">
        <f>_xlfn.XLOOKUP(tbl_CONTENT[[#This Row],[TopicID]], tbl_TOPIC[TopicID], tbl_TOPIC[Subject], "")</f>
        <v>HA</v>
      </c>
      <c r="D88" s="22" t="str">
        <f xml:space="preserve"> tbl_CONTENT[[#This Row],[TopicID]] &amp; "-" &amp; TEXT(tbl_CONTENT[[#This Row],[TopicIDCount]], "00")</f>
        <v>HA-1-05-14</v>
      </c>
      <c r="F88" s="22" t="str">
        <f>_xlfn.XLOOKUP(tbl_CONTENT[[#This Row],[Topic]], tbl_TOPIC[Topic], tbl_TOPIC[TopicID], "")</f>
        <v>HA-1-05</v>
      </c>
      <c r="G88" s="22" cm="1">
        <f t="array" ref="G88">SUM((tbl_CONTENT[[#This Row],[TopicID]]=INDEX(tbl_CONTENT[TopicID],1):tbl_CONTENT[[#This Row],[TopicID]])*1)</f>
        <v>14</v>
      </c>
      <c r="H88" s="22" t="s">
        <v>141</v>
      </c>
      <c r="I88" s="22" t="s">
        <v>256</v>
      </c>
      <c r="J88" s="22" t="s">
        <v>147</v>
      </c>
      <c r="K88" s="22">
        <v>0</v>
      </c>
      <c r="Q88" s="35">
        <f>IFERROR(
 (1.907*EXP(1)^(-0.5*tbl_CONTENT[[#This Row],[Layer]])) *
 ((tbl_CONTENT[[#This Row],[RelInt]]-1)^(2.5)*4^(1-2.5)+1) +
 ((tbl_CONTENT[[#This Row],[Comp]]-1)^(2.5)*4^(1-2.5)+1)*(0.5*((tbl_CONTENT[[#This Row],[RelInt]]-1)/4)^(2.5)+1),
 0
)</f>
        <v>0</v>
      </c>
      <c r="R88" s="35">
        <f>IFERROR(
 (1.907*EXP(1)^(-0.5*VALUE(tbl_CONTENT[[#This Row],[Layer]]))) *
 ((VALUE(tbl_CONTENT[[#This Row],[RelId]])-1)^(2.5)*4^(1-2.5)+1) +
 ((VALUE(tbl_CONTENT[[#This Row],[Comp]])-1)^(2.5)*4^(1-2.5)+1)*(0.5*((VALUE(tbl_CONTENT[[#This Row],[RelId]])-1)/4)^(2.5)+1),
 0
)</f>
        <v>0</v>
      </c>
    </row>
    <row r="89" spans="3:18" ht="51" x14ac:dyDescent="0.2">
      <c r="C89" s="22" t="str">
        <f>_xlfn.XLOOKUP(tbl_CONTENT[[#This Row],[TopicID]], tbl_TOPIC[TopicID], tbl_TOPIC[Subject], "")</f>
        <v>HA</v>
      </c>
      <c r="D89" s="22" t="str">
        <f xml:space="preserve"> tbl_CONTENT[[#This Row],[TopicID]] &amp; "-" &amp; TEXT(tbl_CONTENT[[#This Row],[TopicIDCount]], "00")</f>
        <v>HA-1-05-15</v>
      </c>
      <c r="F89" s="22" t="str">
        <f>_xlfn.XLOOKUP(tbl_CONTENT[[#This Row],[Topic]], tbl_TOPIC[Topic], tbl_TOPIC[TopicID], "")</f>
        <v>HA-1-05</v>
      </c>
      <c r="G89" s="22" cm="1">
        <f t="array" ref="G89">SUM((tbl_CONTENT[[#This Row],[TopicID]]=INDEX(tbl_CONTENT[TopicID],1):tbl_CONTENT[[#This Row],[TopicID]])*1)</f>
        <v>15</v>
      </c>
      <c r="H89" s="22" t="s">
        <v>141</v>
      </c>
      <c r="I89" s="22" t="s">
        <v>251</v>
      </c>
      <c r="J89" s="22" t="s">
        <v>151</v>
      </c>
      <c r="K89" s="22">
        <v>1</v>
      </c>
      <c r="L89" s="22">
        <v>2</v>
      </c>
      <c r="M89" s="22">
        <v>4</v>
      </c>
      <c r="N89" s="22">
        <v>4</v>
      </c>
      <c r="O89" s="22">
        <v>5</v>
      </c>
      <c r="Q89" s="35">
        <f>IFERROR(
 (1.907*EXP(1)^(-0.5*tbl_CONTENT[[#This Row],[Layer]])) *
 ((tbl_CONTENT[[#This Row],[RelInt]]-1)^(2.5)*4^(1-2.5)+1) +
 ((tbl_CONTENT[[#This Row],[Comp]]-1)^(2.5)*4^(1-2.5)+1)*(0.5*((tbl_CONTENT[[#This Row],[RelInt]]-1)/4)^(2.5)+1),
 0
)</f>
        <v>5.7352849367469618</v>
      </c>
      <c r="R89" s="35">
        <f>IFERROR(
 (1.907*EXP(1)^(-0.5*VALUE(tbl_CONTENT[[#This Row],[Layer]]))) *
 ((VALUE(tbl_CONTENT[[#This Row],[RelId]])-1)^(2.5)*4^(1-2.5)+1) +
 ((VALUE(tbl_CONTENT[[#This Row],[Comp]])-1)^(2.5)*4^(1-2.5)+1)*(0.5*((VALUE(tbl_CONTENT[[#This Row],[RelId]])-1)/4)^(2.5)+1),
 0
)</f>
        <v>7.9305662093421851</v>
      </c>
    </row>
    <row r="90" spans="3:18" ht="68" x14ac:dyDescent="0.2">
      <c r="C90" s="22" t="str">
        <f>_xlfn.XLOOKUP(tbl_CONTENT[[#This Row],[TopicID]], tbl_TOPIC[TopicID], tbl_TOPIC[Subject], "")</f>
        <v>HA</v>
      </c>
      <c r="D90" s="22" t="str">
        <f xml:space="preserve"> tbl_CONTENT[[#This Row],[TopicID]] &amp; "-" &amp; TEXT(tbl_CONTENT[[#This Row],[TopicIDCount]], "00")</f>
        <v>HA-1-05-16</v>
      </c>
      <c r="F90" s="22" t="str">
        <f>_xlfn.XLOOKUP(tbl_CONTENT[[#This Row],[Topic]], tbl_TOPIC[Topic], tbl_TOPIC[TopicID], "")</f>
        <v>HA-1-05</v>
      </c>
      <c r="G90" s="22" cm="1">
        <f t="array" ref="G90">SUM((tbl_CONTENT[[#This Row],[TopicID]]=INDEX(tbl_CONTENT[TopicID],1):tbl_CONTENT[[#This Row],[TopicID]])*1)</f>
        <v>16</v>
      </c>
      <c r="H90" s="22" t="s">
        <v>141</v>
      </c>
      <c r="I90" s="22" t="s">
        <v>252</v>
      </c>
      <c r="J90" s="22" t="s">
        <v>147</v>
      </c>
      <c r="K90" s="22">
        <v>1</v>
      </c>
      <c r="L90" s="22">
        <v>3</v>
      </c>
      <c r="M90" s="22">
        <v>4</v>
      </c>
      <c r="N90" s="22">
        <v>3</v>
      </c>
      <c r="O90" s="22">
        <v>4</v>
      </c>
      <c r="Q90" s="35">
        <f>IFERROR(
 (1.907*EXP(1)^(-0.5*tbl_CONTENT[[#This Row],[Layer]])) *
 ((tbl_CONTENT[[#This Row],[RelInt]]-1)^(2.5)*4^(1-2.5)+1) +
 ((tbl_CONTENT[[#This Row],[Comp]]-1)^(2.5)*4^(1-2.5)+1)*(0.5*((tbl_CONTENT[[#This Row],[RelInt]]-1)/4)^(2.5)+1),
 0
)</f>
        <v>3.9355649207746723</v>
      </c>
      <c r="R90" s="35">
        <f>IFERROR(
 (1.907*EXP(1)^(-0.5*VALUE(tbl_CONTENT[[#This Row],[Layer]]))) *
 ((VALUE(tbl_CONTENT[[#This Row],[RelId]])-1)^(2.5)*4^(1-2.5)+1) +
 ((VALUE(tbl_CONTENT[[#This Row],[Comp]])-1)^(2.5)*4^(1-2.5)+1)*(0.5*((VALUE(tbl_CONTENT[[#This Row],[RelId]])-1)/4)^(2.5)+1),
 0
)</f>
        <v>4.921374421420138</v>
      </c>
    </row>
    <row r="91" spans="3:18" ht="17" x14ac:dyDescent="0.2">
      <c r="C91" s="22" t="str">
        <f>_xlfn.XLOOKUP(tbl_CONTENT[[#This Row],[TopicID]], tbl_TOPIC[TopicID], tbl_TOPIC[Subject], "")</f>
        <v>HA</v>
      </c>
      <c r="D91" s="22" t="str">
        <f xml:space="preserve"> tbl_CONTENT[[#This Row],[TopicID]] &amp; "-" &amp; TEXT(tbl_CONTENT[[#This Row],[TopicIDCount]], "00")</f>
        <v>HA-1-05-17</v>
      </c>
      <c r="F91" s="22" t="str">
        <f>_xlfn.XLOOKUP(tbl_CONTENT[[#This Row],[Topic]], tbl_TOPIC[Topic], tbl_TOPIC[TopicID], "")</f>
        <v>HA-1-05</v>
      </c>
      <c r="G91" s="22" cm="1">
        <f t="array" ref="G91">SUM((tbl_CONTENT[[#This Row],[TopicID]]=INDEX(tbl_CONTENT[TopicID],1):tbl_CONTENT[[#This Row],[TopicID]])*1)</f>
        <v>17</v>
      </c>
      <c r="H91" s="22" t="s">
        <v>141</v>
      </c>
      <c r="I91" s="22" t="s">
        <v>253</v>
      </c>
      <c r="J91" s="22" t="s">
        <v>153</v>
      </c>
      <c r="K91" s="22">
        <v>1</v>
      </c>
      <c r="L91" s="22">
        <v>2</v>
      </c>
      <c r="M91" s="22">
        <v>3</v>
      </c>
      <c r="N91" s="22">
        <v>3</v>
      </c>
      <c r="O91" s="22">
        <v>4</v>
      </c>
      <c r="Q91" s="35">
        <f>IFERROR(
 (1.907*EXP(1)^(-0.5*tbl_CONTENT[[#This Row],[Layer]])) *
 ((tbl_CONTENT[[#This Row],[RelInt]]-1)^(2.5)*4^(1-2.5)+1) +
 ((tbl_CONTENT[[#This Row],[Comp]]-1)^(2.5)*4^(1-2.5)+1)*(0.5*((tbl_CONTENT[[#This Row],[RelInt]]-1)/4)^(2.5)+1),
 0
)</f>
        <v>3.0556092237531312</v>
      </c>
      <c r="R91" s="35">
        <f>IFERROR(
 (1.907*EXP(1)^(-0.5*VALUE(tbl_CONTENT[[#This Row],[Layer]]))) *
 ((VALUE(tbl_CONTENT[[#This Row],[RelId]])-1)^(2.5)*4^(1-2.5)+1) +
 ((VALUE(tbl_CONTENT[[#This Row],[Comp]])-1)^(2.5)*4^(1-2.5)+1)*(0.5*((VALUE(tbl_CONTENT[[#This Row],[RelId]])-1)/4)^(2.5)+1),
 0
)</f>
        <v>4.1914549319579635</v>
      </c>
    </row>
    <row r="92" spans="3:18" ht="34" x14ac:dyDescent="0.2">
      <c r="C92" s="22" t="str">
        <f>_xlfn.XLOOKUP(tbl_CONTENT[[#This Row],[TopicID]], tbl_TOPIC[TopicID], tbl_TOPIC[Subject], "")</f>
        <v>HA</v>
      </c>
      <c r="D92" s="22" t="str">
        <f xml:space="preserve"> tbl_CONTENT[[#This Row],[TopicID]] &amp; "-" &amp; TEXT(tbl_CONTENT[[#This Row],[TopicIDCount]], "00")</f>
        <v>HA-1-05-18</v>
      </c>
      <c r="F92" s="22" t="str">
        <f>_xlfn.XLOOKUP(tbl_CONTENT[[#This Row],[Topic]], tbl_TOPIC[Topic], tbl_TOPIC[TopicID], "")</f>
        <v>HA-1-05</v>
      </c>
      <c r="G92" s="22" cm="1">
        <f t="array" ref="G92">SUM((tbl_CONTENT[[#This Row],[TopicID]]=INDEX(tbl_CONTENT[TopicID],1):tbl_CONTENT[[#This Row],[TopicID]])*1)</f>
        <v>18</v>
      </c>
      <c r="H92" s="22" t="s">
        <v>141</v>
      </c>
      <c r="I92" s="37" t="s">
        <v>254</v>
      </c>
      <c r="J92" s="22" t="s">
        <v>148</v>
      </c>
      <c r="K92" s="22">
        <v>1</v>
      </c>
      <c r="L92" s="22">
        <v>2</v>
      </c>
      <c r="M92" s="22">
        <v>3</v>
      </c>
      <c r="N92" s="22">
        <v>4</v>
      </c>
      <c r="O92" s="22">
        <v>5</v>
      </c>
      <c r="Q92" s="35">
        <f>IFERROR(
 (1.907*EXP(1)^(-0.5*tbl_CONTENT[[#This Row],[Layer]])) *
 ((tbl_CONTENT[[#This Row],[RelInt]]-1)^(2.5)*4^(1-2.5)+1) +
 ((tbl_CONTENT[[#This Row],[Comp]]-1)^(2.5)*4^(1-2.5)+1)*(0.5*((tbl_CONTENT[[#This Row],[RelInt]]-1)/4)^(2.5)+1),
 0
)</f>
        <v>4.1914549319579635</v>
      </c>
      <c r="R92" s="35">
        <f>IFERROR(
 (1.907*EXP(1)^(-0.5*VALUE(tbl_CONTENT[[#This Row],[Layer]]))) *
 ((VALUE(tbl_CONTENT[[#This Row],[RelId]])-1)^(2.5)*4^(1-2.5)+1) +
 ((VALUE(tbl_CONTENT[[#This Row],[Comp]])-1)^(2.5)*4^(1-2.5)+1)*(0.5*((VALUE(tbl_CONTENT[[#This Row],[RelId]])-1)/4)^(2.5)+1),
 0
)</f>
        <v>6.0683906433495247</v>
      </c>
    </row>
    <row r="93" spans="3:18" ht="34" x14ac:dyDescent="0.2">
      <c r="C93" s="22" t="str">
        <f>_xlfn.XLOOKUP(tbl_CONTENT[[#This Row],[TopicID]], tbl_TOPIC[TopicID], tbl_TOPIC[Subject], "")</f>
        <v>HA</v>
      </c>
      <c r="D93" s="22" t="str">
        <f xml:space="preserve"> tbl_CONTENT[[#This Row],[TopicID]] &amp; "-" &amp; TEXT(tbl_CONTENT[[#This Row],[TopicIDCount]], "00")</f>
        <v>HA-1-05-19</v>
      </c>
      <c r="F93" s="22" t="str">
        <f>_xlfn.XLOOKUP(tbl_CONTENT[[#This Row],[Topic]], tbl_TOPIC[Topic], tbl_TOPIC[TopicID], "")</f>
        <v>HA-1-05</v>
      </c>
      <c r="G93" s="22" cm="1">
        <f t="array" ref="G93">SUM((tbl_CONTENT[[#This Row],[TopicID]]=INDEX(tbl_CONTENT[TopicID],1):tbl_CONTENT[[#This Row],[TopicID]])*1)</f>
        <v>19</v>
      </c>
      <c r="H93" s="22" t="s">
        <v>141</v>
      </c>
      <c r="I93" s="22" t="s">
        <v>257</v>
      </c>
      <c r="J93" s="22" t="s">
        <v>153</v>
      </c>
      <c r="K93" s="22">
        <v>1</v>
      </c>
      <c r="L93" s="22">
        <v>2</v>
      </c>
      <c r="M93" s="22">
        <v>3</v>
      </c>
      <c r="N93" s="22">
        <v>4</v>
      </c>
      <c r="O93" s="22">
        <v>5</v>
      </c>
      <c r="Q93" s="35">
        <f>IFERROR(
 (1.907*EXP(1)^(-0.5*tbl_CONTENT[[#This Row],[Layer]])) *
 ((tbl_CONTENT[[#This Row],[RelInt]]-1)^(2.5)*4^(1-2.5)+1) +
 ((tbl_CONTENT[[#This Row],[Comp]]-1)^(2.5)*4^(1-2.5)+1)*(0.5*((tbl_CONTENT[[#This Row],[RelInt]]-1)/4)^(2.5)+1),
 0
)</f>
        <v>4.1914549319579635</v>
      </c>
      <c r="R93" s="35">
        <f>IFERROR(
 (1.907*EXP(1)^(-0.5*VALUE(tbl_CONTENT[[#This Row],[Layer]]))) *
 ((VALUE(tbl_CONTENT[[#This Row],[RelId]])-1)^(2.5)*4^(1-2.5)+1) +
 ((VALUE(tbl_CONTENT[[#This Row],[Comp]])-1)^(2.5)*4^(1-2.5)+1)*(0.5*((VALUE(tbl_CONTENT[[#This Row],[RelId]])-1)/4)^(2.5)+1),
 0
)</f>
        <v>6.0683906433495247</v>
      </c>
    </row>
    <row r="94" spans="3:18" ht="34" x14ac:dyDescent="0.2">
      <c r="C94" s="22" t="str">
        <f>_xlfn.XLOOKUP(tbl_CONTENT[[#This Row],[TopicID]], tbl_TOPIC[TopicID], tbl_TOPIC[Subject], "")</f>
        <v>HA</v>
      </c>
      <c r="D94" s="22" t="str">
        <f xml:space="preserve"> tbl_CONTENT[[#This Row],[TopicID]] &amp; "-" &amp; TEXT(tbl_CONTENT[[#This Row],[TopicIDCount]], "00")</f>
        <v>HA-1-05-20</v>
      </c>
      <c r="F94" s="22" t="str">
        <f>_xlfn.XLOOKUP(tbl_CONTENT[[#This Row],[Topic]], tbl_TOPIC[Topic], tbl_TOPIC[TopicID], "")</f>
        <v>HA-1-05</v>
      </c>
      <c r="G94" s="22" cm="1">
        <f t="array" ref="G94">SUM((tbl_CONTENT[[#This Row],[TopicID]]=INDEX(tbl_CONTENT[TopicID],1):tbl_CONTENT[[#This Row],[TopicID]])*1)</f>
        <v>20</v>
      </c>
      <c r="H94" s="22" t="s">
        <v>141</v>
      </c>
      <c r="I94" s="22" t="s">
        <v>258</v>
      </c>
      <c r="J94" s="22" t="s">
        <v>181</v>
      </c>
      <c r="L94" s="22">
        <v>2</v>
      </c>
      <c r="M94" s="22">
        <v>3</v>
      </c>
      <c r="N94" s="22">
        <v>3</v>
      </c>
      <c r="O94" s="22">
        <v>4</v>
      </c>
      <c r="Q94" s="35">
        <f>IFERROR(
 (1.907*EXP(1)^(-0.5*tbl_CONTENT[[#This Row],[Layer]])) *
 ((tbl_CONTENT[[#This Row],[RelInt]]-1)^(2.5)*4^(1-2.5)+1) +
 ((tbl_CONTENT[[#This Row],[Comp]]-1)^(2.5)*4^(1-2.5)+1)*(0.5*((tbl_CONTENT[[#This Row],[RelInt]]-1)/4)^(2.5)+1),
 0
)</f>
        <v>3.0556092237531312</v>
      </c>
      <c r="R94" s="35">
        <f>IFERROR(
 (1.907*EXP(1)^(-0.5*VALUE(tbl_CONTENT[[#This Row],[Layer]]))) *
 ((VALUE(tbl_CONTENT[[#This Row],[RelId]])-1)^(2.5)*4^(1-2.5)+1) +
 ((VALUE(tbl_CONTENT[[#This Row],[Comp]])-1)^(2.5)*4^(1-2.5)+1)*(0.5*((VALUE(tbl_CONTENT[[#This Row],[RelId]])-1)/4)^(2.5)+1),
 0
)</f>
        <v>4.1914549319579635</v>
      </c>
    </row>
    <row r="95" spans="3:18" ht="34" x14ac:dyDescent="0.2">
      <c r="C95" s="22" t="str">
        <f>_xlfn.XLOOKUP(tbl_CONTENT[[#This Row],[TopicID]], tbl_TOPIC[TopicID], tbl_TOPIC[Subject], "")</f>
        <v>HA</v>
      </c>
      <c r="D95" s="22" t="str">
        <f xml:space="preserve"> tbl_CONTENT[[#This Row],[TopicID]] &amp; "-" &amp; TEXT(tbl_CONTENT[[#This Row],[TopicIDCount]], "00")</f>
        <v>HA-1-05-21</v>
      </c>
      <c r="F95" s="22" t="str">
        <f>_xlfn.XLOOKUP(tbl_CONTENT[[#This Row],[Topic]], tbl_TOPIC[Topic], tbl_TOPIC[TopicID], "")</f>
        <v>HA-1-05</v>
      </c>
      <c r="G95" s="22" cm="1">
        <f t="array" ref="G95">SUM((tbl_CONTENT[[#This Row],[TopicID]]=INDEX(tbl_CONTENT[TopicID],1):tbl_CONTENT[[#This Row],[TopicID]])*1)</f>
        <v>21</v>
      </c>
      <c r="H95" s="22" t="s">
        <v>141</v>
      </c>
      <c r="I95" s="22" t="s">
        <v>259</v>
      </c>
      <c r="J95" s="22" t="s">
        <v>153</v>
      </c>
      <c r="L95" s="22">
        <v>2</v>
      </c>
      <c r="M95" s="22">
        <v>3</v>
      </c>
      <c r="N95" s="22">
        <v>5</v>
      </c>
      <c r="O95" s="22">
        <v>5</v>
      </c>
      <c r="Q95" s="35">
        <f>IFERROR(
 (1.907*EXP(1)^(-0.5*tbl_CONTENT[[#This Row],[Layer]])) *
 ((tbl_CONTENT[[#This Row],[RelInt]]-1)^(2.5)*4^(1-2.5)+1) +
 ((tbl_CONTENT[[#This Row],[Comp]]-1)^(2.5)*4^(1-2.5)+1)*(0.5*((tbl_CONTENT[[#This Row],[RelInt]]-1)/4)^(2.5)+1),
 0
)</f>
        <v>6.0683906433495247</v>
      </c>
      <c r="R95" s="35">
        <f>IFERROR(
 (1.907*EXP(1)^(-0.5*VALUE(tbl_CONTENT[[#This Row],[Layer]]))) *
 ((VALUE(tbl_CONTENT[[#This Row],[RelId]])-1)^(2.5)*4^(1-2.5)+1) +
 ((VALUE(tbl_CONTENT[[#This Row],[Comp]])-1)^(2.5)*4^(1-2.5)+1)*(0.5*((VALUE(tbl_CONTENT[[#This Row],[RelId]])-1)/4)^(2.5)+1),
 0
)</f>
        <v>6.0683906433495247</v>
      </c>
    </row>
    <row r="96" spans="3:18" ht="51" x14ac:dyDescent="0.2">
      <c r="C96" s="22" t="str">
        <f>_xlfn.XLOOKUP(tbl_CONTENT[[#This Row],[TopicID]], tbl_TOPIC[TopicID], tbl_TOPIC[Subject], "")</f>
        <v>HA</v>
      </c>
      <c r="D96" s="22" t="str">
        <f xml:space="preserve"> tbl_CONTENT[[#This Row],[TopicID]] &amp; "-" &amp; TEXT(tbl_CONTENT[[#This Row],[TopicIDCount]], "00")</f>
        <v>HA-1-05-22</v>
      </c>
      <c r="F96" s="22" t="str">
        <f>_xlfn.XLOOKUP(tbl_CONTENT[[#This Row],[Topic]], tbl_TOPIC[Topic], tbl_TOPIC[TopicID], "")</f>
        <v>HA-1-05</v>
      </c>
      <c r="G96" s="22" cm="1">
        <f t="array" ref="G96">SUM((tbl_CONTENT[[#This Row],[TopicID]]=INDEX(tbl_CONTENT[TopicID],1):tbl_CONTENT[[#This Row],[TopicID]])*1)</f>
        <v>22</v>
      </c>
      <c r="H96" s="22" t="s">
        <v>141</v>
      </c>
      <c r="I96" s="37" t="s">
        <v>260</v>
      </c>
      <c r="J96" s="22" t="s">
        <v>152</v>
      </c>
      <c r="L96" s="22">
        <v>2</v>
      </c>
      <c r="M96" s="22">
        <v>2</v>
      </c>
      <c r="N96" s="22">
        <v>4</v>
      </c>
      <c r="O96" s="22">
        <v>5</v>
      </c>
      <c r="Q96" s="35">
        <f>IFERROR(
 (1.907*EXP(1)^(-0.5*tbl_CONTENT[[#This Row],[Layer]])) *
 ((tbl_CONTENT[[#This Row],[RelInt]]-1)^(2.5)*4^(1-2.5)+1) +
 ((tbl_CONTENT[[#This Row],[Comp]]-1)^(2.5)*4^(1-2.5)+1)*(0.5*((tbl_CONTENT[[#This Row],[RelInt]]-1)/4)^(2.5)+1),
 0
)</f>
        <v>3.4675646088337704</v>
      </c>
      <c r="R96" s="35">
        <f>IFERROR(
 (1.907*EXP(1)^(-0.5*VALUE(tbl_CONTENT[[#This Row],[Layer]]))) *
 ((VALUE(tbl_CONTENT[[#This Row],[RelId]])-1)^(2.5)*4^(1-2.5)+1) +
 ((VALUE(tbl_CONTENT[[#This Row],[Comp]])-1)^(2.5)*4^(1-2.5)+1)*(0.5*((VALUE(tbl_CONTENT[[#This Row],[RelId]])-1)/4)^(2.5)+1),
 0
)</f>
        <v>5.1952304715697029</v>
      </c>
    </row>
    <row r="97" spans="3:20" ht="51" x14ac:dyDescent="0.2">
      <c r="C97" s="22" t="str">
        <f>_xlfn.XLOOKUP(tbl_CONTENT[[#This Row],[TopicID]], tbl_TOPIC[TopicID], tbl_TOPIC[Subject], "")</f>
        <v>HA</v>
      </c>
      <c r="D97" s="22" t="str">
        <f xml:space="preserve"> tbl_CONTENT[[#This Row],[TopicID]] &amp; "-" &amp; TEXT(tbl_CONTENT[[#This Row],[TopicIDCount]], "00")</f>
        <v>HA-1-05-23</v>
      </c>
      <c r="F97" s="22" t="str">
        <f>_xlfn.XLOOKUP(tbl_CONTENT[[#This Row],[Topic]], tbl_TOPIC[Topic], tbl_TOPIC[TopicID], "")</f>
        <v>HA-1-05</v>
      </c>
      <c r="G97" s="22" cm="1">
        <f t="array" ref="G97">SUM((tbl_CONTENT[[#This Row],[TopicID]]=INDEX(tbl_CONTENT[TopicID],1):tbl_CONTENT[[#This Row],[TopicID]])*1)</f>
        <v>23</v>
      </c>
      <c r="H97" s="22" t="s">
        <v>141</v>
      </c>
      <c r="I97" s="22" t="s">
        <v>261</v>
      </c>
      <c r="J97" s="22" t="s">
        <v>147</v>
      </c>
      <c r="L97" s="22">
        <v>2</v>
      </c>
      <c r="M97" s="22">
        <v>2</v>
      </c>
      <c r="N97" s="22">
        <v>4</v>
      </c>
      <c r="O97" s="22">
        <v>5</v>
      </c>
      <c r="Q97" s="35">
        <f>IFERROR(
 (1.907*EXP(1)^(-0.5*tbl_CONTENT[[#This Row],[Layer]])) *
 ((tbl_CONTENT[[#This Row],[RelInt]]-1)^(2.5)*4^(1-2.5)+1) +
 ((tbl_CONTENT[[#This Row],[Comp]]-1)^(2.5)*4^(1-2.5)+1)*(0.5*((tbl_CONTENT[[#This Row],[RelInt]]-1)/4)^(2.5)+1),
 0
)</f>
        <v>3.4675646088337704</v>
      </c>
      <c r="R97" s="35">
        <f>IFERROR(
 (1.907*EXP(1)^(-0.5*VALUE(tbl_CONTENT[[#This Row],[Layer]]))) *
 ((VALUE(tbl_CONTENT[[#This Row],[RelId]])-1)^(2.5)*4^(1-2.5)+1) +
 ((VALUE(tbl_CONTENT[[#This Row],[Comp]])-1)^(2.5)*4^(1-2.5)+1)*(0.5*((VALUE(tbl_CONTENT[[#This Row],[RelId]])-1)/4)^(2.5)+1),
 0
)</f>
        <v>5.1952304715697029</v>
      </c>
    </row>
    <row r="98" spans="3:20" ht="17" x14ac:dyDescent="0.2">
      <c r="C98" s="22" t="str">
        <f>_xlfn.XLOOKUP(tbl_CONTENT[[#This Row],[TopicID]], tbl_TOPIC[TopicID], tbl_TOPIC[Subject], "")</f>
        <v>HA</v>
      </c>
      <c r="D98" s="22" t="str">
        <f xml:space="preserve"> tbl_CONTENT[[#This Row],[TopicID]] &amp; "-" &amp; TEXT(tbl_CONTENT[[#This Row],[TopicIDCount]], "00")</f>
        <v>HA-1-05-24</v>
      </c>
      <c r="F98" s="22" t="str">
        <f>_xlfn.XLOOKUP(tbl_CONTENT[[#This Row],[Topic]], tbl_TOPIC[Topic], tbl_TOPIC[TopicID], "")</f>
        <v>HA-1-05</v>
      </c>
      <c r="G98" s="22" cm="1">
        <f t="array" ref="G98">SUM((tbl_CONTENT[[#This Row],[TopicID]]=INDEX(tbl_CONTENT[TopicID],1):tbl_CONTENT[[#This Row],[TopicID]])*1)</f>
        <v>24</v>
      </c>
      <c r="H98" s="22" t="s">
        <v>141</v>
      </c>
      <c r="I98" s="22" t="s">
        <v>262</v>
      </c>
      <c r="J98" s="22" t="s">
        <v>153</v>
      </c>
      <c r="L98" s="22">
        <v>2</v>
      </c>
      <c r="M98" s="22">
        <v>3</v>
      </c>
      <c r="N98" s="22">
        <v>4</v>
      </c>
      <c r="O98" s="22">
        <v>5</v>
      </c>
      <c r="Q98" s="35">
        <f>IFERROR(
 (1.907*EXP(1)^(-0.5*tbl_CONTENT[[#This Row],[Layer]])) *
 ((tbl_CONTENT[[#This Row],[RelInt]]-1)^(2.5)*4^(1-2.5)+1) +
 ((tbl_CONTENT[[#This Row],[Comp]]-1)^(2.5)*4^(1-2.5)+1)*(0.5*((tbl_CONTENT[[#This Row],[RelInt]]-1)/4)^(2.5)+1),
 0
)</f>
        <v>4.1914549319579635</v>
      </c>
      <c r="R98" s="35">
        <f>IFERROR(
 (1.907*EXP(1)^(-0.5*VALUE(tbl_CONTENT[[#This Row],[Layer]]))) *
 ((VALUE(tbl_CONTENT[[#This Row],[RelId]])-1)^(2.5)*4^(1-2.5)+1) +
 ((VALUE(tbl_CONTENT[[#This Row],[Comp]])-1)^(2.5)*4^(1-2.5)+1)*(0.5*((VALUE(tbl_CONTENT[[#This Row],[RelId]])-1)/4)^(2.5)+1),
 0
)</f>
        <v>6.0683906433495247</v>
      </c>
    </row>
    <row r="99" spans="3:20" ht="34" x14ac:dyDescent="0.2">
      <c r="C99" s="22" t="str">
        <f>_xlfn.XLOOKUP(tbl_CONTENT[[#This Row],[TopicID]], tbl_TOPIC[TopicID], tbl_TOPIC[Subject], "")</f>
        <v>HA</v>
      </c>
      <c r="D99" s="22" t="str">
        <f xml:space="preserve"> tbl_CONTENT[[#This Row],[TopicID]] &amp; "-" &amp; TEXT(tbl_CONTENT[[#This Row],[TopicIDCount]], "00")</f>
        <v>HA-1-05-25</v>
      </c>
      <c r="F99" s="22" t="str">
        <f>_xlfn.XLOOKUP(tbl_CONTENT[[#This Row],[Topic]], tbl_TOPIC[Topic], tbl_TOPIC[TopicID], "")</f>
        <v>HA-1-05</v>
      </c>
      <c r="G99" s="22" cm="1">
        <f t="array" ref="G99">SUM((tbl_CONTENT[[#This Row],[TopicID]]=INDEX(tbl_CONTENT[TopicID],1):tbl_CONTENT[[#This Row],[TopicID]])*1)</f>
        <v>25</v>
      </c>
      <c r="H99" s="22" t="s">
        <v>141</v>
      </c>
      <c r="I99" s="22" t="s">
        <v>263</v>
      </c>
      <c r="J99" s="22" t="s">
        <v>152</v>
      </c>
      <c r="L99" s="22">
        <v>2</v>
      </c>
      <c r="M99" s="22">
        <v>3</v>
      </c>
      <c r="N99" s="22">
        <v>4</v>
      </c>
      <c r="O99" s="22">
        <v>5</v>
      </c>
      <c r="Q99" s="35">
        <f>IFERROR(
 (1.907*EXP(1)^(-0.5*tbl_CONTENT[[#This Row],[Layer]])) *
 ((tbl_CONTENT[[#This Row],[RelInt]]-1)^(2.5)*4^(1-2.5)+1) +
 ((tbl_CONTENT[[#This Row],[Comp]]-1)^(2.5)*4^(1-2.5)+1)*(0.5*((tbl_CONTENT[[#This Row],[RelInt]]-1)/4)^(2.5)+1),
 0
)</f>
        <v>4.1914549319579635</v>
      </c>
      <c r="R99" s="35">
        <f>IFERROR(
 (1.907*EXP(1)^(-0.5*VALUE(tbl_CONTENT[[#This Row],[Layer]]))) *
 ((VALUE(tbl_CONTENT[[#This Row],[RelId]])-1)^(2.5)*4^(1-2.5)+1) +
 ((VALUE(tbl_CONTENT[[#This Row],[Comp]])-1)^(2.5)*4^(1-2.5)+1)*(0.5*((VALUE(tbl_CONTENT[[#This Row],[RelId]])-1)/4)^(2.5)+1),
 0
)</f>
        <v>6.0683906433495247</v>
      </c>
    </row>
    <row r="100" spans="3:20" ht="17" x14ac:dyDescent="0.2">
      <c r="C100" s="22" t="str">
        <f>_xlfn.XLOOKUP(tbl_CONTENT[[#This Row],[TopicID]], tbl_TOPIC[TopicID], tbl_TOPIC[Subject], "")</f>
        <v>HA</v>
      </c>
      <c r="D100" s="22" t="str">
        <f xml:space="preserve"> tbl_CONTENT[[#This Row],[TopicID]] &amp; "-" &amp; TEXT(tbl_CONTENT[[#This Row],[TopicIDCount]], "00")</f>
        <v>HA-1-01-22</v>
      </c>
      <c r="F100" s="22" t="str">
        <f>_xlfn.XLOOKUP(tbl_CONTENT[[#This Row],[Topic]], tbl_TOPIC[Topic], tbl_TOPIC[TopicID], "")</f>
        <v>HA-1-01</v>
      </c>
      <c r="G100" s="22" cm="1">
        <f t="array" ref="G100">SUM((tbl_CONTENT[[#This Row],[TopicID]]=INDEX(tbl_CONTENT[TopicID],1):tbl_CONTENT[[#This Row],[TopicID]])*1)</f>
        <v>22</v>
      </c>
      <c r="H100" s="22" t="s">
        <v>159</v>
      </c>
      <c r="I100" s="22" t="s">
        <v>274</v>
      </c>
      <c r="J100" s="22" t="s">
        <v>273</v>
      </c>
      <c r="Q100" s="35">
        <f>IFERROR(
 (1.907*EXP(1)^(-0.5*tbl_CONTENT[[#This Row],[Layer]])) *
 ((tbl_CONTENT[[#This Row],[RelInt]]-1)^(2.5)*4^(1-2.5)+1) +
 ((tbl_CONTENT[[#This Row],[Comp]]-1)^(2.5)*4^(1-2.5)+1)*(0.5*((tbl_CONTENT[[#This Row],[RelInt]]-1)/4)^(2.5)+1),
 0
)</f>
        <v>0</v>
      </c>
      <c r="R100" s="35">
        <f>IFERROR(
 (1.907*EXP(1)^(-0.5*VALUE(tbl_CONTENT[[#This Row],[Layer]]))) *
 ((VALUE(tbl_CONTENT[[#This Row],[RelId]])-1)^(2.5)*4^(1-2.5)+1) +
 ((VALUE(tbl_CONTENT[[#This Row],[Comp]])-1)^(2.5)*4^(1-2.5)+1)*(0.5*((VALUE(tbl_CONTENT[[#This Row],[RelId]])-1)/4)^(2.5)+1),
 0
)</f>
        <v>0</v>
      </c>
    </row>
    <row r="101" spans="3:20" ht="51" x14ac:dyDescent="0.2">
      <c r="C101" s="22" t="str">
        <f>_xlfn.XLOOKUP(tbl_CONTENT[[#This Row],[TopicID]], tbl_TOPIC[TopicID], tbl_TOPIC[Subject], "")</f>
        <v>HA</v>
      </c>
      <c r="D101" s="22" t="str">
        <f xml:space="preserve"> tbl_CONTENT[[#This Row],[TopicID]] &amp; "-" &amp; TEXT(tbl_CONTENT[[#This Row],[TopicIDCount]], "00")</f>
        <v>HA-1-01-23</v>
      </c>
      <c r="F101" s="22" t="str">
        <f>_xlfn.XLOOKUP(tbl_CONTENT[[#This Row],[Topic]], tbl_TOPIC[Topic], tbl_TOPIC[TopicID], "")</f>
        <v>HA-1-01</v>
      </c>
      <c r="G101" s="22" cm="1">
        <f t="array" ref="G101">SUM((tbl_CONTENT[[#This Row],[TopicID]]=INDEX(tbl_CONTENT[TopicID],1):tbl_CONTENT[[#This Row],[TopicID]])*1)</f>
        <v>23</v>
      </c>
      <c r="H101" s="22" t="s">
        <v>159</v>
      </c>
      <c r="I101" s="22" t="s">
        <v>275</v>
      </c>
      <c r="J101" s="22" t="s">
        <v>273</v>
      </c>
      <c r="Q101" s="35">
        <f>IFERROR(
 (1.907*EXP(1)^(-0.5*tbl_CONTENT[[#This Row],[Layer]])) *
 ((tbl_CONTENT[[#This Row],[RelInt]]-1)^(2.5)*4^(1-2.5)+1) +
 ((tbl_CONTENT[[#This Row],[Comp]]-1)^(2.5)*4^(1-2.5)+1)*(0.5*((tbl_CONTENT[[#This Row],[RelInt]]-1)/4)^(2.5)+1),
 0
)</f>
        <v>0</v>
      </c>
      <c r="R101" s="35">
        <f>IFERROR(
 (1.907*EXP(1)^(-0.5*VALUE(tbl_CONTENT[[#This Row],[Layer]]))) *
 ((VALUE(tbl_CONTENT[[#This Row],[RelId]])-1)^(2.5)*4^(1-2.5)+1) +
 ((VALUE(tbl_CONTENT[[#This Row],[Comp]])-1)^(2.5)*4^(1-2.5)+1)*(0.5*((VALUE(tbl_CONTENT[[#This Row],[RelId]])-1)/4)^(2.5)+1),
 0
)</f>
        <v>0</v>
      </c>
    </row>
    <row r="102" spans="3:20" ht="51" x14ac:dyDescent="0.2">
      <c r="C102" s="22" t="str">
        <f>_xlfn.XLOOKUP(tbl_CONTENT[[#This Row],[TopicID]], tbl_TOPIC[TopicID], tbl_TOPIC[Subject], "")</f>
        <v>HA</v>
      </c>
      <c r="D102" s="22" t="str">
        <f xml:space="preserve"> tbl_CONTENT[[#This Row],[TopicID]] &amp; "-" &amp; TEXT(tbl_CONTENT[[#This Row],[TopicIDCount]], "00")</f>
        <v>HA-1-04-20</v>
      </c>
      <c r="F102" s="22" t="str">
        <f>_xlfn.XLOOKUP(tbl_CONTENT[[#This Row],[Topic]], tbl_TOPIC[Topic], tbl_TOPIC[TopicID], "")</f>
        <v>HA-1-04</v>
      </c>
      <c r="G102" s="22" cm="1">
        <f t="array" ref="G102">SUM((tbl_CONTENT[[#This Row],[TopicID]]=INDEX(tbl_CONTENT[TopicID],1):tbl_CONTENT[[#This Row],[TopicID]])*1)</f>
        <v>20</v>
      </c>
      <c r="H102" s="22" t="s">
        <v>134</v>
      </c>
      <c r="I102" s="22" t="s">
        <v>276</v>
      </c>
      <c r="J102" s="22" t="s">
        <v>273</v>
      </c>
      <c r="Q102" s="35">
        <f>IFERROR(
 (1.907*EXP(1)^(-0.5*tbl_CONTENT[[#This Row],[Layer]])) *
 ((tbl_CONTENT[[#This Row],[RelInt]]-1)^(2.5)*4^(1-2.5)+1) +
 ((tbl_CONTENT[[#This Row],[Comp]]-1)^(2.5)*4^(1-2.5)+1)*(0.5*((tbl_CONTENT[[#This Row],[RelInt]]-1)/4)^(2.5)+1),
 0
)</f>
        <v>0</v>
      </c>
      <c r="R102" s="35">
        <f>IFERROR(
 (1.907*EXP(1)^(-0.5*VALUE(tbl_CONTENT[[#This Row],[Layer]]))) *
 ((VALUE(tbl_CONTENT[[#This Row],[RelId]])-1)^(2.5)*4^(1-2.5)+1) +
 ((VALUE(tbl_CONTENT[[#This Row],[Comp]])-1)^(2.5)*4^(1-2.5)+1)*(0.5*((VALUE(tbl_CONTENT[[#This Row],[RelId]])-1)/4)^(2.5)+1),
 0
)</f>
        <v>0</v>
      </c>
      <c r="T102" s="22" t="s">
        <v>277</v>
      </c>
    </row>
    <row r="103" spans="3:20" ht="51" x14ac:dyDescent="0.2">
      <c r="C103" s="22" t="str">
        <f>_xlfn.XLOOKUP(tbl_CONTENT[[#This Row],[TopicID]], tbl_TOPIC[TopicID], tbl_TOPIC[Subject], "")</f>
        <v>HA</v>
      </c>
      <c r="D103" s="22" t="str">
        <f xml:space="preserve"> tbl_CONTENT[[#This Row],[TopicID]] &amp; "-" &amp; TEXT(tbl_CONTENT[[#This Row],[TopicIDCount]], "00")</f>
        <v>HA-1-06-13</v>
      </c>
      <c r="F103" s="22" t="str">
        <f>_xlfn.XLOOKUP(tbl_CONTENT[[#This Row],[Topic]], tbl_TOPIC[Topic], tbl_TOPIC[TopicID], "")</f>
        <v>HA-1-06</v>
      </c>
      <c r="G103" s="22" cm="1">
        <f t="array" ref="G103">SUM((tbl_CONTENT[[#This Row],[TopicID]]=INDEX(tbl_CONTENT[TopicID],1):tbl_CONTENT[[#This Row],[TopicID]])*1)</f>
        <v>13</v>
      </c>
      <c r="H103" s="22" t="s">
        <v>140</v>
      </c>
      <c r="I103" s="22" t="s">
        <v>278</v>
      </c>
      <c r="J103" s="22" t="s">
        <v>273</v>
      </c>
      <c r="Q103" s="35">
        <f>IFERROR(
 (1.907*EXP(1)^(-0.5*tbl_CONTENT[[#This Row],[Layer]])) *
 ((tbl_CONTENT[[#This Row],[RelInt]]-1)^(2.5)*4^(1-2.5)+1) +
 ((tbl_CONTENT[[#This Row],[Comp]]-1)^(2.5)*4^(1-2.5)+1)*(0.5*((tbl_CONTENT[[#This Row],[RelInt]]-1)/4)^(2.5)+1),
 0
)</f>
        <v>0</v>
      </c>
      <c r="R103" s="35">
        <f>IFERROR(
 (1.907*EXP(1)^(-0.5*VALUE(tbl_CONTENT[[#This Row],[Layer]]))) *
 ((VALUE(tbl_CONTENT[[#This Row],[RelId]])-1)^(2.5)*4^(1-2.5)+1) +
 ((VALUE(tbl_CONTENT[[#This Row],[Comp]])-1)^(2.5)*4^(1-2.5)+1)*(0.5*((VALUE(tbl_CONTENT[[#This Row],[RelId]])-1)/4)^(2.5)+1),
 0
)</f>
        <v>0</v>
      </c>
    </row>
    <row r="104" spans="3:20" ht="34" x14ac:dyDescent="0.2">
      <c r="C104" s="22" t="str">
        <f>_xlfn.XLOOKUP(tbl_CONTENT[[#This Row],[TopicID]], tbl_TOPIC[TopicID], tbl_TOPIC[Subject], "")</f>
        <v>HA</v>
      </c>
      <c r="D104" s="22" t="str">
        <f xml:space="preserve"> tbl_CONTENT[[#This Row],[TopicID]] &amp; "-" &amp; TEXT(tbl_CONTENT[[#This Row],[TopicIDCount]], "00")</f>
        <v>HA-1-05-26</v>
      </c>
      <c r="F104" s="22" t="str">
        <f>_xlfn.XLOOKUP(tbl_CONTENT[[#This Row],[Topic]], tbl_TOPIC[Topic], tbl_TOPIC[TopicID], "")</f>
        <v>HA-1-05</v>
      </c>
      <c r="G104" s="22" cm="1">
        <f t="array" ref="G104">SUM((tbl_CONTENT[[#This Row],[TopicID]]=INDEX(tbl_CONTENT[TopicID],1):tbl_CONTENT[[#This Row],[TopicID]])*1)</f>
        <v>26</v>
      </c>
      <c r="H104" s="22" t="s">
        <v>141</v>
      </c>
      <c r="I104" s="22" t="s">
        <v>280</v>
      </c>
      <c r="J104" s="22" t="s">
        <v>273</v>
      </c>
      <c r="Q104" s="35">
        <f>IFERROR(
 (1.907*EXP(1)^(-0.5*tbl_CONTENT[[#This Row],[Layer]])) *
 ((tbl_CONTENT[[#This Row],[RelInt]]-1)^(2.5)*4^(1-2.5)+1) +
 ((tbl_CONTENT[[#This Row],[Comp]]-1)^(2.5)*4^(1-2.5)+1)*(0.5*((tbl_CONTENT[[#This Row],[RelInt]]-1)/4)^(2.5)+1),
 0
)</f>
        <v>0</v>
      </c>
      <c r="R104" s="35">
        <f>IFERROR(
 (1.907*EXP(1)^(-0.5*VALUE(tbl_CONTENT[[#This Row],[Layer]]))) *
 ((VALUE(tbl_CONTENT[[#This Row],[RelId]])-1)^(2.5)*4^(1-2.5)+1) +
 ((VALUE(tbl_CONTENT[[#This Row],[Comp]])-1)^(2.5)*4^(1-2.5)+1)*(0.5*((VALUE(tbl_CONTENT[[#This Row],[RelId]])-1)/4)^(2.5)+1),
 0
)</f>
        <v>0</v>
      </c>
      <c r="T104" s="22" t="s">
        <v>279</v>
      </c>
    </row>
    <row r="105" spans="3:20" ht="34" x14ac:dyDescent="0.2">
      <c r="C105" s="22" t="str">
        <f>_xlfn.XLOOKUP(tbl_CONTENT[[#This Row],[TopicID]], tbl_TOPIC[TopicID], tbl_TOPIC[Subject], "")</f>
        <v>HA</v>
      </c>
      <c r="D105" s="22" t="str">
        <f xml:space="preserve"> tbl_CONTENT[[#This Row],[TopicID]] &amp; "-" &amp; TEXT(tbl_CONTENT[[#This Row],[TopicIDCount]], "00")</f>
        <v>HA-1-05-27</v>
      </c>
      <c r="F105" s="22" t="str">
        <f>_xlfn.XLOOKUP(tbl_CONTENT[[#This Row],[Topic]], tbl_TOPIC[Topic], tbl_TOPIC[TopicID], "")</f>
        <v>HA-1-05</v>
      </c>
      <c r="G105" s="22" cm="1">
        <f t="array" ref="G105">SUM((tbl_CONTENT[[#This Row],[TopicID]]=INDEX(tbl_CONTENT[TopicID],1):tbl_CONTENT[[#This Row],[TopicID]])*1)</f>
        <v>27</v>
      </c>
      <c r="H105" s="22" t="s">
        <v>141</v>
      </c>
      <c r="I105" s="22" t="s">
        <v>281</v>
      </c>
      <c r="J105" s="22" t="s">
        <v>273</v>
      </c>
      <c r="Q105" s="35">
        <f>IFERROR(
 (1.907*EXP(1)^(-0.5*tbl_CONTENT[[#This Row],[Layer]])) *
 ((tbl_CONTENT[[#This Row],[RelInt]]-1)^(2.5)*4^(1-2.5)+1) +
 ((tbl_CONTENT[[#This Row],[Comp]]-1)^(2.5)*4^(1-2.5)+1)*(0.5*((tbl_CONTENT[[#This Row],[RelInt]]-1)/4)^(2.5)+1),
 0
)</f>
        <v>0</v>
      </c>
      <c r="R105" s="35">
        <f>IFERROR(
 (1.907*EXP(1)^(-0.5*VALUE(tbl_CONTENT[[#This Row],[Layer]]))) *
 ((VALUE(tbl_CONTENT[[#This Row],[RelId]])-1)^(2.5)*4^(1-2.5)+1) +
 ((VALUE(tbl_CONTENT[[#This Row],[Comp]])-1)^(2.5)*4^(1-2.5)+1)*(0.5*((VALUE(tbl_CONTENT[[#This Row],[RelId]])-1)/4)^(2.5)+1),
 0
)</f>
        <v>0</v>
      </c>
    </row>
    <row r="106" spans="3:20" ht="34" x14ac:dyDescent="0.2">
      <c r="C106" s="22" t="str">
        <f>_xlfn.XLOOKUP(tbl_CONTENT[[#This Row],[TopicID]], tbl_TOPIC[TopicID], tbl_TOPIC[Subject], "")</f>
        <v>HA</v>
      </c>
      <c r="D106" s="22" t="str">
        <f xml:space="preserve"> tbl_CONTENT[[#This Row],[TopicID]] &amp; "-" &amp; TEXT(tbl_CONTENT[[#This Row],[TopicIDCount]], "00")</f>
        <v>HA-1-05-28</v>
      </c>
      <c r="F106" s="22" t="str">
        <f>_xlfn.XLOOKUP(tbl_CONTENT[[#This Row],[Topic]], tbl_TOPIC[Topic], tbl_TOPIC[TopicID], "")</f>
        <v>HA-1-05</v>
      </c>
      <c r="G106" s="22" cm="1">
        <f t="array" ref="G106">SUM((tbl_CONTENT[[#This Row],[TopicID]]=INDEX(tbl_CONTENT[TopicID],1):tbl_CONTENT[[#This Row],[TopicID]])*1)</f>
        <v>28</v>
      </c>
      <c r="H106" s="22" t="s">
        <v>141</v>
      </c>
      <c r="I106" s="22" t="s">
        <v>289</v>
      </c>
      <c r="J106" s="22" t="s">
        <v>273</v>
      </c>
      <c r="Q106" s="35">
        <f>IFERROR(
 (1.907*EXP(1)^(-0.5*tbl_CONTENT[[#This Row],[Layer]])) *
 ((tbl_CONTENT[[#This Row],[RelInt]]-1)^(2.5)*4^(1-2.5)+1) +
 ((tbl_CONTENT[[#This Row],[Comp]]-1)^(2.5)*4^(1-2.5)+1)*(0.5*((tbl_CONTENT[[#This Row],[RelInt]]-1)/4)^(2.5)+1),
 0
)</f>
        <v>0</v>
      </c>
      <c r="R106" s="35">
        <f>IFERROR(
 (1.907*EXP(1)^(-0.5*VALUE(tbl_CONTENT[[#This Row],[Layer]]))) *
 ((VALUE(tbl_CONTENT[[#This Row],[RelId]])-1)^(2.5)*4^(1-2.5)+1) +
 ((VALUE(tbl_CONTENT[[#This Row],[Comp]])-1)^(2.5)*4^(1-2.5)+1)*(0.5*((VALUE(tbl_CONTENT[[#This Row],[RelId]])-1)/4)^(2.5)+1),
 0
)</f>
        <v>0</v>
      </c>
    </row>
    <row r="107" spans="3:20" ht="34" x14ac:dyDescent="0.2">
      <c r="C107" s="22" t="str">
        <f>_xlfn.XLOOKUP(tbl_CONTENT[[#This Row],[TopicID]], tbl_TOPIC[TopicID], tbl_TOPIC[Subject], "")</f>
        <v>HA</v>
      </c>
      <c r="D107" s="22" t="str">
        <f xml:space="preserve"> tbl_CONTENT[[#This Row],[TopicID]] &amp; "-" &amp; TEXT(tbl_CONTENT[[#This Row],[TopicIDCount]], "00")</f>
        <v>HA-1-05-29</v>
      </c>
      <c r="F107" s="22" t="str">
        <f>_xlfn.XLOOKUP(tbl_CONTENT[[#This Row],[Topic]], tbl_TOPIC[Topic], tbl_TOPIC[TopicID], "")</f>
        <v>HA-1-05</v>
      </c>
      <c r="G107" s="22" cm="1">
        <f t="array" ref="G107">SUM((tbl_CONTENT[[#This Row],[TopicID]]=INDEX(tbl_CONTENT[TopicID],1):tbl_CONTENT[[#This Row],[TopicID]])*1)</f>
        <v>29</v>
      </c>
      <c r="H107" s="22" t="s">
        <v>141</v>
      </c>
      <c r="I107" s="22" t="s">
        <v>292</v>
      </c>
      <c r="J107" s="22" t="s">
        <v>273</v>
      </c>
      <c r="Q107" s="35">
        <f>IFERROR(
 (1.907*EXP(1)^(-0.5*tbl_CONTENT[[#This Row],[Layer]])) *
 ((tbl_CONTENT[[#This Row],[RelInt]]-1)^(2.5)*4^(1-2.5)+1) +
 ((tbl_CONTENT[[#This Row],[Comp]]-1)^(2.5)*4^(1-2.5)+1)*(0.5*((tbl_CONTENT[[#This Row],[RelInt]]-1)/4)^(2.5)+1),
 0
)</f>
        <v>0</v>
      </c>
      <c r="R107" s="35">
        <f>IFERROR(
 (1.907*EXP(1)^(-0.5*VALUE(tbl_CONTENT[[#This Row],[Layer]]))) *
 ((VALUE(tbl_CONTENT[[#This Row],[RelId]])-1)^(2.5)*4^(1-2.5)+1) +
 ((VALUE(tbl_CONTENT[[#This Row],[Comp]])-1)^(2.5)*4^(1-2.5)+1)*(0.5*((VALUE(tbl_CONTENT[[#This Row],[RelId]])-1)/4)^(2.5)+1),
 0
)</f>
        <v>0</v>
      </c>
    </row>
    <row r="108" spans="3:20" ht="17" x14ac:dyDescent="0.2">
      <c r="C108" s="22" t="str">
        <f>_xlfn.XLOOKUP(tbl_CONTENT[[#This Row],[TopicID]], tbl_TOPIC[TopicID], tbl_TOPIC[Subject], "")</f>
        <v>TOP1</v>
      </c>
      <c r="D108" s="22" t="str">
        <f xml:space="preserve"> tbl_CONTENT[[#This Row],[TopicID]] &amp; "-" &amp; TEXT(tbl_CONTENT[[#This Row],[TopicIDCount]], "00")</f>
        <v>TOP1-1-02-01</v>
      </c>
      <c r="F108" s="22" t="str">
        <f>_xlfn.XLOOKUP(tbl_CONTENT[[#This Row],[Topic]], tbl_TOPIC[Topic], tbl_TOPIC[TopicID], "")</f>
        <v>TOP1-1-02</v>
      </c>
      <c r="G108" s="22" cm="1">
        <f t="array" ref="G108">SUM((tbl_CONTENT[[#This Row],[TopicID]]=INDEX(tbl_CONTENT[TopicID],1):tbl_CONTENT[[#This Row],[TopicID]])*1)</f>
        <v>1</v>
      </c>
      <c r="H108" s="22" t="s">
        <v>103</v>
      </c>
      <c r="I108" s="22" t="s">
        <v>282</v>
      </c>
      <c r="J108" s="22" t="s">
        <v>153</v>
      </c>
      <c r="K108" s="22">
        <v>1</v>
      </c>
      <c r="L108" s="22">
        <v>1</v>
      </c>
      <c r="M108" s="22">
        <v>1</v>
      </c>
      <c r="N108" s="22">
        <v>5</v>
      </c>
      <c r="O108" s="22">
        <v>5</v>
      </c>
      <c r="Q108" s="35">
        <f>IFERROR(
 (1.907*EXP(1)^(-0.5*tbl_CONTENT[[#This Row],[Layer]])) *
 ((tbl_CONTENT[[#This Row],[RelInt]]-1)^(2.5)*4^(1-2.5)+1) +
 ((tbl_CONTENT[[#This Row],[Comp]]-1)^(2.5)*4^(1-2.5)+1)*(0.5*((tbl_CONTENT[[#This Row],[RelInt]]-1)/4)^(2.5)+1),
 0
)</f>
        <v>7.2832698403599609</v>
      </c>
      <c r="R108" s="35">
        <f>IFERROR(
 (1.907*EXP(1)^(-0.5*VALUE(tbl_CONTENT[[#This Row],[Layer]]))) *
 ((VALUE(tbl_CONTENT[[#This Row],[RelId]])-1)^(2.5)*4^(1-2.5)+1) +
 ((VALUE(tbl_CONTENT[[#This Row],[Comp]])-1)^(2.5)*4^(1-2.5)+1)*(0.5*((VALUE(tbl_CONTENT[[#This Row],[RelId]])-1)/4)^(2.5)+1),
 0
)</f>
        <v>7.2832698403599609</v>
      </c>
    </row>
    <row r="109" spans="3:20" ht="17" x14ac:dyDescent="0.2">
      <c r="C109" s="22" t="str">
        <f>_xlfn.XLOOKUP(tbl_CONTENT[[#This Row],[TopicID]], tbl_TOPIC[TopicID], tbl_TOPIC[Subject], "")</f>
        <v>TOP1</v>
      </c>
      <c r="D109" s="22" t="str">
        <f xml:space="preserve"> tbl_CONTENT[[#This Row],[TopicID]] &amp; "-" &amp; TEXT(tbl_CONTENT[[#This Row],[TopicIDCount]], "00")</f>
        <v>TOP1-1-02-02</v>
      </c>
      <c r="F109" s="22" t="str">
        <f>_xlfn.XLOOKUP(tbl_CONTENT[[#This Row],[Topic]], tbl_TOPIC[Topic], tbl_TOPIC[TopicID], "")</f>
        <v>TOP1-1-02</v>
      </c>
      <c r="G109" s="22" cm="1">
        <f t="array" ref="G109">SUM((tbl_CONTENT[[#This Row],[TopicID]]=INDEX(tbl_CONTENT[TopicID],1):tbl_CONTENT[[#This Row],[TopicID]])*1)</f>
        <v>2</v>
      </c>
      <c r="H109" s="22" t="s">
        <v>103</v>
      </c>
      <c r="I109" s="22" t="s">
        <v>283</v>
      </c>
      <c r="J109" s="22" t="s">
        <v>153</v>
      </c>
      <c r="K109" s="22">
        <v>1</v>
      </c>
      <c r="L109" s="22">
        <v>1</v>
      </c>
      <c r="M109" s="22">
        <v>1</v>
      </c>
      <c r="N109" s="22">
        <v>5</v>
      </c>
      <c r="O109" s="22">
        <v>5</v>
      </c>
      <c r="Q109" s="35">
        <f>IFERROR(
 (1.907*EXP(1)^(-0.5*tbl_CONTENT[[#This Row],[Layer]])) *
 ((tbl_CONTENT[[#This Row],[RelInt]]-1)^(2.5)*4^(1-2.5)+1) +
 ((tbl_CONTENT[[#This Row],[Comp]]-1)^(2.5)*4^(1-2.5)+1)*(0.5*((tbl_CONTENT[[#This Row],[RelInt]]-1)/4)^(2.5)+1),
 0
)</f>
        <v>7.2832698403599609</v>
      </c>
      <c r="R109" s="35">
        <f>IFERROR(
 (1.907*EXP(1)^(-0.5*VALUE(tbl_CONTENT[[#This Row],[Layer]]))) *
 ((VALUE(tbl_CONTENT[[#This Row],[RelId]])-1)^(2.5)*4^(1-2.5)+1) +
 ((VALUE(tbl_CONTENT[[#This Row],[Comp]])-1)^(2.5)*4^(1-2.5)+1)*(0.5*((VALUE(tbl_CONTENT[[#This Row],[RelId]])-1)/4)^(2.5)+1),
 0
)</f>
        <v>7.2832698403599609</v>
      </c>
    </row>
    <row r="110" spans="3:20" ht="17" x14ac:dyDescent="0.2">
      <c r="C110" s="22" t="str">
        <f>_xlfn.XLOOKUP(tbl_CONTENT[[#This Row],[TopicID]], tbl_TOPIC[TopicID], tbl_TOPIC[Subject], "")</f>
        <v>TOP1</v>
      </c>
      <c r="D110" s="22" t="str">
        <f xml:space="preserve"> tbl_CONTENT[[#This Row],[TopicID]] &amp; "-" &amp; TEXT(tbl_CONTENT[[#This Row],[TopicIDCount]], "00")</f>
        <v>TOP1-1-02-03</v>
      </c>
      <c r="F110" s="22" t="str">
        <f>_xlfn.XLOOKUP(tbl_CONTENT[[#This Row],[Topic]], tbl_TOPIC[Topic], tbl_TOPIC[TopicID], "")</f>
        <v>TOP1-1-02</v>
      </c>
      <c r="G110" s="22" cm="1">
        <f t="array" ref="G110">SUM((tbl_CONTENT[[#This Row],[TopicID]]=INDEX(tbl_CONTENT[TopicID],1):tbl_CONTENT[[#This Row],[TopicID]])*1)</f>
        <v>3</v>
      </c>
      <c r="H110" s="22" t="s">
        <v>103</v>
      </c>
      <c r="I110" s="22" t="s">
        <v>285</v>
      </c>
      <c r="J110" s="22" t="s">
        <v>153</v>
      </c>
      <c r="K110" s="22">
        <v>1</v>
      </c>
      <c r="L110" s="22">
        <v>1</v>
      </c>
      <c r="M110" s="22">
        <v>2</v>
      </c>
      <c r="N110" s="22">
        <v>5</v>
      </c>
      <c r="O110" s="22">
        <v>5</v>
      </c>
      <c r="Q110" s="35">
        <f>IFERROR(
 (1.907*EXP(1)^(-0.5*tbl_CONTENT[[#This Row],[Layer]])) *
 ((tbl_CONTENT[[#This Row],[RelInt]]-1)^(2.5)*4^(1-2.5)+1) +
 ((tbl_CONTENT[[#This Row],[Comp]]-1)^(2.5)*4^(1-2.5)+1)*(0.5*((tbl_CONTENT[[#This Row],[RelInt]]-1)/4)^(2.5)+1),
 0
)</f>
        <v>7.4707698403599609</v>
      </c>
      <c r="R110" s="35">
        <f>IFERROR(
 (1.907*EXP(1)^(-0.5*VALUE(tbl_CONTENT[[#This Row],[Layer]]))) *
 ((VALUE(tbl_CONTENT[[#This Row],[RelId]])-1)^(2.5)*4^(1-2.5)+1) +
 ((VALUE(tbl_CONTENT[[#This Row],[Comp]])-1)^(2.5)*4^(1-2.5)+1)*(0.5*((VALUE(tbl_CONTENT[[#This Row],[RelId]])-1)/4)^(2.5)+1),
 0
)</f>
        <v>7.4707698403599609</v>
      </c>
    </row>
    <row r="111" spans="3:20" ht="34" x14ac:dyDescent="0.2">
      <c r="C111" s="22" t="str">
        <f>_xlfn.XLOOKUP(tbl_CONTENT[[#This Row],[TopicID]], tbl_TOPIC[TopicID], tbl_TOPIC[Subject], "")</f>
        <v>TOP1</v>
      </c>
      <c r="D111" s="22" t="str">
        <f xml:space="preserve"> tbl_CONTENT[[#This Row],[TopicID]] &amp; "-" &amp; TEXT(tbl_CONTENT[[#This Row],[TopicIDCount]], "00")</f>
        <v>TOP1-1-02-04</v>
      </c>
      <c r="F111" s="22" t="str">
        <f>_xlfn.XLOOKUP(tbl_CONTENT[[#This Row],[Topic]], tbl_TOPIC[Topic], tbl_TOPIC[TopicID], "")</f>
        <v>TOP1-1-02</v>
      </c>
      <c r="G111" s="22" cm="1">
        <f t="array" ref="G111">SUM((tbl_CONTENT[[#This Row],[TopicID]]=INDEX(tbl_CONTENT[TopicID],1):tbl_CONTENT[[#This Row],[TopicID]])*1)</f>
        <v>4</v>
      </c>
      <c r="H111" s="22" t="s">
        <v>103</v>
      </c>
      <c r="I111" s="22" t="s">
        <v>284</v>
      </c>
      <c r="J111" s="22" t="s">
        <v>153</v>
      </c>
      <c r="K111" s="22">
        <v>1</v>
      </c>
      <c r="L111" s="22">
        <v>1</v>
      </c>
      <c r="M111" s="22">
        <v>2</v>
      </c>
      <c r="N111" s="22">
        <v>5</v>
      </c>
      <c r="O111" s="22">
        <v>5</v>
      </c>
      <c r="Q111" s="35">
        <f>IFERROR(
 (1.907*EXP(1)^(-0.5*tbl_CONTENT[[#This Row],[Layer]])) *
 ((tbl_CONTENT[[#This Row],[RelInt]]-1)^(2.5)*4^(1-2.5)+1) +
 ((tbl_CONTENT[[#This Row],[Comp]]-1)^(2.5)*4^(1-2.5)+1)*(0.5*((tbl_CONTENT[[#This Row],[RelInt]]-1)/4)^(2.5)+1),
 0
)</f>
        <v>7.4707698403599609</v>
      </c>
      <c r="R111" s="35">
        <f>IFERROR(
 (1.907*EXP(1)^(-0.5*VALUE(tbl_CONTENT[[#This Row],[Layer]]))) *
 ((VALUE(tbl_CONTENT[[#This Row],[RelId]])-1)^(2.5)*4^(1-2.5)+1) +
 ((VALUE(tbl_CONTENT[[#This Row],[Comp]])-1)^(2.5)*4^(1-2.5)+1)*(0.5*((VALUE(tbl_CONTENT[[#This Row],[RelId]])-1)/4)^(2.5)+1),
 0
)</f>
        <v>7.4707698403599609</v>
      </c>
    </row>
    <row r="112" spans="3:20" ht="34" x14ac:dyDescent="0.2">
      <c r="C112" s="22" t="str">
        <f>_xlfn.XLOOKUP(tbl_CONTENT[[#This Row],[TopicID]], tbl_TOPIC[TopicID], tbl_TOPIC[Subject], "")</f>
        <v>TOP1</v>
      </c>
      <c r="D112" s="22" t="str">
        <f xml:space="preserve"> tbl_CONTENT[[#This Row],[TopicID]] &amp; "-" &amp; TEXT(tbl_CONTENT[[#This Row],[TopicIDCount]], "00")</f>
        <v>TOP1-1-02-05</v>
      </c>
      <c r="F112" s="22" t="str">
        <f>_xlfn.XLOOKUP(tbl_CONTENT[[#This Row],[Topic]], tbl_TOPIC[Topic], tbl_TOPIC[TopicID], "")</f>
        <v>TOP1-1-02</v>
      </c>
      <c r="G112" s="22" cm="1">
        <f t="array" ref="G112">SUM((tbl_CONTENT[[#This Row],[TopicID]]=INDEX(tbl_CONTENT[TopicID],1):tbl_CONTENT[[#This Row],[TopicID]])*1)</f>
        <v>5</v>
      </c>
      <c r="H112" s="22" t="s">
        <v>103</v>
      </c>
      <c r="I112" s="22" t="s">
        <v>286</v>
      </c>
      <c r="J112" s="22" t="s">
        <v>153</v>
      </c>
      <c r="K112" s="22">
        <v>1</v>
      </c>
      <c r="L112" s="22">
        <v>1</v>
      </c>
      <c r="M112" s="22">
        <v>3</v>
      </c>
      <c r="N112" s="22">
        <v>5</v>
      </c>
      <c r="O112" s="22">
        <v>5</v>
      </c>
      <c r="Q112" s="35">
        <f>IFERROR(
 (1.907*EXP(1)^(-0.5*tbl_CONTENT[[#This Row],[Layer]])) *
 ((tbl_CONTENT[[#This Row],[RelInt]]-1)^(2.5)*4^(1-2.5)+1) +
 ((tbl_CONTENT[[#This Row],[Comp]]-1)^(2.5)*4^(1-2.5)+1)*(0.5*((tbl_CONTENT[[#This Row],[RelInt]]-1)/4)^(2.5)+1),
 0
)</f>
        <v>8.3439300121397828</v>
      </c>
      <c r="R112" s="35">
        <f>IFERROR(
 (1.907*EXP(1)^(-0.5*VALUE(tbl_CONTENT[[#This Row],[Layer]]))) *
 ((VALUE(tbl_CONTENT[[#This Row],[RelId]])-1)^(2.5)*4^(1-2.5)+1) +
 ((VALUE(tbl_CONTENT[[#This Row],[Comp]])-1)^(2.5)*4^(1-2.5)+1)*(0.5*((VALUE(tbl_CONTENT[[#This Row],[RelId]])-1)/4)^(2.5)+1),
 0
)</f>
        <v>8.3439300121397828</v>
      </c>
    </row>
    <row r="113" spans="3:18" ht="17" x14ac:dyDescent="0.2">
      <c r="C113" s="22" t="str">
        <f>_xlfn.XLOOKUP(tbl_CONTENT[[#This Row],[TopicID]], tbl_TOPIC[TopicID], tbl_TOPIC[Subject], "")</f>
        <v>TOP1</v>
      </c>
      <c r="D113" s="22" t="str">
        <f xml:space="preserve"> tbl_CONTENT[[#This Row],[TopicID]] &amp; "-" &amp; TEXT(tbl_CONTENT[[#This Row],[TopicIDCount]], "00")</f>
        <v>TOP1-1-02-06</v>
      </c>
      <c r="F113" s="22" t="str">
        <f>_xlfn.XLOOKUP(tbl_CONTENT[[#This Row],[Topic]], tbl_TOPIC[Topic], tbl_TOPIC[TopicID], "")</f>
        <v>TOP1-1-02</v>
      </c>
      <c r="G113" s="22" cm="1">
        <f t="array" ref="G113">SUM((tbl_CONTENT[[#This Row],[TopicID]]=INDEX(tbl_CONTENT[TopicID],1):tbl_CONTENT[[#This Row],[TopicID]])*1)</f>
        <v>6</v>
      </c>
      <c r="H113" s="22" t="s">
        <v>103</v>
      </c>
      <c r="I113" s="42" t="s">
        <v>287</v>
      </c>
      <c r="J113" s="22" t="s">
        <v>148</v>
      </c>
      <c r="K113" s="22">
        <v>1</v>
      </c>
      <c r="L113" s="22">
        <v>2</v>
      </c>
      <c r="M113" s="22">
        <v>3</v>
      </c>
      <c r="N113" s="22">
        <v>4</v>
      </c>
      <c r="O113" s="22">
        <v>5</v>
      </c>
      <c r="Q113" s="35">
        <f>IFERROR(
 (1.907*EXP(1)^(-0.5*tbl_CONTENT[[#This Row],[Layer]])) *
 ((tbl_CONTENT[[#This Row],[RelInt]]-1)^(2.5)*4^(1-2.5)+1) +
 ((tbl_CONTENT[[#This Row],[Comp]]-1)^(2.5)*4^(1-2.5)+1)*(0.5*((tbl_CONTENT[[#This Row],[RelInt]]-1)/4)^(2.5)+1),
 0
)</f>
        <v>4.1914549319579635</v>
      </c>
      <c r="R113" s="35">
        <f>IFERROR(
 (1.907*EXP(1)^(-0.5*VALUE(tbl_CONTENT[[#This Row],[Layer]]))) *
 ((VALUE(tbl_CONTENT[[#This Row],[RelId]])-1)^(2.5)*4^(1-2.5)+1) +
 ((VALUE(tbl_CONTENT[[#This Row],[Comp]])-1)^(2.5)*4^(1-2.5)+1)*(0.5*((VALUE(tbl_CONTENT[[#This Row],[RelId]])-1)/4)^(2.5)+1),
 0
)</f>
        <v>6.0683906433495247</v>
      </c>
    </row>
    <row r="114" spans="3:18" ht="51" x14ac:dyDescent="0.2">
      <c r="C114" s="22" t="str">
        <f>_xlfn.XLOOKUP(tbl_CONTENT[[#This Row],[TopicID]], tbl_TOPIC[TopicID], tbl_TOPIC[Subject], "")</f>
        <v>TOP1</v>
      </c>
      <c r="D114" s="22" t="str">
        <f xml:space="preserve"> tbl_CONTENT[[#This Row],[TopicID]] &amp; "-" &amp; TEXT(tbl_CONTENT[[#This Row],[TopicIDCount]], "00")</f>
        <v>TOP1-1-02-07</v>
      </c>
      <c r="F114" s="22" t="str">
        <f>_xlfn.XLOOKUP(tbl_CONTENT[[#This Row],[Topic]], tbl_TOPIC[Topic], tbl_TOPIC[TopicID], "")</f>
        <v>TOP1-1-02</v>
      </c>
      <c r="G114" s="22" cm="1">
        <f t="array" ref="G114">SUM((tbl_CONTENT[[#This Row],[TopicID]]=INDEX(tbl_CONTENT[TopicID],1):tbl_CONTENT[[#This Row],[TopicID]])*1)</f>
        <v>7</v>
      </c>
      <c r="H114" s="22" t="s">
        <v>103</v>
      </c>
      <c r="I114" s="22" t="s">
        <v>288</v>
      </c>
      <c r="J114" s="22" t="s">
        <v>148</v>
      </c>
      <c r="K114" s="22">
        <v>1</v>
      </c>
      <c r="L114" s="22">
        <v>1</v>
      </c>
      <c r="M114" s="22">
        <v>3</v>
      </c>
      <c r="N114" s="22">
        <v>5</v>
      </c>
      <c r="O114" s="22">
        <v>5</v>
      </c>
      <c r="Q114" s="35">
        <f>IFERROR(
 (1.907*EXP(1)^(-0.5*tbl_CONTENT[[#This Row],[Layer]])) *
 ((tbl_CONTENT[[#This Row],[RelInt]]-1)^(2.5)*4^(1-2.5)+1) +
 ((tbl_CONTENT[[#This Row],[Comp]]-1)^(2.5)*4^(1-2.5)+1)*(0.5*((tbl_CONTENT[[#This Row],[RelInt]]-1)/4)^(2.5)+1),
 0
)</f>
        <v>8.3439300121397828</v>
      </c>
      <c r="R114" s="35">
        <f>IFERROR(
 (1.907*EXP(1)^(-0.5*VALUE(tbl_CONTENT[[#This Row],[Layer]]))) *
 ((VALUE(tbl_CONTENT[[#This Row],[RelId]])-1)^(2.5)*4^(1-2.5)+1) +
 ((VALUE(tbl_CONTENT[[#This Row],[Comp]])-1)^(2.5)*4^(1-2.5)+1)*(0.5*((VALUE(tbl_CONTENT[[#This Row],[RelId]])-1)/4)^(2.5)+1),
 0
)</f>
        <v>8.3439300121397828</v>
      </c>
    </row>
    <row r="115" spans="3:18" ht="34" x14ac:dyDescent="0.2">
      <c r="C115" s="22" t="str">
        <f>_xlfn.XLOOKUP(tbl_CONTENT[[#This Row],[TopicID]], tbl_TOPIC[TopicID], tbl_TOPIC[Subject], "")</f>
        <v>TOP1</v>
      </c>
      <c r="D115" s="22" t="str">
        <f xml:space="preserve"> tbl_CONTENT[[#This Row],[TopicID]] &amp; "-" &amp; TEXT(tbl_CONTENT[[#This Row],[TopicIDCount]], "00")</f>
        <v>TOP1-1-09-01</v>
      </c>
      <c r="F115" s="22" t="str">
        <f>_xlfn.XLOOKUP(tbl_CONTENT[[#This Row],[Topic]], tbl_TOPIC[Topic], tbl_TOPIC[TopicID], "")</f>
        <v>TOP1-1-09</v>
      </c>
      <c r="G115" s="22" cm="1">
        <f t="array" ref="G115">SUM((tbl_CONTENT[[#This Row],[TopicID]]=INDEX(tbl_CONTENT[TopicID],1):tbl_CONTENT[[#This Row],[TopicID]])*1)</f>
        <v>1</v>
      </c>
      <c r="H115" s="22" t="s">
        <v>122</v>
      </c>
      <c r="I115" s="22" t="s">
        <v>295</v>
      </c>
      <c r="J115" s="22" t="s">
        <v>153</v>
      </c>
      <c r="K115" s="22">
        <v>1</v>
      </c>
      <c r="L115" s="22">
        <v>1</v>
      </c>
      <c r="M115" s="22">
        <v>2</v>
      </c>
      <c r="N115" s="22">
        <v>5</v>
      </c>
      <c r="O115" s="22">
        <v>5</v>
      </c>
      <c r="Q115" s="35">
        <f>IFERROR(
 (1.907*EXP(1)^(-0.5*tbl_CONTENT[[#This Row],[Layer]])) *
 ((tbl_CONTENT[[#This Row],[RelInt]]-1)^(2.5)*4^(1-2.5)+1) +
 ((tbl_CONTENT[[#This Row],[Comp]]-1)^(2.5)*4^(1-2.5)+1)*(0.5*((tbl_CONTENT[[#This Row],[RelInt]]-1)/4)^(2.5)+1),
 0
)</f>
        <v>7.4707698403599609</v>
      </c>
      <c r="R115" s="35">
        <f>IFERROR(
 (1.907*EXP(1)^(-0.5*VALUE(tbl_CONTENT[[#This Row],[Layer]]))) *
 ((VALUE(tbl_CONTENT[[#This Row],[RelId]])-1)^(2.5)*4^(1-2.5)+1) +
 ((VALUE(tbl_CONTENT[[#This Row],[Comp]])-1)^(2.5)*4^(1-2.5)+1)*(0.5*((VALUE(tbl_CONTENT[[#This Row],[RelId]])-1)/4)^(2.5)+1),
 0
)</f>
        <v>7.4707698403599609</v>
      </c>
    </row>
    <row r="116" spans="3:18" ht="34" x14ac:dyDescent="0.2">
      <c r="C116" s="22" t="str">
        <f>_xlfn.XLOOKUP(tbl_CONTENT[[#This Row],[TopicID]], tbl_TOPIC[TopicID], tbl_TOPIC[Subject], "")</f>
        <v>TOP1</v>
      </c>
      <c r="D116" s="22" t="str">
        <f xml:space="preserve"> tbl_CONTENT[[#This Row],[TopicID]] &amp; "-" &amp; TEXT(tbl_CONTENT[[#This Row],[TopicIDCount]], "00")</f>
        <v>TOP1-1-09-02</v>
      </c>
      <c r="F116" s="22" t="str">
        <f>_xlfn.XLOOKUP(tbl_CONTENT[[#This Row],[Topic]], tbl_TOPIC[Topic], tbl_TOPIC[TopicID], "")</f>
        <v>TOP1-1-09</v>
      </c>
      <c r="G116" s="22" cm="1">
        <f t="array" ref="G116">SUM((tbl_CONTENT[[#This Row],[TopicID]]=INDEX(tbl_CONTENT[TopicID],1):tbl_CONTENT[[#This Row],[TopicID]])*1)</f>
        <v>2</v>
      </c>
      <c r="H116" s="22" t="s">
        <v>122</v>
      </c>
      <c r="I116" s="22" t="s">
        <v>1633</v>
      </c>
      <c r="J116" s="22" t="s">
        <v>151</v>
      </c>
      <c r="K116" s="22">
        <v>1</v>
      </c>
      <c r="L116" s="22">
        <v>2</v>
      </c>
      <c r="M116" s="22">
        <v>3</v>
      </c>
      <c r="N116" s="22">
        <v>5</v>
      </c>
      <c r="O116" s="22">
        <v>5</v>
      </c>
      <c r="Q116" s="35">
        <f>IFERROR(
 (1.907*EXP(1)^(-0.5*tbl_CONTENT[[#This Row],[Layer]])) *
 ((tbl_CONTENT[[#This Row],[RelInt]]-1)^(2.5)*4^(1-2.5)+1) +
 ((tbl_CONTENT[[#This Row],[Comp]]-1)^(2.5)*4^(1-2.5)+1)*(0.5*((tbl_CONTENT[[#This Row],[RelInt]]-1)/4)^(2.5)+1),
 0
)</f>
        <v>6.0683906433495247</v>
      </c>
      <c r="R116" s="35">
        <f>IFERROR(
 (1.907*EXP(1)^(-0.5*VALUE(tbl_CONTENT[[#This Row],[Layer]]))) *
 ((VALUE(tbl_CONTENT[[#This Row],[RelId]])-1)^(2.5)*4^(1-2.5)+1) +
 ((VALUE(tbl_CONTENT[[#This Row],[Comp]])-1)^(2.5)*4^(1-2.5)+1)*(0.5*((VALUE(tbl_CONTENT[[#This Row],[RelId]])-1)/4)^(2.5)+1),
 0
)</f>
        <v>6.0683906433495247</v>
      </c>
    </row>
    <row r="117" spans="3:18" ht="51" x14ac:dyDescent="0.2">
      <c r="C117" s="22" t="str">
        <f>_xlfn.XLOOKUP(tbl_CONTENT[[#This Row],[TopicID]], tbl_TOPIC[TopicID], tbl_TOPIC[Subject], "")</f>
        <v>TOP1</v>
      </c>
      <c r="D117" s="22" t="str">
        <f xml:space="preserve"> tbl_CONTENT[[#This Row],[TopicID]] &amp; "-" &amp; TEXT(tbl_CONTENT[[#This Row],[TopicIDCount]], "00")</f>
        <v>TOP1-1-09-03</v>
      </c>
      <c r="F117" s="22" t="str">
        <f>_xlfn.XLOOKUP(tbl_CONTENT[[#This Row],[Topic]], tbl_TOPIC[Topic], tbl_TOPIC[TopicID], "")</f>
        <v>TOP1-1-09</v>
      </c>
      <c r="G117" s="22" cm="1">
        <f t="array" ref="G117">SUM((tbl_CONTENT[[#This Row],[TopicID]]=INDEX(tbl_CONTENT[TopicID],1):tbl_CONTENT[[#This Row],[TopicID]])*1)</f>
        <v>3</v>
      </c>
      <c r="H117" s="22" t="s">
        <v>122</v>
      </c>
      <c r="I117" s="22" t="s">
        <v>293</v>
      </c>
      <c r="J117" s="22" t="s">
        <v>151</v>
      </c>
      <c r="K117" s="22">
        <v>1</v>
      </c>
      <c r="L117" s="22">
        <v>2</v>
      </c>
      <c r="M117" s="22">
        <v>3</v>
      </c>
      <c r="N117" s="22">
        <v>5</v>
      </c>
      <c r="O117" s="22">
        <v>5</v>
      </c>
      <c r="Q117" s="35">
        <f>IFERROR(
 (1.907*EXP(1)^(-0.5*tbl_CONTENT[[#This Row],[Layer]])) *
 ((tbl_CONTENT[[#This Row],[RelInt]]-1)^(2.5)*4^(1-2.5)+1) +
 ((tbl_CONTENT[[#This Row],[Comp]]-1)^(2.5)*4^(1-2.5)+1)*(0.5*((tbl_CONTENT[[#This Row],[RelInt]]-1)/4)^(2.5)+1),
 0
)</f>
        <v>6.0683906433495247</v>
      </c>
      <c r="R117" s="35">
        <f>IFERROR(
 (1.907*EXP(1)^(-0.5*VALUE(tbl_CONTENT[[#This Row],[Layer]]))) *
 ((VALUE(tbl_CONTENT[[#This Row],[RelId]])-1)^(2.5)*4^(1-2.5)+1) +
 ((VALUE(tbl_CONTENT[[#This Row],[Comp]])-1)^(2.5)*4^(1-2.5)+1)*(0.5*((VALUE(tbl_CONTENT[[#This Row],[RelId]])-1)/4)^(2.5)+1),
 0
)</f>
        <v>6.0683906433495247</v>
      </c>
    </row>
    <row r="118" spans="3:18" ht="34" x14ac:dyDescent="0.2">
      <c r="C118" s="22" t="str">
        <f>_xlfn.XLOOKUP(tbl_CONTENT[[#This Row],[TopicID]], tbl_TOPIC[TopicID], tbl_TOPIC[Subject], "")</f>
        <v>TOP1</v>
      </c>
      <c r="D118" s="22" t="str">
        <f xml:space="preserve"> tbl_CONTENT[[#This Row],[TopicID]] &amp; "-" &amp; TEXT(tbl_CONTENT[[#This Row],[TopicIDCount]], "00")</f>
        <v>TOP1-1-09-04</v>
      </c>
      <c r="F118" s="22" t="str">
        <f>_xlfn.XLOOKUP(tbl_CONTENT[[#This Row],[Topic]], tbl_TOPIC[Topic], tbl_TOPIC[TopicID], "")</f>
        <v>TOP1-1-09</v>
      </c>
      <c r="G118" s="22" cm="1">
        <f t="array" ref="G118">SUM((tbl_CONTENT[[#This Row],[TopicID]]=INDEX(tbl_CONTENT[TopicID],1):tbl_CONTENT[[#This Row],[TopicID]])*1)</f>
        <v>4</v>
      </c>
      <c r="H118" s="22" t="s">
        <v>122</v>
      </c>
      <c r="I118" s="22" t="s">
        <v>1634</v>
      </c>
      <c r="J118" s="22" t="s">
        <v>149</v>
      </c>
      <c r="K118" s="22">
        <v>1</v>
      </c>
      <c r="L118" s="22">
        <v>2</v>
      </c>
      <c r="M118" s="22">
        <v>2</v>
      </c>
      <c r="N118" s="22">
        <v>4</v>
      </c>
      <c r="O118" s="22">
        <v>5</v>
      </c>
      <c r="Q118" s="35">
        <f>IFERROR(
 (1.907*EXP(1)^(-0.5*tbl_CONTENT[[#This Row],[Layer]])) *
 ((tbl_CONTENT[[#This Row],[RelInt]]-1)^(2.5)*4^(1-2.5)+1) +
 ((tbl_CONTENT[[#This Row],[Comp]]-1)^(2.5)*4^(1-2.5)+1)*(0.5*((tbl_CONTENT[[#This Row],[RelInt]]-1)/4)^(2.5)+1),
 0
)</f>
        <v>3.4675646088337704</v>
      </c>
      <c r="R118" s="35">
        <f>IFERROR(
 (1.907*EXP(1)^(-0.5*VALUE(tbl_CONTENT[[#This Row],[Layer]]))) *
 ((VALUE(tbl_CONTENT[[#This Row],[RelId]])-1)^(2.5)*4^(1-2.5)+1) +
 ((VALUE(tbl_CONTENT[[#This Row],[Comp]])-1)^(2.5)*4^(1-2.5)+1)*(0.5*((VALUE(tbl_CONTENT[[#This Row],[RelId]])-1)/4)^(2.5)+1),
 0
)</f>
        <v>5.1952304715697029</v>
      </c>
    </row>
    <row r="119" spans="3:18" ht="34" x14ac:dyDescent="0.2">
      <c r="C119" s="22" t="str">
        <f>_xlfn.XLOOKUP(tbl_CONTENT[[#This Row],[TopicID]], tbl_TOPIC[TopicID], tbl_TOPIC[Subject], "")</f>
        <v>TOP1</v>
      </c>
      <c r="D119" s="22" t="str">
        <f xml:space="preserve"> tbl_CONTENT[[#This Row],[TopicID]] &amp; "-" &amp; TEXT(tbl_CONTENT[[#This Row],[TopicIDCount]], "00")</f>
        <v>TOP1-1-09-05</v>
      </c>
      <c r="F119" s="22" t="str">
        <f>_xlfn.XLOOKUP(tbl_CONTENT[[#This Row],[Topic]], tbl_TOPIC[Topic], tbl_TOPIC[TopicID], "")</f>
        <v>TOP1-1-09</v>
      </c>
      <c r="G119" s="22" cm="1">
        <f t="array" ref="G119">SUM((tbl_CONTENT[[#This Row],[TopicID]]=INDEX(tbl_CONTENT[TopicID],1):tbl_CONTENT[[#This Row],[TopicID]])*1)</f>
        <v>5</v>
      </c>
      <c r="H119" s="22" t="s">
        <v>122</v>
      </c>
      <c r="I119" s="22" t="s">
        <v>296</v>
      </c>
      <c r="J119" s="22" t="s">
        <v>153</v>
      </c>
      <c r="K119" s="22">
        <v>1</v>
      </c>
      <c r="L119" s="22">
        <v>1</v>
      </c>
      <c r="M119" s="22">
        <v>2</v>
      </c>
      <c r="N119" s="22">
        <v>5</v>
      </c>
      <c r="O119" s="22">
        <v>5</v>
      </c>
      <c r="Q119" s="35">
        <f>IFERROR(
 (1.907*EXP(1)^(-0.5*tbl_CONTENT[[#This Row],[Layer]])) *
 ((tbl_CONTENT[[#This Row],[RelInt]]-1)^(2.5)*4^(1-2.5)+1) +
 ((tbl_CONTENT[[#This Row],[Comp]]-1)^(2.5)*4^(1-2.5)+1)*(0.5*((tbl_CONTENT[[#This Row],[RelInt]]-1)/4)^(2.5)+1),
 0
)</f>
        <v>7.4707698403599609</v>
      </c>
      <c r="R119" s="35">
        <f>IFERROR(
 (1.907*EXP(1)^(-0.5*VALUE(tbl_CONTENT[[#This Row],[Layer]]))) *
 ((VALUE(tbl_CONTENT[[#This Row],[RelId]])-1)^(2.5)*4^(1-2.5)+1) +
 ((VALUE(tbl_CONTENT[[#This Row],[Comp]])-1)^(2.5)*4^(1-2.5)+1)*(0.5*((VALUE(tbl_CONTENT[[#This Row],[RelId]])-1)/4)^(2.5)+1),
 0
)</f>
        <v>7.4707698403599609</v>
      </c>
    </row>
    <row r="120" spans="3:18" ht="17" x14ac:dyDescent="0.2">
      <c r="C120" s="22" t="str">
        <f>_xlfn.XLOOKUP(tbl_CONTENT[[#This Row],[TopicID]], tbl_TOPIC[TopicID], tbl_TOPIC[Subject], "")</f>
        <v>TOP1</v>
      </c>
      <c r="D120" s="22" t="str">
        <f xml:space="preserve"> tbl_CONTENT[[#This Row],[TopicID]] &amp; "-" &amp; TEXT(tbl_CONTENT[[#This Row],[TopicIDCount]], "00")</f>
        <v>TOP1-1-09-06</v>
      </c>
      <c r="F120" s="22" t="str">
        <f>_xlfn.XLOOKUP(tbl_CONTENT[[#This Row],[Topic]], tbl_TOPIC[Topic], tbl_TOPIC[TopicID], "")</f>
        <v>TOP1-1-09</v>
      </c>
      <c r="G120" s="22" cm="1">
        <f t="array" ref="G120">SUM((tbl_CONTENT[[#This Row],[TopicID]]=INDEX(tbl_CONTENT[TopicID],1):tbl_CONTENT[[#This Row],[TopicID]])*1)</f>
        <v>6</v>
      </c>
      <c r="H120" s="22" t="s">
        <v>122</v>
      </c>
      <c r="I120" s="22" t="s">
        <v>294</v>
      </c>
      <c r="J120" s="22" t="s">
        <v>153</v>
      </c>
      <c r="K120" s="22">
        <v>1</v>
      </c>
      <c r="L120" s="22">
        <v>1</v>
      </c>
      <c r="M120" s="22">
        <v>3</v>
      </c>
      <c r="N120" s="22">
        <v>5</v>
      </c>
      <c r="O120" s="22">
        <v>5</v>
      </c>
      <c r="Q120" s="35">
        <f>IFERROR(
 (1.907*EXP(1)^(-0.5*tbl_CONTENT[[#This Row],[Layer]])) *
 ((tbl_CONTENT[[#This Row],[RelInt]]-1)^(2.5)*4^(1-2.5)+1) +
 ((tbl_CONTENT[[#This Row],[Comp]]-1)^(2.5)*4^(1-2.5)+1)*(0.5*((tbl_CONTENT[[#This Row],[RelInt]]-1)/4)^(2.5)+1),
 0
)</f>
        <v>8.3439300121397828</v>
      </c>
      <c r="R120" s="35">
        <f>IFERROR(
 (1.907*EXP(1)^(-0.5*VALUE(tbl_CONTENT[[#This Row],[Layer]]))) *
 ((VALUE(tbl_CONTENT[[#This Row],[RelId]])-1)^(2.5)*4^(1-2.5)+1) +
 ((VALUE(tbl_CONTENT[[#This Row],[Comp]])-1)^(2.5)*4^(1-2.5)+1)*(0.5*((VALUE(tbl_CONTENT[[#This Row],[RelId]])-1)/4)^(2.5)+1),
 0
)</f>
        <v>8.3439300121397828</v>
      </c>
    </row>
    <row r="121" spans="3:18" ht="34" x14ac:dyDescent="0.2">
      <c r="C121" s="22" t="str">
        <f>_xlfn.XLOOKUP(tbl_CONTENT[[#This Row],[TopicID]], tbl_TOPIC[TopicID], tbl_TOPIC[Subject], "")</f>
        <v>TOP1</v>
      </c>
      <c r="D121" s="22" t="str">
        <f xml:space="preserve"> tbl_CONTENT[[#This Row],[TopicID]] &amp; "-" &amp; TEXT(tbl_CONTENT[[#This Row],[TopicIDCount]], "00")</f>
        <v>TOP1-1-09-07</v>
      </c>
      <c r="F121" s="22" t="str">
        <f>_xlfn.XLOOKUP(tbl_CONTENT[[#This Row],[Topic]], tbl_TOPIC[Topic], tbl_TOPIC[TopicID], "")</f>
        <v>TOP1-1-09</v>
      </c>
      <c r="G121" s="22" cm="1">
        <f t="array" ref="G121">SUM((tbl_CONTENT[[#This Row],[TopicID]]=INDEX(tbl_CONTENT[TopicID],1):tbl_CONTENT[[#This Row],[TopicID]])*1)</f>
        <v>7</v>
      </c>
      <c r="H121" s="22" t="s">
        <v>122</v>
      </c>
      <c r="I121" s="22" t="s">
        <v>297</v>
      </c>
      <c r="J121" s="22" t="s">
        <v>152</v>
      </c>
      <c r="K121" s="22">
        <v>1</v>
      </c>
      <c r="L121" s="22">
        <v>2</v>
      </c>
      <c r="M121" s="22">
        <v>3</v>
      </c>
      <c r="N121" s="22">
        <v>5</v>
      </c>
      <c r="O121" s="22">
        <v>5</v>
      </c>
      <c r="Q121" s="35">
        <f>IFERROR(
 (1.907*EXP(1)^(-0.5*tbl_CONTENT[[#This Row],[Layer]])) *
 ((tbl_CONTENT[[#This Row],[RelInt]]-1)^(2.5)*4^(1-2.5)+1) +
 ((tbl_CONTENT[[#This Row],[Comp]]-1)^(2.5)*4^(1-2.5)+1)*(0.5*((tbl_CONTENT[[#This Row],[RelInt]]-1)/4)^(2.5)+1),
 0
)</f>
        <v>6.0683906433495247</v>
      </c>
      <c r="R121" s="35">
        <f>IFERROR(
 (1.907*EXP(1)^(-0.5*VALUE(tbl_CONTENT[[#This Row],[Layer]]))) *
 ((VALUE(tbl_CONTENT[[#This Row],[RelId]])-1)^(2.5)*4^(1-2.5)+1) +
 ((VALUE(tbl_CONTENT[[#This Row],[Comp]])-1)^(2.5)*4^(1-2.5)+1)*(0.5*((VALUE(tbl_CONTENT[[#This Row],[RelId]])-1)/4)^(2.5)+1),
 0
)</f>
        <v>6.0683906433495247</v>
      </c>
    </row>
    <row r="122" spans="3:18" ht="17" x14ac:dyDescent="0.2">
      <c r="C122" s="22" t="str">
        <f>_xlfn.XLOOKUP(tbl_CONTENT[[#This Row],[TopicID]], tbl_TOPIC[TopicID], tbl_TOPIC[Subject], "")</f>
        <v>TOP1</v>
      </c>
      <c r="D122" s="22" t="str">
        <f xml:space="preserve"> tbl_CONTENT[[#This Row],[TopicID]] &amp; "-" &amp; TEXT(tbl_CONTENT[[#This Row],[TopicIDCount]], "00")</f>
        <v>TOP1-1-09-08</v>
      </c>
      <c r="F122" s="22" t="str">
        <f>_xlfn.XLOOKUP(tbl_CONTENT[[#This Row],[Topic]], tbl_TOPIC[Topic], tbl_TOPIC[TopicID], "")</f>
        <v>TOP1-1-09</v>
      </c>
      <c r="G122" s="22" cm="1">
        <f t="array" ref="G122">SUM((tbl_CONTENT[[#This Row],[TopicID]]=INDEX(tbl_CONTENT[TopicID],1):tbl_CONTENT[[#This Row],[TopicID]])*1)</f>
        <v>8</v>
      </c>
      <c r="H122" s="22" t="s">
        <v>124</v>
      </c>
      <c r="I122" s="22" t="s">
        <v>298</v>
      </c>
      <c r="J122" s="22" t="s">
        <v>153</v>
      </c>
      <c r="K122" s="22">
        <v>1</v>
      </c>
      <c r="L122" s="22">
        <v>1</v>
      </c>
      <c r="M122" s="22">
        <v>3</v>
      </c>
      <c r="N122" s="22">
        <v>4</v>
      </c>
      <c r="O122" s="22">
        <v>5</v>
      </c>
      <c r="Q122" s="35">
        <f>IFERROR(
 (1.907*EXP(1)^(-0.5*tbl_CONTENT[[#This Row],[Layer]])) *
 ((tbl_CONTENT[[#This Row],[RelInt]]-1)^(2.5)*4^(1-2.5)+1) +
 ((tbl_CONTENT[[#This Row],[Comp]]-1)^(2.5)*4^(1-2.5)+1)*(0.5*((tbl_CONTENT[[#This Row],[RelInt]]-1)/4)^(2.5)+1),
 0
)</f>
        <v>5.5333665110238019</v>
      </c>
      <c r="R122" s="35">
        <f>IFERROR(
 (1.907*EXP(1)^(-0.5*VALUE(tbl_CONTENT[[#This Row],[Layer]]))) *
 ((VALUE(tbl_CONTENT[[#This Row],[RelId]])-1)^(2.5)*4^(1-2.5)+1) +
 ((VALUE(tbl_CONTENT[[#This Row],[Comp]])-1)^(2.5)*4^(1-2.5)+1)*(0.5*((VALUE(tbl_CONTENT[[#This Row],[RelId]])-1)/4)^(2.5)+1),
 0
)</f>
        <v>8.3439300121397828</v>
      </c>
    </row>
    <row r="123" spans="3:18" ht="17" x14ac:dyDescent="0.2">
      <c r="C123" s="22" t="str">
        <f>_xlfn.XLOOKUP(tbl_CONTENT[[#This Row],[TopicID]], tbl_TOPIC[TopicID], tbl_TOPIC[Subject], "")</f>
        <v>TOP1</v>
      </c>
      <c r="D123" s="22" t="str">
        <f xml:space="preserve"> tbl_CONTENT[[#This Row],[TopicID]] &amp; "-" &amp; TEXT(tbl_CONTENT[[#This Row],[TopicIDCount]], "00")</f>
        <v>TOP1-1-09-09</v>
      </c>
      <c r="F123" s="22" t="str">
        <f>_xlfn.XLOOKUP(tbl_CONTENT[[#This Row],[Topic]], tbl_TOPIC[Topic], tbl_TOPIC[TopicID], "")</f>
        <v>TOP1-1-09</v>
      </c>
      <c r="G123" s="22" cm="1">
        <f t="array" ref="G123">SUM((tbl_CONTENT[[#This Row],[TopicID]]=INDEX(tbl_CONTENT[TopicID],1):tbl_CONTENT[[#This Row],[TopicID]])*1)</f>
        <v>9</v>
      </c>
      <c r="H123" s="22" t="s">
        <v>124</v>
      </c>
      <c r="I123" s="22" t="s">
        <v>299</v>
      </c>
      <c r="J123" s="22" t="s">
        <v>153</v>
      </c>
      <c r="K123" s="22">
        <v>1</v>
      </c>
      <c r="L123" s="22">
        <v>1</v>
      </c>
      <c r="M123" s="22">
        <v>2</v>
      </c>
      <c r="N123" s="22">
        <v>5</v>
      </c>
      <c r="O123" s="22">
        <v>5</v>
      </c>
      <c r="Q123" s="35">
        <f>IFERROR(
 (1.907*EXP(1)^(-0.5*tbl_CONTENT[[#This Row],[Layer]])) *
 ((tbl_CONTENT[[#This Row],[RelInt]]-1)^(2.5)*4^(1-2.5)+1) +
 ((tbl_CONTENT[[#This Row],[Comp]]-1)^(2.5)*4^(1-2.5)+1)*(0.5*((tbl_CONTENT[[#This Row],[RelInt]]-1)/4)^(2.5)+1),
 0
)</f>
        <v>7.4707698403599609</v>
      </c>
      <c r="R123" s="35">
        <f>IFERROR(
 (1.907*EXP(1)^(-0.5*VALUE(tbl_CONTENT[[#This Row],[Layer]]))) *
 ((VALUE(tbl_CONTENT[[#This Row],[RelId]])-1)^(2.5)*4^(1-2.5)+1) +
 ((VALUE(tbl_CONTENT[[#This Row],[Comp]])-1)^(2.5)*4^(1-2.5)+1)*(0.5*((VALUE(tbl_CONTENT[[#This Row],[RelId]])-1)/4)^(2.5)+1),
 0
)</f>
        <v>7.4707698403599609</v>
      </c>
    </row>
    <row r="124" spans="3:18" ht="51" x14ac:dyDescent="0.2">
      <c r="C124" s="22" t="str">
        <f>_xlfn.XLOOKUP(tbl_CONTENT[[#This Row],[TopicID]], tbl_TOPIC[TopicID], tbl_TOPIC[Subject], "")</f>
        <v>TOP1</v>
      </c>
      <c r="D124" s="22" t="str">
        <f xml:space="preserve"> tbl_CONTENT[[#This Row],[TopicID]] &amp; "-" &amp; TEXT(tbl_CONTENT[[#This Row],[TopicIDCount]], "00")</f>
        <v>TOP1-1-09-10</v>
      </c>
      <c r="F124" s="22" t="str">
        <f>_xlfn.XLOOKUP(tbl_CONTENT[[#This Row],[Topic]], tbl_TOPIC[Topic], tbl_TOPIC[TopicID], "")</f>
        <v>TOP1-1-09</v>
      </c>
      <c r="G124" s="22" cm="1">
        <f t="array" ref="G124">SUM((tbl_CONTENT[[#This Row],[TopicID]]=INDEX(tbl_CONTENT[TopicID],1):tbl_CONTENT[[#This Row],[TopicID]])*1)</f>
        <v>10</v>
      </c>
      <c r="H124" s="22" t="s">
        <v>124</v>
      </c>
      <c r="I124" s="22" t="s">
        <v>1586</v>
      </c>
      <c r="J124" s="22" t="s">
        <v>152</v>
      </c>
      <c r="K124" s="22">
        <v>1</v>
      </c>
      <c r="L124" s="22">
        <v>2</v>
      </c>
      <c r="M124" s="22">
        <v>3</v>
      </c>
      <c r="N124" s="22">
        <v>4</v>
      </c>
      <c r="O124" s="22">
        <v>5</v>
      </c>
      <c r="Q124" s="35">
        <f>IFERROR(
 (1.907*EXP(1)^(-0.5*tbl_CONTENT[[#This Row],[Layer]])) *
 ((tbl_CONTENT[[#This Row],[RelInt]]-1)^(2.5)*4^(1-2.5)+1) +
 ((tbl_CONTENT[[#This Row],[Comp]]-1)^(2.5)*4^(1-2.5)+1)*(0.5*((tbl_CONTENT[[#This Row],[RelInt]]-1)/4)^(2.5)+1),
 0
)</f>
        <v>4.1914549319579635</v>
      </c>
      <c r="R124" s="35">
        <f>IFERROR(
 (1.907*EXP(1)^(-0.5*VALUE(tbl_CONTENT[[#This Row],[Layer]]))) *
 ((VALUE(tbl_CONTENT[[#This Row],[RelId]])-1)^(2.5)*4^(1-2.5)+1) +
 ((VALUE(tbl_CONTENT[[#This Row],[Comp]])-1)^(2.5)*4^(1-2.5)+1)*(0.5*((VALUE(tbl_CONTENT[[#This Row],[RelId]])-1)/4)^(2.5)+1),
 0
)</f>
        <v>6.0683906433495247</v>
      </c>
    </row>
    <row r="125" spans="3:18" ht="34" x14ac:dyDescent="0.2">
      <c r="C125" s="22" t="str">
        <f>_xlfn.XLOOKUP(tbl_CONTENT[[#This Row],[TopicID]], tbl_TOPIC[TopicID], tbl_TOPIC[Subject], "")</f>
        <v>TOP1</v>
      </c>
      <c r="D125" s="22" t="str">
        <f xml:space="preserve"> tbl_CONTENT[[#This Row],[TopicID]] &amp; "-" &amp; TEXT(tbl_CONTENT[[#This Row],[TopicIDCount]], "00")</f>
        <v>TOP1-1-04-01</v>
      </c>
      <c r="F125" s="22" t="str">
        <f>_xlfn.XLOOKUP(tbl_CONTENT[[#This Row],[Topic]], tbl_TOPIC[Topic], tbl_TOPIC[TopicID], "")</f>
        <v>TOP1-1-04</v>
      </c>
      <c r="G125" s="22" cm="1">
        <f t="array" ref="G125">SUM((tbl_CONTENT[[#This Row],[TopicID]]=INDEX(tbl_CONTENT[TopicID],1):tbl_CONTENT[[#This Row],[TopicID]])*1)</f>
        <v>1</v>
      </c>
      <c r="H125" s="22" t="s">
        <v>102</v>
      </c>
      <c r="I125" s="22" t="s">
        <v>300</v>
      </c>
      <c r="J125" s="22" t="s">
        <v>153</v>
      </c>
      <c r="K125" s="22">
        <v>1</v>
      </c>
      <c r="L125" s="22">
        <v>1</v>
      </c>
      <c r="M125" s="22">
        <v>2</v>
      </c>
      <c r="N125" s="22">
        <v>5</v>
      </c>
      <c r="O125" s="22">
        <v>5</v>
      </c>
      <c r="Q125" s="35">
        <f>IFERROR(
 (1.907*EXP(1)^(-0.5*tbl_CONTENT[[#This Row],[Layer]])) *
 ((tbl_CONTENT[[#This Row],[RelInt]]-1)^(2.5)*4^(1-2.5)+1) +
 ((tbl_CONTENT[[#This Row],[Comp]]-1)^(2.5)*4^(1-2.5)+1)*(0.5*((tbl_CONTENT[[#This Row],[RelInt]]-1)/4)^(2.5)+1),
 0
)</f>
        <v>7.4707698403599609</v>
      </c>
      <c r="R125" s="35">
        <f>IFERROR(
 (1.907*EXP(1)^(-0.5*VALUE(tbl_CONTENT[[#This Row],[Layer]]))) *
 ((VALUE(tbl_CONTENT[[#This Row],[RelId]])-1)^(2.5)*4^(1-2.5)+1) +
 ((VALUE(tbl_CONTENT[[#This Row],[Comp]])-1)^(2.5)*4^(1-2.5)+1)*(0.5*((VALUE(tbl_CONTENT[[#This Row],[RelId]])-1)/4)^(2.5)+1),
 0
)</f>
        <v>7.4707698403599609</v>
      </c>
    </row>
    <row r="126" spans="3:18" ht="51" x14ac:dyDescent="0.2">
      <c r="C126" s="22" t="str">
        <f>_xlfn.XLOOKUP(tbl_CONTENT[[#This Row],[TopicID]], tbl_TOPIC[TopicID], tbl_TOPIC[Subject], "")</f>
        <v>TOP1</v>
      </c>
      <c r="D126" s="22" t="str">
        <f xml:space="preserve"> tbl_CONTENT[[#This Row],[TopicID]] &amp; "-" &amp; TEXT(tbl_CONTENT[[#This Row],[TopicIDCount]], "00")</f>
        <v>TOP1-1-04-02</v>
      </c>
      <c r="F126" s="22" t="str">
        <f>_xlfn.XLOOKUP(tbl_CONTENT[[#This Row],[Topic]], tbl_TOPIC[Topic], tbl_TOPIC[TopicID], "")</f>
        <v>TOP1-1-04</v>
      </c>
      <c r="G126" s="22" cm="1">
        <f t="array" ref="G126">SUM((tbl_CONTENT[[#This Row],[TopicID]]=INDEX(tbl_CONTENT[TopicID],1):tbl_CONTENT[[#This Row],[TopicID]])*1)</f>
        <v>2</v>
      </c>
      <c r="H126" s="22" t="s">
        <v>102</v>
      </c>
      <c r="I126" s="22" t="s">
        <v>301</v>
      </c>
      <c r="J126" s="22" t="s">
        <v>153</v>
      </c>
      <c r="K126" s="22">
        <v>1</v>
      </c>
      <c r="L126" s="22">
        <v>1</v>
      </c>
      <c r="M126" s="22">
        <v>3</v>
      </c>
      <c r="N126" s="22">
        <v>5</v>
      </c>
      <c r="O126" s="22">
        <v>5</v>
      </c>
      <c r="Q126" s="35">
        <f>IFERROR(
 (1.907*EXP(1)^(-0.5*tbl_CONTENT[[#This Row],[Layer]])) *
 ((tbl_CONTENT[[#This Row],[RelInt]]-1)^(2.5)*4^(1-2.5)+1) +
 ((tbl_CONTENT[[#This Row],[Comp]]-1)^(2.5)*4^(1-2.5)+1)*(0.5*((tbl_CONTENT[[#This Row],[RelInt]]-1)/4)^(2.5)+1),
 0
)</f>
        <v>8.3439300121397828</v>
      </c>
      <c r="R126" s="35">
        <f>IFERROR(
 (1.907*EXP(1)^(-0.5*VALUE(tbl_CONTENT[[#This Row],[Layer]]))) *
 ((VALUE(tbl_CONTENT[[#This Row],[RelId]])-1)^(2.5)*4^(1-2.5)+1) +
 ((VALUE(tbl_CONTENT[[#This Row],[Comp]])-1)^(2.5)*4^(1-2.5)+1)*(0.5*((VALUE(tbl_CONTENT[[#This Row],[RelId]])-1)/4)^(2.5)+1),
 0
)</f>
        <v>8.3439300121397828</v>
      </c>
    </row>
    <row r="127" spans="3:18" ht="34" x14ac:dyDescent="0.2">
      <c r="C127" s="22" t="str">
        <f>_xlfn.XLOOKUP(tbl_CONTENT[[#This Row],[TopicID]], tbl_TOPIC[TopicID], tbl_TOPIC[Subject], "")</f>
        <v>TOP1</v>
      </c>
      <c r="D127" s="22" t="str">
        <f xml:space="preserve"> tbl_CONTENT[[#This Row],[TopicID]] &amp; "-" &amp; TEXT(tbl_CONTENT[[#This Row],[TopicIDCount]], "00")</f>
        <v>TOP1-1-04-03</v>
      </c>
      <c r="F127" s="22" t="str">
        <f>_xlfn.XLOOKUP(tbl_CONTENT[[#This Row],[Topic]], tbl_TOPIC[Topic], tbl_TOPIC[TopicID], "")</f>
        <v>TOP1-1-04</v>
      </c>
      <c r="G127" s="22" cm="1">
        <f t="array" ref="G127">SUM((tbl_CONTENT[[#This Row],[TopicID]]=INDEX(tbl_CONTENT[TopicID],1):tbl_CONTENT[[#This Row],[TopicID]])*1)</f>
        <v>3</v>
      </c>
      <c r="H127" s="22" t="s">
        <v>102</v>
      </c>
      <c r="I127" s="22" t="s">
        <v>302</v>
      </c>
      <c r="J127" s="22" t="s">
        <v>153</v>
      </c>
      <c r="K127" s="22">
        <v>1</v>
      </c>
      <c r="L127" s="22">
        <v>1</v>
      </c>
      <c r="M127" s="22">
        <v>3</v>
      </c>
      <c r="N127" s="22">
        <v>4</v>
      </c>
      <c r="O127" s="22">
        <v>5</v>
      </c>
      <c r="Q127" s="35">
        <f>IFERROR(
 (1.907*EXP(1)^(-0.5*tbl_CONTENT[[#This Row],[Layer]])) *
 ((tbl_CONTENT[[#This Row],[RelInt]]-1)^(2.5)*4^(1-2.5)+1) +
 ((tbl_CONTENT[[#This Row],[Comp]]-1)^(2.5)*4^(1-2.5)+1)*(0.5*((tbl_CONTENT[[#This Row],[RelInt]]-1)/4)^(2.5)+1),
 0
)</f>
        <v>5.5333665110238019</v>
      </c>
      <c r="R127" s="35">
        <f>IFERROR(
 (1.907*EXP(1)^(-0.5*VALUE(tbl_CONTENT[[#This Row],[Layer]]))) *
 ((VALUE(tbl_CONTENT[[#This Row],[RelId]])-1)^(2.5)*4^(1-2.5)+1) +
 ((VALUE(tbl_CONTENT[[#This Row],[Comp]])-1)^(2.5)*4^(1-2.5)+1)*(0.5*((VALUE(tbl_CONTENT[[#This Row],[RelId]])-1)/4)^(2.5)+1),
 0
)</f>
        <v>8.3439300121397828</v>
      </c>
    </row>
    <row r="128" spans="3:18" ht="34" x14ac:dyDescent="0.2">
      <c r="C128" s="22" t="str">
        <f>_xlfn.XLOOKUP(tbl_CONTENT[[#This Row],[TopicID]], tbl_TOPIC[TopicID], tbl_TOPIC[Subject], "")</f>
        <v>TOP1</v>
      </c>
      <c r="D128" s="22" t="str">
        <f xml:space="preserve"> tbl_CONTENT[[#This Row],[TopicID]] &amp; "-" &amp; TEXT(tbl_CONTENT[[#This Row],[TopicIDCount]], "00")</f>
        <v>TOP1-1-04-04</v>
      </c>
      <c r="F128" s="22" t="str">
        <f>_xlfn.XLOOKUP(tbl_CONTENT[[#This Row],[Topic]], tbl_TOPIC[Topic], tbl_TOPIC[TopicID], "")</f>
        <v>TOP1-1-04</v>
      </c>
      <c r="G128" s="22" cm="1">
        <f t="array" ref="G128">SUM((tbl_CONTENT[[#This Row],[TopicID]]=INDEX(tbl_CONTENT[TopicID],1):tbl_CONTENT[[#This Row],[TopicID]])*1)</f>
        <v>4</v>
      </c>
      <c r="H128" s="22" t="s">
        <v>102</v>
      </c>
      <c r="I128" s="22" t="s">
        <v>303</v>
      </c>
      <c r="J128" s="22" t="s">
        <v>150</v>
      </c>
      <c r="K128" s="22">
        <v>1</v>
      </c>
      <c r="L128" s="22">
        <v>2</v>
      </c>
      <c r="M128" s="22">
        <v>3</v>
      </c>
      <c r="N128" s="22">
        <v>3</v>
      </c>
      <c r="O128" s="22">
        <v>5</v>
      </c>
      <c r="Q128" s="35">
        <f>IFERROR(
 (1.907*EXP(1)^(-0.5*tbl_CONTENT[[#This Row],[Layer]])) *
 ((tbl_CONTENT[[#This Row],[RelInt]]-1)^(2.5)*4^(1-2.5)+1) +
 ((tbl_CONTENT[[#This Row],[Comp]]-1)^(2.5)*4^(1-2.5)+1)*(0.5*((tbl_CONTENT[[#This Row],[RelInt]]-1)/4)^(2.5)+1),
 0
)</f>
        <v>3.0556092237531312</v>
      </c>
      <c r="R128" s="35">
        <f>IFERROR(
 (1.907*EXP(1)^(-0.5*VALUE(tbl_CONTENT[[#This Row],[Layer]]))) *
 ((VALUE(tbl_CONTENT[[#This Row],[RelId]])-1)^(2.5)*4^(1-2.5)+1) +
 ((VALUE(tbl_CONTENT[[#This Row],[Comp]])-1)^(2.5)*4^(1-2.5)+1)*(0.5*((VALUE(tbl_CONTENT[[#This Row],[RelId]])-1)/4)^(2.5)+1),
 0
)</f>
        <v>6.0683906433495247</v>
      </c>
    </row>
    <row r="129" spans="3:20" ht="51" x14ac:dyDescent="0.2">
      <c r="C129" s="22" t="str">
        <f>_xlfn.XLOOKUP(tbl_CONTENT[[#This Row],[TopicID]], tbl_TOPIC[TopicID], tbl_TOPIC[Subject], "")</f>
        <v>TOP1</v>
      </c>
      <c r="D129" s="22" t="str">
        <f xml:space="preserve"> tbl_CONTENT[[#This Row],[TopicID]] &amp; "-" &amp; TEXT(tbl_CONTENT[[#This Row],[TopicIDCount]], "00")</f>
        <v>TOP1-1-04-05</v>
      </c>
      <c r="F129" s="22" t="str">
        <f>_xlfn.XLOOKUP(tbl_CONTENT[[#This Row],[Topic]], tbl_TOPIC[Topic], tbl_TOPIC[TopicID], "")</f>
        <v>TOP1-1-04</v>
      </c>
      <c r="G129" s="22" cm="1">
        <f t="array" ref="G129">SUM((tbl_CONTENT[[#This Row],[TopicID]]=INDEX(tbl_CONTENT[TopicID],1):tbl_CONTENT[[#This Row],[TopicID]])*1)</f>
        <v>5</v>
      </c>
      <c r="H129" s="22" t="s">
        <v>102</v>
      </c>
      <c r="I129" s="22" t="s">
        <v>304</v>
      </c>
      <c r="J129" s="22" t="s">
        <v>153</v>
      </c>
      <c r="K129" s="22">
        <v>1</v>
      </c>
      <c r="L129" s="22">
        <v>1</v>
      </c>
      <c r="M129" s="22">
        <v>3</v>
      </c>
      <c r="N129" s="22">
        <v>5</v>
      </c>
      <c r="O129" s="22">
        <v>5</v>
      </c>
      <c r="Q129" s="35">
        <f>IFERROR(
 (1.907*EXP(1)^(-0.5*tbl_CONTENT[[#This Row],[Layer]])) *
 ((tbl_CONTENT[[#This Row],[RelInt]]-1)^(2.5)*4^(1-2.5)+1) +
 ((tbl_CONTENT[[#This Row],[Comp]]-1)^(2.5)*4^(1-2.5)+1)*(0.5*((tbl_CONTENT[[#This Row],[RelInt]]-1)/4)^(2.5)+1),
 0
)</f>
        <v>8.3439300121397828</v>
      </c>
      <c r="R129" s="35">
        <f>IFERROR(
 (1.907*EXP(1)^(-0.5*VALUE(tbl_CONTENT[[#This Row],[Layer]]))) *
 ((VALUE(tbl_CONTENT[[#This Row],[RelId]])-1)^(2.5)*4^(1-2.5)+1) +
 ((VALUE(tbl_CONTENT[[#This Row],[Comp]])-1)^(2.5)*4^(1-2.5)+1)*(0.5*((VALUE(tbl_CONTENT[[#This Row],[RelId]])-1)/4)^(2.5)+1),
 0
)</f>
        <v>8.3439300121397828</v>
      </c>
    </row>
    <row r="130" spans="3:20" ht="68" x14ac:dyDescent="0.2">
      <c r="C130" s="22" t="str">
        <f>_xlfn.XLOOKUP(tbl_CONTENT[[#This Row],[TopicID]], tbl_TOPIC[TopicID], tbl_TOPIC[Subject], "")</f>
        <v>TOP1</v>
      </c>
      <c r="D130" s="22" t="str">
        <f xml:space="preserve"> tbl_CONTENT[[#This Row],[TopicID]] &amp; "-" &amp; TEXT(tbl_CONTENT[[#This Row],[TopicIDCount]], "00")</f>
        <v>TOP1-1-04-06</v>
      </c>
      <c r="F130" s="22" t="str">
        <f>_xlfn.XLOOKUP(tbl_CONTENT[[#This Row],[Topic]], tbl_TOPIC[Topic], tbl_TOPIC[TopicID], "")</f>
        <v>TOP1-1-04</v>
      </c>
      <c r="G130" s="22" cm="1">
        <f t="array" ref="G130">SUM((tbl_CONTENT[[#This Row],[TopicID]]=INDEX(tbl_CONTENT[TopicID],1):tbl_CONTENT[[#This Row],[TopicID]])*1)</f>
        <v>6</v>
      </c>
      <c r="H130" s="22" t="s">
        <v>102</v>
      </c>
      <c r="I130" s="22" t="s">
        <v>305</v>
      </c>
      <c r="J130" s="22" t="s">
        <v>152</v>
      </c>
      <c r="K130" s="22">
        <v>1</v>
      </c>
      <c r="L130" s="22">
        <v>2</v>
      </c>
      <c r="M130" s="22">
        <v>3</v>
      </c>
      <c r="N130" s="22">
        <v>4</v>
      </c>
      <c r="O130" s="22">
        <v>5</v>
      </c>
      <c r="Q130" s="35">
        <f>IFERROR(
 (1.907*EXP(1)^(-0.5*tbl_CONTENT[[#This Row],[Layer]])) *
 ((tbl_CONTENT[[#This Row],[RelInt]]-1)^(2.5)*4^(1-2.5)+1) +
 ((tbl_CONTENT[[#This Row],[Comp]]-1)^(2.5)*4^(1-2.5)+1)*(0.5*((tbl_CONTENT[[#This Row],[RelInt]]-1)/4)^(2.5)+1),
 0
)</f>
        <v>4.1914549319579635</v>
      </c>
      <c r="R130" s="35">
        <f>IFERROR(
 (1.907*EXP(1)^(-0.5*VALUE(tbl_CONTENT[[#This Row],[Layer]]))) *
 ((VALUE(tbl_CONTENT[[#This Row],[RelId]])-1)^(2.5)*4^(1-2.5)+1) +
 ((VALUE(tbl_CONTENT[[#This Row],[Comp]])-1)^(2.5)*4^(1-2.5)+1)*(0.5*((VALUE(tbl_CONTENT[[#This Row],[RelId]])-1)/4)^(2.5)+1),
 0
)</f>
        <v>6.0683906433495247</v>
      </c>
    </row>
    <row r="131" spans="3:20" ht="34" x14ac:dyDescent="0.2">
      <c r="C131" s="22" t="str">
        <f>_xlfn.XLOOKUP(tbl_CONTENT[[#This Row],[TopicID]], tbl_TOPIC[TopicID], tbl_TOPIC[Subject], "")</f>
        <v>TOP1</v>
      </c>
      <c r="D131" s="22" t="str">
        <f xml:space="preserve"> tbl_CONTENT[[#This Row],[TopicID]] &amp; "-" &amp; TEXT(tbl_CONTENT[[#This Row],[TopicIDCount]], "00")</f>
        <v>TOP1-1-04-07</v>
      </c>
      <c r="F131" s="22" t="str">
        <f>_xlfn.XLOOKUP(tbl_CONTENT[[#This Row],[Topic]], tbl_TOPIC[Topic], tbl_TOPIC[TopicID], "")</f>
        <v>TOP1-1-04</v>
      </c>
      <c r="G131" s="22" cm="1">
        <f t="array" ref="G131">SUM((tbl_CONTENT[[#This Row],[TopicID]]=INDEX(tbl_CONTENT[TopicID],1):tbl_CONTENT[[#This Row],[TopicID]])*1)</f>
        <v>7</v>
      </c>
      <c r="H131" s="22" t="s">
        <v>102</v>
      </c>
      <c r="I131" s="22" t="s">
        <v>1635</v>
      </c>
      <c r="J131" s="22" t="s">
        <v>153</v>
      </c>
      <c r="K131" s="22">
        <v>1</v>
      </c>
      <c r="L131" s="22">
        <v>1</v>
      </c>
      <c r="M131" s="22">
        <v>3</v>
      </c>
      <c r="N131" s="22">
        <v>4</v>
      </c>
      <c r="O131" s="22">
        <v>5</v>
      </c>
      <c r="Q131" s="35">
        <f>IFERROR(
 (1.907*EXP(1)^(-0.5*tbl_CONTENT[[#This Row],[Layer]])) *
 ((tbl_CONTENT[[#This Row],[RelInt]]-1)^(2.5)*4^(1-2.5)+1) +
 ((tbl_CONTENT[[#This Row],[Comp]]-1)^(2.5)*4^(1-2.5)+1)*(0.5*((tbl_CONTENT[[#This Row],[RelInt]]-1)/4)^(2.5)+1),
 0
)</f>
        <v>5.5333665110238019</v>
      </c>
      <c r="R131" s="35">
        <f>IFERROR(
 (1.907*EXP(1)^(-0.5*VALUE(tbl_CONTENT[[#This Row],[Layer]]))) *
 ((VALUE(tbl_CONTENT[[#This Row],[RelId]])-1)^(2.5)*4^(1-2.5)+1) +
 ((VALUE(tbl_CONTENT[[#This Row],[Comp]])-1)^(2.5)*4^(1-2.5)+1)*(0.5*((VALUE(tbl_CONTENT[[#This Row],[RelId]])-1)/4)^(2.5)+1),
 0
)</f>
        <v>8.3439300121397828</v>
      </c>
    </row>
    <row r="132" spans="3:20" ht="51" x14ac:dyDescent="0.2">
      <c r="C132" s="22" t="str">
        <f>_xlfn.XLOOKUP(tbl_CONTENT[[#This Row],[TopicID]], tbl_TOPIC[TopicID], tbl_TOPIC[Subject], "")</f>
        <v>TOP1</v>
      </c>
      <c r="D132" s="22" t="str">
        <f xml:space="preserve"> tbl_CONTENT[[#This Row],[TopicID]] &amp; "-" &amp; TEXT(tbl_CONTENT[[#This Row],[TopicIDCount]], "00")</f>
        <v>TOP1-1-04-08</v>
      </c>
      <c r="F132" s="22" t="str">
        <f>_xlfn.XLOOKUP(tbl_CONTENT[[#This Row],[Topic]], tbl_TOPIC[Topic], tbl_TOPIC[TopicID], "")</f>
        <v>TOP1-1-04</v>
      </c>
      <c r="G132" s="22" cm="1">
        <f t="array" ref="G132">SUM((tbl_CONTENT[[#This Row],[TopicID]]=INDEX(tbl_CONTENT[TopicID],1):tbl_CONTENT[[#This Row],[TopicID]])*1)</f>
        <v>8</v>
      </c>
      <c r="H132" s="22" t="s">
        <v>102</v>
      </c>
      <c r="I132" s="22" t="s">
        <v>306</v>
      </c>
      <c r="J132" s="22" t="s">
        <v>152</v>
      </c>
      <c r="K132" s="22">
        <v>1</v>
      </c>
      <c r="L132" s="22">
        <v>1</v>
      </c>
      <c r="M132" s="22">
        <v>3</v>
      </c>
      <c r="N132" s="22">
        <v>4</v>
      </c>
      <c r="O132" s="22">
        <v>5</v>
      </c>
      <c r="Q132" s="35">
        <f>IFERROR(
 (1.907*EXP(1)^(-0.5*tbl_CONTENT[[#This Row],[Layer]])) *
 ((tbl_CONTENT[[#This Row],[RelInt]]-1)^(2.5)*4^(1-2.5)+1) +
 ((tbl_CONTENT[[#This Row],[Comp]]-1)^(2.5)*4^(1-2.5)+1)*(0.5*((tbl_CONTENT[[#This Row],[RelInt]]-1)/4)^(2.5)+1),
 0
)</f>
        <v>5.5333665110238019</v>
      </c>
      <c r="R132" s="35">
        <f>IFERROR(
 (1.907*EXP(1)^(-0.5*VALUE(tbl_CONTENT[[#This Row],[Layer]]))) *
 ((VALUE(tbl_CONTENT[[#This Row],[RelId]])-1)^(2.5)*4^(1-2.5)+1) +
 ((VALUE(tbl_CONTENT[[#This Row],[Comp]])-1)^(2.5)*4^(1-2.5)+1)*(0.5*((VALUE(tbl_CONTENT[[#This Row],[RelId]])-1)/4)^(2.5)+1),
 0
)</f>
        <v>8.3439300121397828</v>
      </c>
    </row>
    <row r="133" spans="3:20" ht="34" x14ac:dyDescent="0.2">
      <c r="C133" s="22" t="str">
        <f>_xlfn.XLOOKUP(tbl_CONTENT[[#This Row],[TopicID]], tbl_TOPIC[TopicID], tbl_TOPIC[Subject], "")</f>
        <v>TOP1</v>
      </c>
      <c r="D133" s="22" t="str">
        <f xml:space="preserve"> tbl_CONTENT[[#This Row],[TopicID]] &amp; "-" &amp; TEXT(tbl_CONTENT[[#This Row],[TopicIDCount]], "00")</f>
        <v>TOP1-1-04-09</v>
      </c>
      <c r="F133" s="22" t="str">
        <f>_xlfn.XLOOKUP(tbl_CONTENT[[#This Row],[Topic]], tbl_TOPIC[Topic], tbl_TOPIC[TopicID], "")</f>
        <v>TOP1-1-04</v>
      </c>
      <c r="G133" s="22" cm="1">
        <f t="array" ref="G133">SUM((tbl_CONTENT[[#This Row],[TopicID]]=INDEX(tbl_CONTENT[TopicID],1):tbl_CONTENT[[#This Row],[TopicID]])*1)</f>
        <v>9</v>
      </c>
      <c r="H133" s="22" t="s">
        <v>102</v>
      </c>
      <c r="I133" s="22" t="s">
        <v>307</v>
      </c>
      <c r="J133" s="22" t="s">
        <v>153</v>
      </c>
      <c r="K133" s="22">
        <v>1</v>
      </c>
      <c r="L133" s="22">
        <v>1</v>
      </c>
      <c r="M133" s="22">
        <v>3</v>
      </c>
      <c r="N133" s="22">
        <v>5</v>
      </c>
      <c r="O133" s="22">
        <v>5</v>
      </c>
      <c r="Q133" s="35">
        <f>IFERROR(
 (1.907*EXP(1)^(-0.5*tbl_CONTENT[[#This Row],[Layer]])) *
 ((tbl_CONTENT[[#This Row],[RelInt]]-1)^(2.5)*4^(1-2.5)+1) +
 ((tbl_CONTENT[[#This Row],[Comp]]-1)^(2.5)*4^(1-2.5)+1)*(0.5*((tbl_CONTENT[[#This Row],[RelInt]]-1)/4)^(2.5)+1),
 0
)</f>
        <v>8.3439300121397828</v>
      </c>
      <c r="R133" s="35">
        <f>IFERROR(
 (1.907*EXP(1)^(-0.5*VALUE(tbl_CONTENT[[#This Row],[Layer]]))) *
 ((VALUE(tbl_CONTENT[[#This Row],[RelId]])-1)^(2.5)*4^(1-2.5)+1) +
 ((VALUE(tbl_CONTENT[[#This Row],[Comp]])-1)^(2.5)*4^(1-2.5)+1)*(0.5*((VALUE(tbl_CONTENT[[#This Row],[RelId]])-1)/4)^(2.5)+1),
 0
)</f>
        <v>8.3439300121397828</v>
      </c>
    </row>
    <row r="134" spans="3:20" ht="34" x14ac:dyDescent="0.2">
      <c r="C134" s="22" t="str">
        <f>_xlfn.XLOOKUP(tbl_CONTENT[[#This Row],[TopicID]], tbl_TOPIC[TopicID], tbl_TOPIC[Subject], "")</f>
        <v>TOP1</v>
      </c>
      <c r="D134" s="22" t="str">
        <f xml:space="preserve"> tbl_CONTENT[[#This Row],[TopicID]] &amp; "-" &amp; TEXT(tbl_CONTENT[[#This Row],[TopicIDCount]], "00")</f>
        <v>TOP1-1-04-10</v>
      </c>
      <c r="F134" s="22" t="str">
        <f>_xlfn.XLOOKUP(tbl_CONTENT[[#This Row],[Topic]], tbl_TOPIC[Topic], tbl_TOPIC[TopicID], "")</f>
        <v>TOP1-1-04</v>
      </c>
      <c r="G134" s="22" cm="1">
        <f t="array" ref="G134">SUM((tbl_CONTENT[[#This Row],[TopicID]]=INDEX(tbl_CONTENT[TopicID],1):tbl_CONTENT[[#This Row],[TopicID]])*1)</f>
        <v>10</v>
      </c>
      <c r="H134" s="22" t="s">
        <v>102</v>
      </c>
      <c r="I134" s="22" t="s">
        <v>308</v>
      </c>
      <c r="J134" s="22" t="s">
        <v>153</v>
      </c>
      <c r="K134" s="22">
        <v>1</v>
      </c>
      <c r="L134" s="22">
        <v>1</v>
      </c>
      <c r="M134" s="22">
        <v>3</v>
      </c>
      <c r="N134" s="22">
        <v>5</v>
      </c>
      <c r="O134" s="22">
        <v>5</v>
      </c>
      <c r="Q134" s="35">
        <f>IFERROR(
 (1.907*EXP(1)^(-0.5*tbl_CONTENT[[#This Row],[Layer]])) *
 ((tbl_CONTENT[[#This Row],[RelInt]]-1)^(2.5)*4^(1-2.5)+1) +
 ((tbl_CONTENT[[#This Row],[Comp]]-1)^(2.5)*4^(1-2.5)+1)*(0.5*((tbl_CONTENT[[#This Row],[RelInt]]-1)/4)^(2.5)+1),
 0
)</f>
        <v>8.3439300121397828</v>
      </c>
      <c r="R134" s="35">
        <f>IFERROR(
 (1.907*EXP(1)^(-0.5*VALUE(tbl_CONTENT[[#This Row],[Layer]]))) *
 ((VALUE(tbl_CONTENT[[#This Row],[RelId]])-1)^(2.5)*4^(1-2.5)+1) +
 ((VALUE(tbl_CONTENT[[#This Row],[Comp]])-1)^(2.5)*4^(1-2.5)+1)*(0.5*((VALUE(tbl_CONTENT[[#This Row],[RelId]])-1)/4)^(2.5)+1),
 0
)</f>
        <v>8.3439300121397828</v>
      </c>
    </row>
    <row r="135" spans="3:20" ht="112" customHeight="1" x14ac:dyDescent="0.2">
      <c r="C135" s="22" t="str">
        <f>_xlfn.XLOOKUP(tbl_CONTENT[[#This Row],[TopicID]], tbl_TOPIC[TopicID], tbl_TOPIC[Subject], "")</f>
        <v>TOP1</v>
      </c>
      <c r="D135" s="22" t="str">
        <f xml:space="preserve"> tbl_CONTENT[[#This Row],[TopicID]] &amp; "-" &amp; TEXT(tbl_CONTENT[[#This Row],[TopicIDCount]], "00")</f>
        <v>TOP1-1-04-11</v>
      </c>
      <c r="F135" s="22" t="str">
        <f>_xlfn.XLOOKUP(tbl_CONTENT[[#This Row],[Topic]], tbl_TOPIC[Topic], tbl_TOPIC[TopicID], "")</f>
        <v>TOP1-1-04</v>
      </c>
      <c r="G135" s="22" cm="1">
        <f t="array" ref="G135">SUM((tbl_CONTENT[[#This Row],[TopicID]]=INDEX(tbl_CONTENT[TopicID],1):tbl_CONTENT[[#This Row],[TopicID]])*1)</f>
        <v>11</v>
      </c>
      <c r="H135" s="22" t="s">
        <v>102</v>
      </c>
      <c r="I135" s="22" t="s">
        <v>309</v>
      </c>
      <c r="J135" s="22" t="s">
        <v>151</v>
      </c>
      <c r="K135" s="22">
        <v>1</v>
      </c>
      <c r="L135" s="22">
        <v>2</v>
      </c>
      <c r="M135" s="22">
        <v>4</v>
      </c>
      <c r="N135" s="22">
        <v>5</v>
      </c>
      <c r="O135" s="22">
        <v>5</v>
      </c>
      <c r="Q135" s="35">
        <f>IFERROR(
 (1.907*EXP(1)^(-0.5*tbl_CONTENT[[#This Row],[Layer]])) *
 ((tbl_CONTENT[[#This Row],[RelInt]]-1)^(2.5)*4^(1-2.5)+1) +
 ((tbl_CONTENT[[#This Row],[Comp]]-1)^(2.5)*4^(1-2.5)+1)*(0.5*((tbl_CONTENT[[#This Row],[RelInt]]-1)/4)^(2.5)+1),
 0
)</f>
        <v>7.9305662093421851</v>
      </c>
      <c r="R135" s="35">
        <f>IFERROR(
 (1.907*EXP(1)^(-0.5*VALUE(tbl_CONTENT[[#This Row],[Layer]]))) *
 ((VALUE(tbl_CONTENT[[#This Row],[RelId]])-1)^(2.5)*4^(1-2.5)+1) +
 ((VALUE(tbl_CONTENT[[#This Row],[Comp]])-1)^(2.5)*4^(1-2.5)+1)*(0.5*((VALUE(tbl_CONTENT[[#This Row],[RelId]])-1)/4)^(2.5)+1),
 0
)</f>
        <v>7.9305662093421851</v>
      </c>
      <c r="T135" s="22" t="s">
        <v>311</v>
      </c>
    </row>
    <row r="136" spans="3:20" ht="51" x14ac:dyDescent="0.2">
      <c r="C136" s="22" t="str">
        <f>_xlfn.XLOOKUP(tbl_CONTENT[[#This Row],[TopicID]], tbl_TOPIC[TopicID], tbl_TOPIC[Subject], "")</f>
        <v>TOP1</v>
      </c>
      <c r="D136" s="22" t="str">
        <f xml:space="preserve"> tbl_CONTENT[[#This Row],[TopicID]] &amp; "-" &amp; TEXT(tbl_CONTENT[[#This Row],[TopicIDCount]], "00")</f>
        <v>TOP1-1-04-12</v>
      </c>
      <c r="F136" s="22" t="str">
        <f>_xlfn.XLOOKUP(tbl_CONTENT[[#This Row],[Topic]], tbl_TOPIC[Topic], tbl_TOPIC[TopicID], "")</f>
        <v>TOP1-1-04</v>
      </c>
      <c r="G136" s="22" cm="1">
        <f t="array" ref="G136">SUM((tbl_CONTENT[[#This Row],[TopicID]]=INDEX(tbl_CONTENT[TopicID],1):tbl_CONTENT[[#This Row],[TopicID]])*1)</f>
        <v>12</v>
      </c>
      <c r="H136" s="22" t="s">
        <v>102</v>
      </c>
      <c r="I136" s="22" t="s">
        <v>310</v>
      </c>
      <c r="J136" s="22" t="s">
        <v>152</v>
      </c>
      <c r="K136" s="22">
        <v>1</v>
      </c>
      <c r="L136" s="22">
        <v>2</v>
      </c>
      <c r="M136" s="22">
        <v>3</v>
      </c>
      <c r="N136" s="22">
        <v>4</v>
      </c>
      <c r="O136" s="22">
        <v>5</v>
      </c>
      <c r="Q136" s="35">
        <f>IFERROR(
 (1.907*EXP(1)^(-0.5*tbl_CONTENT[[#This Row],[Layer]])) *
 ((tbl_CONTENT[[#This Row],[RelInt]]-1)^(2.5)*4^(1-2.5)+1) +
 ((tbl_CONTENT[[#This Row],[Comp]]-1)^(2.5)*4^(1-2.5)+1)*(0.5*((tbl_CONTENT[[#This Row],[RelInt]]-1)/4)^(2.5)+1),
 0
)</f>
        <v>4.1914549319579635</v>
      </c>
      <c r="R136" s="35">
        <f>IFERROR(
 (1.907*EXP(1)^(-0.5*VALUE(tbl_CONTENT[[#This Row],[Layer]]))) *
 ((VALUE(tbl_CONTENT[[#This Row],[RelId]])-1)^(2.5)*4^(1-2.5)+1) +
 ((VALUE(tbl_CONTENT[[#This Row],[Comp]])-1)^(2.5)*4^(1-2.5)+1)*(0.5*((VALUE(tbl_CONTENT[[#This Row],[RelId]])-1)/4)^(2.5)+1),
 0
)</f>
        <v>6.0683906433495247</v>
      </c>
    </row>
    <row r="137" spans="3:20" ht="51" x14ac:dyDescent="0.2">
      <c r="C137" s="22" t="str">
        <f>_xlfn.XLOOKUP(tbl_CONTENT[[#This Row],[TopicID]], tbl_TOPIC[TopicID], tbl_TOPIC[Subject], "")</f>
        <v>TOP1</v>
      </c>
      <c r="D137" s="22" t="str">
        <f xml:space="preserve"> tbl_CONTENT[[#This Row],[TopicID]] &amp; "-" &amp; TEXT(tbl_CONTENT[[#This Row],[TopicIDCount]], "00")</f>
        <v>TOP1-1-04-13</v>
      </c>
      <c r="F137" s="22" t="str">
        <f>_xlfn.XLOOKUP(tbl_CONTENT[[#This Row],[Topic]], tbl_TOPIC[Topic], tbl_TOPIC[TopicID], "")</f>
        <v>TOP1-1-04</v>
      </c>
      <c r="G137" s="22" cm="1">
        <f t="array" ref="G137">SUM((tbl_CONTENT[[#This Row],[TopicID]]=INDEX(tbl_CONTENT[TopicID],1):tbl_CONTENT[[#This Row],[TopicID]])*1)</f>
        <v>13</v>
      </c>
      <c r="H137" s="22" t="s">
        <v>102</v>
      </c>
      <c r="I137" s="22" t="s">
        <v>312</v>
      </c>
      <c r="J137" s="22" t="s">
        <v>150</v>
      </c>
      <c r="K137" s="22">
        <v>1</v>
      </c>
      <c r="L137" s="22">
        <v>2</v>
      </c>
      <c r="M137" s="22">
        <v>3</v>
      </c>
      <c r="N137" s="22">
        <v>3</v>
      </c>
      <c r="O137" s="22">
        <v>4</v>
      </c>
      <c r="Q137" s="35">
        <f>IFERROR(
 (1.907*EXP(1)^(-0.5*tbl_CONTENT[[#This Row],[Layer]])) *
 ((tbl_CONTENT[[#This Row],[RelInt]]-1)^(2.5)*4^(1-2.5)+1) +
 ((tbl_CONTENT[[#This Row],[Comp]]-1)^(2.5)*4^(1-2.5)+1)*(0.5*((tbl_CONTENT[[#This Row],[RelInt]]-1)/4)^(2.5)+1),
 0
)</f>
        <v>3.0556092237531312</v>
      </c>
      <c r="R137" s="35">
        <f>IFERROR(
 (1.907*EXP(1)^(-0.5*VALUE(tbl_CONTENT[[#This Row],[Layer]]))) *
 ((VALUE(tbl_CONTENT[[#This Row],[RelId]])-1)^(2.5)*4^(1-2.5)+1) +
 ((VALUE(tbl_CONTENT[[#This Row],[Comp]])-1)^(2.5)*4^(1-2.5)+1)*(0.5*((VALUE(tbl_CONTENT[[#This Row],[RelId]])-1)/4)^(2.5)+1),
 0
)</f>
        <v>4.1914549319579635</v>
      </c>
    </row>
    <row r="138" spans="3:20" ht="51" x14ac:dyDescent="0.2">
      <c r="C138" s="22" t="str">
        <f>_xlfn.XLOOKUP(tbl_CONTENT[[#This Row],[TopicID]], tbl_TOPIC[TopicID], tbl_TOPIC[Subject], "")</f>
        <v>TOP1</v>
      </c>
      <c r="D138" s="22" t="str">
        <f xml:space="preserve"> tbl_CONTENT[[#This Row],[TopicID]] &amp; "-" &amp; TEXT(tbl_CONTENT[[#This Row],[TopicIDCount]], "00")</f>
        <v>TOP1-1-04-14</v>
      </c>
      <c r="F138" s="22" t="str">
        <f>_xlfn.XLOOKUP(tbl_CONTENT[[#This Row],[Topic]], tbl_TOPIC[Topic], tbl_TOPIC[TopicID], "")</f>
        <v>TOP1-1-04</v>
      </c>
      <c r="G138" s="22" cm="1">
        <f t="array" ref="G138">SUM((tbl_CONTENT[[#This Row],[TopicID]]=INDEX(tbl_CONTENT[TopicID],1):tbl_CONTENT[[#This Row],[TopicID]])*1)</f>
        <v>14</v>
      </c>
      <c r="H138" s="22" t="s">
        <v>102</v>
      </c>
      <c r="I138" s="22" t="s">
        <v>313</v>
      </c>
      <c r="J138" s="22" t="s">
        <v>149</v>
      </c>
      <c r="K138" s="22">
        <v>1</v>
      </c>
      <c r="L138" s="22">
        <v>2</v>
      </c>
      <c r="M138" s="22">
        <v>3</v>
      </c>
      <c r="N138" s="22">
        <v>3</v>
      </c>
      <c r="O138" s="22">
        <v>4</v>
      </c>
      <c r="Q138" s="35">
        <f>IFERROR(
 (1.907*EXP(1)^(-0.5*tbl_CONTENT[[#This Row],[Layer]])) *
 ((tbl_CONTENT[[#This Row],[RelInt]]-1)^(2.5)*4^(1-2.5)+1) +
 ((tbl_CONTENT[[#This Row],[Comp]]-1)^(2.5)*4^(1-2.5)+1)*(0.5*((tbl_CONTENT[[#This Row],[RelInt]]-1)/4)^(2.5)+1),
 0
)</f>
        <v>3.0556092237531312</v>
      </c>
      <c r="R138" s="35">
        <f>IFERROR(
 (1.907*EXP(1)^(-0.5*VALUE(tbl_CONTENT[[#This Row],[Layer]]))) *
 ((VALUE(tbl_CONTENT[[#This Row],[RelId]])-1)^(2.5)*4^(1-2.5)+1) +
 ((VALUE(tbl_CONTENT[[#This Row],[Comp]])-1)^(2.5)*4^(1-2.5)+1)*(0.5*((VALUE(tbl_CONTENT[[#This Row],[RelId]])-1)/4)^(2.5)+1),
 0
)</f>
        <v>4.1914549319579635</v>
      </c>
    </row>
    <row r="139" spans="3:20" ht="34" x14ac:dyDescent="0.2">
      <c r="C139" s="22" t="str">
        <f>_xlfn.XLOOKUP(tbl_CONTENT[[#This Row],[TopicID]], tbl_TOPIC[TopicID], tbl_TOPIC[Subject], "")</f>
        <v>TOP1</v>
      </c>
      <c r="D139" s="22" t="str">
        <f xml:space="preserve"> tbl_CONTENT[[#This Row],[TopicID]] &amp; "-" &amp; TEXT(tbl_CONTENT[[#This Row],[TopicIDCount]], "00")</f>
        <v>TOP1-1-04-15</v>
      </c>
      <c r="F139" s="22" t="str">
        <f>_xlfn.XLOOKUP(tbl_CONTENT[[#This Row],[Topic]], tbl_TOPIC[Topic], tbl_TOPIC[TopicID], "")</f>
        <v>TOP1-1-04</v>
      </c>
      <c r="G139" s="22" cm="1">
        <f t="array" ref="G139">SUM((tbl_CONTENT[[#This Row],[TopicID]]=INDEX(tbl_CONTENT[TopicID],1):tbl_CONTENT[[#This Row],[TopicID]])*1)</f>
        <v>15</v>
      </c>
      <c r="H139" s="22" t="s">
        <v>102</v>
      </c>
      <c r="I139" s="22" t="s">
        <v>314</v>
      </c>
      <c r="J139" s="22" t="s">
        <v>152</v>
      </c>
      <c r="K139" s="22">
        <v>1</v>
      </c>
      <c r="L139" s="22">
        <v>2</v>
      </c>
      <c r="M139" s="22">
        <v>3</v>
      </c>
      <c r="N139" s="22">
        <v>4</v>
      </c>
      <c r="O139" s="22">
        <v>5</v>
      </c>
      <c r="Q139" s="35">
        <f>IFERROR(
 (1.907*EXP(1)^(-0.5*tbl_CONTENT[[#This Row],[Layer]])) *
 ((tbl_CONTENT[[#This Row],[RelInt]]-1)^(2.5)*4^(1-2.5)+1) +
 ((tbl_CONTENT[[#This Row],[Comp]]-1)^(2.5)*4^(1-2.5)+1)*(0.5*((tbl_CONTENT[[#This Row],[RelInt]]-1)/4)^(2.5)+1),
 0
)</f>
        <v>4.1914549319579635</v>
      </c>
      <c r="R139" s="35">
        <f>IFERROR(
 (1.907*EXP(1)^(-0.5*VALUE(tbl_CONTENT[[#This Row],[Layer]]))) *
 ((VALUE(tbl_CONTENT[[#This Row],[RelId]])-1)^(2.5)*4^(1-2.5)+1) +
 ((VALUE(tbl_CONTENT[[#This Row],[Comp]])-1)^(2.5)*4^(1-2.5)+1)*(0.5*((VALUE(tbl_CONTENT[[#This Row],[RelId]])-1)/4)^(2.5)+1),
 0
)</f>
        <v>6.0683906433495247</v>
      </c>
    </row>
    <row r="140" spans="3:20" ht="68" x14ac:dyDescent="0.2">
      <c r="C140" s="22" t="str">
        <f>_xlfn.XLOOKUP(tbl_CONTENT[[#This Row],[TopicID]], tbl_TOPIC[TopicID], tbl_TOPIC[Subject], "")</f>
        <v>TOP1</v>
      </c>
      <c r="D140" s="22" t="str">
        <f xml:space="preserve"> tbl_CONTENT[[#This Row],[TopicID]] &amp; "-" &amp; TEXT(tbl_CONTENT[[#This Row],[TopicIDCount]], "00")</f>
        <v>TOP1-1-04-16</v>
      </c>
      <c r="F140" s="22" t="str">
        <f>_xlfn.XLOOKUP(tbl_CONTENT[[#This Row],[Topic]], tbl_TOPIC[Topic], tbl_TOPIC[TopicID], "")</f>
        <v>TOP1-1-04</v>
      </c>
      <c r="G140" s="22" cm="1">
        <f t="array" ref="G140">SUM((tbl_CONTENT[[#This Row],[TopicID]]=INDEX(tbl_CONTENT[TopicID],1):tbl_CONTENT[[#This Row],[TopicID]])*1)</f>
        <v>16</v>
      </c>
      <c r="H140" s="22" t="s">
        <v>102</v>
      </c>
      <c r="I140" s="22" t="s">
        <v>317</v>
      </c>
      <c r="J140" s="22" t="s">
        <v>153</v>
      </c>
      <c r="K140" s="22">
        <v>1</v>
      </c>
      <c r="L140" s="22">
        <v>1</v>
      </c>
      <c r="M140" s="22">
        <v>3</v>
      </c>
      <c r="N140" s="22">
        <v>4</v>
      </c>
      <c r="O140" s="22">
        <v>5</v>
      </c>
      <c r="Q140" s="35">
        <f>IFERROR(
 (1.907*EXP(1)^(-0.5*tbl_CONTENT[[#This Row],[Layer]])) *
 ((tbl_CONTENT[[#This Row],[RelInt]]-1)^(2.5)*4^(1-2.5)+1) +
 ((tbl_CONTENT[[#This Row],[Comp]]-1)^(2.5)*4^(1-2.5)+1)*(0.5*((tbl_CONTENT[[#This Row],[RelInt]]-1)/4)^(2.5)+1),
 0
)</f>
        <v>5.5333665110238019</v>
      </c>
      <c r="R140" s="35">
        <f>IFERROR(
 (1.907*EXP(1)^(-0.5*VALUE(tbl_CONTENT[[#This Row],[Layer]]))) *
 ((VALUE(tbl_CONTENT[[#This Row],[RelId]])-1)^(2.5)*4^(1-2.5)+1) +
 ((VALUE(tbl_CONTENT[[#This Row],[Comp]])-1)^(2.5)*4^(1-2.5)+1)*(0.5*((VALUE(tbl_CONTENT[[#This Row],[RelId]])-1)/4)^(2.5)+1),
 0
)</f>
        <v>8.3439300121397828</v>
      </c>
    </row>
    <row r="141" spans="3:20" ht="68" x14ac:dyDescent="0.2">
      <c r="C141" s="22" t="str">
        <f>_xlfn.XLOOKUP(tbl_CONTENT[[#This Row],[TopicID]], tbl_TOPIC[TopicID], tbl_TOPIC[Subject], "")</f>
        <v>TOP1</v>
      </c>
      <c r="D141" s="22" t="str">
        <f xml:space="preserve"> tbl_CONTENT[[#This Row],[TopicID]] &amp; "-" &amp; TEXT(tbl_CONTENT[[#This Row],[TopicIDCount]], "00")</f>
        <v>TOP1-1-04-17</v>
      </c>
      <c r="F141" s="22" t="str">
        <f>_xlfn.XLOOKUP(tbl_CONTENT[[#This Row],[Topic]], tbl_TOPIC[Topic], tbl_TOPIC[TopicID], "")</f>
        <v>TOP1-1-04</v>
      </c>
      <c r="G141" s="22" cm="1">
        <f t="array" ref="G141">SUM((tbl_CONTENT[[#This Row],[TopicID]]=INDEX(tbl_CONTENT[TopicID],1):tbl_CONTENT[[#This Row],[TopicID]])*1)</f>
        <v>17</v>
      </c>
      <c r="H141" s="22" t="s">
        <v>102</v>
      </c>
      <c r="I141" s="22" t="s">
        <v>316</v>
      </c>
      <c r="J141" s="22" t="s">
        <v>152</v>
      </c>
      <c r="K141" s="22">
        <v>1</v>
      </c>
      <c r="L141" s="22">
        <v>1</v>
      </c>
      <c r="M141" s="22">
        <v>3</v>
      </c>
      <c r="N141" s="22">
        <v>4</v>
      </c>
      <c r="O141" s="22">
        <v>5</v>
      </c>
      <c r="Q141" s="35">
        <f>IFERROR(
 (1.907*EXP(1)^(-0.5*tbl_CONTENT[[#This Row],[Layer]])) *
 ((tbl_CONTENT[[#This Row],[RelInt]]-1)^(2.5)*4^(1-2.5)+1) +
 ((tbl_CONTENT[[#This Row],[Comp]]-1)^(2.5)*4^(1-2.5)+1)*(0.5*((tbl_CONTENT[[#This Row],[RelInt]]-1)/4)^(2.5)+1),
 0
)</f>
        <v>5.5333665110238019</v>
      </c>
      <c r="R141" s="35">
        <f>IFERROR(
 (1.907*EXP(1)^(-0.5*VALUE(tbl_CONTENT[[#This Row],[Layer]]))) *
 ((VALUE(tbl_CONTENT[[#This Row],[RelId]])-1)^(2.5)*4^(1-2.5)+1) +
 ((VALUE(tbl_CONTENT[[#This Row],[Comp]])-1)^(2.5)*4^(1-2.5)+1)*(0.5*((VALUE(tbl_CONTENT[[#This Row],[RelId]])-1)/4)^(2.5)+1),
 0
)</f>
        <v>8.3439300121397828</v>
      </c>
      <c r="T141" s="22" t="s">
        <v>315</v>
      </c>
    </row>
    <row r="142" spans="3:20" ht="34" x14ac:dyDescent="0.2">
      <c r="C142" s="22" t="str">
        <f>_xlfn.XLOOKUP(tbl_CONTENT[[#This Row],[TopicID]], tbl_TOPIC[TopicID], tbl_TOPIC[Subject], "")</f>
        <v>TOP1</v>
      </c>
      <c r="D142" s="22" t="str">
        <f xml:space="preserve"> tbl_CONTENT[[#This Row],[TopicID]] &amp; "-" &amp; TEXT(tbl_CONTENT[[#This Row],[TopicIDCount]], "00")</f>
        <v>TOP1-1-04-18</v>
      </c>
      <c r="F142" s="22" t="str">
        <f>_xlfn.XLOOKUP(tbl_CONTENT[[#This Row],[Topic]], tbl_TOPIC[Topic], tbl_TOPIC[TopicID], "")</f>
        <v>TOP1-1-04</v>
      </c>
      <c r="G142" s="22" cm="1">
        <f t="array" ref="G142">SUM((tbl_CONTENT[[#This Row],[TopicID]]=INDEX(tbl_CONTENT[TopicID],1):tbl_CONTENT[[#This Row],[TopicID]])*1)</f>
        <v>18</v>
      </c>
      <c r="H142" s="22" t="s">
        <v>102</v>
      </c>
      <c r="I142" s="22" t="s">
        <v>318</v>
      </c>
      <c r="J142" s="22" t="s">
        <v>153</v>
      </c>
      <c r="K142" s="22">
        <v>1</v>
      </c>
      <c r="L142" s="22">
        <v>1</v>
      </c>
      <c r="M142" s="22">
        <v>3</v>
      </c>
      <c r="N142" s="22">
        <v>4</v>
      </c>
      <c r="O142" s="22">
        <v>5</v>
      </c>
      <c r="Q142" s="35">
        <f>IFERROR(
 (1.907*EXP(1)^(-0.5*tbl_CONTENT[[#This Row],[Layer]])) *
 ((tbl_CONTENT[[#This Row],[RelInt]]-1)^(2.5)*4^(1-2.5)+1) +
 ((tbl_CONTENT[[#This Row],[Comp]]-1)^(2.5)*4^(1-2.5)+1)*(0.5*((tbl_CONTENT[[#This Row],[RelInt]]-1)/4)^(2.5)+1),
 0
)</f>
        <v>5.5333665110238019</v>
      </c>
      <c r="R142" s="35">
        <f>IFERROR(
 (1.907*EXP(1)^(-0.5*VALUE(tbl_CONTENT[[#This Row],[Layer]]))) *
 ((VALUE(tbl_CONTENT[[#This Row],[RelId]])-1)^(2.5)*4^(1-2.5)+1) +
 ((VALUE(tbl_CONTENT[[#This Row],[Comp]])-1)^(2.5)*4^(1-2.5)+1)*(0.5*((VALUE(tbl_CONTENT[[#This Row],[RelId]])-1)/4)^(2.5)+1),
 0
)</f>
        <v>8.3439300121397828</v>
      </c>
    </row>
    <row r="143" spans="3:20" ht="102" x14ac:dyDescent="0.2">
      <c r="C143" s="22" t="str">
        <f>_xlfn.XLOOKUP(tbl_CONTENT[[#This Row],[TopicID]], tbl_TOPIC[TopicID], tbl_TOPIC[Subject], "")</f>
        <v>TOP1</v>
      </c>
      <c r="D143" s="22" t="str">
        <f xml:space="preserve"> tbl_CONTENT[[#This Row],[TopicID]] &amp; "-" &amp; TEXT(tbl_CONTENT[[#This Row],[TopicIDCount]], "00")</f>
        <v>TOP1-1-04-19</v>
      </c>
      <c r="F143" s="22" t="str">
        <f>_xlfn.XLOOKUP(tbl_CONTENT[[#This Row],[Topic]], tbl_TOPIC[Topic], tbl_TOPIC[TopicID], "")</f>
        <v>TOP1-1-04</v>
      </c>
      <c r="G143" s="22" cm="1">
        <f t="array" ref="G143">SUM((tbl_CONTENT[[#This Row],[TopicID]]=INDEX(tbl_CONTENT[TopicID],1):tbl_CONTENT[[#This Row],[TopicID]])*1)</f>
        <v>19</v>
      </c>
      <c r="H143" s="22" t="s">
        <v>102</v>
      </c>
      <c r="I143" s="22" t="s">
        <v>1636</v>
      </c>
      <c r="J143" s="22" t="s">
        <v>151</v>
      </c>
      <c r="K143" s="22">
        <v>1</v>
      </c>
      <c r="L143" s="22">
        <v>1</v>
      </c>
      <c r="M143" s="22">
        <v>3</v>
      </c>
      <c r="N143" s="22">
        <v>5</v>
      </c>
      <c r="O143" s="22">
        <v>5</v>
      </c>
      <c r="Q143" s="35">
        <f>IFERROR(
 (1.907*EXP(1)^(-0.5*tbl_CONTENT[[#This Row],[Layer]])) *
 ((tbl_CONTENT[[#This Row],[RelInt]]-1)^(2.5)*4^(1-2.5)+1) +
 ((tbl_CONTENT[[#This Row],[Comp]]-1)^(2.5)*4^(1-2.5)+1)*(0.5*((tbl_CONTENT[[#This Row],[RelInt]]-1)/4)^(2.5)+1),
 0
)</f>
        <v>8.3439300121397828</v>
      </c>
      <c r="R143" s="35">
        <f>IFERROR(
 (1.907*EXP(1)^(-0.5*VALUE(tbl_CONTENT[[#This Row],[Layer]]))) *
 ((VALUE(tbl_CONTENT[[#This Row],[RelId]])-1)^(2.5)*4^(1-2.5)+1) +
 ((VALUE(tbl_CONTENT[[#This Row],[Comp]])-1)^(2.5)*4^(1-2.5)+1)*(0.5*((VALUE(tbl_CONTENT[[#This Row],[RelId]])-1)/4)^(2.5)+1),
 0
)</f>
        <v>8.3439300121397828</v>
      </c>
    </row>
    <row r="144" spans="3:20" ht="34" x14ac:dyDescent="0.2">
      <c r="C144" s="22" t="str">
        <f>_xlfn.XLOOKUP(tbl_CONTENT[[#This Row],[TopicID]], tbl_TOPIC[TopicID], tbl_TOPIC[Subject], "")</f>
        <v>TOP1</v>
      </c>
      <c r="D144" s="22" t="str">
        <f xml:space="preserve"> tbl_CONTENT[[#This Row],[TopicID]] &amp; "-" &amp; TEXT(tbl_CONTENT[[#This Row],[TopicIDCount]], "00")</f>
        <v>TOP1-1-04-20</v>
      </c>
      <c r="F144" s="22" t="str">
        <f>_xlfn.XLOOKUP(tbl_CONTENT[[#This Row],[Topic]], tbl_TOPIC[Topic], tbl_TOPIC[TopicID], "")</f>
        <v>TOP1-1-04</v>
      </c>
      <c r="G144" s="22" cm="1">
        <f t="array" ref="G144">SUM((tbl_CONTENT[[#This Row],[TopicID]]=INDEX(tbl_CONTENT[TopicID],1):tbl_CONTENT[[#This Row],[TopicID]])*1)</f>
        <v>20</v>
      </c>
      <c r="H144" s="22" t="s">
        <v>102</v>
      </c>
      <c r="I144" s="22" t="s">
        <v>319</v>
      </c>
      <c r="J144" s="22" t="s">
        <v>151</v>
      </c>
      <c r="K144" s="22">
        <v>1</v>
      </c>
      <c r="L144" s="22">
        <v>1</v>
      </c>
      <c r="M144" s="22">
        <v>2</v>
      </c>
      <c r="N144" s="22">
        <v>5</v>
      </c>
      <c r="O144" s="22">
        <v>5</v>
      </c>
      <c r="Q144" s="35">
        <f>IFERROR(
 (1.907*EXP(1)^(-0.5*tbl_CONTENT[[#This Row],[Layer]])) *
 ((tbl_CONTENT[[#This Row],[RelInt]]-1)^(2.5)*4^(1-2.5)+1) +
 ((tbl_CONTENT[[#This Row],[Comp]]-1)^(2.5)*4^(1-2.5)+1)*(0.5*((tbl_CONTENT[[#This Row],[RelInt]]-1)/4)^(2.5)+1),
 0
)</f>
        <v>7.4707698403599609</v>
      </c>
      <c r="R144" s="35">
        <f>IFERROR(
 (1.907*EXP(1)^(-0.5*VALUE(tbl_CONTENT[[#This Row],[Layer]]))) *
 ((VALUE(tbl_CONTENT[[#This Row],[RelId]])-1)^(2.5)*4^(1-2.5)+1) +
 ((VALUE(tbl_CONTENT[[#This Row],[Comp]])-1)^(2.5)*4^(1-2.5)+1)*(0.5*((VALUE(tbl_CONTENT[[#This Row],[RelId]])-1)/4)^(2.5)+1),
 0
)</f>
        <v>7.4707698403599609</v>
      </c>
    </row>
    <row r="145" spans="3:18" ht="34" x14ac:dyDescent="0.2">
      <c r="C145" s="22" t="str">
        <f>_xlfn.XLOOKUP(tbl_CONTENT[[#This Row],[TopicID]], tbl_TOPIC[TopicID], tbl_TOPIC[Subject], "")</f>
        <v>TOP1</v>
      </c>
      <c r="D145" s="22" t="str">
        <f xml:space="preserve"> tbl_CONTENT[[#This Row],[TopicID]] &amp; "-" &amp; TEXT(tbl_CONTENT[[#This Row],[TopicIDCount]], "00")</f>
        <v>TOP1-1-04-21</v>
      </c>
      <c r="F145" s="22" t="str">
        <f>_xlfn.XLOOKUP(tbl_CONTENT[[#This Row],[Topic]], tbl_TOPIC[Topic], tbl_TOPIC[TopicID], "")</f>
        <v>TOP1-1-04</v>
      </c>
      <c r="G145" s="22" cm="1">
        <f t="array" ref="G145">SUM((tbl_CONTENT[[#This Row],[TopicID]]=INDEX(tbl_CONTENT[TopicID],1):tbl_CONTENT[[#This Row],[TopicID]])*1)</f>
        <v>21</v>
      </c>
      <c r="H145" s="22" t="s">
        <v>102</v>
      </c>
      <c r="I145" s="22" t="s">
        <v>329</v>
      </c>
      <c r="J145" s="22" t="s">
        <v>273</v>
      </c>
      <c r="Q145" s="35">
        <f>IFERROR(
 (1.907*EXP(1)^(-0.5*tbl_CONTENT[[#This Row],[Layer]])) *
 ((tbl_CONTENT[[#This Row],[RelInt]]-1)^(2.5)*4^(1-2.5)+1) +
 ((tbl_CONTENT[[#This Row],[Comp]]-1)^(2.5)*4^(1-2.5)+1)*(0.5*((tbl_CONTENT[[#This Row],[RelInt]]-1)/4)^(2.5)+1),
 0
)</f>
        <v>0</v>
      </c>
      <c r="R145" s="35">
        <f>IFERROR(
 (1.907*EXP(1)^(-0.5*VALUE(tbl_CONTENT[[#This Row],[Layer]]))) *
 ((VALUE(tbl_CONTENT[[#This Row],[RelId]])-1)^(2.5)*4^(1-2.5)+1) +
 ((VALUE(tbl_CONTENT[[#This Row],[Comp]])-1)^(2.5)*4^(1-2.5)+1)*(0.5*((VALUE(tbl_CONTENT[[#This Row],[RelId]])-1)/4)^(2.5)+1),
 0
)</f>
        <v>0</v>
      </c>
    </row>
    <row r="146" spans="3:18" ht="17" x14ac:dyDescent="0.2">
      <c r="C146" s="22" t="s">
        <v>106</v>
      </c>
      <c r="D146" s="22" t="str">
        <f xml:space="preserve"> tbl_CONTENT[[#This Row],[TopicID]] &amp; "-" &amp; TEXT(tbl_CONTENT[[#This Row],[TopicIDCount]], "00")</f>
        <v>GPDE-1-02-01</v>
      </c>
      <c r="F146" s="22" t="str">
        <f>_xlfn.XLOOKUP(tbl_CONTENT[[#This Row],[Topic]], tbl_TOPIC[Topic], tbl_TOPIC[TopicID], "")</f>
        <v>GPDE-1-02</v>
      </c>
      <c r="G146" s="22" cm="1">
        <f t="array" ref="G146">SUM((tbl_CONTENT[[#This Row],[TopicID]]=INDEX(tbl_CONTENT[TopicID],1):tbl_CONTENT[[#This Row],[TopicID]])*1)</f>
        <v>1</v>
      </c>
      <c r="H146" s="22" t="s">
        <v>333</v>
      </c>
      <c r="I146" s="22" t="s">
        <v>352</v>
      </c>
      <c r="J146" s="22" t="s">
        <v>153</v>
      </c>
      <c r="K146" s="22">
        <v>1</v>
      </c>
      <c r="Q146" s="35">
        <f>IFERROR(
 (1.907*EXP(1)^(-0.5*tbl_CONTENT[[#This Row],[Layer]])) *
 ((tbl_CONTENT[[#This Row],[RelInt]]-1)^(2.5)*4^(1-2.5)+1) +
 ((tbl_CONTENT[[#This Row],[Comp]]-1)^(2.5)*4^(1-2.5)+1)*(0.5*((tbl_CONTENT[[#This Row],[RelInt]]-1)/4)^(2.5)+1),
 0
)</f>
        <v>0</v>
      </c>
      <c r="R146" s="35">
        <f>IFERROR(
 (1.907*EXP(1)^(-0.5*VALUE(tbl_CONTENT[[#This Row],[Layer]]))) *
 ((VALUE(tbl_CONTENT[[#This Row],[RelId]])-1)^(2.5)*4^(1-2.5)+1) +
 ((VALUE(tbl_CONTENT[[#This Row],[Comp]])-1)^(2.5)*4^(1-2.5)+1)*(0.5*((VALUE(tbl_CONTENT[[#This Row],[RelId]])-1)/4)^(2.5)+1),
 0
)</f>
        <v>0</v>
      </c>
    </row>
    <row r="147" spans="3:18" ht="17" x14ac:dyDescent="0.2">
      <c r="C147" s="22" t="s">
        <v>106</v>
      </c>
      <c r="D147" s="22" t="str">
        <f xml:space="preserve"> tbl_CONTENT[[#This Row],[TopicID]] &amp; "-" &amp; TEXT(tbl_CONTENT[[#This Row],[TopicIDCount]], "00")</f>
        <v>GPDE-1-02-02</v>
      </c>
      <c r="F147" s="22" t="str">
        <f>_xlfn.XLOOKUP(tbl_CONTENT[[#This Row],[Topic]], tbl_TOPIC[Topic], tbl_TOPIC[TopicID], "")</f>
        <v>GPDE-1-02</v>
      </c>
      <c r="G147" s="22" cm="1">
        <f t="array" ref="G147">SUM((tbl_CONTENT[[#This Row],[TopicID]]=INDEX(tbl_CONTENT[TopicID],1):tbl_CONTENT[[#This Row],[TopicID]])*1)</f>
        <v>2</v>
      </c>
      <c r="H147" s="22" t="s">
        <v>333</v>
      </c>
      <c r="I147" s="22" t="s">
        <v>336</v>
      </c>
      <c r="J147" s="22" t="s">
        <v>153</v>
      </c>
      <c r="Q147" s="35">
        <f>IFERROR(
 (1.907*EXP(1)^(-0.5*tbl_CONTENT[[#This Row],[Layer]])) *
 ((tbl_CONTENT[[#This Row],[RelInt]]-1)^(2.5)*4^(1-2.5)+1) +
 ((tbl_CONTENT[[#This Row],[Comp]]-1)^(2.5)*4^(1-2.5)+1)*(0.5*((tbl_CONTENT[[#This Row],[RelInt]]-1)/4)^(2.5)+1),
 0
)</f>
        <v>0</v>
      </c>
      <c r="R147" s="35">
        <f>IFERROR(
 (1.907*EXP(1)^(-0.5*VALUE(tbl_CONTENT[[#This Row],[Layer]]))) *
 ((VALUE(tbl_CONTENT[[#This Row],[RelId]])-1)^(2.5)*4^(1-2.5)+1) +
 ((VALUE(tbl_CONTENT[[#This Row],[Comp]])-1)^(2.5)*4^(1-2.5)+1)*(0.5*((VALUE(tbl_CONTENT[[#This Row],[RelId]])-1)/4)^(2.5)+1),
 0
)</f>
        <v>0</v>
      </c>
    </row>
    <row r="148" spans="3:18" ht="17" x14ac:dyDescent="0.2">
      <c r="C148" s="22" t="s">
        <v>106</v>
      </c>
      <c r="D148" s="22" t="str">
        <f xml:space="preserve"> tbl_CONTENT[[#This Row],[TopicID]] &amp; "-" &amp; TEXT(tbl_CONTENT[[#This Row],[TopicIDCount]], "00")</f>
        <v>GPDE-1-02-03</v>
      </c>
      <c r="F148" s="22" t="str">
        <f>_xlfn.XLOOKUP(tbl_CONTENT[[#This Row],[Topic]], tbl_TOPIC[Topic], tbl_TOPIC[TopicID], "")</f>
        <v>GPDE-1-02</v>
      </c>
      <c r="G148" s="22" cm="1">
        <f t="array" ref="G148">SUM((tbl_CONTENT[[#This Row],[TopicID]]=INDEX(tbl_CONTENT[TopicID],1):tbl_CONTENT[[#This Row],[TopicID]])*1)</f>
        <v>3</v>
      </c>
      <c r="H148" s="22" t="s">
        <v>333</v>
      </c>
      <c r="I148" s="22" t="s">
        <v>337</v>
      </c>
      <c r="J148" s="22" t="s">
        <v>153</v>
      </c>
      <c r="K148" s="22">
        <v>1</v>
      </c>
      <c r="Q148" s="35">
        <f>IFERROR(
 (1.907*EXP(1)^(-0.5*tbl_CONTENT[[#This Row],[Layer]])) *
 ((tbl_CONTENT[[#This Row],[RelInt]]-1)^(2.5)*4^(1-2.5)+1) +
 ((tbl_CONTENT[[#This Row],[Comp]]-1)^(2.5)*4^(1-2.5)+1)*(0.5*((tbl_CONTENT[[#This Row],[RelInt]]-1)/4)^(2.5)+1),
 0
)</f>
        <v>0</v>
      </c>
      <c r="R148" s="35">
        <f>IFERROR(
 (1.907*EXP(1)^(-0.5*VALUE(tbl_CONTENT[[#This Row],[Layer]]))) *
 ((VALUE(tbl_CONTENT[[#This Row],[RelId]])-1)^(2.5)*4^(1-2.5)+1) +
 ((VALUE(tbl_CONTENT[[#This Row],[Comp]])-1)^(2.5)*4^(1-2.5)+1)*(0.5*((VALUE(tbl_CONTENT[[#This Row],[RelId]])-1)/4)^(2.5)+1),
 0
)</f>
        <v>0</v>
      </c>
    </row>
    <row r="149" spans="3:18" ht="17" x14ac:dyDescent="0.2">
      <c r="C149" s="22" t="s">
        <v>106</v>
      </c>
      <c r="D149" s="22" t="str">
        <f xml:space="preserve"> tbl_CONTENT[[#This Row],[TopicID]] &amp; "-" &amp; TEXT(tbl_CONTENT[[#This Row],[TopicIDCount]], "00")</f>
        <v>GPDE-1-02-04</v>
      </c>
      <c r="F149" s="22" t="str">
        <f>_xlfn.XLOOKUP(tbl_CONTENT[[#This Row],[Topic]], tbl_TOPIC[Topic], tbl_TOPIC[TopicID], "")</f>
        <v>GPDE-1-02</v>
      </c>
      <c r="G149" s="22" cm="1">
        <f t="array" ref="G149">SUM((tbl_CONTENT[[#This Row],[TopicID]]=INDEX(tbl_CONTENT[TopicID],1):tbl_CONTENT[[#This Row],[TopicID]])*1)</f>
        <v>4</v>
      </c>
      <c r="H149" s="22" t="s">
        <v>333</v>
      </c>
      <c r="I149" s="22" t="s">
        <v>338</v>
      </c>
      <c r="J149" s="22" t="s">
        <v>153</v>
      </c>
      <c r="Q149" s="35">
        <f>IFERROR(
 (1.907*EXP(1)^(-0.5*tbl_CONTENT[[#This Row],[Layer]])) *
 ((tbl_CONTENT[[#This Row],[RelInt]]-1)^(2.5)*4^(1-2.5)+1) +
 ((tbl_CONTENT[[#This Row],[Comp]]-1)^(2.5)*4^(1-2.5)+1)*(0.5*((tbl_CONTENT[[#This Row],[RelInt]]-1)/4)^(2.5)+1),
 0
)</f>
        <v>0</v>
      </c>
      <c r="R149" s="35">
        <f>IFERROR(
 (1.907*EXP(1)^(-0.5*VALUE(tbl_CONTENT[[#This Row],[Layer]]))) *
 ((VALUE(tbl_CONTENT[[#This Row],[RelId]])-1)^(2.5)*4^(1-2.5)+1) +
 ((VALUE(tbl_CONTENT[[#This Row],[Comp]])-1)^(2.5)*4^(1-2.5)+1)*(0.5*((VALUE(tbl_CONTENT[[#This Row],[RelId]])-1)/4)^(2.5)+1),
 0
)</f>
        <v>0</v>
      </c>
    </row>
    <row r="150" spans="3:18" ht="17" x14ac:dyDescent="0.2">
      <c r="C150" s="22" t="s">
        <v>106</v>
      </c>
      <c r="D150" s="22" t="str">
        <f xml:space="preserve"> tbl_CONTENT[[#This Row],[TopicID]] &amp; "-" &amp; TEXT(tbl_CONTENT[[#This Row],[TopicIDCount]], "00")</f>
        <v>GPDE-1-02-05</v>
      </c>
      <c r="F150" s="22" t="str">
        <f>_xlfn.XLOOKUP(tbl_CONTENT[[#This Row],[Topic]], tbl_TOPIC[Topic], tbl_TOPIC[TopicID], "")</f>
        <v>GPDE-1-02</v>
      </c>
      <c r="G150" s="22" cm="1">
        <f t="array" ref="G150">SUM((tbl_CONTENT[[#This Row],[TopicID]]=INDEX(tbl_CONTENT[TopicID],1):tbl_CONTENT[[#This Row],[TopicID]])*1)</f>
        <v>5</v>
      </c>
      <c r="H150" s="22" t="s">
        <v>333</v>
      </c>
      <c r="I150" s="22" t="s">
        <v>339</v>
      </c>
      <c r="J150" s="22" t="s">
        <v>153</v>
      </c>
      <c r="Q150" s="35">
        <f>IFERROR(
 (1.907*EXP(1)^(-0.5*tbl_CONTENT[[#This Row],[Layer]])) *
 ((tbl_CONTENT[[#This Row],[RelInt]]-1)^(2.5)*4^(1-2.5)+1) +
 ((tbl_CONTENT[[#This Row],[Comp]]-1)^(2.5)*4^(1-2.5)+1)*(0.5*((tbl_CONTENT[[#This Row],[RelInt]]-1)/4)^(2.5)+1),
 0
)</f>
        <v>0</v>
      </c>
      <c r="R150" s="35">
        <f>IFERROR(
 (1.907*EXP(1)^(-0.5*VALUE(tbl_CONTENT[[#This Row],[Layer]]))) *
 ((VALUE(tbl_CONTENT[[#This Row],[RelId]])-1)^(2.5)*4^(1-2.5)+1) +
 ((VALUE(tbl_CONTENT[[#This Row],[Comp]])-1)^(2.5)*4^(1-2.5)+1)*(0.5*((VALUE(tbl_CONTENT[[#This Row],[RelId]])-1)/4)^(2.5)+1),
 0
)</f>
        <v>0</v>
      </c>
    </row>
    <row r="151" spans="3:18" ht="34" x14ac:dyDescent="0.2">
      <c r="C151" s="22" t="s">
        <v>106</v>
      </c>
      <c r="D151" s="22" t="str">
        <f xml:space="preserve"> tbl_CONTENT[[#This Row],[TopicID]] &amp; "-" &amp; TEXT(tbl_CONTENT[[#This Row],[TopicIDCount]], "00")</f>
        <v>GPDE-1-02-06</v>
      </c>
      <c r="F151" s="22" t="str">
        <f>_xlfn.XLOOKUP(tbl_CONTENT[[#This Row],[Topic]], tbl_TOPIC[Topic], tbl_TOPIC[TopicID], "")</f>
        <v>GPDE-1-02</v>
      </c>
      <c r="G151" s="22" cm="1">
        <f t="array" ref="G151">SUM((tbl_CONTENT[[#This Row],[TopicID]]=INDEX(tbl_CONTENT[TopicID],1):tbl_CONTENT[[#This Row],[TopicID]])*1)</f>
        <v>6</v>
      </c>
      <c r="H151" s="22" t="s">
        <v>333</v>
      </c>
      <c r="I151" s="22" t="s">
        <v>340</v>
      </c>
      <c r="J151" s="22" t="s">
        <v>153</v>
      </c>
      <c r="Q151" s="35">
        <f>IFERROR(
 (1.907*EXP(1)^(-0.5*tbl_CONTENT[[#This Row],[Layer]])) *
 ((tbl_CONTENT[[#This Row],[RelInt]]-1)^(2.5)*4^(1-2.5)+1) +
 ((tbl_CONTENT[[#This Row],[Comp]]-1)^(2.5)*4^(1-2.5)+1)*(0.5*((tbl_CONTENT[[#This Row],[RelInt]]-1)/4)^(2.5)+1),
 0
)</f>
        <v>0</v>
      </c>
      <c r="R151" s="35">
        <f>IFERROR(
 (1.907*EXP(1)^(-0.5*VALUE(tbl_CONTENT[[#This Row],[Layer]]))) *
 ((VALUE(tbl_CONTENT[[#This Row],[RelId]])-1)^(2.5)*4^(1-2.5)+1) +
 ((VALUE(tbl_CONTENT[[#This Row],[Comp]])-1)^(2.5)*4^(1-2.5)+1)*(0.5*((VALUE(tbl_CONTENT[[#This Row],[RelId]])-1)/4)^(2.5)+1),
 0
)</f>
        <v>0</v>
      </c>
    </row>
    <row r="152" spans="3:18" ht="17" x14ac:dyDescent="0.2">
      <c r="C152" s="22" t="s">
        <v>106</v>
      </c>
      <c r="D152" s="22" t="str">
        <f xml:space="preserve"> tbl_CONTENT[[#This Row],[TopicID]] &amp; "-" &amp; TEXT(tbl_CONTENT[[#This Row],[TopicIDCount]], "00")</f>
        <v>GPDE-1-02-07</v>
      </c>
      <c r="F152" s="22" t="str">
        <f>_xlfn.XLOOKUP(tbl_CONTENT[[#This Row],[Topic]], tbl_TOPIC[Topic], tbl_TOPIC[TopicID], "")</f>
        <v>GPDE-1-02</v>
      </c>
      <c r="G152" s="22" cm="1">
        <f t="array" ref="G152">SUM((tbl_CONTENT[[#This Row],[TopicID]]=INDEX(tbl_CONTENT[TopicID],1):tbl_CONTENT[[#This Row],[TopicID]])*1)</f>
        <v>7</v>
      </c>
      <c r="H152" s="22" t="s">
        <v>333</v>
      </c>
      <c r="I152" s="22" t="s">
        <v>341</v>
      </c>
      <c r="J152" s="22" t="s">
        <v>153</v>
      </c>
      <c r="K152" s="22">
        <v>1</v>
      </c>
      <c r="Q152" s="35">
        <f>IFERROR(
 (1.907*EXP(1)^(-0.5*tbl_CONTENT[[#This Row],[Layer]])) *
 ((tbl_CONTENT[[#This Row],[RelInt]]-1)^(2.5)*4^(1-2.5)+1) +
 ((tbl_CONTENT[[#This Row],[Comp]]-1)^(2.5)*4^(1-2.5)+1)*(0.5*((tbl_CONTENT[[#This Row],[RelInt]]-1)/4)^(2.5)+1),
 0
)</f>
        <v>0</v>
      </c>
      <c r="R152" s="35">
        <f>IFERROR(
 (1.907*EXP(1)^(-0.5*VALUE(tbl_CONTENT[[#This Row],[Layer]]))) *
 ((VALUE(tbl_CONTENT[[#This Row],[RelId]])-1)^(2.5)*4^(1-2.5)+1) +
 ((VALUE(tbl_CONTENT[[#This Row],[Comp]])-1)^(2.5)*4^(1-2.5)+1)*(0.5*((VALUE(tbl_CONTENT[[#This Row],[RelId]])-1)/4)^(2.5)+1),
 0
)</f>
        <v>0</v>
      </c>
    </row>
    <row r="153" spans="3:18" ht="34" x14ac:dyDescent="0.2">
      <c r="C153" s="22" t="s">
        <v>106</v>
      </c>
      <c r="D153" s="22" t="str">
        <f xml:space="preserve"> tbl_CONTENT[[#This Row],[TopicID]] &amp; "-" &amp; TEXT(tbl_CONTENT[[#This Row],[TopicIDCount]], "00")</f>
        <v>GPDE-1-02-08</v>
      </c>
      <c r="F153" s="22" t="str">
        <f>_xlfn.XLOOKUP(tbl_CONTENT[[#This Row],[Topic]], tbl_TOPIC[Topic], tbl_TOPIC[TopicID], "")</f>
        <v>GPDE-1-02</v>
      </c>
      <c r="G153" s="22" cm="1">
        <f t="array" ref="G153">SUM((tbl_CONTENT[[#This Row],[TopicID]]=INDEX(tbl_CONTENT[TopicID],1):tbl_CONTENT[[#This Row],[TopicID]])*1)</f>
        <v>8</v>
      </c>
      <c r="H153" s="22" t="s">
        <v>333</v>
      </c>
      <c r="I153" s="22" t="s">
        <v>343</v>
      </c>
      <c r="J153" s="22" t="s">
        <v>153</v>
      </c>
      <c r="K153" s="22">
        <v>1</v>
      </c>
      <c r="Q153" s="35">
        <f>IFERROR(
 (1.907*EXP(1)^(-0.5*tbl_CONTENT[[#This Row],[Layer]])) *
 ((tbl_CONTENT[[#This Row],[RelInt]]-1)^(2.5)*4^(1-2.5)+1) +
 ((tbl_CONTENT[[#This Row],[Comp]]-1)^(2.5)*4^(1-2.5)+1)*(0.5*((tbl_CONTENT[[#This Row],[RelInt]]-1)/4)^(2.5)+1),
 0
)</f>
        <v>0</v>
      </c>
      <c r="R153" s="35">
        <f>IFERROR(
 (1.907*EXP(1)^(-0.5*VALUE(tbl_CONTENT[[#This Row],[Layer]]))) *
 ((VALUE(tbl_CONTENT[[#This Row],[RelId]])-1)^(2.5)*4^(1-2.5)+1) +
 ((VALUE(tbl_CONTENT[[#This Row],[Comp]])-1)^(2.5)*4^(1-2.5)+1)*(0.5*((VALUE(tbl_CONTENT[[#This Row],[RelId]])-1)/4)^(2.5)+1),
 0
)</f>
        <v>0</v>
      </c>
    </row>
    <row r="154" spans="3:18" ht="34" x14ac:dyDescent="0.2">
      <c r="C154" s="22" t="s">
        <v>106</v>
      </c>
      <c r="D154" s="22" t="str">
        <f xml:space="preserve"> tbl_CONTENT[[#This Row],[TopicID]] &amp; "-" &amp; TEXT(tbl_CONTENT[[#This Row],[TopicIDCount]], "00")</f>
        <v>GPDE-1-02-09</v>
      </c>
      <c r="F154" s="22" t="str">
        <f>_xlfn.XLOOKUP(tbl_CONTENT[[#This Row],[Topic]], tbl_TOPIC[Topic], tbl_TOPIC[TopicID], "")</f>
        <v>GPDE-1-02</v>
      </c>
      <c r="G154" s="22" cm="1">
        <f t="array" ref="G154">SUM((tbl_CONTENT[[#This Row],[TopicID]]=INDEX(tbl_CONTENT[TopicID],1):tbl_CONTENT[[#This Row],[TopicID]])*1)</f>
        <v>9</v>
      </c>
      <c r="H154" s="22" t="s">
        <v>333</v>
      </c>
      <c r="I154" s="22" t="s">
        <v>342</v>
      </c>
      <c r="J154" s="22" t="s">
        <v>153</v>
      </c>
      <c r="K154" s="22">
        <v>1</v>
      </c>
      <c r="Q154" s="35">
        <f>IFERROR(
 (1.907*EXP(1)^(-0.5*tbl_CONTENT[[#This Row],[Layer]])) *
 ((tbl_CONTENT[[#This Row],[RelInt]]-1)^(2.5)*4^(1-2.5)+1) +
 ((tbl_CONTENT[[#This Row],[Comp]]-1)^(2.5)*4^(1-2.5)+1)*(0.5*((tbl_CONTENT[[#This Row],[RelInt]]-1)/4)^(2.5)+1),
 0
)</f>
        <v>0</v>
      </c>
      <c r="R154" s="35">
        <f>IFERROR(
 (1.907*EXP(1)^(-0.5*VALUE(tbl_CONTENT[[#This Row],[Layer]]))) *
 ((VALUE(tbl_CONTENT[[#This Row],[RelId]])-1)^(2.5)*4^(1-2.5)+1) +
 ((VALUE(tbl_CONTENT[[#This Row],[Comp]])-1)^(2.5)*4^(1-2.5)+1)*(0.5*((VALUE(tbl_CONTENT[[#This Row],[RelId]])-1)/4)^(2.5)+1),
 0
)</f>
        <v>0</v>
      </c>
    </row>
    <row r="155" spans="3:18" ht="17" x14ac:dyDescent="0.2">
      <c r="C155" s="22" t="s">
        <v>106</v>
      </c>
      <c r="D155" s="22" t="str">
        <f xml:space="preserve"> tbl_CONTENT[[#This Row],[TopicID]] &amp; "-" &amp; TEXT(tbl_CONTENT[[#This Row],[TopicIDCount]], "00")</f>
        <v>GPDE-1-02-10</v>
      </c>
      <c r="F155" s="22" t="str">
        <f>_xlfn.XLOOKUP(tbl_CONTENT[[#This Row],[Topic]], tbl_TOPIC[Topic], tbl_TOPIC[TopicID], "")</f>
        <v>GPDE-1-02</v>
      </c>
      <c r="G155" s="22" cm="1">
        <f t="array" ref="G155">SUM((tbl_CONTENT[[#This Row],[TopicID]]=INDEX(tbl_CONTENT[TopicID],1):tbl_CONTENT[[#This Row],[TopicID]])*1)</f>
        <v>10</v>
      </c>
      <c r="H155" s="22" t="s">
        <v>333</v>
      </c>
      <c r="I155" s="22" t="s">
        <v>344</v>
      </c>
      <c r="J155" s="22" t="s">
        <v>153</v>
      </c>
      <c r="K155" s="22">
        <v>1</v>
      </c>
      <c r="Q155" s="35">
        <f>IFERROR(
 (1.907*EXP(1)^(-0.5*tbl_CONTENT[[#This Row],[Layer]])) *
 ((tbl_CONTENT[[#This Row],[RelInt]]-1)^(2.5)*4^(1-2.5)+1) +
 ((tbl_CONTENT[[#This Row],[Comp]]-1)^(2.5)*4^(1-2.5)+1)*(0.5*((tbl_CONTENT[[#This Row],[RelInt]]-1)/4)^(2.5)+1),
 0
)</f>
        <v>0</v>
      </c>
      <c r="R155" s="35">
        <f>IFERROR(
 (1.907*EXP(1)^(-0.5*VALUE(tbl_CONTENT[[#This Row],[Layer]]))) *
 ((VALUE(tbl_CONTENT[[#This Row],[RelId]])-1)^(2.5)*4^(1-2.5)+1) +
 ((VALUE(tbl_CONTENT[[#This Row],[Comp]])-1)^(2.5)*4^(1-2.5)+1)*(0.5*((VALUE(tbl_CONTENT[[#This Row],[RelId]])-1)/4)^(2.5)+1),
 0
)</f>
        <v>0</v>
      </c>
    </row>
    <row r="156" spans="3:18" ht="34" x14ac:dyDescent="0.2">
      <c r="C156" s="22" t="s">
        <v>106</v>
      </c>
      <c r="D156" s="22" t="str">
        <f xml:space="preserve"> tbl_CONTENT[[#This Row],[TopicID]] &amp; "-" &amp; TEXT(tbl_CONTENT[[#This Row],[TopicIDCount]], "00")</f>
        <v>GPDE-1-02-11</v>
      </c>
      <c r="F156" s="22" t="str">
        <f>_xlfn.XLOOKUP(tbl_CONTENT[[#This Row],[Topic]], tbl_TOPIC[Topic], tbl_TOPIC[TopicID], "")</f>
        <v>GPDE-1-02</v>
      </c>
      <c r="G156" s="22" cm="1">
        <f t="array" ref="G156">SUM((tbl_CONTENT[[#This Row],[TopicID]]=INDEX(tbl_CONTENT[TopicID],1):tbl_CONTENT[[#This Row],[TopicID]])*1)</f>
        <v>11</v>
      </c>
      <c r="H156" s="22" t="s">
        <v>333</v>
      </c>
      <c r="I156" s="22" t="s">
        <v>345</v>
      </c>
      <c r="J156" s="22" t="s">
        <v>153</v>
      </c>
      <c r="K156" s="22">
        <v>1</v>
      </c>
      <c r="Q156" s="35">
        <f>IFERROR(
 (1.907*EXP(1)^(-0.5*tbl_CONTENT[[#This Row],[Layer]])) *
 ((tbl_CONTENT[[#This Row],[RelInt]]-1)^(2.5)*4^(1-2.5)+1) +
 ((tbl_CONTENT[[#This Row],[Comp]]-1)^(2.5)*4^(1-2.5)+1)*(0.5*((tbl_CONTENT[[#This Row],[RelInt]]-1)/4)^(2.5)+1),
 0
)</f>
        <v>0</v>
      </c>
      <c r="R156" s="35">
        <f>IFERROR(
 (1.907*EXP(1)^(-0.5*VALUE(tbl_CONTENT[[#This Row],[Layer]]))) *
 ((VALUE(tbl_CONTENT[[#This Row],[RelId]])-1)^(2.5)*4^(1-2.5)+1) +
 ((VALUE(tbl_CONTENT[[#This Row],[Comp]])-1)^(2.5)*4^(1-2.5)+1)*(0.5*((VALUE(tbl_CONTENT[[#This Row],[RelId]])-1)/4)^(2.5)+1),
 0
)</f>
        <v>0</v>
      </c>
    </row>
    <row r="157" spans="3:18" ht="19" customHeight="1" x14ac:dyDescent="0.2">
      <c r="C157" s="22" t="s">
        <v>106</v>
      </c>
      <c r="D157" s="22" t="str">
        <f xml:space="preserve"> tbl_CONTENT[[#This Row],[TopicID]] &amp; "-" &amp; TEXT(tbl_CONTENT[[#This Row],[TopicIDCount]], "00")</f>
        <v>GPDE-1-03-01</v>
      </c>
      <c r="F157" s="22" t="str">
        <f>_xlfn.XLOOKUP(tbl_CONTENT[[#This Row],[Topic]], tbl_TOPIC[Topic], tbl_TOPIC[TopicID], "")</f>
        <v>GPDE-1-03</v>
      </c>
      <c r="G157" s="22" cm="1">
        <f t="array" ref="G157">SUM((tbl_CONTENT[[#This Row],[TopicID]]=INDEX(tbl_CONTENT[TopicID],1):tbl_CONTENT[[#This Row],[TopicID]])*1)</f>
        <v>1</v>
      </c>
      <c r="H157" s="22" t="s">
        <v>330</v>
      </c>
      <c r="I157" s="22" t="s">
        <v>346</v>
      </c>
      <c r="J157" s="22" t="s">
        <v>153</v>
      </c>
      <c r="Q157" s="35">
        <f>IFERROR(
 (1.907*EXP(1)^(-0.5*tbl_CONTENT[[#This Row],[Layer]])) *
 ((tbl_CONTENT[[#This Row],[RelInt]]-1)^(2.5)*4^(1-2.5)+1) +
 ((tbl_CONTENT[[#This Row],[Comp]]-1)^(2.5)*4^(1-2.5)+1)*(0.5*((tbl_CONTENT[[#This Row],[RelInt]]-1)/4)^(2.5)+1),
 0
)</f>
        <v>0</v>
      </c>
      <c r="R157" s="35">
        <f>IFERROR(
 (1.907*EXP(1)^(-0.5*VALUE(tbl_CONTENT[[#This Row],[Layer]]))) *
 ((VALUE(tbl_CONTENT[[#This Row],[RelId]])-1)^(2.5)*4^(1-2.5)+1) +
 ((VALUE(tbl_CONTENT[[#This Row],[Comp]])-1)^(2.5)*4^(1-2.5)+1)*(0.5*((VALUE(tbl_CONTENT[[#This Row],[RelId]])-1)/4)^(2.5)+1),
 0
)</f>
        <v>0</v>
      </c>
    </row>
    <row r="158" spans="3:18" ht="17" x14ac:dyDescent="0.2">
      <c r="C158" s="22" t="s">
        <v>106</v>
      </c>
      <c r="D158" s="22" t="str">
        <f xml:space="preserve"> tbl_CONTENT[[#This Row],[TopicID]] &amp; "-" &amp; TEXT(tbl_CONTENT[[#This Row],[TopicIDCount]], "00")</f>
        <v>GPDE-1-03-02</v>
      </c>
      <c r="F158" s="22" t="str">
        <f>_xlfn.XLOOKUP(tbl_CONTENT[[#This Row],[Topic]], tbl_TOPIC[Topic], tbl_TOPIC[TopicID], "")</f>
        <v>GPDE-1-03</v>
      </c>
      <c r="G158" s="22" cm="1">
        <f t="array" ref="G158">SUM((tbl_CONTENT[[#This Row],[TopicID]]=INDEX(tbl_CONTENT[TopicID],1):tbl_CONTENT[[#This Row],[TopicID]])*1)</f>
        <v>2</v>
      </c>
      <c r="H158" s="22" t="s">
        <v>330</v>
      </c>
      <c r="I158" s="22" t="s">
        <v>348</v>
      </c>
      <c r="J158" s="22" t="s">
        <v>153</v>
      </c>
      <c r="Q158" s="35">
        <f>IFERROR(
 (1.907*EXP(1)^(-0.5*tbl_CONTENT[[#This Row],[Layer]])) *
 ((tbl_CONTENT[[#This Row],[RelInt]]-1)^(2.5)*4^(1-2.5)+1) +
 ((tbl_CONTENT[[#This Row],[Comp]]-1)^(2.5)*4^(1-2.5)+1)*(0.5*((tbl_CONTENT[[#This Row],[RelInt]]-1)/4)^(2.5)+1),
 0
)</f>
        <v>0</v>
      </c>
      <c r="R158" s="35">
        <f>IFERROR(
 (1.907*EXP(1)^(-0.5*VALUE(tbl_CONTENT[[#This Row],[Layer]]))) *
 ((VALUE(tbl_CONTENT[[#This Row],[RelId]])-1)^(2.5)*4^(1-2.5)+1) +
 ((VALUE(tbl_CONTENT[[#This Row],[Comp]])-1)^(2.5)*4^(1-2.5)+1)*(0.5*((VALUE(tbl_CONTENT[[#This Row],[RelId]])-1)/4)^(2.5)+1),
 0
)</f>
        <v>0</v>
      </c>
    </row>
    <row r="159" spans="3:18" ht="17" x14ac:dyDescent="0.2">
      <c r="C159" s="22" t="s">
        <v>106</v>
      </c>
      <c r="D159" s="22" t="str">
        <f xml:space="preserve"> tbl_CONTENT[[#This Row],[TopicID]] &amp; "-" &amp; TEXT(tbl_CONTENT[[#This Row],[TopicIDCount]], "00")</f>
        <v>GPDE-1-03-03</v>
      </c>
      <c r="F159" s="22" t="str">
        <f>_xlfn.XLOOKUP(tbl_CONTENT[[#This Row],[Topic]], tbl_TOPIC[Topic], tbl_TOPIC[TopicID], "")</f>
        <v>GPDE-1-03</v>
      </c>
      <c r="G159" s="22" cm="1">
        <f t="array" ref="G159">SUM((tbl_CONTENT[[#This Row],[TopicID]]=INDEX(tbl_CONTENT[TopicID],1):tbl_CONTENT[[#This Row],[TopicID]])*1)</f>
        <v>3</v>
      </c>
      <c r="H159" s="22" t="s">
        <v>330</v>
      </c>
      <c r="I159" s="22" t="s">
        <v>349</v>
      </c>
      <c r="J159" s="22" t="s">
        <v>153</v>
      </c>
      <c r="Q159" s="35">
        <f>IFERROR(
 (1.907*EXP(1)^(-0.5*tbl_CONTENT[[#This Row],[Layer]])) *
 ((tbl_CONTENT[[#This Row],[RelInt]]-1)^(2.5)*4^(1-2.5)+1) +
 ((tbl_CONTENT[[#This Row],[Comp]]-1)^(2.5)*4^(1-2.5)+1)*(0.5*((tbl_CONTENT[[#This Row],[RelInt]]-1)/4)^(2.5)+1),
 0
)</f>
        <v>0</v>
      </c>
      <c r="R159" s="35">
        <f>IFERROR(
 (1.907*EXP(1)^(-0.5*VALUE(tbl_CONTENT[[#This Row],[Layer]]))) *
 ((VALUE(tbl_CONTENT[[#This Row],[RelId]])-1)^(2.5)*4^(1-2.5)+1) +
 ((VALUE(tbl_CONTENT[[#This Row],[Comp]])-1)^(2.5)*4^(1-2.5)+1)*(0.5*((VALUE(tbl_CONTENT[[#This Row],[RelId]])-1)/4)^(2.5)+1),
 0
)</f>
        <v>0</v>
      </c>
    </row>
    <row r="160" spans="3:18" ht="17" x14ac:dyDescent="0.2">
      <c r="C160" s="22" t="s">
        <v>106</v>
      </c>
      <c r="D160" s="22" t="str">
        <f xml:space="preserve"> tbl_CONTENT[[#This Row],[TopicID]] &amp; "-" &amp; TEXT(tbl_CONTENT[[#This Row],[TopicIDCount]], "00")</f>
        <v>GPDE-1-03-04</v>
      </c>
      <c r="F160" s="22" t="str">
        <f>_xlfn.XLOOKUP(tbl_CONTENT[[#This Row],[Topic]], tbl_TOPIC[Topic], tbl_TOPIC[TopicID], "")</f>
        <v>GPDE-1-03</v>
      </c>
      <c r="G160" s="22" cm="1">
        <f t="array" ref="G160">SUM((tbl_CONTENT[[#This Row],[TopicID]]=INDEX(tbl_CONTENT[TopicID],1):tbl_CONTENT[[#This Row],[TopicID]])*1)</f>
        <v>4</v>
      </c>
      <c r="H160" s="22" t="s">
        <v>330</v>
      </c>
      <c r="I160" s="22" t="s">
        <v>350</v>
      </c>
      <c r="J160" s="22" t="s">
        <v>153</v>
      </c>
      <c r="Q160" s="35">
        <f>IFERROR(
 (1.907*EXP(1)^(-0.5*tbl_CONTENT[[#This Row],[Layer]])) *
 ((tbl_CONTENT[[#This Row],[RelInt]]-1)^(2.5)*4^(1-2.5)+1) +
 ((tbl_CONTENT[[#This Row],[Comp]]-1)^(2.5)*4^(1-2.5)+1)*(0.5*((tbl_CONTENT[[#This Row],[RelInt]]-1)/4)^(2.5)+1),
 0
)</f>
        <v>0</v>
      </c>
      <c r="R160" s="35">
        <f>IFERROR(
 (1.907*EXP(1)^(-0.5*VALUE(tbl_CONTENT[[#This Row],[Layer]]))) *
 ((VALUE(tbl_CONTENT[[#This Row],[RelId]])-1)^(2.5)*4^(1-2.5)+1) +
 ((VALUE(tbl_CONTENT[[#This Row],[Comp]])-1)^(2.5)*4^(1-2.5)+1)*(0.5*((VALUE(tbl_CONTENT[[#This Row],[RelId]])-1)/4)^(2.5)+1),
 0
)</f>
        <v>0</v>
      </c>
    </row>
    <row r="161" spans="3:18" ht="34" x14ac:dyDescent="0.2">
      <c r="C161" s="22" t="s">
        <v>106</v>
      </c>
      <c r="D161" s="22" t="str">
        <f xml:space="preserve"> tbl_CONTENT[[#This Row],[TopicID]] &amp; "-" &amp; TEXT(tbl_CONTENT[[#This Row],[TopicIDCount]], "00")</f>
        <v>GPDE-1-03-05</v>
      </c>
      <c r="F161" s="22" t="str">
        <f>_xlfn.XLOOKUP(tbl_CONTENT[[#This Row],[Topic]], tbl_TOPIC[Topic], tbl_TOPIC[TopicID], "")</f>
        <v>GPDE-1-03</v>
      </c>
      <c r="G161" s="22" cm="1">
        <f t="array" ref="G161">SUM((tbl_CONTENT[[#This Row],[TopicID]]=INDEX(tbl_CONTENT[TopicID],1):tbl_CONTENT[[#This Row],[TopicID]])*1)</f>
        <v>5</v>
      </c>
      <c r="H161" s="22" t="s">
        <v>330</v>
      </c>
      <c r="I161" s="22" t="s">
        <v>351</v>
      </c>
      <c r="J161" s="22" t="s">
        <v>153</v>
      </c>
      <c r="Q161" s="35">
        <f>IFERROR(
 (1.907*EXP(1)^(-0.5*tbl_CONTENT[[#This Row],[Layer]])) *
 ((tbl_CONTENT[[#This Row],[RelInt]]-1)^(2.5)*4^(1-2.5)+1) +
 ((tbl_CONTENT[[#This Row],[Comp]]-1)^(2.5)*4^(1-2.5)+1)*(0.5*((tbl_CONTENT[[#This Row],[RelInt]]-1)/4)^(2.5)+1),
 0
)</f>
        <v>0</v>
      </c>
      <c r="R161" s="35">
        <f>IFERROR(
 (1.907*EXP(1)^(-0.5*VALUE(tbl_CONTENT[[#This Row],[Layer]]))) *
 ((VALUE(tbl_CONTENT[[#This Row],[RelId]])-1)^(2.5)*4^(1-2.5)+1) +
 ((VALUE(tbl_CONTENT[[#This Row],[Comp]])-1)^(2.5)*4^(1-2.5)+1)*(0.5*((VALUE(tbl_CONTENT[[#This Row],[RelId]])-1)/4)^(2.5)+1),
 0
)</f>
        <v>0</v>
      </c>
    </row>
    <row r="162" spans="3:18" ht="17" x14ac:dyDescent="0.2">
      <c r="C162" s="22" t="s">
        <v>106</v>
      </c>
      <c r="D162" s="22" t="str">
        <f xml:space="preserve"> tbl_CONTENT[[#This Row],[TopicID]] &amp; "-" &amp; TEXT(tbl_CONTENT[[#This Row],[TopicIDCount]], "00")</f>
        <v>GPDE-1-06-01</v>
      </c>
      <c r="F162" s="22" t="str">
        <f>_xlfn.XLOOKUP(tbl_CONTENT[[#This Row],[Topic]], tbl_TOPIC[Topic], tbl_TOPIC[TopicID], "")</f>
        <v>GPDE-1-06</v>
      </c>
      <c r="G162" s="22" cm="1">
        <f t="array" ref="G162">SUM((tbl_CONTENT[[#This Row],[TopicID]]=INDEX(tbl_CONTENT[TopicID],1):tbl_CONTENT[[#This Row],[TopicID]])*1)</f>
        <v>1</v>
      </c>
      <c r="H162" s="22" t="s">
        <v>334</v>
      </c>
      <c r="I162" s="22" t="s">
        <v>353</v>
      </c>
      <c r="J162" s="22" t="s">
        <v>148</v>
      </c>
      <c r="Q162" s="35">
        <f>IFERROR(
 (1.907*EXP(1)^(-0.5*tbl_CONTENT[[#This Row],[Layer]])) *
 ((tbl_CONTENT[[#This Row],[RelInt]]-1)^(2.5)*4^(1-2.5)+1) +
 ((tbl_CONTENT[[#This Row],[Comp]]-1)^(2.5)*4^(1-2.5)+1)*(0.5*((tbl_CONTENT[[#This Row],[RelInt]]-1)/4)^(2.5)+1),
 0
)</f>
        <v>0</v>
      </c>
      <c r="R162" s="35">
        <f>IFERROR(
 (1.907*EXP(1)^(-0.5*VALUE(tbl_CONTENT[[#This Row],[Layer]]))) *
 ((VALUE(tbl_CONTENT[[#This Row],[RelId]])-1)^(2.5)*4^(1-2.5)+1) +
 ((VALUE(tbl_CONTENT[[#This Row],[Comp]])-1)^(2.5)*4^(1-2.5)+1)*(0.5*((VALUE(tbl_CONTENT[[#This Row],[RelId]])-1)/4)^(2.5)+1),
 0
)</f>
        <v>0</v>
      </c>
    </row>
    <row r="163" spans="3:18" ht="17" x14ac:dyDescent="0.2">
      <c r="C163" s="22" t="s">
        <v>106</v>
      </c>
      <c r="D163" s="22" t="str">
        <f xml:space="preserve"> tbl_CONTENT[[#This Row],[TopicID]] &amp; "-" &amp; TEXT(tbl_CONTENT[[#This Row],[TopicIDCount]], "00")</f>
        <v>GPDE-1-06-02</v>
      </c>
      <c r="F163" s="22" t="str">
        <f>_xlfn.XLOOKUP(tbl_CONTENT[[#This Row],[Topic]], tbl_TOPIC[Topic], tbl_TOPIC[TopicID], "")</f>
        <v>GPDE-1-06</v>
      </c>
      <c r="G163" s="22" cm="1">
        <f t="array" ref="G163">SUM((tbl_CONTENT[[#This Row],[TopicID]]=INDEX(tbl_CONTENT[TopicID],1):tbl_CONTENT[[#This Row],[TopicID]])*1)</f>
        <v>2</v>
      </c>
      <c r="H163" s="22" t="s">
        <v>334</v>
      </c>
      <c r="I163" s="22" t="s">
        <v>354</v>
      </c>
      <c r="J163" s="22" t="s">
        <v>153</v>
      </c>
      <c r="K163" s="22">
        <v>1</v>
      </c>
      <c r="Q163" s="35">
        <f>IFERROR(
 (1.907*EXP(1)^(-0.5*tbl_CONTENT[[#This Row],[Layer]])) *
 ((tbl_CONTENT[[#This Row],[RelInt]]-1)^(2.5)*4^(1-2.5)+1) +
 ((tbl_CONTENT[[#This Row],[Comp]]-1)^(2.5)*4^(1-2.5)+1)*(0.5*((tbl_CONTENT[[#This Row],[RelInt]]-1)/4)^(2.5)+1),
 0
)</f>
        <v>0</v>
      </c>
      <c r="R163" s="35">
        <f>IFERROR(
 (1.907*EXP(1)^(-0.5*VALUE(tbl_CONTENT[[#This Row],[Layer]]))) *
 ((VALUE(tbl_CONTENT[[#This Row],[RelId]])-1)^(2.5)*4^(1-2.5)+1) +
 ((VALUE(tbl_CONTENT[[#This Row],[Comp]])-1)^(2.5)*4^(1-2.5)+1)*(0.5*((VALUE(tbl_CONTENT[[#This Row],[RelId]])-1)/4)^(2.5)+1),
 0
)</f>
        <v>0</v>
      </c>
    </row>
    <row r="164" spans="3:18" ht="34" x14ac:dyDescent="0.2">
      <c r="C164" s="22" t="s">
        <v>106</v>
      </c>
      <c r="D164" s="22" t="str">
        <f xml:space="preserve"> tbl_CONTENT[[#This Row],[TopicID]] &amp; "-" &amp; TEXT(tbl_CONTENT[[#This Row],[TopicIDCount]], "00")</f>
        <v>GPDE-1-06-03</v>
      </c>
      <c r="F164" s="22" t="str">
        <f>_xlfn.XLOOKUP(tbl_CONTENT[[#This Row],[Topic]], tbl_TOPIC[Topic], tbl_TOPIC[TopicID], "")</f>
        <v>GPDE-1-06</v>
      </c>
      <c r="G164" s="22" cm="1">
        <f t="array" ref="G164">SUM((tbl_CONTENT[[#This Row],[TopicID]]=INDEX(tbl_CONTENT[TopicID],1):tbl_CONTENT[[#This Row],[TopicID]])*1)</f>
        <v>3</v>
      </c>
      <c r="H164" s="22" t="s">
        <v>334</v>
      </c>
      <c r="I164" s="22" t="s">
        <v>355</v>
      </c>
      <c r="J164" s="22" t="s">
        <v>151</v>
      </c>
      <c r="K164" s="22">
        <v>1</v>
      </c>
      <c r="Q164" s="35">
        <f>IFERROR(
 (1.907*EXP(1)^(-0.5*tbl_CONTENT[[#This Row],[Layer]])) *
 ((tbl_CONTENT[[#This Row],[RelInt]]-1)^(2.5)*4^(1-2.5)+1) +
 ((tbl_CONTENT[[#This Row],[Comp]]-1)^(2.5)*4^(1-2.5)+1)*(0.5*((tbl_CONTENT[[#This Row],[RelInt]]-1)/4)^(2.5)+1),
 0
)</f>
        <v>0</v>
      </c>
      <c r="R164" s="35">
        <f>IFERROR(
 (1.907*EXP(1)^(-0.5*VALUE(tbl_CONTENT[[#This Row],[Layer]]))) *
 ((VALUE(tbl_CONTENT[[#This Row],[RelId]])-1)^(2.5)*4^(1-2.5)+1) +
 ((VALUE(tbl_CONTENT[[#This Row],[Comp]])-1)^(2.5)*4^(1-2.5)+1)*(0.5*((VALUE(tbl_CONTENT[[#This Row],[RelId]])-1)/4)^(2.5)+1),
 0
)</f>
        <v>0</v>
      </c>
    </row>
    <row r="165" spans="3:18" ht="34" x14ac:dyDescent="0.2">
      <c r="C165" s="22" t="s">
        <v>106</v>
      </c>
      <c r="D165" s="22" t="str">
        <f xml:space="preserve"> tbl_CONTENT[[#This Row],[TopicID]] &amp; "-" &amp; TEXT(tbl_CONTENT[[#This Row],[TopicIDCount]], "00")</f>
        <v>GPDE-1-06-04</v>
      </c>
      <c r="F165" s="22" t="str">
        <f>_xlfn.XLOOKUP(tbl_CONTENT[[#This Row],[Topic]], tbl_TOPIC[Topic], tbl_TOPIC[TopicID], "")</f>
        <v>GPDE-1-06</v>
      </c>
      <c r="G165" s="22" cm="1">
        <f t="array" ref="G165">SUM((tbl_CONTENT[[#This Row],[TopicID]]=INDEX(tbl_CONTENT[TopicID],1):tbl_CONTENT[[#This Row],[TopicID]])*1)</f>
        <v>4</v>
      </c>
      <c r="H165" s="22" t="s">
        <v>334</v>
      </c>
      <c r="I165" s="22" t="s">
        <v>356</v>
      </c>
      <c r="J165" s="22" t="s">
        <v>149</v>
      </c>
      <c r="K165" s="22">
        <v>1</v>
      </c>
      <c r="Q165" s="35">
        <f>IFERROR(
 (1.907*EXP(1)^(-0.5*tbl_CONTENT[[#This Row],[Layer]])) *
 ((tbl_CONTENT[[#This Row],[RelInt]]-1)^(2.5)*4^(1-2.5)+1) +
 ((tbl_CONTENT[[#This Row],[Comp]]-1)^(2.5)*4^(1-2.5)+1)*(0.5*((tbl_CONTENT[[#This Row],[RelInt]]-1)/4)^(2.5)+1),
 0
)</f>
        <v>0</v>
      </c>
      <c r="R165" s="35">
        <f>IFERROR(
 (1.907*EXP(1)^(-0.5*VALUE(tbl_CONTENT[[#This Row],[Layer]]))) *
 ((VALUE(tbl_CONTENT[[#This Row],[RelId]])-1)^(2.5)*4^(1-2.5)+1) +
 ((VALUE(tbl_CONTENT[[#This Row],[Comp]])-1)^(2.5)*4^(1-2.5)+1)*(0.5*((VALUE(tbl_CONTENT[[#This Row],[RelId]])-1)/4)^(2.5)+1),
 0
)</f>
        <v>0</v>
      </c>
    </row>
    <row r="166" spans="3:18" ht="34" x14ac:dyDescent="0.2">
      <c r="C166" s="22" t="s">
        <v>106</v>
      </c>
      <c r="D166" s="22" t="str">
        <f xml:space="preserve"> tbl_CONTENT[[#This Row],[TopicID]] &amp; "-" &amp; TEXT(tbl_CONTENT[[#This Row],[TopicIDCount]], "00")</f>
        <v>GPDE-1-06-05</v>
      </c>
      <c r="F166" s="22" t="str">
        <f>_xlfn.XLOOKUP(tbl_CONTENT[[#This Row],[Topic]], tbl_TOPIC[Topic], tbl_TOPIC[TopicID], "")</f>
        <v>GPDE-1-06</v>
      </c>
      <c r="G166" s="22" cm="1">
        <f t="array" ref="G166">SUM((tbl_CONTENT[[#This Row],[TopicID]]=INDEX(tbl_CONTENT[TopicID],1):tbl_CONTENT[[#This Row],[TopicID]])*1)</f>
        <v>5</v>
      </c>
      <c r="H166" s="22" t="s">
        <v>334</v>
      </c>
      <c r="I166" s="22" t="s">
        <v>357</v>
      </c>
      <c r="J166" s="22" t="s">
        <v>151</v>
      </c>
      <c r="K166" s="22">
        <v>1</v>
      </c>
      <c r="Q166" s="35">
        <f>IFERROR(
 (1.907*EXP(1)^(-0.5*tbl_CONTENT[[#This Row],[Layer]])) *
 ((tbl_CONTENT[[#This Row],[RelInt]]-1)^(2.5)*4^(1-2.5)+1) +
 ((tbl_CONTENT[[#This Row],[Comp]]-1)^(2.5)*4^(1-2.5)+1)*(0.5*((tbl_CONTENT[[#This Row],[RelInt]]-1)/4)^(2.5)+1),
 0
)</f>
        <v>0</v>
      </c>
      <c r="R166" s="35">
        <f>IFERROR(
 (1.907*EXP(1)^(-0.5*VALUE(tbl_CONTENT[[#This Row],[Layer]]))) *
 ((VALUE(tbl_CONTENT[[#This Row],[RelId]])-1)^(2.5)*4^(1-2.5)+1) +
 ((VALUE(tbl_CONTENT[[#This Row],[Comp]])-1)^(2.5)*4^(1-2.5)+1)*(0.5*((VALUE(tbl_CONTENT[[#This Row],[RelId]])-1)/4)^(2.5)+1),
 0
)</f>
        <v>0</v>
      </c>
    </row>
    <row r="167" spans="3:18" ht="34" x14ac:dyDescent="0.2">
      <c r="C167" s="22" t="s">
        <v>106</v>
      </c>
      <c r="D167" s="22" t="str">
        <f xml:space="preserve"> tbl_CONTENT[[#This Row],[TopicID]] &amp; "-" &amp; TEXT(tbl_CONTENT[[#This Row],[TopicIDCount]], "00")</f>
        <v>GPDE-1-06-06</v>
      </c>
      <c r="F167" s="22" t="str">
        <f>_xlfn.XLOOKUP(tbl_CONTENT[[#This Row],[Topic]], tbl_TOPIC[Topic], tbl_TOPIC[TopicID], "")</f>
        <v>GPDE-1-06</v>
      </c>
      <c r="G167" s="22" cm="1">
        <f t="array" ref="G167">SUM((tbl_CONTENT[[#This Row],[TopicID]]=INDEX(tbl_CONTENT[TopicID],1):tbl_CONTENT[[#This Row],[TopicID]])*1)</f>
        <v>6</v>
      </c>
      <c r="H167" s="22" t="s">
        <v>334</v>
      </c>
      <c r="I167" s="22" t="s">
        <v>358</v>
      </c>
      <c r="J167" s="22" t="s">
        <v>149</v>
      </c>
      <c r="K167" s="22">
        <v>1</v>
      </c>
      <c r="Q167" s="35">
        <f>IFERROR(
 (1.907*EXP(1)^(-0.5*tbl_CONTENT[[#This Row],[Layer]])) *
 ((tbl_CONTENT[[#This Row],[RelInt]]-1)^(2.5)*4^(1-2.5)+1) +
 ((tbl_CONTENT[[#This Row],[Comp]]-1)^(2.5)*4^(1-2.5)+1)*(0.5*((tbl_CONTENT[[#This Row],[RelInt]]-1)/4)^(2.5)+1),
 0
)</f>
        <v>0</v>
      </c>
      <c r="R167" s="35">
        <f>IFERROR(
 (1.907*EXP(1)^(-0.5*VALUE(tbl_CONTENT[[#This Row],[Layer]]))) *
 ((VALUE(tbl_CONTENT[[#This Row],[RelId]])-1)^(2.5)*4^(1-2.5)+1) +
 ((VALUE(tbl_CONTENT[[#This Row],[Comp]])-1)^(2.5)*4^(1-2.5)+1)*(0.5*((VALUE(tbl_CONTENT[[#This Row],[RelId]])-1)/4)^(2.5)+1),
 0
)</f>
        <v>0</v>
      </c>
    </row>
    <row r="168" spans="3:18" ht="17" x14ac:dyDescent="0.2">
      <c r="C168" s="22" t="s">
        <v>106</v>
      </c>
      <c r="D168" s="22" t="str">
        <f xml:space="preserve"> tbl_CONTENT[[#This Row],[TopicID]] &amp; "-" &amp; TEXT(tbl_CONTENT[[#This Row],[TopicIDCount]], "00")</f>
        <v>GPDE-1-07-01</v>
      </c>
      <c r="F168" s="22" t="str">
        <f>_xlfn.XLOOKUP(tbl_CONTENT[[#This Row],[Topic]], tbl_TOPIC[Topic], tbl_TOPIC[TopicID], "")</f>
        <v>GPDE-1-07</v>
      </c>
      <c r="G168" s="22" cm="1">
        <f t="array" ref="G168">SUM((tbl_CONTENT[[#This Row],[TopicID]]=INDEX(tbl_CONTENT[TopicID],1):tbl_CONTENT[[#This Row],[TopicID]])*1)</f>
        <v>1</v>
      </c>
      <c r="H168" s="22" t="s">
        <v>335</v>
      </c>
      <c r="I168" s="22" t="s">
        <v>359</v>
      </c>
      <c r="J168" s="22" t="s">
        <v>148</v>
      </c>
      <c r="Q168" s="35">
        <f>IFERROR(
 (1.907*EXP(1)^(-0.5*tbl_CONTENT[[#This Row],[Layer]])) *
 ((tbl_CONTENT[[#This Row],[RelInt]]-1)^(2.5)*4^(1-2.5)+1) +
 ((tbl_CONTENT[[#This Row],[Comp]]-1)^(2.5)*4^(1-2.5)+1)*(0.5*((tbl_CONTENT[[#This Row],[RelInt]]-1)/4)^(2.5)+1),
 0
)</f>
        <v>0</v>
      </c>
      <c r="R168" s="35">
        <f>IFERROR(
 (1.907*EXP(1)^(-0.5*VALUE(tbl_CONTENT[[#This Row],[Layer]]))) *
 ((VALUE(tbl_CONTENT[[#This Row],[RelId]])-1)^(2.5)*4^(1-2.5)+1) +
 ((VALUE(tbl_CONTENT[[#This Row],[Comp]])-1)^(2.5)*4^(1-2.5)+1)*(0.5*((VALUE(tbl_CONTENT[[#This Row],[RelId]])-1)/4)^(2.5)+1),
 0
)</f>
        <v>0</v>
      </c>
    </row>
    <row r="169" spans="3:18" ht="17" x14ac:dyDescent="0.2">
      <c r="C169" s="22" t="s">
        <v>106</v>
      </c>
      <c r="D169" s="22" t="str">
        <f xml:space="preserve"> tbl_CONTENT[[#This Row],[TopicID]] &amp; "-" &amp; TEXT(tbl_CONTENT[[#This Row],[TopicIDCount]], "00")</f>
        <v>GPDE-1-07-02</v>
      </c>
      <c r="F169" s="22" t="str">
        <f>_xlfn.XLOOKUP(tbl_CONTENT[[#This Row],[Topic]], tbl_TOPIC[Topic], tbl_TOPIC[TopicID], "")</f>
        <v>GPDE-1-07</v>
      </c>
      <c r="G169" s="22" cm="1">
        <f t="array" ref="G169">SUM((tbl_CONTENT[[#This Row],[TopicID]]=INDEX(tbl_CONTENT[TopicID],1):tbl_CONTENT[[#This Row],[TopicID]])*1)</f>
        <v>2</v>
      </c>
      <c r="H169" s="22" t="s">
        <v>335</v>
      </c>
      <c r="I169" s="22" t="s">
        <v>360</v>
      </c>
      <c r="J169" s="22" t="s">
        <v>150</v>
      </c>
      <c r="K169" s="22">
        <v>1</v>
      </c>
      <c r="Q169" s="35">
        <f>IFERROR(
 (1.907*EXP(1)^(-0.5*tbl_CONTENT[[#This Row],[Layer]])) *
 ((tbl_CONTENT[[#This Row],[RelInt]]-1)^(2.5)*4^(1-2.5)+1) +
 ((tbl_CONTENT[[#This Row],[Comp]]-1)^(2.5)*4^(1-2.5)+1)*(0.5*((tbl_CONTENT[[#This Row],[RelInt]]-1)/4)^(2.5)+1),
 0
)</f>
        <v>0</v>
      </c>
      <c r="R169" s="35">
        <f>IFERROR(
 (1.907*EXP(1)^(-0.5*VALUE(tbl_CONTENT[[#This Row],[Layer]]))) *
 ((VALUE(tbl_CONTENT[[#This Row],[RelId]])-1)^(2.5)*4^(1-2.5)+1) +
 ((VALUE(tbl_CONTENT[[#This Row],[Comp]])-1)^(2.5)*4^(1-2.5)+1)*(0.5*((VALUE(tbl_CONTENT[[#This Row],[RelId]])-1)/4)^(2.5)+1),
 0
)</f>
        <v>0</v>
      </c>
    </row>
    <row r="170" spans="3:18" ht="17" x14ac:dyDescent="0.2">
      <c r="C170" s="22" t="s">
        <v>106</v>
      </c>
      <c r="D170" s="22" t="str">
        <f xml:space="preserve"> tbl_CONTENT[[#This Row],[TopicID]] &amp; "-" &amp; TEXT(tbl_CONTENT[[#This Row],[TopicIDCount]], "00")</f>
        <v>GPDE-1-07-03</v>
      </c>
      <c r="F170" s="22" t="str">
        <f>_xlfn.XLOOKUP(tbl_CONTENT[[#This Row],[Topic]], tbl_TOPIC[Topic], tbl_TOPIC[TopicID], "")</f>
        <v>GPDE-1-07</v>
      </c>
      <c r="G170" s="22" cm="1">
        <f t="array" ref="G170">SUM((tbl_CONTENT[[#This Row],[TopicID]]=INDEX(tbl_CONTENT[TopicID],1):tbl_CONTENT[[#This Row],[TopicID]])*1)</f>
        <v>3</v>
      </c>
      <c r="H170" s="22" t="s">
        <v>335</v>
      </c>
      <c r="I170" s="22" t="s">
        <v>362</v>
      </c>
      <c r="J170" s="22" t="s">
        <v>151</v>
      </c>
      <c r="K170" s="22">
        <v>1</v>
      </c>
      <c r="Q170" s="35">
        <f>IFERROR(
 (1.907*EXP(1)^(-0.5*tbl_CONTENT[[#This Row],[Layer]])) *
 ((tbl_CONTENT[[#This Row],[RelInt]]-1)^(2.5)*4^(1-2.5)+1) +
 ((tbl_CONTENT[[#This Row],[Comp]]-1)^(2.5)*4^(1-2.5)+1)*(0.5*((tbl_CONTENT[[#This Row],[RelInt]]-1)/4)^(2.5)+1),
 0
)</f>
        <v>0</v>
      </c>
      <c r="R170" s="35">
        <f>IFERROR(
 (1.907*EXP(1)^(-0.5*VALUE(tbl_CONTENT[[#This Row],[Layer]]))) *
 ((VALUE(tbl_CONTENT[[#This Row],[RelId]])-1)^(2.5)*4^(1-2.5)+1) +
 ((VALUE(tbl_CONTENT[[#This Row],[Comp]])-1)^(2.5)*4^(1-2.5)+1)*(0.5*((VALUE(tbl_CONTENT[[#This Row],[RelId]])-1)/4)^(2.5)+1),
 0
)</f>
        <v>0</v>
      </c>
    </row>
    <row r="171" spans="3:18" ht="17" x14ac:dyDescent="0.2">
      <c r="C171" s="22" t="s">
        <v>106</v>
      </c>
      <c r="D171" s="22" t="str">
        <f xml:space="preserve"> tbl_CONTENT[[#This Row],[TopicID]] &amp; "-" &amp; TEXT(tbl_CONTENT[[#This Row],[TopicIDCount]], "00")</f>
        <v>GPDE-1-07-04</v>
      </c>
      <c r="F171" s="22" t="str">
        <f>_xlfn.XLOOKUP(tbl_CONTENT[[#This Row],[Topic]], tbl_TOPIC[Topic], tbl_TOPIC[TopicID], "")</f>
        <v>GPDE-1-07</v>
      </c>
      <c r="G171" s="22" cm="1">
        <f t="array" ref="G171">SUM((tbl_CONTENT[[#This Row],[TopicID]]=INDEX(tbl_CONTENT[TopicID],1):tbl_CONTENT[[#This Row],[TopicID]])*1)</f>
        <v>4</v>
      </c>
      <c r="H171" s="22" t="s">
        <v>335</v>
      </c>
      <c r="I171" s="22" t="s">
        <v>361</v>
      </c>
      <c r="J171" s="22" t="s">
        <v>151</v>
      </c>
      <c r="K171" s="22">
        <v>1</v>
      </c>
      <c r="Q171" s="35">
        <f>IFERROR(
 (1.907*EXP(1)^(-0.5*tbl_CONTENT[[#This Row],[Layer]])) *
 ((tbl_CONTENT[[#This Row],[RelInt]]-1)^(2.5)*4^(1-2.5)+1) +
 ((tbl_CONTENT[[#This Row],[Comp]]-1)^(2.5)*4^(1-2.5)+1)*(0.5*((tbl_CONTENT[[#This Row],[RelInt]]-1)/4)^(2.5)+1),
 0
)</f>
        <v>0</v>
      </c>
      <c r="R171" s="35">
        <f>IFERROR(
 (1.907*EXP(1)^(-0.5*VALUE(tbl_CONTENT[[#This Row],[Layer]]))) *
 ((VALUE(tbl_CONTENT[[#This Row],[RelId]])-1)^(2.5)*4^(1-2.5)+1) +
 ((VALUE(tbl_CONTENT[[#This Row],[Comp]])-1)^(2.5)*4^(1-2.5)+1)*(0.5*((VALUE(tbl_CONTENT[[#This Row],[RelId]])-1)/4)^(2.5)+1),
 0
)</f>
        <v>0</v>
      </c>
    </row>
    <row r="172" spans="3:18" ht="51" x14ac:dyDescent="0.2">
      <c r="C172" s="22" t="str">
        <f>_xlfn.XLOOKUP(tbl_CONTENT[[#This Row],[TopicID]], tbl_TOPIC[TopicID], tbl_TOPIC[Subject], "")</f>
        <v>QM</v>
      </c>
      <c r="D172" s="22" t="str">
        <f xml:space="preserve"> tbl_CONTENT[[#This Row],[TopicID]] &amp; "-" &amp; TEXT(tbl_CONTENT[[#This Row],[TopicIDCount]], "00")</f>
        <v>QM-1-02-01</v>
      </c>
      <c r="F172" s="22" t="str">
        <f>_xlfn.XLOOKUP(tbl_CONTENT[[#This Row],[Topic]], tbl_TOPIC[Topic], tbl_TOPIC[TopicID], "")</f>
        <v>QM-1-02</v>
      </c>
      <c r="G172" s="22" cm="1">
        <f t="array" ref="G172">SUM((tbl_CONTENT[[#This Row],[TopicID]]=INDEX(tbl_CONTENT[TopicID],1):tbl_CONTENT[[#This Row],[TopicID]])*1)</f>
        <v>1</v>
      </c>
      <c r="H172" s="22" t="s">
        <v>365</v>
      </c>
      <c r="I172" s="22" t="s">
        <v>383</v>
      </c>
      <c r="J172" s="22" t="s">
        <v>382</v>
      </c>
      <c r="K172" s="22">
        <v>1</v>
      </c>
      <c r="L172" s="22">
        <v>1</v>
      </c>
      <c r="Q172" s="35">
        <f>IFERROR(
 (1.907*EXP(1)^(-0.5*tbl_CONTENT[[#This Row],[Layer]])) *
 ((tbl_CONTENT[[#This Row],[RelInt]]-1)^(2.5)*4^(1-2.5)+1) +
 ((tbl_CONTENT[[#This Row],[Comp]]-1)^(2.5)*4^(1-2.5)+1)*(0.5*((tbl_CONTENT[[#This Row],[RelInt]]-1)/4)^(2.5)+1),
 0
)</f>
        <v>0</v>
      </c>
      <c r="R172" s="35">
        <f>IFERROR(
 (1.907*EXP(1)^(-0.5*VALUE(tbl_CONTENT[[#This Row],[Layer]]))) *
 ((VALUE(tbl_CONTENT[[#This Row],[RelId]])-1)^(2.5)*4^(1-2.5)+1) +
 ((VALUE(tbl_CONTENT[[#This Row],[Comp]])-1)^(2.5)*4^(1-2.5)+1)*(0.5*((VALUE(tbl_CONTENT[[#This Row],[RelId]])-1)/4)^(2.5)+1),
 0
)</f>
        <v>0</v>
      </c>
    </row>
    <row r="173" spans="3:18" ht="34" customHeight="1" x14ac:dyDescent="0.2">
      <c r="C173" s="22" t="str">
        <f>_xlfn.XLOOKUP(tbl_CONTENT[[#This Row],[TopicID]], tbl_TOPIC[TopicID], tbl_TOPIC[Subject], "")</f>
        <v>QM</v>
      </c>
      <c r="D173" s="22" t="str">
        <f xml:space="preserve"> tbl_CONTENT[[#This Row],[TopicID]] &amp; "-" &amp; TEXT(tbl_CONTENT[[#This Row],[TopicIDCount]], "00")</f>
        <v>QM-1-03-01</v>
      </c>
      <c r="F173" s="22" t="str">
        <f>_xlfn.XLOOKUP(tbl_CONTENT[[#This Row],[Topic]], tbl_TOPIC[Topic], tbl_TOPIC[TopicID], "")</f>
        <v>QM-1-03</v>
      </c>
      <c r="G173" s="22" cm="1">
        <f t="array" ref="G173">SUM((tbl_CONTENT[[#This Row],[TopicID]]=INDEX(tbl_CONTENT[TopicID],1):tbl_CONTENT[[#This Row],[TopicID]])*1)</f>
        <v>1</v>
      </c>
      <c r="H173" s="22" t="s">
        <v>366</v>
      </c>
      <c r="I173" s="22" t="s">
        <v>384</v>
      </c>
      <c r="J173" s="22" t="s">
        <v>153</v>
      </c>
      <c r="K173" s="22">
        <v>1</v>
      </c>
      <c r="Q173" s="35">
        <f>IFERROR(
 (1.907*EXP(1)^(-0.5*tbl_CONTENT[[#This Row],[Layer]])) *
 ((tbl_CONTENT[[#This Row],[RelInt]]-1)^(2.5)*4^(1-2.5)+1) +
 ((tbl_CONTENT[[#This Row],[Comp]]-1)^(2.5)*4^(1-2.5)+1)*(0.5*((tbl_CONTENT[[#This Row],[RelInt]]-1)/4)^(2.5)+1),
 0
)</f>
        <v>0</v>
      </c>
      <c r="R173" s="35">
        <f>IFERROR(
 (1.907*EXP(1)^(-0.5*VALUE(tbl_CONTENT[[#This Row],[Layer]]))) *
 ((VALUE(tbl_CONTENT[[#This Row],[RelId]])-1)^(2.5)*4^(1-2.5)+1) +
 ((VALUE(tbl_CONTENT[[#This Row],[Comp]])-1)^(2.5)*4^(1-2.5)+1)*(0.5*((VALUE(tbl_CONTENT[[#This Row],[RelId]])-1)/4)^(2.5)+1),
 0
)</f>
        <v>0</v>
      </c>
    </row>
    <row r="174" spans="3:18" ht="34" customHeight="1" x14ac:dyDescent="0.2">
      <c r="C174" s="22" t="str">
        <f>_xlfn.XLOOKUP(tbl_CONTENT[[#This Row],[TopicID]], tbl_TOPIC[TopicID], tbl_TOPIC[Subject], "")</f>
        <v>QM</v>
      </c>
      <c r="D174" s="22" t="str">
        <f xml:space="preserve"> tbl_CONTENT[[#This Row],[TopicID]] &amp; "-" &amp; TEXT(tbl_CONTENT[[#This Row],[TopicIDCount]], "00")</f>
        <v>QM-1-03-02</v>
      </c>
      <c r="F174" s="22" t="str">
        <f>_xlfn.XLOOKUP(tbl_CONTENT[[#This Row],[Topic]], tbl_TOPIC[Topic], tbl_TOPIC[TopicID], "")</f>
        <v>QM-1-03</v>
      </c>
      <c r="G174" s="22" cm="1">
        <f t="array" ref="G174">SUM((tbl_CONTENT[[#This Row],[TopicID]]=INDEX(tbl_CONTENT[TopicID],1):tbl_CONTENT[[#This Row],[TopicID]])*1)</f>
        <v>2</v>
      </c>
      <c r="H174" s="22" t="s">
        <v>366</v>
      </c>
      <c r="I174" s="22" t="s">
        <v>385</v>
      </c>
      <c r="J174" s="22" t="s">
        <v>153</v>
      </c>
      <c r="K174" s="22">
        <v>1</v>
      </c>
      <c r="Q174" s="35">
        <f>IFERROR(
 (1.907*EXP(1)^(-0.5*tbl_CONTENT[[#This Row],[Layer]])) *
 ((tbl_CONTENT[[#This Row],[RelInt]]-1)^(2.5)*4^(1-2.5)+1) +
 ((tbl_CONTENT[[#This Row],[Comp]]-1)^(2.5)*4^(1-2.5)+1)*(0.5*((tbl_CONTENT[[#This Row],[RelInt]]-1)/4)^(2.5)+1),
 0
)</f>
        <v>0</v>
      </c>
      <c r="R174" s="35">
        <f>IFERROR(
 (1.907*EXP(1)^(-0.5*VALUE(tbl_CONTENT[[#This Row],[Layer]]))) *
 ((VALUE(tbl_CONTENT[[#This Row],[RelId]])-1)^(2.5)*4^(1-2.5)+1) +
 ((VALUE(tbl_CONTENT[[#This Row],[Comp]])-1)^(2.5)*4^(1-2.5)+1)*(0.5*((VALUE(tbl_CONTENT[[#This Row],[RelId]])-1)/4)^(2.5)+1),
 0
)</f>
        <v>0</v>
      </c>
    </row>
    <row r="175" spans="3:18" ht="34" customHeight="1" x14ac:dyDescent="0.2">
      <c r="C175" s="22" t="str">
        <f>_xlfn.XLOOKUP(tbl_CONTENT[[#This Row],[TopicID]], tbl_TOPIC[TopicID], tbl_TOPIC[Subject], "")</f>
        <v>QM</v>
      </c>
      <c r="D175" s="22" t="str">
        <f xml:space="preserve"> tbl_CONTENT[[#This Row],[TopicID]] &amp; "-" &amp; TEXT(tbl_CONTENT[[#This Row],[TopicIDCount]], "00")</f>
        <v>QM-1-03-03</v>
      </c>
      <c r="F175" s="22" t="str">
        <f>_xlfn.XLOOKUP(tbl_CONTENT[[#This Row],[Topic]], tbl_TOPIC[Topic], tbl_TOPIC[TopicID], "")</f>
        <v>QM-1-03</v>
      </c>
      <c r="G175" s="22" cm="1">
        <f t="array" ref="G175">SUM((tbl_CONTENT[[#This Row],[TopicID]]=INDEX(tbl_CONTENT[TopicID],1):tbl_CONTENT[[#This Row],[TopicID]])*1)</f>
        <v>3</v>
      </c>
      <c r="H175" s="22" t="s">
        <v>366</v>
      </c>
      <c r="I175" s="22" t="s">
        <v>386</v>
      </c>
      <c r="J175" s="22" t="s">
        <v>181</v>
      </c>
      <c r="Q175" s="35">
        <f>IFERROR(
 (1.907*EXP(1)^(-0.5*tbl_CONTENT[[#This Row],[Layer]])) *
 ((tbl_CONTENT[[#This Row],[RelInt]]-1)^(2.5)*4^(1-2.5)+1) +
 ((tbl_CONTENT[[#This Row],[Comp]]-1)^(2.5)*4^(1-2.5)+1)*(0.5*((tbl_CONTENT[[#This Row],[RelInt]]-1)/4)^(2.5)+1),
 0
)</f>
        <v>0</v>
      </c>
      <c r="R175" s="35">
        <f>IFERROR(
 (1.907*EXP(1)^(-0.5*VALUE(tbl_CONTENT[[#This Row],[Layer]]))) *
 ((VALUE(tbl_CONTENT[[#This Row],[RelId]])-1)^(2.5)*4^(1-2.5)+1) +
 ((VALUE(tbl_CONTENT[[#This Row],[Comp]])-1)^(2.5)*4^(1-2.5)+1)*(0.5*((VALUE(tbl_CONTENT[[#This Row],[RelId]])-1)/4)^(2.5)+1),
 0
)</f>
        <v>0</v>
      </c>
    </row>
    <row r="176" spans="3:18" ht="34" customHeight="1" x14ac:dyDescent="0.2">
      <c r="C176" s="22" t="str">
        <f>_xlfn.XLOOKUP(tbl_CONTENT[[#This Row],[TopicID]], tbl_TOPIC[TopicID], tbl_TOPIC[Subject], "")</f>
        <v>QM</v>
      </c>
      <c r="D176" s="22" t="str">
        <f xml:space="preserve"> tbl_CONTENT[[#This Row],[TopicID]] &amp; "-" &amp; TEXT(tbl_CONTENT[[#This Row],[TopicIDCount]], "00")</f>
        <v>QM-1-03-04</v>
      </c>
      <c r="F176" s="22" t="str">
        <f>_xlfn.XLOOKUP(tbl_CONTENT[[#This Row],[Topic]], tbl_TOPIC[Topic], tbl_TOPIC[TopicID], "")</f>
        <v>QM-1-03</v>
      </c>
      <c r="G176" s="22" cm="1">
        <f t="array" ref="G176">SUM((tbl_CONTENT[[#This Row],[TopicID]]=INDEX(tbl_CONTENT[TopicID],1):tbl_CONTENT[[#This Row],[TopicID]])*1)</f>
        <v>4</v>
      </c>
      <c r="H176" s="22" t="s">
        <v>366</v>
      </c>
      <c r="I176" s="22" t="s">
        <v>387</v>
      </c>
      <c r="J176" s="22" t="s">
        <v>153</v>
      </c>
      <c r="K176" s="22">
        <v>1</v>
      </c>
      <c r="Q176" s="35">
        <f>IFERROR(
 (1.907*EXP(1)^(-0.5*tbl_CONTENT[[#This Row],[Layer]])) *
 ((tbl_CONTENT[[#This Row],[RelInt]]-1)^(2.5)*4^(1-2.5)+1) +
 ((tbl_CONTENT[[#This Row],[Comp]]-1)^(2.5)*4^(1-2.5)+1)*(0.5*((tbl_CONTENT[[#This Row],[RelInt]]-1)/4)^(2.5)+1),
 0
)</f>
        <v>0</v>
      </c>
      <c r="R176" s="35">
        <f>IFERROR(
 (1.907*EXP(1)^(-0.5*VALUE(tbl_CONTENT[[#This Row],[Layer]]))) *
 ((VALUE(tbl_CONTENT[[#This Row],[RelId]])-1)^(2.5)*4^(1-2.5)+1) +
 ((VALUE(tbl_CONTENT[[#This Row],[Comp]])-1)^(2.5)*4^(1-2.5)+1)*(0.5*((VALUE(tbl_CONTENT[[#This Row],[RelId]])-1)/4)^(2.5)+1),
 0
)</f>
        <v>0</v>
      </c>
    </row>
    <row r="177" spans="3:18" ht="34" customHeight="1" x14ac:dyDescent="0.2">
      <c r="C177" s="22" t="str">
        <f>_xlfn.XLOOKUP(tbl_CONTENT[[#This Row],[TopicID]], tbl_TOPIC[TopicID], tbl_TOPIC[Subject], "")</f>
        <v>QM</v>
      </c>
      <c r="D177" s="22" t="str">
        <f xml:space="preserve"> tbl_CONTENT[[#This Row],[TopicID]] &amp; "-" &amp; TEXT(tbl_CONTENT[[#This Row],[TopicIDCount]], "00")</f>
        <v>QM-1-03-05</v>
      </c>
      <c r="F177" s="22" t="str">
        <f>_xlfn.XLOOKUP(tbl_CONTENT[[#This Row],[Topic]], tbl_TOPIC[Topic], tbl_TOPIC[TopicID], "")</f>
        <v>QM-1-03</v>
      </c>
      <c r="G177" s="22" cm="1">
        <f t="array" ref="G177">SUM((tbl_CONTENT[[#This Row],[TopicID]]=INDEX(tbl_CONTENT[TopicID],1):tbl_CONTENT[[#This Row],[TopicID]])*1)</f>
        <v>5</v>
      </c>
      <c r="H177" s="22" t="s">
        <v>366</v>
      </c>
      <c r="I177" s="22" t="s">
        <v>388</v>
      </c>
      <c r="J177" s="22" t="s">
        <v>382</v>
      </c>
      <c r="K177" s="22">
        <v>1</v>
      </c>
      <c r="Q177" s="35">
        <f>IFERROR(
 (1.907*EXP(1)^(-0.5*tbl_CONTENT[[#This Row],[Layer]])) *
 ((tbl_CONTENT[[#This Row],[RelInt]]-1)^(2.5)*4^(1-2.5)+1) +
 ((tbl_CONTENT[[#This Row],[Comp]]-1)^(2.5)*4^(1-2.5)+1)*(0.5*((tbl_CONTENT[[#This Row],[RelInt]]-1)/4)^(2.5)+1),
 0
)</f>
        <v>0</v>
      </c>
      <c r="R177" s="35">
        <f>IFERROR(
 (1.907*EXP(1)^(-0.5*VALUE(tbl_CONTENT[[#This Row],[Layer]]))) *
 ((VALUE(tbl_CONTENT[[#This Row],[RelId]])-1)^(2.5)*4^(1-2.5)+1) +
 ((VALUE(tbl_CONTENT[[#This Row],[Comp]])-1)^(2.5)*4^(1-2.5)+1)*(0.5*((VALUE(tbl_CONTENT[[#This Row],[RelId]])-1)/4)^(2.5)+1),
 0
)</f>
        <v>0</v>
      </c>
    </row>
    <row r="178" spans="3:18" ht="34" customHeight="1" x14ac:dyDescent="0.2">
      <c r="C178" s="22" t="str">
        <f>_xlfn.XLOOKUP(tbl_CONTENT[[#This Row],[TopicID]], tbl_TOPIC[TopicID], tbl_TOPIC[Subject], "")</f>
        <v>QM</v>
      </c>
      <c r="D178" s="22" t="str">
        <f xml:space="preserve"> tbl_CONTENT[[#This Row],[TopicID]] &amp; "-" &amp; TEXT(tbl_CONTENT[[#This Row],[TopicIDCount]], "00")</f>
        <v>QM-1-03-06</v>
      </c>
      <c r="F178" s="22" t="str">
        <f>_xlfn.XLOOKUP(tbl_CONTENT[[#This Row],[Topic]], tbl_TOPIC[Topic], tbl_TOPIC[TopicID], "")</f>
        <v>QM-1-03</v>
      </c>
      <c r="G178" s="22" cm="1">
        <f t="array" ref="G178">SUM((tbl_CONTENT[[#This Row],[TopicID]]=INDEX(tbl_CONTENT[TopicID],1):tbl_CONTENT[[#This Row],[TopicID]])*1)</f>
        <v>6</v>
      </c>
      <c r="H178" s="22" t="s">
        <v>366</v>
      </c>
      <c r="I178" s="22" t="s">
        <v>389</v>
      </c>
      <c r="J178" s="22" t="s">
        <v>153</v>
      </c>
      <c r="K178" s="22">
        <v>1</v>
      </c>
      <c r="Q178" s="35">
        <f>IFERROR(
 (1.907*EXP(1)^(-0.5*tbl_CONTENT[[#This Row],[Layer]])) *
 ((tbl_CONTENT[[#This Row],[RelInt]]-1)^(2.5)*4^(1-2.5)+1) +
 ((tbl_CONTENT[[#This Row],[Comp]]-1)^(2.5)*4^(1-2.5)+1)*(0.5*((tbl_CONTENT[[#This Row],[RelInt]]-1)/4)^(2.5)+1),
 0
)</f>
        <v>0</v>
      </c>
      <c r="R178" s="35">
        <f>IFERROR(
 (1.907*EXP(1)^(-0.5*VALUE(tbl_CONTENT[[#This Row],[Layer]]))) *
 ((VALUE(tbl_CONTENT[[#This Row],[RelId]])-1)^(2.5)*4^(1-2.5)+1) +
 ((VALUE(tbl_CONTENT[[#This Row],[Comp]])-1)^(2.5)*4^(1-2.5)+1)*(0.5*((VALUE(tbl_CONTENT[[#This Row],[RelId]])-1)/4)^(2.5)+1),
 0
)</f>
        <v>0</v>
      </c>
    </row>
    <row r="179" spans="3:18" ht="34" customHeight="1" x14ac:dyDescent="0.2">
      <c r="C179" s="22" t="str">
        <f>_xlfn.XLOOKUP(tbl_CONTENT[[#This Row],[TopicID]], tbl_TOPIC[TopicID], tbl_TOPIC[Subject], "")</f>
        <v>QM</v>
      </c>
      <c r="D179" s="22" t="str">
        <f xml:space="preserve"> tbl_CONTENT[[#This Row],[TopicID]] &amp; "-" &amp; TEXT(tbl_CONTENT[[#This Row],[TopicIDCount]], "00")</f>
        <v>QM-1-03-07</v>
      </c>
      <c r="F179" s="22" t="str">
        <f>_xlfn.XLOOKUP(tbl_CONTENT[[#This Row],[Topic]], tbl_TOPIC[Topic], tbl_TOPIC[TopicID], "")</f>
        <v>QM-1-03</v>
      </c>
      <c r="G179" s="22" cm="1">
        <f t="array" ref="G179">SUM((tbl_CONTENT[[#This Row],[TopicID]]=INDEX(tbl_CONTENT[TopicID],1):tbl_CONTENT[[#This Row],[TopicID]])*1)</f>
        <v>7</v>
      </c>
      <c r="H179" s="22" t="s">
        <v>366</v>
      </c>
      <c r="I179" s="22" t="s">
        <v>390</v>
      </c>
      <c r="J179" s="22" t="s">
        <v>153</v>
      </c>
      <c r="K179" s="22">
        <v>1</v>
      </c>
      <c r="Q179" s="35">
        <f>IFERROR(
 (1.907*EXP(1)^(-0.5*tbl_CONTENT[[#This Row],[Layer]])) *
 ((tbl_CONTENT[[#This Row],[RelInt]]-1)^(2.5)*4^(1-2.5)+1) +
 ((tbl_CONTENT[[#This Row],[Comp]]-1)^(2.5)*4^(1-2.5)+1)*(0.5*((tbl_CONTENT[[#This Row],[RelInt]]-1)/4)^(2.5)+1),
 0
)</f>
        <v>0</v>
      </c>
      <c r="R179" s="35">
        <f>IFERROR(
 (1.907*EXP(1)^(-0.5*VALUE(tbl_CONTENT[[#This Row],[Layer]]))) *
 ((VALUE(tbl_CONTENT[[#This Row],[RelId]])-1)^(2.5)*4^(1-2.5)+1) +
 ((VALUE(tbl_CONTENT[[#This Row],[Comp]])-1)^(2.5)*4^(1-2.5)+1)*(0.5*((VALUE(tbl_CONTENT[[#This Row],[RelId]])-1)/4)^(2.5)+1),
 0
)</f>
        <v>0</v>
      </c>
    </row>
    <row r="180" spans="3:18" ht="34" customHeight="1" x14ac:dyDescent="0.2">
      <c r="C180" s="22" t="str">
        <f>_xlfn.XLOOKUP(tbl_CONTENT[[#This Row],[TopicID]], tbl_TOPIC[TopicID], tbl_TOPIC[Subject], "")</f>
        <v>QM</v>
      </c>
      <c r="D180" s="22" t="str">
        <f xml:space="preserve"> tbl_CONTENT[[#This Row],[TopicID]] &amp; "-" &amp; TEXT(tbl_CONTENT[[#This Row],[TopicIDCount]], "00")</f>
        <v>QM-1-03-08</v>
      </c>
      <c r="F180" s="22" t="str">
        <f>_xlfn.XLOOKUP(tbl_CONTENT[[#This Row],[Topic]], tbl_TOPIC[Topic], tbl_TOPIC[TopicID], "")</f>
        <v>QM-1-03</v>
      </c>
      <c r="G180" s="22" cm="1">
        <f t="array" ref="G180">SUM((tbl_CONTENT[[#This Row],[TopicID]]=INDEX(tbl_CONTENT[TopicID],1):tbl_CONTENT[[#This Row],[TopicID]])*1)</f>
        <v>8</v>
      </c>
      <c r="H180" s="22" t="s">
        <v>366</v>
      </c>
      <c r="I180" s="22" t="s">
        <v>391</v>
      </c>
      <c r="J180" s="22" t="s">
        <v>181</v>
      </c>
      <c r="K180" s="22">
        <v>1</v>
      </c>
      <c r="M180" s="22">
        <v>4</v>
      </c>
      <c r="Q180" s="35">
        <f>IFERROR(
 (1.907*EXP(1)^(-0.5*tbl_CONTENT[[#This Row],[Layer]])) *
 ((tbl_CONTENT[[#This Row],[RelInt]]-1)^(2.5)*4^(1-2.5)+1) +
 ((tbl_CONTENT[[#This Row],[Comp]]-1)^(2.5)*4^(1-2.5)+1)*(0.5*((tbl_CONTENT[[#This Row],[RelInt]]-1)/4)^(2.5)+1),
 0
)</f>
        <v>0</v>
      </c>
      <c r="R180" s="35">
        <f>IFERROR(
 (1.907*EXP(1)^(-0.5*VALUE(tbl_CONTENT[[#This Row],[Layer]]))) *
 ((VALUE(tbl_CONTENT[[#This Row],[RelId]])-1)^(2.5)*4^(1-2.5)+1) +
 ((VALUE(tbl_CONTENT[[#This Row],[Comp]])-1)^(2.5)*4^(1-2.5)+1)*(0.5*((VALUE(tbl_CONTENT[[#This Row],[RelId]])-1)/4)^(2.5)+1),
 0
)</f>
        <v>0</v>
      </c>
    </row>
    <row r="181" spans="3:18" ht="34" customHeight="1" x14ac:dyDescent="0.2">
      <c r="C181" s="22" t="str">
        <f>_xlfn.XLOOKUP(tbl_CONTENT[[#This Row],[TopicID]], tbl_TOPIC[TopicID], tbl_TOPIC[Subject], "")</f>
        <v>QM</v>
      </c>
      <c r="D181" s="22" t="str">
        <f xml:space="preserve"> tbl_CONTENT[[#This Row],[TopicID]] &amp; "-" &amp; TEXT(tbl_CONTENT[[#This Row],[TopicIDCount]], "00")</f>
        <v>QM-1-03-09</v>
      </c>
      <c r="F181" s="22" t="str">
        <f>_xlfn.XLOOKUP(tbl_CONTENT[[#This Row],[Topic]], tbl_TOPIC[Topic], tbl_TOPIC[TopicID], "")</f>
        <v>QM-1-03</v>
      </c>
      <c r="G181" s="22" cm="1">
        <f t="array" ref="G181">SUM((tbl_CONTENT[[#This Row],[TopicID]]=INDEX(tbl_CONTENT[TopicID],1):tbl_CONTENT[[#This Row],[TopicID]])*1)</f>
        <v>9</v>
      </c>
      <c r="H181" s="22" t="s">
        <v>366</v>
      </c>
      <c r="I181" s="22" t="s">
        <v>392</v>
      </c>
      <c r="J181" s="22" t="s">
        <v>153</v>
      </c>
      <c r="K181" s="22">
        <v>1</v>
      </c>
      <c r="Q181" s="35">
        <f>IFERROR(
 (1.907*EXP(1)^(-0.5*tbl_CONTENT[[#This Row],[Layer]])) *
 ((tbl_CONTENT[[#This Row],[RelInt]]-1)^(2.5)*4^(1-2.5)+1) +
 ((tbl_CONTENT[[#This Row],[Comp]]-1)^(2.5)*4^(1-2.5)+1)*(0.5*((tbl_CONTENT[[#This Row],[RelInt]]-1)/4)^(2.5)+1),
 0
)</f>
        <v>0</v>
      </c>
      <c r="R181" s="35">
        <f>IFERROR(
 (1.907*EXP(1)^(-0.5*VALUE(tbl_CONTENT[[#This Row],[Layer]]))) *
 ((VALUE(tbl_CONTENT[[#This Row],[RelId]])-1)^(2.5)*4^(1-2.5)+1) +
 ((VALUE(tbl_CONTENT[[#This Row],[Comp]])-1)^(2.5)*4^(1-2.5)+1)*(0.5*((VALUE(tbl_CONTENT[[#This Row],[RelId]])-1)/4)^(2.5)+1),
 0
)</f>
        <v>0</v>
      </c>
    </row>
    <row r="182" spans="3:18" ht="34" customHeight="1" x14ac:dyDescent="0.2">
      <c r="C182" s="22" t="str">
        <f>_xlfn.XLOOKUP(tbl_CONTENT[[#This Row],[TopicID]], tbl_TOPIC[TopicID], tbl_TOPIC[Subject], "")</f>
        <v>QM</v>
      </c>
      <c r="D182" s="22" t="str">
        <f xml:space="preserve"> tbl_CONTENT[[#This Row],[TopicID]] &amp; "-" &amp; TEXT(tbl_CONTENT[[#This Row],[TopicIDCount]], "00")</f>
        <v>QM-1-03-10</v>
      </c>
      <c r="F182" s="22" t="str">
        <f>_xlfn.XLOOKUP(tbl_CONTENT[[#This Row],[Topic]], tbl_TOPIC[Topic], tbl_TOPIC[TopicID], "")</f>
        <v>QM-1-03</v>
      </c>
      <c r="G182" s="22" cm="1">
        <f t="array" ref="G182">SUM((tbl_CONTENT[[#This Row],[TopicID]]=INDEX(tbl_CONTENT[TopicID],1):tbl_CONTENT[[#This Row],[TopicID]])*1)</f>
        <v>10</v>
      </c>
      <c r="H182" s="22" t="s">
        <v>366</v>
      </c>
      <c r="I182" s="22" t="s">
        <v>393</v>
      </c>
      <c r="J182" s="22" t="s">
        <v>153</v>
      </c>
      <c r="K182" s="22">
        <v>1</v>
      </c>
      <c r="Q182" s="35">
        <f>IFERROR(
 (1.907*EXP(1)^(-0.5*tbl_CONTENT[[#This Row],[Layer]])) *
 ((tbl_CONTENT[[#This Row],[RelInt]]-1)^(2.5)*4^(1-2.5)+1) +
 ((tbl_CONTENT[[#This Row],[Comp]]-1)^(2.5)*4^(1-2.5)+1)*(0.5*((tbl_CONTENT[[#This Row],[RelInt]]-1)/4)^(2.5)+1),
 0
)</f>
        <v>0</v>
      </c>
      <c r="R182" s="35">
        <f>IFERROR(
 (1.907*EXP(1)^(-0.5*VALUE(tbl_CONTENT[[#This Row],[Layer]]))) *
 ((VALUE(tbl_CONTENT[[#This Row],[RelId]])-1)^(2.5)*4^(1-2.5)+1) +
 ((VALUE(tbl_CONTENT[[#This Row],[Comp]])-1)^(2.5)*4^(1-2.5)+1)*(0.5*((VALUE(tbl_CONTENT[[#This Row],[RelId]])-1)/4)^(2.5)+1),
 0
)</f>
        <v>0</v>
      </c>
    </row>
    <row r="183" spans="3:18" ht="34" customHeight="1" x14ac:dyDescent="0.2">
      <c r="C183" s="22" t="str">
        <f>_xlfn.XLOOKUP(tbl_CONTENT[[#This Row],[TopicID]], tbl_TOPIC[TopicID], tbl_TOPIC[Subject], "")</f>
        <v>QM</v>
      </c>
      <c r="D183" s="22" t="str">
        <f xml:space="preserve"> tbl_CONTENT[[#This Row],[TopicID]] &amp; "-" &amp; TEXT(tbl_CONTENT[[#This Row],[TopicIDCount]], "00")</f>
        <v>QM-1-03-11</v>
      </c>
      <c r="F183" s="22" t="str">
        <f>_xlfn.XLOOKUP(tbl_CONTENT[[#This Row],[Topic]], tbl_TOPIC[Topic], tbl_TOPIC[TopicID], "")</f>
        <v>QM-1-03</v>
      </c>
      <c r="G183" s="22" cm="1">
        <f t="array" ref="G183">SUM((tbl_CONTENT[[#This Row],[TopicID]]=INDEX(tbl_CONTENT[TopicID],1):tbl_CONTENT[[#This Row],[TopicID]])*1)</f>
        <v>11</v>
      </c>
      <c r="H183" s="22" t="s">
        <v>366</v>
      </c>
      <c r="I183" s="22" t="s">
        <v>688</v>
      </c>
      <c r="J183" s="22" t="s">
        <v>382</v>
      </c>
      <c r="K183" s="22">
        <v>1</v>
      </c>
      <c r="Q183" s="35">
        <f>IFERROR(
 (1.907*EXP(1)^(-0.5*tbl_CONTENT[[#This Row],[Layer]])) *
 ((tbl_CONTENT[[#This Row],[RelInt]]-1)^(2.5)*4^(1-2.5)+1) +
 ((tbl_CONTENT[[#This Row],[Comp]]-1)^(2.5)*4^(1-2.5)+1)*(0.5*((tbl_CONTENT[[#This Row],[RelInt]]-1)/4)^(2.5)+1),
 0
)</f>
        <v>0</v>
      </c>
      <c r="R183" s="35">
        <f>IFERROR(
 (1.907*EXP(1)^(-0.5*VALUE(tbl_CONTENT[[#This Row],[Layer]]))) *
 ((VALUE(tbl_CONTENT[[#This Row],[RelId]])-1)^(2.5)*4^(1-2.5)+1) +
 ((VALUE(tbl_CONTENT[[#This Row],[Comp]])-1)^(2.5)*4^(1-2.5)+1)*(0.5*((VALUE(tbl_CONTENT[[#This Row],[RelId]])-1)/4)^(2.5)+1),
 0
)</f>
        <v>0</v>
      </c>
    </row>
    <row r="184" spans="3:18" ht="34" customHeight="1" x14ac:dyDescent="0.2">
      <c r="C184" s="22" t="str">
        <f>_xlfn.XLOOKUP(tbl_CONTENT[[#This Row],[TopicID]], tbl_TOPIC[TopicID], tbl_TOPIC[Subject], "")</f>
        <v>QM</v>
      </c>
      <c r="D184" s="22" t="str">
        <f xml:space="preserve"> tbl_CONTENT[[#This Row],[TopicID]] &amp; "-" &amp; TEXT(tbl_CONTENT[[#This Row],[TopicIDCount]], "00")</f>
        <v>QM-1-03-12</v>
      </c>
      <c r="F184" s="22" t="str">
        <f>_xlfn.XLOOKUP(tbl_CONTENT[[#This Row],[Topic]], tbl_TOPIC[Topic], tbl_TOPIC[TopicID], "")</f>
        <v>QM-1-03</v>
      </c>
      <c r="G184" s="22" cm="1">
        <f t="array" ref="G184">SUM((tbl_CONTENT[[#This Row],[TopicID]]=INDEX(tbl_CONTENT[TopicID],1):tbl_CONTENT[[#This Row],[TopicID]])*1)</f>
        <v>12</v>
      </c>
      <c r="H184" s="22" t="s">
        <v>366</v>
      </c>
      <c r="I184" s="22" t="s">
        <v>394</v>
      </c>
      <c r="J184" s="22" t="s">
        <v>382</v>
      </c>
      <c r="K184" s="22">
        <v>1</v>
      </c>
      <c r="Q184" s="35">
        <f>IFERROR(
 (1.907*EXP(1)^(-0.5*tbl_CONTENT[[#This Row],[Layer]])) *
 ((tbl_CONTENT[[#This Row],[RelInt]]-1)^(2.5)*4^(1-2.5)+1) +
 ((tbl_CONTENT[[#This Row],[Comp]]-1)^(2.5)*4^(1-2.5)+1)*(0.5*((tbl_CONTENT[[#This Row],[RelInt]]-1)/4)^(2.5)+1),
 0
)</f>
        <v>0</v>
      </c>
      <c r="R184" s="35">
        <f>IFERROR(
 (1.907*EXP(1)^(-0.5*VALUE(tbl_CONTENT[[#This Row],[Layer]]))) *
 ((VALUE(tbl_CONTENT[[#This Row],[RelId]])-1)^(2.5)*4^(1-2.5)+1) +
 ((VALUE(tbl_CONTENT[[#This Row],[Comp]])-1)^(2.5)*4^(1-2.5)+1)*(0.5*((VALUE(tbl_CONTENT[[#This Row],[RelId]])-1)/4)^(2.5)+1),
 0
)</f>
        <v>0</v>
      </c>
    </row>
    <row r="185" spans="3:18" ht="34" customHeight="1" x14ac:dyDescent="0.2">
      <c r="C185" s="22" t="str">
        <f>_xlfn.XLOOKUP(tbl_CONTENT[[#This Row],[TopicID]], tbl_TOPIC[TopicID], tbl_TOPIC[Subject], "")</f>
        <v>QM</v>
      </c>
      <c r="D185" s="22" t="str">
        <f xml:space="preserve"> tbl_CONTENT[[#This Row],[TopicID]] &amp; "-" &amp; TEXT(tbl_CONTENT[[#This Row],[TopicIDCount]], "00")</f>
        <v>QM-1-05-01</v>
      </c>
      <c r="F185" s="22" t="str">
        <f>_xlfn.XLOOKUP(tbl_CONTENT[[#This Row],[Topic]], tbl_TOPIC[Topic], tbl_TOPIC[TopicID], "")</f>
        <v>QM-1-05</v>
      </c>
      <c r="G185" s="22" cm="1">
        <f t="array" ref="G185">SUM((tbl_CONTENT[[#This Row],[TopicID]]=INDEX(tbl_CONTENT[TopicID],1):tbl_CONTENT[[#This Row],[TopicID]])*1)</f>
        <v>1</v>
      </c>
      <c r="H185" s="22" t="s">
        <v>368</v>
      </c>
      <c r="I185" s="22" t="s">
        <v>395</v>
      </c>
      <c r="J185" s="22" t="s">
        <v>153</v>
      </c>
      <c r="K185" s="22">
        <v>1</v>
      </c>
      <c r="Q185" s="35">
        <f>IFERROR(
 (1.907*EXP(1)^(-0.5*tbl_CONTENT[[#This Row],[Layer]])) *
 ((tbl_CONTENT[[#This Row],[RelInt]]-1)^(2.5)*4^(1-2.5)+1) +
 ((tbl_CONTENT[[#This Row],[Comp]]-1)^(2.5)*4^(1-2.5)+1)*(0.5*((tbl_CONTENT[[#This Row],[RelInt]]-1)/4)^(2.5)+1),
 0
)</f>
        <v>0</v>
      </c>
      <c r="R185" s="35">
        <f>IFERROR(
 (1.907*EXP(1)^(-0.5*VALUE(tbl_CONTENT[[#This Row],[Layer]]))) *
 ((VALUE(tbl_CONTENT[[#This Row],[RelId]])-1)^(2.5)*4^(1-2.5)+1) +
 ((VALUE(tbl_CONTENT[[#This Row],[Comp]])-1)^(2.5)*4^(1-2.5)+1)*(0.5*((VALUE(tbl_CONTENT[[#This Row],[RelId]])-1)/4)^(2.5)+1),
 0
)</f>
        <v>0</v>
      </c>
    </row>
    <row r="186" spans="3:18" ht="34" customHeight="1" x14ac:dyDescent="0.2">
      <c r="C186" s="22" t="str">
        <f>_xlfn.XLOOKUP(tbl_CONTENT[[#This Row],[TopicID]], tbl_TOPIC[TopicID], tbl_TOPIC[Subject], "")</f>
        <v>QM</v>
      </c>
      <c r="D186" s="22" t="str">
        <f xml:space="preserve"> tbl_CONTENT[[#This Row],[TopicID]] &amp; "-" &amp; TEXT(tbl_CONTENT[[#This Row],[TopicIDCount]], "00")</f>
        <v>QM-1-05-02</v>
      </c>
      <c r="F186" s="22" t="str">
        <f>_xlfn.XLOOKUP(tbl_CONTENT[[#This Row],[Topic]], tbl_TOPIC[Topic], tbl_TOPIC[TopicID], "")</f>
        <v>QM-1-05</v>
      </c>
      <c r="G186" s="22" cm="1">
        <f t="array" ref="G186">SUM((tbl_CONTENT[[#This Row],[TopicID]]=INDEX(tbl_CONTENT[TopicID],1):tbl_CONTENT[[#This Row],[TopicID]])*1)</f>
        <v>2</v>
      </c>
      <c r="H186" s="22" t="s">
        <v>368</v>
      </c>
      <c r="I186" s="22" t="s">
        <v>396</v>
      </c>
      <c r="J186" s="22" t="s">
        <v>153</v>
      </c>
      <c r="K186" s="22">
        <v>1</v>
      </c>
      <c r="Q186" s="35">
        <f>IFERROR(
 (1.907*EXP(1)^(-0.5*tbl_CONTENT[[#This Row],[Layer]])) *
 ((tbl_CONTENT[[#This Row],[RelInt]]-1)^(2.5)*4^(1-2.5)+1) +
 ((tbl_CONTENT[[#This Row],[Comp]]-1)^(2.5)*4^(1-2.5)+1)*(0.5*((tbl_CONTENT[[#This Row],[RelInt]]-1)/4)^(2.5)+1),
 0
)</f>
        <v>0</v>
      </c>
      <c r="R186" s="35">
        <f>IFERROR(
 (1.907*EXP(1)^(-0.5*VALUE(tbl_CONTENT[[#This Row],[Layer]]))) *
 ((VALUE(tbl_CONTENT[[#This Row],[RelId]])-1)^(2.5)*4^(1-2.5)+1) +
 ((VALUE(tbl_CONTENT[[#This Row],[Comp]])-1)^(2.5)*4^(1-2.5)+1)*(0.5*((VALUE(tbl_CONTENT[[#This Row],[RelId]])-1)/4)^(2.5)+1),
 0
)</f>
        <v>0</v>
      </c>
    </row>
    <row r="187" spans="3:18" ht="34" customHeight="1" x14ac:dyDescent="0.2">
      <c r="C187" s="22" t="str">
        <f>_xlfn.XLOOKUP(tbl_CONTENT[[#This Row],[TopicID]], tbl_TOPIC[TopicID], tbl_TOPIC[Subject], "")</f>
        <v>QM</v>
      </c>
      <c r="D187" s="22" t="str">
        <f xml:space="preserve"> tbl_CONTENT[[#This Row],[TopicID]] &amp; "-" &amp; TEXT(tbl_CONTENT[[#This Row],[TopicIDCount]], "00")</f>
        <v>QM-1-05-03</v>
      </c>
      <c r="F187" s="22" t="str">
        <f>_xlfn.XLOOKUP(tbl_CONTENT[[#This Row],[Topic]], tbl_TOPIC[Topic], tbl_TOPIC[TopicID], "")</f>
        <v>QM-1-05</v>
      </c>
      <c r="G187" s="22" cm="1">
        <f t="array" ref="G187">SUM((tbl_CONTENT[[#This Row],[TopicID]]=INDEX(tbl_CONTENT[TopicID],1):tbl_CONTENT[[#This Row],[TopicID]])*1)</f>
        <v>3</v>
      </c>
      <c r="H187" s="22" t="s">
        <v>368</v>
      </c>
      <c r="I187" s="22" t="s">
        <v>397</v>
      </c>
      <c r="J187" s="22" t="s">
        <v>382</v>
      </c>
      <c r="K187" s="22">
        <v>1</v>
      </c>
      <c r="Q187" s="35">
        <f>IFERROR(
 (1.907*EXP(1)^(-0.5*tbl_CONTENT[[#This Row],[Layer]])) *
 ((tbl_CONTENT[[#This Row],[RelInt]]-1)^(2.5)*4^(1-2.5)+1) +
 ((tbl_CONTENT[[#This Row],[Comp]]-1)^(2.5)*4^(1-2.5)+1)*(0.5*((tbl_CONTENT[[#This Row],[RelInt]]-1)/4)^(2.5)+1),
 0
)</f>
        <v>0</v>
      </c>
      <c r="R187" s="35">
        <f>IFERROR(
 (1.907*EXP(1)^(-0.5*VALUE(tbl_CONTENT[[#This Row],[Layer]]))) *
 ((VALUE(tbl_CONTENT[[#This Row],[RelId]])-1)^(2.5)*4^(1-2.5)+1) +
 ((VALUE(tbl_CONTENT[[#This Row],[Comp]])-1)^(2.5)*4^(1-2.5)+1)*(0.5*((VALUE(tbl_CONTENT[[#This Row],[RelId]])-1)/4)^(2.5)+1),
 0
)</f>
        <v>0</v>
      </c>
    </row>
    <row r="188" spans="3:18" ht="34" customHeight="1" x14ac:dyDescent="0.2">
      <c r="C188" s="22" t="str">
        <f>_xlfn.XLOOKUP(tbl_CONTENT[[#This Row],[TopicID]], tbl_TOPIC[TopicID], tbl_TOPIC[Subject], "")</f>
        <v>QM</v>
      </c>
      <c r="D188" s="22" t="str">
        <f xml:space="preserve"> tbl_CONTENT[[#This Row],[TopicID]] &amp; "-" &amp; TEXT(tbl_CONTENT[[#This Row],[TopicIDCount]], "00")</f>
        <v>QM-1-05-04</v>
      </c>
      <c r="F188" s="22" t="str">
        <f>_xlfn.XLOOKUP(tbl_CONTENT[[#This Row],[Topic]], tbl_TOPIC[Topic], tbl_TOPIC[TopicID], "")</f>
        <v>QM-1-05</v>
      </c>
      <c r="G188" s="22" cm="1">
        <f t="array" ref="G188">SUM((tbl_CONTENT[[#This Row],[TopicID]]=INDEX(tbl_CONTENT[TopicID],1):tbl_CONTENT[[#This Row],[TopicID]])*1)</f>
        <v>4</v>
      </c>
      <c r="H188" s="22" t="s">
        <v>368</v>
      </c>
      <c r="I188" s="22" t="s">
        <v>365</v>
      </c>
      <c r="J188" s="22" t="s">
        <v>153</v>
      </c>
      <c r="K188" s="22">
        <v>1</v>
      </c>
      <c r="Q188" s="35">
        <f>IFERROR(
 (1.907*EXP(1)^(-0.5*tbl_CONTENT[[#This Row],[Layer]])) *
 ((tbl_CONTENT[[#This Row],[RelInt]]-1)^(2.5)*4^(1-2.5)+1) +
 ((tbl_CONTENT[[#This Row],[Comp]]-1)^(2.5)*4^(1-2.5)+1)*(0.5*((tbl_CONTENT[[#This Row],[RelInt]]-1)/4)^(2.5)+1),
 0
)</f>
        <v>0</v>
      </c>
      <c r="R188" s="35">
        <f>IFERROR(
 (1.907*EXP(1)^(-0.5*VALUE(tbl_CONTENT[[#This Row],[Layer]]))) *
 ((VALUE(tbl_CONTENT[[#This Row],[RelId]])-1)^(2.5)*4^(1-2.5)+1) +
 ((VALUE(tbl_CONTENT[[#This Row],[Comp]])-1)^(2.5)*4^(1-2.5)+1)*(0.5*((VALUE(tbl_CONTENT[[#This Row],[RelId]])-1)/4)^(2.5)+1),
 0
)</f>
        <v>0</v>
      </c>
    </row>
    <row r="189" spans="3:18" ht="34" customHeight="1" x14ac:dyDescent="0.2">
      <c r="C189" s="22" t="str">
        <f>_xlfn.XLOOKUP(tbl_CONTENT[[#This Row],[TopicID]], tbl_TOPIC[TopicID], tbl_TOPIC[Subject], "")</f>
        <v>QM</v>
      </c>
      <c r="D189" s="22" t="str">
        <f xml:space="preserve"> tbl_CONTENT[[#This Row],[TopicID]] &amp; "-" &amp; TEXT(tbl_CONTENT[[#This Row],[TopicIDCount]], "00")</f>
        <v>QM-1-05-05</v>
      </c>
      <c r="F189" s="22" t="str">
        <f>_xlfn.XLOOKUP(tbl_CONTENT[[#This Row],[Topic]], tbl_TOPIC[Topic], tbl_TOPIC[TopicID], "")</f>
        <v>QM-1-05</v>
      </c>
      <c r="G189" s="22" cm="1">
        <f t="array" ref="G189">SUM((tbl_CONTENT[[#This Row],[TopicID]]=INDEX(tbl_CONTENT[TopicID],1):tbl_CONTENT[[#This Row],[TopicID]])*1)</f>
        <v>5</v>
      </c>
      <c r="H189" s="22" t="s">
        <v>368</v>
      </c>
      <c r="I189" s="22" t="s">
        <v>398</v>
      </c>
      <c r="J189" s="22" t="s">
        <v>148</v>
      </c>
      <c r="K189" s="22">
        <v>1</v>
      </c>
      <c r="Q189" s="35">
        <f>IFERROR(
 (1.907*EXP(1)^(-0.5*tbl_CONTENT[[#This Row],[Layer]])) *
 ((tbl_CONTENT[[#This Row],[RelInt]]-1)^(2.5)*4^(1-2.5)+1) +
 ((tbl_CONTENT[[#This Row],[Comp]]-1)^(2.5)*4^(1-2.5)+1)*(0.5*((tbl_CONTENT[[#This Row],[RelInt]]-1)/4)^(2.5)+1),
 0
)</f>
        <v>0</v>
      </c>
      <c r="R189" s="35">
        <f>IFERROR(
 (1.907*EXP(1)^(-0.5*VALUE(tbl_CONTENT[[#This Row],[Layer]]))) *
 ((VALUE(tbl_CONTENT[[#This Row],[RelId]])-1)^(2.5)*4^(1-2.5)+1) +
 ((VALUE(tbl_CONTENT[[#This Row],[Comp]])-1)^(2.5)*4^(1-2.5)+1)*(0.5*((VALUE(tbl_CONTENT[[#This Row],[RelId]])-1)/4)^(2.5)+1),
 0
)</f>
        <v>0</v>
      </c>
    </row>
    <row r="190" spans="3:18" ht="34" customHeight="1" x14ac:dyDescent="0.2">
      <c r="C190" s="22" t="str">
        <f>_xlfn.XLOOKUP(tbl_CONTENT[[#This Row],[TopicID]], tbl_TOPIC[TopicID], tbl_TOPIC[Subject], "")</f>
        <v>QM</v>
      </c>
      <c r="D190" s="22" t="str">
        <f xml:space="preserve"> tbl_CONTENT[[#This Row],[TopicID]] &amp; "-" &amp; TEXT(tbl_CONTENT[[#This Row],[TopicIDCount]], "00")</f>
        <v>QM-1-05-06</v>
      </c>
      <c r="F190" s="22" t="str">
        <f>_xlfn.XLOOKUP(tbl_CONTENT[[#This Row],[Topic]], tbl_TOPIC[Topic], tbl_TOPIC[TopicID], "")</f>
        <v>QM-1-05</v>
      </c>
      <c r="G190" s="22" cm="1">
        <f t="array" ref="G190">SUM((tbl_CONTENT[[#This Row],[TopicID]]=INDEX(tbl_CONTENT[TopicID],1):tbl_CONTENT[[#This Row],[TopicID]])*1)</f>
        <v>6</v>
      </c>
      <c r="H190" s="22" t="s">
        <v>368</v>
      </c>
      <c r="I190" s="22" t="s">
        <v>399</v>
      </c>
      <c r="J190" s="22" t="s">
        <v>382</v>
      </c>
      <c r="K190" s="22">
        <v>1</v>
      </c>
      <c r="Q190" s="35">
        <f>IFERROR(
 (1.907*EXP(1)^(-0.5*tbl_CONTENT[[#This Row],[Layer]])) *
 ((tbl_CONTENT[[#This Row],[RelInt]]-1)^(2.5)*4^(1-2.5)+1) +
 ((tbl_CONTENT[[#This Row],[Comp]]-1)^(2.5)*4^(1-2.5)+1)*(0.5*((tbl_CONTENT[[#This Row],[RelInt]]-1)/4)^(2.5)+1),
 0
)</f>
        <v>0</v>
      </c>
      <c r="R190" s="35">
        <f>IFERROR(
 (1.907*EXP(1)^(-0.5*VALUE(tbl_CONTENT[[#This Row],[Layer]]))) *
 ((VALUE(tbl_CONTENT[[#This Row],[RelId]])-1)^(2.5)*4^(1-2.5)+1) +
 ((VALUE(tbl_CONTENT[[#This Row],[Comp]])-1)^(2.5)*4^(1-2.5)+1)*(0.5*((VALUE(tbl_CONTENT[[#This Row],[RelId]])-1)/4)^(2.5)+1),
 0
)</f>
        <v>0</v>
      </c>
    </row>
    <row r="191" spans="3:18" ht="34" customHeight="1" x14ac:dyDescent="0.2">
      <c r="C191" s="22" t="str">
        <f>_xlfn.XLOOKUP(tbl_CONTENT[[#This Row],[TopicID]], tbl_TOPIC[TopicID], tbl_TOPIC[Subject], "")</f>
        <v>QMS</v>
      </c>
      <c r="D191" s="22" t="str">
        <f xml:space="preserve"> tbl_CONTENT[[#This Row],[TopicID]] &amp; "-" &amp; TEXT(tbl_CONTENT[[#This Row],[TopicIDCount]], "00")</f>
        <v>QMS-1-02-01</v>
      </c>
      <c r="F191" s="22" t="str">
        <f>_xlfn.XLOOKUP(tbl_CONTENT[[#This Row],[Topic]], tbl_TOPIC[Topic], tbl_TOPIC[TopicID], "")</f>
        <v>QMS-1-02</v>
      </c>
      <c r="G191" s="22" cm="1">
        <f t="array" ref="G191">SUM((tbl_CONTENT[[#This Row],[TopicID]]=INDEX(tbl_CONTENT[TopicID],1):tbl_CONTENT[[#This Row],[TopicID]])*1)</f>
        <v>1</v>
      </c>
      <c r="H191" s="22" t="s">
        <v>401</v>
      </c>
      <c r="I191" s="22" t="s">
        <v>415</v>
      </c>
      <c r="J191" s="22" t="s">
        <v>382</v>
      </c>
      <c r="K191" s="22">
        <v>1</v>
      </c>
      <c r="Q191" s="35">
        <f>IFERROR(
 (1.907*EXP(1)^(-0.5*tbl_CONTENT[[#This Row],[Layer]])) *
 ((tbl_CONTENT[[#This Row],[RelInt]]-1)^(2.5)*4^(1-2.5)+1) +
 ((tbl_CONTENT[[#This Row],[Comp]]-1)^(2.5)*4^(1-2.5)+1)*(0.5*((tbl_CONTENT[[#This Row],[RelInt]]-1)/4)^(2.5)+1),
 0
)</f>
        <v>0</v>
      </c>
      <c r="R191" s="35">
        <f>IFERROR(
 (1.907*EXP(1)^(-0.5*VALUE(tbl_CONTENT[[#This Row],[Layer]]))) *
 ((VALUE(tbl_CONTENT[[#This Row],[RelId]])-1)^(2.5)*4^(1-2.5)+1) +
 ((VALUE(tbl_CONTENT[[#This Row],[Comp]])-1)^(2.5)*4^(1-2.5)+1)*(0.5*((VALUE(tbl_CONTENT[[#This Row],[RelId]])-1)/4)^(2.5)+1),
 0
)</f>
        <v>0</v>
      </c>
    </row>
    <row r="192" spans="3:18" ht="34" customHeight="1" x14ac:dyDescent="0.2">
      <c r="C192" s="22" t="str">
        <f>_xlfn.XLOOKUP(tbl_CONTENT[[#This Row],[TopicID]], tbl_TOPIC[TopicID], tbl_TOPIC[Subject], "")</f>
        <v>QMS</v>
      </c>
      <c r="D192" s="22" t="str">
        <f xml:space="preserve"> tbl_CONTENT[[#This Row],[TopicID]] &amp; "-" &amp; TEXT(tbl_CONTENT[[#This Row],[TopicIDCount]], "00")</f>
        <v>QMS-1-02-02</v>
      </c>
      <c r="F192" s="22" t="str">
        <f>_xlfn.XLOOKUP(tbl_CONTENT[[#This Row],[Topic]], tbl_TOPIC[Topic], tbl_TOPIC[TopicID], "")</f>
        <v>QMS-1-02</v>
      </c>
      <c r="G192" s="22" cm="1">
        <f t="array" ref="G192">SUM((tbl_CONTENT[[#This Row],[TopicID]]=INDEX(tbl_CONTENT[TopicID],1):tbl_CONTENT[[#This Row],[TopicID]])*1)</f>
        <v>2</v>
      </c>
      <c r="H192" s="22" t="s">
        <v>401</v>
      </c>
      <c r="I192" s="22" t="s">
        <v>401</v>
      </c>
      <c r="J192" s="22" t="s">
        <v>153</v>
      </c>
      <c r="K192" s="22">
        <v>1</v>
      </c>
      <c r="Q192" s="35">
        <f>IFERROR(
 (1.907*EXP(1)^(-0.5*tbl_CONTENT[[#This Row],[Layer]])) *
 ((tbl_CONTENT[[#This Row],[RelInt]]-1)^(2.5)*4^(1-2.5)+1) +
 ((tbl_CONTENT[[#This Row],[Comp]]-1)^(2.5)*4^(1-2.5)+1)*(0.5*((tbl_CONTENT[[#This Row],[RelInt]]-1)/4)^(2.5)+1),
 0
)</f>
        <v>0</v>
      </c>
      <c r="R192" s="35">
        <f>IFERROR(
 (1.907*EXP(1)^(-0.5*VALUE(tbl_CONTENT[[#This Row],[Layer]]))) *
 ((VALUE(tbl_CONTENT[[#This Row],[RelId]])-1)^(2.5)*4^(1-2.5)+1) +
 ((VALUE(tbl_CONTENT[[#This Row],[Comp]])-1)^(2.5)*4^(1-2.5)+1)*(0.5*((VALUE(tbl_CONTENT[[#This Row],[RelId]])-1)/4)^(2.5)+1),
 0
)</f>
        <v>0</v>
      </c>
    </row>
    <row r="193" spans="3:20" ht="34" customHeight="1" x14ac:dyDescent="0.2">
      <c r="C193" s="22" t="str">
        <f>_xlfn.XLOOKUP(tbl_CONTENT[[#This Row],[TopicID]], tbl_TOPIC[TopicID], tbl_TOPIC[Subject], "")</f>
        <v>QMS</v>
      </c>
      <c r="D193" s="22" t="str">
        <f xml:space="preserve"> tbl_CONTENT[[#This Row],[TopicID]] &amp; "-" &amp; TEXT(tbl_CONTENT[[#This Row],[TopicIDCount]], "00")</f>
        <v>QMS-1-02-03</v>
      </c>
      <c r="F193" s="22" t="str">
        <f>_xlfn.XLOOKUP(tbl_CONTENT[[#This Row],[Topic]], tbl_TOPIC[Topic], tbl_TOPIC[TopicID], "")</f>
        <v>QMS-1-02</v>
      </c>
      <c r="G193" s="22" cm="1">
        <f t="array" ref="G193">SUM((tbl_CONTENT[[#This Row],[TopicID]]=INDEX(tbl_CONTENT[TopicID],1):tbl_CONTENT[[#This Row],[TopicID]])*1)</f>
        <v>3</v>
      </c>
      <c r="H193" s="22" t="s">
        <v>401</v>
      </c>
      <c r="I193" s="22" t="s">
        <v>416</v>
      </c>
      <c r="J193" s="22" t="s">
        <v>153</v>
      </c>
      <c r="K193" s="22">
        <v>1</v>
      </c>
      <c r="Q193" s="35">
        <f>IFERROR(
 (1.907*EXP(1)^(-0.5*tbl_CONTENT[[#This Row],[Layer]])) *
 ((tbl_CONTENT[[#This Row],[RelInt]]-1)^(2.5)*4^(1-2.5)+1) +
 ((tbl_CONTENT[[#This Row],[Comp]]-1)^(2.5)*4^(1-2.5)+1)*(0.5*((tbl_CONTENT[[#This Row],[RelInt]]-1)/4)^(2.5)+1),
 0
)</f>
        <v>0</v>
      </c>
      <c r="R193" s="35">
        <f>IFERROR(
 (1.907*EXP(1)^(-0.5*VALUE(tbl_CONTENT[[#This Row],[Layer]]))) *
 ((VALUE(tbl_CONTENT[[#This Row],[RelId]])-1)^(2.5)*4^(1-2.5)+1) +
 ((VALUE(tbl_CONTENT[[#This Row],[Comp]])-1)^(2.5)*4^(1-2.5)+1)*(0.5*((VALUE(tbl_CONTENT[[#This Row],[RelId]])-1)/4)^(2.5)+1),
 0
)</f>
        <v>0</v>
      </c>
    </row>
    <row r="194" spans="3:20" ht="34" customHeight="1" x14ac:dyDescent="0.2">
      <c r="C194" s="22" t="str">
        <f>_xlfn.XLOOKUP(tbl_CONTENT[[#This Row],[TopicID]], tbl_TOPIC[TopicID], tbl_TOPIC[Subject], "")</f>
        <v>QMS</v>
      </c>
      <c r="D194" s="22" t="str">
        <f xml:space="preserve"> tbl_CONTENT[[#This Row],[TopicID]] &amp; "-" &amp; TEXT(tbl_CONTENT[[#This Row],[TopicIDCount]], "00")</f>
        <v>QMS-1-02-04</v>
      </c>
      <c r="F194" s="22" t="str">
        <f>_xlfn.XLOOKUP(tbl_CONTENT[[#This Row],[Topic]], tbl_TOPIC[Topic], tbl_TOPIC[TopicID], "")</f>
        <v>QMS-1-02</v>
      </c>
      <c r="G194" s="22" cm="1">
        <f t="array" ref="G194">SUM((tbl_CONTENT[[#This Row],[TopicID]]=INDEX(tbl_CONTENT[TopicID],1):tbl_CONTENT[[#This Row],[TopicID]])*1)</f>
        <v>4</v>
      </c>
      <c r="H194" s="22" t="s">
        <v>401</v>
      </c>
      <c r="I194" s="22" t="s">
        <v>418</v>
      </c>
      <c r="J194" s="22" t="s">
        <v>153</v>
      </c>
      <c r="K194" s="22">
        <v>1</v>
      </c>
      <c r="Q194" s="35">
        <f>IFERROR(
 (1.907*EXP(1)^(-0.5*tbl_CONTENT[[#This Row],[Layer]])) *
 ((tbl_CONTENT[[#This Row],[RelInt]]-1)^(2.5)*4^(1-2.5)+1) +
 ((tbl_CONTENT[[#This Row],[Comp]]-1)^(2.5)*4^(1-2.5)+1)*(0.5*((tbl_CONTENT[[#This Row],[RelInt]]-1)/4)^(2.5)+1),
 0
)</f>
        <v>0</v>
      </c>
      <c r="R194" s="35">
        <f>IFERROR(
 (1.907*EXP(1)^(-0.5*VALUE(tbl_CONTENT[[#This Row],[Layer]]))) *
 ((VALUE(tbl_CONTENT[[#This Row],[RelId]])-1)^(2.5)*4^(1-2.5)+1) +
 ((VALUE(tbl_CONTENT[[#This Row],[Comp]])-1)^(2.5)*4^(1-2.5)+1)*(0.5*((VALUE(tbl_CONTENT[[#This Row],[RelId]])-1)/4)^(2.5)+1),
 0
)</f>
        <v>0</v>
      </c>
    </row>
    <row r="195" spans="3:20" ht="64" customHeight="1" x14ac:dyDescent="0.2">
      <c r="C195" s="22" t="str">
        <f>_xlfn.XLOOKUP(tbl_CONTENT[[#This Row],[TopicID]], tbl_TOPIC[TopicID], tbl_TOPIC[Subject], "")</f>
        <v>QMS</v>
      </c>
      <c r="D195" s="22" t="str">
        <f xml:space="preserve"> tbl_CONTENT[[#This Row],[TopicID]] &amp; "-" &amp; TEXT(tbl_CONTENT[[#This Row],[TopicIDCount]], "00")</f>
        <v>QMS-1-02-05</v>
      </c>
      <c r="F195" s="22" t="str">
        <f>_xlfn.XLOOKUP(tbl_CONTENT[[#This Row],[Topic]], tbl_TOPIC[Topic], tbl_TOPIC[TopicID], "")</f>
        <v>QMS-1-02</v>
      </c>
      <c r="G195" s="22" cm="1">
        <f t="array" ref="G195">SUM((tbl_CONTENT[[#This Row],[TopicID]]=INDEX(tbl_CONTENT[TopicID],1):tbl_CONTENT[[#This Row],[TopicID]])*1)</f>
        <v>5</v>
      </c>
      <c r="H195" s="22" t="s">
        <v>401</v>
      </c>
      <c r="I195" s="22" t="s">
        <v>419</v>
      </c>
      <c r="J195" s="22" t="s">
        <v>382</v>
      </c>
      <c r="Q195" s="35">
        <f>IFERROR(
 (1.907*EXP(1)^(-0.5*tbl_CONTENT[[#This Row],[Layer]])) *
 ((tbl_CONTENT[[#This Row],[RelInt]]-1)^(2.5)*4^(1-2.5)+1) +
 ((tbl_CONTENT[[#This Row],[Comp]]-1)^(2.5)*4^(1-2.5)+1)*(0.5*((tbl_CONTENT[[#This Row],[RelInt]]-1)/4)^(2.5)+1),
 0
)</f>
        <v>0</v>
      </c>
      <c r="R195" s="35">
        <f>IFERROR(
 (1.907*EXP(1)^(-0.5*VALUE(tbl_CONTENT[[#This Row],[Layer]]))) *
 ((VALUE(tbl_CONTENT[[#This Row],[RelId]])-1)^(2.5)*4^(1-2.5)+1) +
 ((VALUE(tbl_CONTENT[[#This Row],[Comp]])-1)^(2.5)*4^(1-2.5)+1)*(0.5*((VALUE(tbl_CONTENT[[#This Row],[RelId]])-1)/4)^(2.5)+1),
 0
)</f>
        <v>0</v>
      </c>
    </row>
    <row r="196" spans="3:20" ht="48" customHeight="1" x14ac:dyDescent="0.2">
      <c r="C196" s="22" t="str">
        <f>_xlfn.XLOOKUP(tbl_CONTENT[[#This Row],[TopicID]], tbl_TOPIC[TopicID], tbl_TOPIC[Subject], "")</f>
        <v>QMS</v>
      </c>
      <c r="D196" s="22" t="str">
        <f xml:space="preserve"> tbl_CONTENT[[#This Row],[TopicID]] &amp; "-" &amp; TEXT(tbl_CONTENT[[#This Row],[TopicIDCount]], "00")</f>
        <v>QMS-1-02-06</v>
      </c>
      <c r="F196" s="22" t="str">
        <f>_xlfn.XLOOKUP(tbl_CONTENT[[#This Row],[Topic]], tbl_TOPIC[Topic], tbl_TOPIC[TopicID], "")</f>
        <v>QMS-1-02</v>
      </c>
      <c r="G196" s="22" cm="1">
        <f t="array" ref="G196">SUM((tbl_CONTENT[[#This Row],[TopicID]]=INDEX(tbl_CONTENT[TopicID],1):tbl_CONTENT[[#This Row],[TopicID]])*1)</f>
        <v>6</v>
      </c>
      <c r="H196" s="22" t="s">
        <v>401</v>
      </c>
      <c r="I196" s="22" t="s">
        <v>421</v>
      </c>
      <c r="J196" s="22" t="s">
        <v>152</v>
      </c>
      <c r="K196" s="22">
        <v>1</v>
      </c>
      <c r="Q196" s="35">
        <f>IFERROR(
 (1.907*EXP(1)^(-0.5*tbl_CONTENT[[#This Row],[Layer]])) *
 ((tbl_CONTENT[[#This Row],[RelInt]]-1)^(2.5)*4^(1-2.5)+1) +
 ((tbl_CONTENT[[#This Row],[Comp]]-1)^(2.5)*4^(1-2.5)+1)*(0.5*((tbl_CONTENT[[#This Row],[RelInt]]-1)/4)^(2.5)+1),
 0
)</f>
        <v>0</v>
      </c>
      <c r="R196" s="35">
        <f>IFERROR(
 (1.907*EXP(1)^(-0.5*VALUE(tbl_CONTENT[[#This Row],[Layer]]))) *
 ((VALUE(tbl_CONTENT[[#This Row],[RelId]])-1)^(2.5)*4^(1-2.5)+1) +
 ((VALUE(tbl_CONTENT[[#This Row],[Comp]])-1)^(2.5)*4^(1-2.5)+1)*(0.5*((VALUE(tbl_CONTENT[[#This Row],[RelId]])-1)/4)^(2.5)+1),
 0
)</f>
        <v>0</v>
      </c>
    </row>
    <row r="197" spans="3:20" ht="34" customHeight="1" x14ac:dyDescent="0.2">
      <c r="C197" s="22" t="str">
        <f>_xlfn.XLOOKUP(tbl_CONTENT[[#This Row],[TopicID]], tbl_TOPIC[TopicID], tbl_TOPIC[Subject], "")</f>
        <v>QMS</v>
      </c>
      <c r="D197" s="22" t="str">
        <f xml:space="preserve"> tbl_CONTENT[[#This Row],[TopicID]] &amp; "-" &amp; TEXT(tbl_CONTENT[[#This Row],[TopicIDCount]], "00")</f>
        <v>QMS-1-02-07</v>
      </c>
      <c r="F197" s="22" t="str">
        <f>_xlfn.XLOOKUP(tbl_CONTENT[[#This Row],[Topic]], tbl_TOPIC[Topic], tbl_TOPIC[TopicID], "")</f>
        <v>QMS-1-02</v>
      </c>
      <c r="G197" s="22" cm="1">
        <f t="array" ref="G197">SUM((tbl_CONTENT[[#This Row],[TopicID]]=INDEX(tbl_CONTENT[TopicID],1):tbl_CONTENT[[#This Row],[TopicID]])*1)</f>
        <v>7</v>
      </c>
      <c r="H197" s="22" t="s">
        <v>401</v>
      </c>
      <c r="I197" s="22" t="s">
        <v>420</v>
      </c>
      <c r="J197" s="22" t="s">
        <v>152</v>
      </c>
      <c r="K197" s="22">
        <v>1</v>
      </c>
      <c r="Q197" s="35">
        <f>IFERROR(
 (1.907*EXP(1)^(-0.5*tbl_CONTENT[[#This Row],[Layer]])) *
 ((tbl_CONTENT[[#This Row],[RelInt]]-1)^(2.5)*4^(1-2.5)+1) +
 ((tbl_CONTENT[[#This Row],[Comp]]-1)^(2.5)*4^(1-2.5)+1)*(0.5*((tbl_CONTENT[[#This Row],[RelInt]]-1)/4)^(2.5)+1),
 0
)</f>
        <v>0</v>
      </c>
      <c r="R197" s="35">
        <f>IFERROR(
 (1.907*EXP(1)^(-0.5*VALUE(tbl_CONTENT[[#This Row],[Layer]]))) *
 ((VALUE(tbl_CONTENT[[#This Row],[RelId]])-1)^(2.5)*4^(1-2.5)+1) +
 ((VALUE(tbl_CONTENT[[#This Row],[Comp]])-1)^(2.5)*4^(1-2.5)+1)*(0.5*((VALUE(tbl_CONTENT[[#This Row],[RelId]])-1)/4)^(2.5)+1),
 0
)</f>
        <v>0</v>
      </c>
    </row>
    <row r="198" spans="3:20" ht="34" customHeight="1" x14ac:dyDescent="0.2">
      <c r="C198" s="22" t="str">
        <f>_xlfn.XLOOKUP(tbl_CONTENT[[#This Row],[TopicID]], tbl_TOPIC[TopicID], tbl_TOPIC[Subject], "")</f>
        <v>QMS</v>
      </c>
      <c r="D198" s="22" t="str">
        <f xml:space="preserve"> tbl_CONTENT[[#This Row],[TopicID]] &amp; "-" &amp; TEXT(tbl_CONTENT[[#This Row],[TopicIDCount]], "00")</f>
        <v>QMS-1-02-08</v>
      </c>
      <c r="F198" s="22" t="str">
        <f>_xlfn.XLOOKUP(tbl_CONTENT[[#This Row],[Topic]], tbl_TOPIC[Topic], tbl_TOPIC[TopicID], "")</f>
        <v>QMS-1-02</v>
      </c>
      <c r="G198" s="22" cm="1">
        <f t="array" ref="G198">SUM((tbl_CONTENT[[#This Row],[TopicID]]=INDEX(tbl_CONTENT[TopicID],1):tbl_CONTENT[[#This Row],[TopicID]])*1)</f>
        <v>8</v>
      </c>
      <c r="H198" s="22" t="s">
        <v>401</v>
      </c>
      <c r="I198" s="22" t="s">
        <v>422</v>
      </c>
      <c r="J198" s="22" t="s">
        <v>152</v>
      </c>
      <c r="Q198" s="35">
        <f>IFERROR(
 (1.907*EXP(1)^(-0.5*tbl_CONTENT[[#This Row],[Layer]])) *
 ((tbl_CONTENT[[#This Row],[RelInt]]-1)^(2.5)*4^(1-2.5)+1) +
 ((tbl_CONTENT[[#This Row],[Comp]]-1)^(2.5)*4^(1-2.5)+1)*(0.5*((tbl_CONTENT[[#This Row],[RelInt]]-1)/4)^(2.5)+1),
 0
)</f>
        <v>0</v>
      </c>
      <c r="R198" s="35">
        <f>IFERROR(
 (1.907*EXP(1)^(-0.5*VALUE(tbl_CONTENT[[#This Row],[Layer]]))) *
 ((VALUE(tbl_CONTENT[[#This Row],[RelId]])-1)^(2.5)*4^(1-2.5)+1) +
 ((VALUE(tbl_CONTENT[[#This Row],[Comp]])-1)^(2.5)*4^(1-2.5)+1)*(0.5*((VALUE(tbl_CONTENT[[#This Row],[RelId]])-1)/4)^(2.5)+1),
 0
)</f>
        <v>0</v>
      </c>
    </row>
    <row r="199" spans="3:20" ht="34" customHeight="1" x14ac:dyDescent="0.2">
      <c r="C199" s="22" t="str">
        <f>_xlfn.XLOOKUP(tbl_CONTENT[[#This Row],[TopicID]], tbl_TOPIC[TopicID], tbl_TOPIC[Subject], "")</f>
        <v>QMS</v>
      </c>
      <c r="D199" s="22" t="str">
        <f xml:space="preserve"> tbl_CONTENT[[#This Row],[TopicID]] &amp; "-" &amp; TEXT(tbl_CONTENT[[#This Row],[TopicIDCount]], "00")</f>
        <v>QMS-1-02-09</v>
      </c>
      <c r="F199" s="22" t="str">
        <f>_xlfn.XLOOKUP(tbl_CONTENT[[#This Row],[Topic]], tbl_TOPIC[Topic], tbl_TOPIC[TopicID], "")</f>
        <v>QMS-1-02</v>
      </c>
      <c r="G199" s="22" cm="1">
        <f t="array" ref="G199">SUM((tbl_CONTENT[[#This Row],[TopicID]]=INDEX(tbl_CONTENT[TopicID],1):tbl_CONTENT[[#This Row],[TopicID]])*1)</f>
        <v>9</v>
      </c>
      <c r="H199" s="22" t="s">
        <v>401</v>
      </c>
      <c r="I199" s="22" t="s">
        <v>423</v>
      </c>
      <c r="J199" s="22" t="s">
        <v>382</v>
      </c>
      <c r="K199" s="22">
        <v>1</v>
      </c>
      <c r="Q199" s="35">
        <f>IFERROR(
 (1.907*EXP(1)^(-0.5*tbl_CONTENT[[#This Row],[Layer]])) *
 ((tbl_CONTENT[[#This Row],[RelInt]]-1)^(2.5)*4^(1-2.5)+1) +
 ((tbl_CONTENT[[#This Row],[Comp]]-1)^(2.5)*4^(1-2.5)+1)*(0.5*((tbl_CONTENT[[#This Row],[RelInt]]-1)/4)^(2.5)+1),
 0
)</f>
        <v>0</v>
      </c>
      <c r="R199" s="35">
        <f>IFERROR(
 (1.907*EXP(1)^(-0.5*VALUE(tbl_CONTENT[[#This Row],[Layer]]))) *
 ((VALUE(tbl_CONTENT[[#This Row],[RelId]])-1)^(2.5)*4^(1-2.5)+1) +
 ((VALUE(tbl_CONTENT[[#This Row],[Comp]])-1)^(2.5)*4^(1-2.5)+1)*(0.5*((VALUE(tbl_CONTENT[[#This Row],[RelId]])-1)/4)^(2.5)+1),
 0
)</f>
        <v>0</v>
      </c>
    </row>
    <row r="200" spans="3:20" ht="52" customHeight="1" x14ac:dyDescent="0.2">
      <c r="C200" s="22" t="str">
        <f>_xlfn.XLOOKUP(tbl_CONTENT[[#This Row],[TopicID]], tbl_TOPIC[TopicID], tbl_TOPIC[Subject], "")</f>
        <v>QMS</v>
      </c>
      <c r="D200" s="22" t="str">
        <f xml:space="preserve"> tbl_CONTENT[[#This Row],[TopicID]] &amp; "-" &amp; TEXT(tbl_CONTENT[[#This Row],[TopicIDCount]], "00")</f>
        <v>QMS-1-02-10</v>
      </c>
      <c r="F200" s="22" t="str">
        <f>_xlfn.XLOOKUP(tbl_CONTENT[[#This Row],[Topic]], tbl_TOPIC[Topic], tbl_TOPIC[TopicID], "")</f>
        <v>QMS-1-02</v>
      </c>
      <c r="G200" s="22" cm="1">
        <f t="array" ref="G200">SUM((tbl_CONTENT[[#This Row],[TopicID]]=INDEX(tbl_CONTENT[TopicID],1):tbl_CONTENT[[#This Row],[TopicID]])*1)</f>
        <v>10</v>
      </c>
      <c r="H200" s="22" t="s">
        <v>401</v>
      </c>
      <c r="I200" s="22" t="s">
        <v>424</v>
      </c>
      <c r="J200" s="22" t="s">
        <v>382</v>
      </c>
      <c r="K200" s="22">
        <v>1</v>
      </c>
      <c r="Q200" s="35">
        <f>IFERROR(
 (1.907*EXP(1)^(-0.5*tbl_CONTENT[[#This Row],[Layer]])) *
 ((tbl_CONTENT[[#This Row],[RelInt]]-1)^(2.5)*4^(1-2.5)+1) +
 ((tbl_CONTENT[[#This Row],[Comp]]-1)^(2.5)*4^(1-2.5)+1)*(0.5*((tbl_CONTENT[[#This Row],[RelInt]]-1)/4)^(2.5)+1),
 0
)</f>
        <v>0</v>
      </c>
      <c r="R200" s="35">
        <f>IFERROR(
 (1.907*EXP(1)^(-0.5*VALUE(tbl_CONTENT[[#This Row],[Layer]]))) *
 ((VALUE(tbl_CONTENT[[#This Row],[RelId]])-1)^(2.5)*4^(1-2.5)+1) +
 ((VALUE(tbl_CONTENT[[#This Row],[Comp]])-1)^(2.5)*4^(1-2.5)+1)*(0.5*((VALUE(tbl_CONTENT[[#This Row],[RelId]])-1)/4)^(2.5)+1),
 0
)</f>
        <v>0</v>
      </c>
    </row>
    <row r="201" spans="3:20" ht="51" x14ac:dyDescent="0.2">
      <c r="C201" s="22" t="str">
        <f>_xlfn.XLOOKUP(tbl_CONTENT[[#This Row],[TopicID]], tbl_TOPIC[TopicID], tbl_TOPIC[Subject], "")</f>
        <v>QMS</v>
      </c>
      <c r="D201" s="22" t="str">
        <f xml:space="preserve"> tbl_CONTENT[[#This Row],[TopicID]] &amp; "-" &amp; TEXT(tbl_CONTENT[[#This Row],[TopicIDCount]], "00")</f>
        <v>QMS-1-02-11</v>
      </c>
      <c r="F201" s="22" t="str">
        <f>_xlfn.XLOOKUP(tbl_CONTENT[[#This Row],[Topic]], tbl_TOPIC[Topic], tbl_TOPIC[TopicID], "")</f>
        <v>QMS-1-02</v>
      </c>
      <c r="G201" s="22" cm="1">
        <f t="array" ref="G201">SUM((tbl_CONTENT[[#This Row],[TopicID]]=INDEX(tbl_CONTENT[TopicID],1):tbl_CONTENT[[#This Row],[TopicID]])*1)</f>
        <v>11</v>
      </c>
      <c r="H201" s="22" t="s">
        <v>401</v>
      </c>
      <c r="I201" s="22" t="s">
        <v>425</v>
      </c>
      <c r="J201" s="22" t="s">
        <v>382</v>
      </c>
      <c r="K201" s="22">
        <v>1</v>
      </c>
      <c r="Q201" s="35">
        <f>IFERROR(
 (1.907*EXP(1)^(-0.5*tbl_CONTENT[[#This Row],[Layer]])) *
 ((tbl_CONTENT[[#This Row],[RelInt]]-1)^(2.5)*4^(1-2.5)+1) +
 ((tbl_CONTENT[[#This Row],[Comp]]-1)^(2.5)*4^(1-2.5)+1)*(0.5*((tbl_CONTENT[[#This Row],[RelInt]]-1)/4)^(2.5)+1),
 0
)</f>
        <v>0</v>
      </c>
      <c r="R201" s="35">
        <f>IFERROR(
 (1.907*EXP(1)^(-0.5*VALUE(tbl_CONTENT[[#This Row],[Layer]]))) *
 ((VALUE(tbl_CONTENT[[#This Row],[RelId]])-1)^(2.5)*4^(1-2.5)+1) +
 ((VALUE(tbl_CONTENT[[#This Row],[Comp]])-1)^(2.5)*4^(1-2.5)+1)*(0.5*((VALUE(tbl_CONTENT[[#This Row],[RelId]])-1)/4)^(2.5)+1),
 0
)</f>
        <v>0</v>
      </c>
      <c r="T201" s="22" t="s">
        <v>417</v>
      </c>
    </row>
    <row r="202" spans="3:20" ht="17" x14ac:dyDescent="0.2">
      <c r="C202" s="22" t="str">
        <f>_xlfn.XLOOKUP(tbl_CONTENT[[#This Row],[TopicID]], tbl_TOPIC[TopicID], tbl_TOPIC[Subject], "")</f>
        <v>QM</v>
      </c>
      <c r="D202" s="22" t="str">
        <f xml:space="preserve"> tbl_CONTENT[[#This Row],[TopicID]] &amp; "-" &amp; TEXT(tbl_CONTENT[[#This Row],[TopicIDCount]], "00")</f>
        <v>QM-1-07-01</v>
      </c>
      <c r="F202" s="22" t="str">
        <f>_xlfn.XLOOKUP(tbl_CONTENT[[#This Row],[Topic]], tbl_TOPIC[Topic], tbl_TOPIC[TopicID], "")</f>
        <v>QM-1-07</v>
      </c>
      <c r="G202" s="22" cm="1">
        <f t="array" ref="G202">SUM((tbl_CONTENT[[#This Row],[TopicID]]=INDEX(tbl_CONTENT[TopicID],1):tbl_CONTENT[[#This Row],[TopicID]])*1)</f>
        <v>1</v>
      </c>
      <c r="H202" s="22" t="s">
        <v>370</v>
      </c>
      <c r="I202" s="22" t="s">
        <v>426</v>
      </c>
      <c r="J202" s="22" t="s">
        <v>153</v>
      </c>
      <c r="Q202" s="35">
        <f>IFERROR(
 (1.907*EXP(1)^(-0.5*tbl_CONTENT[[#This Row],[Layer]])) *
 ((tbl_CONTENT[[#This Row],[RelInt]]-1)^(2.5)*4^(1-2.5)+1) +
 ((tbl_CONTENT[[#This Row],[Comp]]-1)^(2.5)*4^(1-2.5)+1)*(0.5*((tbl_CONTENT[[#This Row],[RelInt]]-1)/4)^(2.5)+1),
 0
)</f>
        <v>0</v>
      </c>
      <c r="R202" s="35">
        <f>IFERROR(
 (1.907*EXP(1)^(-0.5*VALUE(tbl_CONTENT[[#This Row],[Layer]]))) *
 ((VALUE(tbl_CONTENT[[#This Row],[RelId]])-1)^(2.5)*4^(1-2.5)+1) +
 ((VALUE(tbl_CONTENT[[#This Row],[Comp]])-1)^(2.5)*4^(1-2.5)+1)*(0.5*((VALUE(tbl_CONTENT[[#This Row],[RelId]])-1)/4)^(2.5)+1),
 0
)</f>
        <v>0</v>
      </c>
    </row>
    <row r="203" spans="3:20" ht="17" x14ac:dyDescent="0.2">
      <c r="C203" s="22" t="str">
        <f>_xlfn.XLOOKUP(tbl_CONTENT[[#This Row],[TopicID]], tbl_TOPIC[TopicID], tbl_TOPIC[Subject], "")</f>
        <v>QM</v>
      </c>
      <c r="D203" s="22" t="str">
        <f xml:space="preserve"> tbl_CONTENT[[#This Row],[TopicID]] &amp; "-" &amp; TEXT(tbl_CONTENT[[#This Row],[TopicIDCount]], "00")</f>
        <v>QM-1-07-02</v>
      </c>
      <c r="F203" s="22" t="str">
        <f>_xlfn.XLOOKUP(tbl_CONTENT[[#This Row],[Topic]], tbl_TOPIC[Topic], tbl_TOPIC[TopicID], "")</f>
        <v>QM-1-07</v>
      </c>
      <c r="G203" s="22" cm="1">
        <f t="array" ref="G203">SUM((tbl_CONTENT[[#This Row],[TopicID]]=INDEX(tbl_CONTENT[TopicID],1):tbl_CONTENT[[#This Row],[TopicID]])*1)</f>
        <v>2</v>
      </c>
      <c r="H203" s="22" t="s">
        <v>370</v>
      </c>
      <c r="I203" s="22" t="s">
        <v>427</v>
      </c>
      <c r="J203" s="22" t="s">
        <v>181</v>
      </c>
      <c r="Q203" s="35">
        <f>IFERROR(
 (1.907*EXP(1)^(-0.5*tbl_CONTENT[[#This Row],[Layer]])) *
 ((tbl_CONTENT[[#This Row],[RelInt]]-1)^(2.5)*4^(1-2.5)+1) +
 ((tbl_CONTENT[[#This Row],[Comp]]-1)^(2.5)*4^(1-2.5)+1)*(0.5*((tbl_CONTENT[[#This Row],[RelInt]]-1)/4)^(2.5)+1),
 0
)</f>
        <v>0</v>
      </c>
      <c r="R203" s="35">
        <f>IFERROR(
 (1.907*EXP(1)^(-0.5*VALUE(tbl_CONTENT[[#This Row],[Layer]]))) *
 ((VALUE(tbl_CONTENT[[#This Row],[RelId]])-1)^(2.5)*4^(1-2.5)+1) +
 ((VALUE(tbl_CONTENT[[#This Row],[Comp]])-1)^(2.5)*4^(1-2.5)+1)*(0.5*((VALUE(tbl_CONTENT[[#This Row],[RelId]])-1)/4)^(2.5)+1),
 0
)</f>
        <v>0</v>
      </c>
    </row>
    <row r="204" spans="3:20" ht="17" x14ac:dyDescent="0.2">
      <c r="C204" s="22" t="str">
        <f>_xlfn.XLOOKUP(tbl_CONTENT[[#This Row],[TopicID]], tbl_TOPIC[TopicID], tbl_TOPIC[Subject], "")</f>
        <v>QM</v>
      </c>
      <c r="D204" s="22" t="str">
        <f xml:space="preserve"> tbl_CONTENT[[#This Row],[TopicID]] &amp; "-" &amp; TEXT(tbl_CONTENT[[#This Row],[TopicIDCount]], "00")</f>
        <v>QM-1-07-03</v>
      </c>
      <c r="F204" s="22" t="str">
        <f>_xlfn.XLOOKUP(tbl_CONTENT[[#This Row],[Topic]], tbl_TOPIC[Topic], tbl_TOPIC[TopicID], "")</f>
        <v>QM-1-07</v>
      </c>
      <c r="G204" s="22" cm="1">
        <f t="array" ref="G204">SUM((tbl_CONTENT[[#This Row],[TopicID]]=INDEX(tbl_CONTENT[TopicID],1):tbl_CONTENT[[#This Row],[TopicID]])*1)</f>
        <v>3</v>
      </c>
      <c r="H204" s="22" t="s">
        <v>370</v>
      </c>
      <c r="I204" s="22" t="s">
        <v>428</v>
      </c>
      <c r="J204" s="22" t="s">
        <v>153</v>
      </c>
      <c r="Q204" s="35">
        <f>IFERROR(
 (1.907*EXP(1)^(-0.5*tbl_CONTENT[[#This Row],[Layer]])) *
 ((tbl_CONTENT[[#This Row],[RelInt]]-1)^(2.5)*4^(1-2.5)+1) +
 ((tbl_CONTENT[[#This Row],[Comp]]-1)^(2.5)*4^(1-2.5)+1)*(0.5*((tbl_CONTENT[[#This Row],[RelInt]]-1)/4)^(2.5)+1),
 0
)</f>
        <v>0</v>
      </c>
      <c r="R204" s="35">
        <f>IFERROR(
 (1.907*EXP(1)^(-0.5*VALUE(tbl_CONTENT[[#This Row],[Layer]]))) *
 ((VALUE(tbl_CONTENT[[#This Row],[RelId]])-1)^(2.5)*4^(1-2.5)+1) +
 ((VALUE(tbl_CONTENT[[#This Row],[Comp]])-1)^(2.5)*4^(1-2.5)+1)*(0.5*((VALUE(tbl_CONTENT[[#This Row],[RelId]])-1)/4)^(2.5)+1),
 0
)</f>
        <v>0</v>
      </c>
    </row>
    <row r="205" spans="3:20" ht="17" x14ac:dyDescent="0.2">
      <c r="C205" s="22" t="str">
        <f>_xlfn.XLOOKUP(tbl_CONTENT[[#This Row],[TopicID]], tbl_TOPIC[TopicID], tbl_TOPIC[Subject], "")</f>
        <v>QM</v>
      </c>
      <c r="D205" s="22" t="str">
        <f xml:space="preserve"> tbl_CONTENT[[#This Row],[TopicID]] &amp; "-" &amp; TEXT(tbl_CONTENT[[#This Row],[TopicIDCount]], "00")</f>
        <v>QM-1-07-04</v>
      </c>
      <c r="F205" s="22" t="str">
        <f>_xlfn.XLOOKUP(tbl_CONTENT[[#This Row],[Topic]], tbl_TOPIC[Topic], tbl_TOPIC[TopicID], "")</f>
        <v>QM-1-07</v>
      </c>
      <c r="G205" s="22" cm="1">
        <f t="array" ref="G205">SUM((tbl_CONTENT[[#This Row],[TopicID]]=INDEX(tbl_CONTENT[TopicID],1):tbl_CONTENT[[#This Row],[TopicID]])*1)</f>
        <v>4</v>
      </c>
      <c r="H205" s="22" t="s">
        <v>370</v>
      </c>
      <c r="I205" s="22" t="s">
        <v>429</v>
      </c>
      <c r="J205" s="22" t="s">
        <v>148</v>
      </c>
      <c r="Q205" s="35">
        <f>IFERROR(
 (1.907*EXP(1)^(-0.5*tbl_CONTENT[[#This Row],[Layer]])) *
 ((tbl_CONTENT[[#This Row],[RelInt]]-1)^(2.5)*4^(1-2.5)+1) +
 ((tbl_CONTENT[[#This Row],[Comp]]-1)^(2.5)*4^(1-2.5)+1)*(0.5*((tbl_CONTENT[[#This Row],[RelInt]]-1)/4)^(2.5)+1),
 0
)</f>
        <v>0</v>
      </c>
      <c r="R205" s="35">
        <f>IFERROR(
 (1.907*EXP(1)^(-0.5*VALUE(tbl_CONTENT[[#This Row],[Layer]]))) *
 ((VALUE(tbl_CONTENT[[#This Row],[RelId]])-1)^(2.5)*4^(1-2.5)+1) +
 ((VALUE(tbl_CONTENT[[#This Row],[Comp]])-1)^(2.5)*4^(1-2.5)+1)*(0.5*((VALUE(tbl_CONTENT[[#This Row],[RelId]])-1)/4)^(2.5)+1),
 0
)</f>
        <v>0</v>
      </c>
    </row>
    <row r="206" spans="3:20" ht="17" x14ac:dyDescent="0.2">
      <c r="C206" s="22" t="str">
        <f>_xlfn.XLOOKUP(tbl_CONTENT[[#This Row],[TopicID]], tbl_TOPIC[TopicID], tbl_TOPIC[Subject], "")</f>
        <v>QM</v>
      </c>
      <c r="D206" s="22" t="str">
        <f xml:space="preserve"> tbl_CONTENT[[#This Row],[TopicID]] &amp; "-" &amp; TEXT(tbl_CONTENT[[#This Row],[TopicIDCount]], "00")</f>
        <v>QM-1-07-05</v>
      </c>
      <c r="F206" s="22" t="str">
        <f>_xlfn.XLOOKUP(tbl_CONTENT[[#This Row],[Topic]], tbl_TOPIC[Topic], tbl_TOPIC[TopicID], "")</f>
        <v>QM-1-07</v>
      </c>
      <c r="G206" s="22" cm="1">
        <f t="array" ref="G206">SUM((tbl_CONTENT[[#This Row],[TopicID]]=INDEX(tbl_CONTENT[TopicID],1):tbl_CONTENT[[#This Row],[TopicID]])*1)</f>
        <v>5</v>
      </c>
      <c r="H206" s="22" t="s">
        <v>370</v>
      </c>
      <c r="I206" s="22" t="s">
        <v>430</v>
      </c>
      <c r="J206" s="22" t="s">
        <v>153</v>
      </c>
      <c r="Q206" s="35">
        <f>IFERROR(
 (1.907*EXP(1)^(-0.5*tbl_CONTENT[[#This Row],[Layer]])) *
 ((tbl_CONTENT[[#This Row],[RelInt]]-1)^(2.5)*4^(1-2.5)+1) +
 ((tbl_CONTENT[[#This Row],[Comp]]-1)^(2.5)*4^(1-2.5)+1)*(0.5*((tbl_CONTENT[[#This Row],[RelInt]]-1)/4)^(2.5)+1),
 0
)</f>
        <v>0</v>
      </c>
      <c r="R206" s="35">
        <f>IFERROR(
 (1.907*EXP(1)^(-0.5*VALUE(tbl_CONTENT[[#This Row],[Layer]]))) *
 ((VALUE(tbl_CONTENT[[#This Row],[RelId]])-1)^(2.5)*4^(1-2.5)+1) +
 ((VALUE(tbl_CONTENT[[#This Row],[Comp]])-1)^(2.5)*4^(1-2.5)+1)*(0.5*((VALUE(tbl_CONTENT[[#This Row],[RelId]])-1)/4)^(2.5)+1),
 0
)</f>
        <v>0</v>
      </c>
    </row>
    <row r="207" spans="3:20" ht="17" x14ac:dyDescent="0.2">
      <c r="C207" s="22" t="str">
        <f>_xlfn.XLOOKUP(tbl_CONTENT[[#This Row],[TopicID]], tbl_TOPIC[TopicID], tbl_TOPIC[Subject], "")</f>
        <v>QM</v>
      </c>
      <c r="D207" s="22" t="str">
        <f xml:space="preserve"> tbl_CONTENT[[#This Row],[TopicID]] &amp; "-" &amp; TEXT(tbl_CONTENT[[#This Row],[TopicIDCount]], "00")</f>
        <v>QM-1-07-06</v>
      </c>
      <c r="F207" s="22" t="str">
        <f>_xlfn.XLOOKUP(tbl_CONTENT[[#This Row],[Topic]], tbl_TOPIC[Topic], tbl_TOPIC[TopicID], "")</f>
        <v>QM-1-07</v>
      </c>
      <c r="G207" s="22" cm="1">
        <f t="array" ref="G207">SUM((tbl_CONTENT[[#This Row],[TopicID]]=INDEX(tbl_CONTENT[TopicID],1):tbl_CONTENT[[#This Row],[TopicID]])*1)</f>
        <v>6</v>
      </c>
      <c r="H207" s="22" t="s">
        <v>370</v>
      </c>
      <c r="I207" s="22" t="s">
        <v>431</v>
      </c>
      <c r="J207" s="22" t="s">
        <v>153</v>
      </c>
      <c r="Q207" s="35">
        <f>IFERROR(
 (1.907*EXP(1)^(-0.5*tbl_CONTENT[[#This Row],[Layer]])) *
 ((tbl_CONTENT[[#This Row],[RelInt]]-1)^(2.5)*4^(1-2.5)+1) +
 ((tbl_CONTENT[[#This Row],[Comp]]-1)^(2.5)*4^(1-2.5)+1)*(0.5*((tbl_CONTENT[[#This Row],[RelInt]]-1)/4)^(2.5)+1),
 0
)</f>
        <v>0</v>
      </c>
      <c r="R207" s="35">
        <f>IFERROR(
 (1.907*EXP(1)^(-0.5*VALUE(tbl_CONTENT[[#This Row],[Layer]]))) *
 ((VALUE(tbl_CONTENT[[#This Row],[RelId]])-1)^(2.5)*4^(1-2.5)+1) +
 ((VALUE(tbl_CONTENT[[#This Row],[Comp]])-1)^(2.5)*4^(1-2.5)+1)*(0.5*((VALUE(tbl_CONTENT[[#This Row],[RelId]])-1)/4)^(2.5)+1),
 0
)</f>
        <v>0</v>
      </c>
    </row>
    <row r="208" spans="3:20" ht="34" x14ac:dyDescent="0.2">
      <c r="C208" s="22" t="str">
        <f>_xlfn.XLOOKUP(tbl_CONTENT[[#This Row],[TopicID]], tbl_TOPIC[TopicID], tbl_TOPIC[Subject], "")</f>
        <v>QM</v>
      </c>
      <c r="D208" s="22" t="str">
        <f xml:space="preserve"> tbl_CONTENT[[#This Row],[TopicID]] &amp; "-" &amp; TEXT(tbl_CONTENT[[#This Row],[TopicIDCount]], "00")</f>
        <v>QM-1-08-01</v>
      </c>
      <c r="F208" s="22" t="str">
        <f>_xlfn.XLOOKUP(tbl_CONTENT[[#This Row],[Topic]], tbl_TOPIC[Topic], tbl_TOPIC[TopicID], "")</f>
        <v>QM-1-08</v>
      </c>
      <c r="G208" s="22" cm="1">
        <f t="array" ref="G208">SUM((tbl_CONTENT[[#This Row],[TopicID]]=INDEX(tbl_CONTENT[TopicID],1):tbl_CONTENT[[#This Row],[TopicID]])*1)</f>
        <v>1</v>
      </c>
      <c r="H208" s="22" t="s">
        <v>371</v>
      </c>
      <c r="I208" s="22" t="s">
        <v>435</v>
      </c>
      <c r="J208" s="22" t="s">
        <v>153</v>
      </c>
      <c r="K208" s="22">
        <v>1</v>
      </c>
      <c r="Q208" s="35">
        <f>IFERROR(
 (1.907*EXP(1)^(-0.5*tbl_CONTENT[[#This Row],[Layer]])) *
 ((tbl_CONTENT[[#This Row],[RelInt]]-1)^(2.5)*4^(1-2.5)+1) +
 ((tbl_CONTENT[[#This Row],[Comp]]-1)^(2.5)*4^(1-2.5)+1)*(0.5*((tbl_CONTENT[[#This Row],[RelInt]]-1)/4)^(2.5)+1),
 0
)</f>
        <v>0</v>
      </c>
      <c r="R208" s="35">
        <f>IFERROR(
 (1.907*EXP(1)^(-0.5*VALUE(tbl_CONTENT[[#This Row],[Layer]]))) *
 ((VALUE(tbl_CONTENT[[#This Row],[RelId]])-1)^(2.5)*4^(1-2.5)+1) +
 ((VALUE(tbl_CONTENT[[#This Row],[Comp]])-1)^(2.5)*4^(1-2.5)+1)*(0.5*((VALUE(tbl_CONTENT[[#This Row],[RelId]])-1)/4)^(2.5)+1),
 0
)</f>
        <v>0</v>
      </c>
    </row>
    <row r="209" spans="3:18" ht="34" x14ac:dyDescent="0.2">
      <c r="C209" s="22" t="str">
        <f>_xlfn.XLOOKUP(tbl_CONTENT[[#This Row],[TopicID]], tbl_TOPIC[TopicID], tbl_TOPIC[Subject], "")</f>
        <v>QM</v>
      </c>
      <c r="D209" s="22" t="str">
        <f xml:space="preserve"> tbl_CONTENT[[#This Row],[TopicID]] &amp; "-" &amp; TEXT(tbl_CONTENT[[#This Row],[TopicIDCount]], "00")</f>
        <v>QM-1-08-02</v>
      </c>
      <c r="F209" s="22" t="str">
        <f>_xlfn.XLOOKUP(tbl_CONTENT[[#This Row],[Topic]], tbl_TOPIC[Topic], tbl_TOPIC[TopicID], "")</f>
        <v>QM-1-08</v>
      </c>
      <c r="G209" s="22" cm="1">
        <f t="array" ref="G209">SUM((tbl_CONTENT[[#This Row],[TopicID]]=INDEX(tbl_CONTENT[TopicID],1):tbl_CONTENT[[#This Row],[TopicID]])*1)</f>
        <v>2</v>
      </c>
      <c r="H209" s="22" t="s">
        <v>371</v>
      </c>
      <c r="I209" s="22" t="s">
        <v>436</v>
      </c>
      <c r="J209" s="22" t="s">
        <v>153</v>
      </c>
      <c r="K209" s="22">
        <v>1</v>
      </c>
      <c r="Q209" s="35">
        <f>IFERROR(
 (1.907*EXP(1)^(-0.5*tbl_CONTENT[[#This Row],[Layer]])) *
 ((tbl_CONTENT[[#This Row],[RelInt]]-1)^(2.5)*4^(1-2.5)+1) +
 ((tbl_CONTENT[[#This Row],[Comp]]-1)^(2.5)*4^(1-2.5)+1)*(0.5*((tbl_CONTENT[[#This Row],[RelInt]]-1)/4)^(2.5)+1),
 0
)</f>
        <v>0</v>
      </c>
      <c r="R209" s="35">
        <f>IFERROR(
 (1.907*EXP(1)^(-0.5*VALUE(tbl_CONTENT[[#This Row],[Layer]]))) *
 ((VALUE(tbl_CONTENT[[#This Row],[RelId]])-1)^(2.5)*4^(1-2.5)+1) +
 ((VALUE(tbl_CONTENT[[#This Row],[Comp]])-1)^(2.5)*4^(1-2.5)+1)*(0.5*((VALUE(tbl_CONTENT[[#This Row],[RelId]])-1)/4)^(2.5)+1),
 0
)</f>
        <v>0</v>
      </c>
    </row>
    <row r="210" spans="3:18" ht="17" x14ac:dyDescent="0.2">
      <c r="C210" s="22" t="str">
        <f>_xlfn.XLOOKUP(tbl_CONTENT[[#This Row],[TopicID]], tbl_TOPIC[TopicID], tbl_TOPIC[Subject], "")</f>
        <v>QM</v>
      </c>
      <c r="D210" s="22" t="str">
        <f xml:space="preserve"> tbl_CONTENT[[#This Row],[TopicID]] &amp; "-" &amp; TEXT(tbl_CONTENT[[#This Row],[TopicIDCount]], "00")</f>
        <v>QM-1-08-03</v>
      </c>
      <c r="F210" s="22" t="str">
        <f>_xlfn.XLOOKUP(tbl_CONTENT[[#This Row],[Topic]], tbl_TOPIC[Topic], tbl_TOPIC[TopicID], "")</f>
        <v>QM-1-08</v>
      </c>
      <c r="G210" s="22" cm="1">
        <f t="array" ref="G210">SUM((tbl_CONTENT[[#This Row],[TopicID]]=INDEX(tbl_CONTENT[TopicID],1):tbl_CONTENT[[#This Row],[TopicID]])*1)</f>
        <v>3</v>
      </c>
      <c r="H210" s="22" t="s">
        <v>371</v>
      </c>
      <c r="I210" s="22" t="s">
        <v>432</v>
      </c>
      <c r="J210" s="22" t="s">
        <v>153</v>
      </c>
      <c r="K210" s="22">
        <v>1</v>
      </c>
      <c r="Q210" s="35">
        <f>IFERROR(
 (1.907*EXP(1)^(-0.5*tbl_CONTENT[[#This Row],[Layer]])) *
 ((tbl_CONTENT[[#This Row],[RelInt]]-1)^(2.5)*4^(1-2.5)+1) +
 ((tbl_CONTENT[[#This Row],[Comp]]-1)^(2.5)*4^(1-2.5)+1)*(0.5*((tbl_CONTENT[[#This Row],[RelInt]]-1)/4)^(2.5)+1),
 0
)</f>
        <v>0</v>
      </c>
      <c r="R210" s="35">
        <f>IFERROR(
 (1.907*EXP(1)^(-0.5*VALUE(tbl_CONTENT[[#This Row],[Layer]]))) *
 ((VALUE(tbl_CONTENT[[#This Row],[RelId]])-1)^(2.5)*4^(1-2.5)+1) +
 ((VALUE(tbl_CONTENT[[#This Row],[Comp]])-1)^(2.5)*4^(1-2.5)+1)*(0.5*((VALUE(tbl_CONTENT[[#This Row],[RelId]])-1)/4)^(2.5)+1),
 0
)</f>
        <v>0</v>
      </c>
    </row>
    <row r="211" spans="3:18" ht="17" x14ac:dyDescent="0.2">
      <c r="C211" s="22" t="str">
        <f>_xlfn.XLOOKUP(tbl_CONTENT[[#This Row],[TopicID]], tbl_TOPIC[TopicID], tbl_TOPIC[Subject], "")</f>
        <v>QM</v>
      </c>
      <c r="D211" s="22" t="str">
        <f xml:space="preserve"> tbl_CONTENT[[#This Row],[TopicID]] &amp; "-" &amp; TEXT(tbl_CONTENT[[#This Row],[TopicIDCount]], "00")</f>
        <v>QM-1-08-04</v>
      </c>
      <c r="F211" s="22" t="str">
        <f>_xlfn.XLOOKUP(tbl_CONTENT[[#This Row],[Topic]], tbl_TOPIC[Topic], tbl_TOPIC[TopicID], "")</f>
        <v>QM-1-08</v>
      </c>
      <c r="G211" s="22" cm="1">
        <f t="array" ref="G211">SUM((tbl_CONTENT[[#This Row],[TopicID]]=INDEX(tbl_CONTENT[TopicID],1):tbl_CONTENT[[#This Row],[TopicID]])*1)</f>
        <v>4</v>
      </c>
      <c r="H211" s="22" t="s">
        <v>371</v>
      </c>
      <c r="I211" s="22" t="s">
        <v>433</v>
      </c>
      <c r="J211" s="22" t="s">
        <v>148</v>
      </c>
      <c r="K211" s="22">
        <v>1</v>
      </c>
      <c r="Q211" s="35">
        <f>IFERROR(
 (1.907*EXP(1)^(-0.5*tbl_CONTENT[[#This Row],[Layer]])) *
 ((tbl_CONTENT[[#This Row],[RelInt]]-1)^(2.5)*4^(1-2.5)+1) +
 ((tbl_CONTENT[[#This Row],[Comp]]-1)^(2.5)*4^(1-2.5)+1)*(0.5*((tbl_CONTENT[[#This Row],[RelInt]]-1)/4)^(2.5)+1),
 0
)</f>
        <v>0</v>
      </c>
      <c r="R211" s="35">
        <f>IFERROR(
 (1.907*EXP(1)^(-0.5*VALUE(tbl_CONTENT[[#This Row],[Layer]]))) *
 ((VALUE(tbl_CONTENT[[#This Row],[RelId]])-1)^(2.5)*4^(1-2.5)+1) +
 ((VALUE(tbl_CONTENT[[#This Row],[Comp]])-1)^(2.5)*4^(1-2.5)+1)*(0.5*((VALUE(tbl_CONTENT[[#This Row],[RelId]])-1)/4)^(2.5)+1),
 0
)</f>
        <v>0</v>
      </c>
    </row>
    <row r="212" spans="3:18" ht="34" x14ac:dyDescent="0.2">
      <c r="C212" s="22" t="str">
        <f>_xlfn.XLOOKUP(tbl_CONTENT[[#This Row],[TopicID]], tbl_TOPIC[TopicID], tbl_TOPIC[Subject], "")</f>
        <v>QM</v>
      </c>
      <c r="D212" s="22" t="str">
        <f xml:space="preserve"> tbl_CONTENT[[#This Row],[TopicID]] &amp; "-" &amp; TEXT(tbl_CONTENT[[#This Row],[TopicIDCount]], "00")</f>
        <v>QM-1-08-05</v>
      </c>
      <c r="F212" s="22" t="str">
        <f>_xlfn.XLOOKUP(tbl_CONTENT[[#This Row],[Topic]], tbl_TOPIC[Topic], tbl_TOPIC[TopicID], "")</f>
        <v>QM-1-08</v>
      </c>
      <c r="G212" s="22" cm="1">
        <f t="array" ref="G212">SUM((tbl_CONTENT[[#This Row],[TopicID]]=INDEX(tbl_CONTENT[TopicID],1):tbl_CONTENT[[#This Row],[TopicID]])*1)</f>
        <v>5</v>
      </c>
      <c r="H212" s="22" t="s">
        <v>371</v>
      </c>
      <c r="I212" s="22" t="s">
        <v>434</v>
      </c>
      <c r="J212" s="22" t="s">
        <v>148</v>
      </c>
      <c r="K212" s="22">
        <v>1</v>
      </c>
      <c r="Q212" s="35">
        <f>IFERROR(
 (1.907*EXP(1)^(-0.5*tbl_CONTENT[[#This Row],[Layer]])) *
 ((tbl_CONTENT[[#This Row],[RelInt]]-1)^(2.5)*4^(1-2.5)+1) +
 ((tbl_CONTENT[[#This Row],[Comp]]-1)^(2.5)*4^(1-2.5)+1)*(0.5*((tbl_CONTENT[[#This Row],[RelInt]]-1)/4)^(2.5)+1),
 0
)</f>
        <v>0</v>
      </c>
      <c r="R212" s="35">
        <f>IFERROR(
 (1.907*EXP(1)^(-0.5*VALUE(tbl_CONTENT[[#This Row],[Layer]]))) *
 ((VALUE(tbl_CONTENT[[#This Row],[RelId]])-1)^(2.5)*4^(1-2.5)+1) +
 ((VALUE(tbl_CONTENT[[#This Row],[Comp]])-1)^(2.5)*4^(1-2.5)+1)*(0.5*((VALUE(tbl_CONTENT[[#This Row],[RelId]])-1)/4)^(2.5)+1),
 0
)</f>
        <v>0</v>
      </c>
    </row>
    <row r="213" spans="3:18" ht="34" x14ac:dyDescent="0.2">
      <c r="C213" s="22" t="str">
        <f>_xlfn.XLOOKUP(tbl_CONTENT[[#This Row],[TopicID]], tbl_TOPIC[TopicID], tbl_TOPIC[Subject], "")</f>
        <v>QM</v>
      </c>
      <c r="D213" s="22" t="str">
        <f xml:space="preserve"> tbl_CONTENT[[#This Row],[TopicID]] &amp; "-" &amp; TEXT(tbl_CONTENT[[#This Row],[TopicIDCount]], "00")</f>
        <v>QM-1-08-06</v>
      </c>
      <c r="F213" s="22" t="str">
        <f>_xlfn.XLOOKUP(tbl_CONTENT[[#This Row],[Topic]], tbl_TOPIC[Topic], tbl_TOPIC[TopicID], "")</f>
        <v>QM-1-08</v>
      </c>
      <c r="G213" s="22" cm="1">
        <f t="array" ref="G213">SUM((tbl_CONTENT[[#This Row],[TopicID]]=INDEX(tbl_CONTENT[TopicID],1):tbl_CONTENT[[#This Row],[TopicID]])*1)</f>
        <v>6</v>
      </c>
      <c r="H213" s="22" t="s">
        <v>371</v>
      </c>
      <c r="I213" s="22" t="s">
        <v>437</v>
      </c>
      <c r="J213" s="22" t="s">
        <v>148</v>
      </c>
      <c r="K213" s="22">
        <v>1</v>
      </c>
      <c r="Q213" s="35">
        <f>IFERROR(
 (1.907*EXP(1)^(-0.5*tbl_CONTENT[[#This Row],[Layer]])) *
 ((tbl_CONTENT[[#This Row],[RelInt]]-1)^(2.5)*4^(1-2.5)+1) +
 ((tbl_CONTENT[[#This Row],[Comp]]-1)^(2.5)*4^(1-2.5)+1)*(0.5*((tbl_CONTENT[[#This Row],[RelInt]]-1)/4)^(2.5)+1),
 0
)</f>
        <v>0</v>
      </c>
      <c r="R213" s="35">
        <f>IFERROR(
 (1.907*EXP(1)^(-0.5*VALUE(tbl_CONTENT[[#This Row],[Layer]]))) *
 ((VALUE(tbl_CONTENT[[#This Row],[RelId]])-1)^(2.5)*4^(1-2.5)+1) +
 ((VALUE(tbl_CONTENT[[#This Row],[Comp]])-1)^(2.5)*4^(1-2.5)+1)*(0.5*((VALUE(tbl_CONTENT[[#This Row],[RelId]])-1)/4)^(2.5)+1),
 0
)</f>
        <v>0</v>
      </c>
    </row>
    <row r="214" spans="3:18" ht="34" x14ac:dyDescent="0.2">
      <c r="C214" s="22" t="str">
        <f>_xlfn.XLOOKUP(tbl_CONTENT[[#This Row],[TopicID]], tbl_TOPIC[TopicID], tbl_TOPIC[Subject], "")</f>
        <v>QM</v>
      </c>
      <c r="D214" s="22" t="str">
        <f xml:space="preserve"> tbl_CONTENT[[#This Row],[TopicID]] &amp; "-" &amp; TEXT(tbl_CONTENT[[#This Row],[TopicIDCount]], "00")</f>
        <v>QM-1-08-07</v>
      </c>
      <c r="F214" s="22" t="str">
        <f>_xlfn.XLOOKUP(tbl_CONTENT[[#This Row],[Topic]], tbl_TOPIC[Topic], tbl_TOPIC[TopicID], "")</f>
        <v>QM-1-08</v>
      </c>
      <c r="G214" s="22" cm="1">
        <f t="array" ref="G214">SUM((tbl_CONTENT[[#This Row],[TopicID]]=INDEX(tbl_CONTENT[TopicID],1):tbl_CONTENT[[#This Row],[TopicID]])*1)</f>
        <v>7</v>
      </c>
      <c r="H214" s="22" t="s">
        <v>371</v>
      </c>
      <c r="I214" s="22" t="s">
        <v>438</v>
      </c>
      <c r="J214" s="22" t="s">
        <v>148</v>
      </c>
      <c r="K214" s="22">
        <v>1</v>
      </c>
      <c r="Q214" s="35">
        <f>IFERROR(
 (1.907*EXP(1)^(-0.5*tbl_CONTENT[[#This Row],[Layer]])) *
 ((tbl_CONTENT[[#This Row],[RelInt]]-1)^(2.5)*4^(1-2.5)+1) +
 ((tbl_CONTENT[[#This Row],[Comp]]-1)^(2.5)*4^(1-2.5)+1)*(0.5*((tbl_CONTENT[[#This Row],[RelInt]]-1)/4)^(2.5)+1),
 0
)</f>
        <v>0</v>
      </c>
      <c r="R214" s="35">
        <f>IFERROR(
 (1.907*EXP(1)^(-0.5*VALUE(tbl_CONTENT[[#This Row],[Layer]]))) *
 ((VALUE(tbl_CONTENT[[#This Row],[RelId]])-1)^(2.5)*4^(1-2.5)+1) +
 ((VALUE(tbl_CONTENT[[#This Row],[Comp]])-1)^(2.5)*4^(1-2.5)+1)*(0.5*((VALUE(tbl_CONTENT[[#This Row],[RelId]])-1)/4)^(2.5)+1),
 0
)</f>
        <v>0</v>
      </c>
    </row>
    <row r="215" spans="3:18" ht="51" x14ac:dyDescent="0.2">
      <c r="C215" s="22" t="str">
        <f>_xlfn.XLOOKUP(tbl_CONTENT[[#This Row],[TopicID]], tbl_TOPIC[TopicID], tbl_TOPIC[Subject], "")</f>
        <v>QM</v>
      </c>
      <c r="D215" s="22" t="str">
        <f xml:space="preserve"> tbl_CONTENT[[#This Row],[TopicID]] &amp; "-" &amp; TEXT(tbl_CONTENT[[#This Row],[TopicIDCount]], "00")</f>
        <v>QM-1-08-08</v>
      </c>
      <c r="F215" s="22" t="str">
        <f>_xlfn.XLOOKUP(tbl_CONTENT[[#This Row],[Topic]], tbl_TOPIC[Topic], tbl_TOPIC[TopicID], "")</f>
        <v>QM-1-08</v>
      </c>
      <c r="G215" s="22" cm="1">
        <f t="array" ref="G215">SUM((tbl_CONTENT[[#This Row],[TopicID]]=INDEX(tbl_CONTENT[TopicID],1):tbl_CONTENT[[#This Row],[TopicID]])*1)</f>
        <v>8</v>
      </c>
      <c r="H215" s="22" t="s">
        <v>371</v>
      </c>
      <c r="I215" s="22" t="s">
        <v>439</v>
      </c>
      <c r="J215" s="22" t="s">
        <v>382</v>
      </c>
      <c r="K215" s="22">
        <v>1</v>
      </c>
      <c r="Q215" s="35">
        <f>IFERROR(
 (1.907*EXP(1)^(-0.5*tbl_CONTENT[[#This Row],[Layer]])) *
 ((tbl_CONTENT[[#This Row],[RelInt]]-1)^(2.5)*4^(1-2.5)+1) +
 ((tbl_CONTENT[[#This Row],[Comp]]-1)^(2.5)*4^(1-2.5)+1)*(0.5*((tbl_CONTENT[[#This Row],[RelInt]]-1)/4)^(2.5)+1),
 0
)</f>
        <v>0</v>
      </c>
      <c r="R215" s="35">
        <f>IFERROR(
 (1.907*EXP(1)^(-0.5*VALUE(tbl_CONTENT[[#This Row],[Layer]]))) *
 ((VALUE(tbl_CONTENT[[#This Row],[RelId]])-1)^(2.5)*4^(1-2.5)+1) +
 ((VALUE(tbl_CONTENT[[#This Row],[Comp]])-1)^(2.5)*4^(1-2.5)+1)*(0.5*((VALUE(tbl_CONTENT[[#This Row],[RelId]])-1)/4)^(2.5)+1),
 0
)</f>
        <v>0</v>
      </c>
    </row>
    <row r="216" spans="3:18" ht="17" x14ac:dyDescent="0.2">
      <c r="C216" s="22" t="str">
        <f>_xlfn.XLOOKUP(tbl_CONTENT[[#This Row],[TopicID]], tbl_TOPIC[TopicID], tbl_TOPIC[Subject], "")</f>
        <v>QM</v>
      </c>
      <c r="D216" s="22" t="str">
        <f xml:space="preserve"> tbl_CONTENT[[#This Row],[TopicID]] &amp; "-" &amp; TEXT(tbl_CONTENT[[#This Row],[TopicIDCount]], "00")</f>
        <v>QM-1-08-09</v>
      </c>
      <c r="F216" s="22" t="str">
        <f>_xlfn.XLOOKUP(tbl_CONTENT[[#This Row],[Topic]], tbl_TOPIC[Topic], tbl_TOPIC[TopicID], "")</f>
        <v>QM-1-08</v>
      </c>
      <c r="G216" s="22" cm="1">
        <f t="array" ref="G216">SUM((tbl_CONTENT[[#This Row],[TopicID]]=INDEX(tbl_CONTENT[TopicID],1):tbl_CONTENT[[#This Row],[TopicID]])*1)</f>
        <v>9</v>
      </c>
      <c r="H216" s="22" t="s">
        <v>371</v>
      </c>
      <c r="I216" s="22" t="s">
        <v>440</v>
      </c>
      <c r="J216" s="22" t="s">
        <v>153</v>
      </c>
      <c r="K216" s="22">
        <v>1</v>
      </c>
      <c r="Q216" s="35">
        <f>IFERROR(
 (1.907*EXP(1)^(-0.5*tbl_CONTENT[[#This Row],[Layer]])) *
 ((tbl_CONTENT[[#This Row],[RelInt]]-1)^(2.5)*4^(1-2.5)+1) +
 ((tbl_CONTENT[[#This Row],[Comp]]-1)^(2.5)*4^(1-2.5)+1)*(0.5*((tbl_CONTENT[[#This Row],[RelInt]]-1)/4)^(2.5)+1),
 0
)</f>
        <v>0</v>
      </c>
      <c r="R216" s="35">
        <f>IFERROR(
 (1.907*EXP(1)^(-0.5*VALUE(tbl_CONTENT[[#This Row],[Layer]]))) *
 ((VALUE(tbl_CONTENT[[#This Row],[RelId]])-1)^(2.5)*4^(1-2.5)+1) +
 ((VALUE(tbl_CONTENT[[#This Row],[Comp]])-1)^(2.5)*4^(1-2.5)+1)*(0.5*((VALUE(tbl_CONTENT[[#This Row],[RelId]])-1)/4)^(2.5)+1),
 0
)</f>
        <v>0</v>
      </c>
    </row>
    <row r="217" spans="3:18" ht="51" x14ac:dyDescent="0.2">
      <c r="C217" s="22" t="s">
        <v>363</v>
      </c>
      <c r="D217" s="22" t="str">
        <f xml:space="preserve"> tbl_CONTENT[[#This Row],[TopicID]] &amp; "-" &amp; TEXT(tbl_CONTENT[[#This Row],[TopicIDCount]], "00")</f>
        <v>QM-1-10-01</v>
      </c>
      <c r="F217" s="22" t="str">
        <f>_xlfn.XLOOKUP(tbl_CONTENT[[#This Row],[Topic]], tbl_TOPIC[Topic], tbl_TOPIC[TopicID], "")</f>
        <v>QM-1-10</v>
      </c>
      <c r="G217" s="22" cm="1">
        <f t="array" ref="G217">SUM((tbl_CONTENT[[#This Row],[TopicID]]=INDEX(tbl_CONTENT[TopicID],1):tbl_CONTENT[[#This Row],[TopicID]])*1)</f>
        <v>1</v>
      </c>
      <c r="H217" s="22" t="s">
        <v>373</v>
      </c>
      <c r="I217" s="22" t="s">
        <v>441</v>
      </c>
      <c r="J217" s="22" t="s">
        <v>153</v>
      </c>
      <c r="K217" s="22">
        <v>1</v>
      </c>
      <c r="Q217" s="35">
        <f>IFERROR(
 (1.907*EXP(1)^(-0.5*tbl_CONTENT[[#This Row],[Layer]])) *
 ((tbl_CONTENT[[#This Row],[RelInt]]-1)^(2.5)*4^(1-2.5)+1) +
 ((tbl_CONTENT[[#This Row],[Comp]]-1)^(2.5)*4^(1-2.5)+1)*(0.5*((tbl_CONTENT[[#This Row],[RelInt]]-1)/4)^(2.5)+1),
 0
)</f>
        <v>0</v>
      </c>
      <c r="R217" s="35">
        <f>IFERROR(
 (1.907*EXP(1)^(-0.5*VALUE(tbl_CONTENT[[#This Row],[Layer]]))) *
 ((VALUE(tbl_CONTENT[[#This Row],[RelId]])-1)^(2.5)*4^(1-2.5)+1) +
 ((VALUE(tbl_CONTENT[[#This Row],[Comp]])-1)^(2.5)*4^(1-2.5)+1)*(0.5*((VALUE(tbl_CONTENT[[#This Row],[RelId]])-1)/4)^(2.5)+1),
 0
)</f>
        <v>0</v>
      </c>
    </row>
    <row r="218" spans="3:18" ht="34" x14ac:dyDescent="0.2">
      <c r="C218" s="22" t="str">
        <f>_xlfn.XLOOKUP(tbl_CONTENT[[#This Row],[TopicID]], tbl_TOPIC[TopicID], tbl_TOPIC[Subject], "")</f>
        <v>QM</v>
      </c>
      <c r="D218" s="22" t="str">
        <f xml:space="preserve"> tbl_CONTENT[[#This Row],[TopicID]] &amp; "-" &amp; TEXT(tbl_CONTENT[[#This Row],[TopicIDCount]], "00")</f>
        <v>QM-1-10-02</v>
      </c>
      <c r="F218" s="22" t="str">
        <f>_xlfn.XLOOKUP(tbl_CONTENT[[#This Row],[Topic]], tbl_TOPIC[Topic], tbl_TOPIC[TopicID], "")</f>
        <v>QM-1-10</v>
      </c>
      <c r="G218" s="22" cm="1">
        <f t="array" ref="G218">SUM((tbl_CONTENT[[#This Row],[TopicID]]=INDEX(tbl_CONTENT[TopicID],1):tbl_CONTENT[[#This Row],[TopicID]])*1)</f>
        <v>2</v>
      </c>
      <c r="H218" s="22" t="s">
        <v>373</v>
      </c>
      <c r="I218" s="22" t="s">
        <v>442</v>
      </c>
      <c r="J218" s="22" t="s">
        <v>148</v>
      </c>
      <c r="K218" s="22">
        <v>1</v>
      </c>
      <c r="Q218" s="35">
        <f>IFERROR(
 (1.907*EXP(1)^(-0.5*tbl_CONTENT[[#This Row],[Layer]])) *
 ((tbl_CONTENT[[#This Row],[RelInt]]-1)^(2.5)*4^(1-2.5)+1) +
 ((tbl_CONTENT[[#This Row],[Comp]]-1)^(2.5)*4^(1-2.5)+1)*(0.5*((tbl_CONTENT[[#This Row],[RelInt]]-1)/4)^(2.5)+1),
 0
)</f>
        <v>0</v>
      </c>
      <c r="R218" s="35">
        <f>IFERROR(
 (1.907*EXP(1)^(-0.5*VALUE(tbl_CONTENT[[#This Row],[Layer]]))) *
 ((VALUE(tbl_CONTENT[[#This Row],[RelId]])-1)^(2.5)*4^(1-2.5)+1) +
 ((VALUE(tbl_CONTENT[[#This Row],[Comp]])-1)^(2.5)*4^(1-2.5)+1)*(0.5*((VALUE(tbl_CONTENT[[#This Row],[RelId]])-1)/4)^(2.5)+1),
 0
)</f>
        <v>0</v>
      </c>
    </row>
    <row r="219" spans="3:18" ht="34" x14ac:dyDescent="0.2">
      <c r="C219" s="22" t="str">
        <f>_xlfn.XLOOKUP(tbl_CONTENT[[#This Row],[TopicID]], tbl_TOPIC[TopicID], tbl_TOPIC[Subject], "")</f>
        <v>QM</v>
      </c>
      <c r="D219" s="22" t="str">
        <f xml:space="preserve"> tbl_CONTENT[[#This Row],[TopicID]] &amp; "-" &amp; TEXT(tbl_CONTENT[[#This Row],[TopicIDCount]], "00")</f>
        <v>QM-1-10-03</v>
      </c>
      <c r="F219" s="22" t="str">
        <f>_xlfn.XLOOKUP(tbl_CONTENT[[#This Row],[Topic]], tbl_TOPIC[Topic], tbl_TOPIC[TopicID], "")</f>
        <v>QM-1-10</v>
      </c>
      <c r="G219" s="22" cm="1">
        <f t="array" ref="G219">SUM((tbl_CONTENT[[#This Row],[TopicID]]=INDEX(tbl_CONTENT[TopicID],1):tbl_CONTENT[[#This Row],[TopicID]])*1)</f>
        <v>3</v>
      </c>
      <c r="H219" s="22" t="s">
        <v>373</v>
      </c>
      <c r="I219" s="22" t="s">
        <v>1637</v>
      </c>
      <c r="J219" s="22" t="s">
        <v>181</v>
      </c>
      <c r="K219" s="22">
        <v>1</v>
      </c>
      <c r="Q219" s="35">
        <f>IFERROR(
 (1.907*EXP(1)^(-0.5*tbl_CONTENT[[#This Row],[Layer]])) *
 ((tbl_CONTENT[[#This Row],[RelInt]]-1)^(2.5)*4^(1-2.5)+1) +
 ((tbl_CONTENT[[#This Row],[Comp]]-1)^(2.5)*4^(1-2.5)+1)*(0.5*((tbl_CONTENT[[#This Row],[RelInt]]-1)/4)^(2.5)+1),
 0
)</f>
        <v>0</v>
      </c>
      <c r="R219" s="35">
        <f>IFERROR(
 (1.907*EXP(1)^(-0.5*VALUE(tbl_CONTENT[[#This Row],[Layer]]))) *
 ((VALUE(tbl_CONTENT[[#This Row],[RelId]])-1)^(2.5)*4^(1-2.5)+1) +
 ((VALUE(tbl_CONTENT[[#This Row],[Comp]])-1)^(2.5)*4^(1-2.5)+1)*(0.5*((VALUE(tbl_CONTENT[[#This Row],[RelId]])-1)/4)^(2.5)+1),
 0
)</f>
        <v>0</v>
      </c>
    </row>
    <row r="220" spans="3:18" ht="34" x14ac:dyDescent="0.2">
      <c r="C220" s="22" t="str">
        <f>_xlfn.XLOOKUP(tbl_CONTENT[[#This Row],[TopicID]], tbl_TOPIC[TopicID], tbl_TOPIC[Subject], "")</f>
        <v>QM</v>
      </c>
      <c r="D220" s="22" t="str">
        <f xml:space="preserve"> tbl_CONTENT[[#This Row],[TopicID]] &amp; "-" &amp; TEXT(tbl_CONTENT[[#This Row],[TopicIDCount]], "00")</f>
        <v>QM-1-11-01</v>
      </c>
      <c r="F220" s="22" t="str">
        <f>_xlfn.XLOOKUP(tbl_CONTENT[[#This Row],[Topic]], tbl_TOPIC[Topic], tbl_TOPIC[TopicID], "")</f>
        <v>QM-1-11</v>
      </c>
      <c r="G220" s="22" cm="1">
        <f t="array" ref="G220">SUM((tbl_CONTENT[[#This Row],[TopicID]]=INDEX(tbl_CONTENT[TopicID],1):tbl_CONTENT[[#This Row],[TopicID]])*1)</f>
        <v>1</v>
      </c>
      <c r="H220" s="22" t="s">
        <v>374</v>
      </c>
      <c r="I220" s="22" t="s">
        <v>444</v>
      </c>
      <c r="J220" s="22" t="s">
        <v>148</v>
      </c>
      <c r="K220" s="22">
        <v>1</v>
      </c>
      <c r="Q220" s="35">
        <f>IFERROR(
 (1.907*EXP(1)^(-0.5*tbl_CONTENT[[#This Row],[Layer]])) *
 ((tbl_CONTENT[[#This Row],[RelInt]]-1)^(2.5)*4^(1-2.5)+1) +
 ((tbl_CONTENT[[#This Row],[Comp]]-1)^(2.5)*4^(1-2.5)+1)*(0.5*((tbl_CONTENT[[#This Row],[RelInt]]-1)/4)^(2.5)+1),
 0
)</f>
        <v>0</v>
      </c>
      <c r="R220" s="35">
        <f>IFERROR(
 (1.907*EXP(1)^(-0.5*VALUE(tbl_CONTENT[[#This Row],[Layer]]))) *
 ((VALUE(tbl_CONTENT[[#This Row],[RelId]])-1)^(2.5)*4^(1-2.5)+1) +
 ((VALUE(tbl_CONTENT[[#This Row],[Comp]])-1)^(2.5)*4^(1-2.5)+1)*(0.5*((VALUE(tbl_CONTENT[[#This Row],[RelId]])-1)/4)^(2.5)+1),
 0
)</f>
        <v>0</v>
      </c>
    </row>
    <row r="221" spans="3:18" ht="34" x14ac:dyDescent="0.2">
      <c r="C221" s="22" t="str">
        <f>_xlfn.XLOOKUP(tbl_CONTENT[[#This Row],[TopicID]], tbl_TOPIC[TopicID], tbl_TOPIC[Subject], "")</f>
        <v>QM</v>
      </c>
      <c r="D221" s="22" t="str">
        <f xml:space="preserve"> tbl_CONTENT[[#This Row],[TopicID]] &amp; "-" &amp; TEXT(tbl_CONTENT[[#This Row],[TopicIDCount]], "00")</f>
        <v>QM-1-11-02</v>
      </c>
      <c r="F221" s="22" t="str">
        <f>_xlfn.XLOOKUP(tbl_CONTENT[[#This Row],[Topic]], tbl_TOPIC[Topic], tbl_TOPIC[TopicID], "")</f>
        <v>QM-1-11</v>
      </c>
      <c r="G221" s="22" cm="1">
        <f t="array" ref="G221">SUM((tbl_CONTENT[[#This Row],[TopicID]]=INDEX(tbl_CONTENT[TopicID],1):tbl_CONTENT[[#This Row],[TopicID]])*1)</f>
        <v>2</v>
      </c>
      <c r="H221" s="22" t="s">
        <v>374</v>
      </c>
      <c r="I221" s="22" t="s">
        <v>447</v>
      </c>
      <c r="J221" s="22" t="s">
        <v>153</v>
      </c>
      <c r="K221" s="22">
        <v>1</v>
      </c>
      <c r="Q221" s="35">
        <f>IFERROR(
 (1.907*EXP(1)^(-0.5*tbl_CONTENT[[#This Row],[Layer]])) *
 ((tbl_CONTENT[[#This Row],[RelInt]]-1)^(2.5)*4^(1-2.5)+1) +
 ((tbl_CONTENT[[#This Row],[Comp]]-1)^(2.5)*4^(1-2.5)+1)*(0.5*((tbl_CONTENT[[#This Row],[RelInt]]-1)/4)^(2.5)+1),
 0
)</f>
        <v>0</v>
      </c>
      <c r="R221" s="35">
        <f>IFERROR(
 (1.907*EXP(1)^(-0.5*VALUE(tbl_CONTENT[[#This Row],[Layer]]))) *
 ((VALUE(tbl_CONTENT[[#This Row],[RelId]])-1)^(2.5)*4^(1-2.5)+1) +
 ((VALUE(tbl_CONTENT[[#This Row],[Comp]])-1)^(2.5)*4^(1-2.5)+1)*(0.5*((VALUE(tbl_CONTENT[[#This Row],[RelId]])-1)/4)^(2.5)+1),
 0
)</f>
        <v>0</v>
      </c>
    </row>
    <row r="222" spans="3:18" ht="34" x14ac:dyDescent="0.2">
      <c r="C222" s="22" t="str">
        <f>_xlfn.XLOOKUP(tbl_CONTENT[[#This Row],[TopicID]], tbl_TOPIC[TopicID], tbl_TOPIC[Subject], "")</f>
        <v>QM</v>
      </c>
      <c r="D222" s="22" t="str">
        <f xml:space="preserve"> tbl_CONTENT[[#This Row],[TopicID]] &amp; "-" &amp; TEXT(tbl_CONTENT[[#This Row],[TopicIDCount]], "00")</f>
        <v>QM-1-11-03</v>
      </c>
      <c r="F222" s="22" t="str">
        <f>_xlfn.XLOOKUP(tbl_CONTENT[[#This Row],[Topic]], tbl_TOPIC[Topic], tbl_TOPIC[TopicID], "")</f>
        <v>QM-1-11</v>
      </c>
      <c r="G222" s="22" cm="1">
        <f t="array" ref="G222">SUM((tbl_CONTENT[[#This Row],[TopicID]]=INDEX(tbl_CONTENT[TopicID],1):tbl_CONTENT[[#This Row],[TopicID]])*1)</f>
        <v>3</v>
      </c>
      <c r="H222" s="22" t="s">
        <v>374</v>
      </c>
      <c r="I222" s="22" t="s">
        <v>445</v>
      </c>
      <c r="J222" s="22" t="s">
        <v>382</v>
      </c>
      <c r="K222" s="22">
        <v>1</v>
      </c>
      <c r="Q222" s="35">
        <f>IFERROR(
 (1.907*EXP(1)^(-0.5*tbl_CONTENT[[#This Row],[Layer]])) *
 ((tbl_CONTENT[[#This Row],[RelInt]]-1)^(2.5)*4^(1-2.5)+1) +
 ((tbl_CONTENT[[#This Row],[Comp]]-1)^(2.5)*4^(1-2.5)+1)*(0.5*((tbl_CONTENT[[#This Row],[RelInt]]-1)/4)^(2.5)+1),
 0
)</f>
        <v>0</v>
      </c>
      <c r="R222" s="35">
        <f>IFERROR(
 (1.907*EXP(1)^(-0.5*VALUE(tbl_CONTENT[[#This Row],[Layer]]))) *
 ((VALUE(tbl_CONTENT[[#This Row],[RelId]])-1)^(2.5)*4^(1-2.5)+1) +
 ((VALUE(tbl_CONTENT[[#This Row],[Comp]])-1)^(2.5)*4^(1-2.5)+1)*(0.5*((VALUE(tbl_CONTENT[[#This Row],[RelId]])-1)/4)^(2.5)+1),
 0
)</f>
        <v>0</v>
      </c>
    </row>
    <row r="223" spans="3:18" ht="34" x14ac:dyDescent="0.2">
      <c r="C223" s="22" t="str">
        <f>_xlfn.XLOOKUP(tbl_CONTENT[[#This Row],[TopicID]], tbl_TOPIC[TopicID], tbl_TOPIC[Subject], "")</f>
        <v>QM</v>
      </c>
      <c r="D223" s="22" t="str">
        <f xml:space="preserve"> tbl_CONTENT[[#This Row],[TopicID]] &amp; "-" &amp; TEXT(tbl_CONTENT[[#This Row],[TopicIDCount]], "00")</f>
        <v>QM-1-11-04</v>
      </c>
      <c r="F223" s="22" t="str">
        <f>_xlfn.XLOOKUP(tbl_CONTENT[[#This Row],[Topic]], tbl_TOPIC[Topic], tbl_TOPIC[TopicID], "")</f>
        <v>QM-1-11</v>
      </c>
      <c r="G223" s="22" cm="1">
        <f t="array" ref="G223">SUM((tbl_CONTENT[[#This Row],[TopicID]]=INDEX(tbl_CONTENT[TopicID],1):tbl_CONTENT[[#This Row],[TopicID]])*1)</f>
        <v>4</v>
      </c>
      <c r="H223" s="22" t="s">
        <v>374</v>
      </c>
      <c r="I223" s="22" t="s">
        <v>446</v>
      </c>
      <c r="J223" s="22" t="s">
        <v>148</v>
      </c>
      <c r="K223" s="22">
        <v>1</v>
      </c>
      <c r="Q223" s="35">
        <f>IFERROR(
 (1.907*EXP(1)^(-0.5*tbl_CONTENT[[#This Row],[Layer]])) *
 ((tbl_CONTENT[[#This Row],[RelInt]]-1)^(2.5)*4^(1-2.5)+1) +
 ((tbl_CONTENT[[#This Row],[Comp]]-1)^(2.5)*4^(1-2.5)+1)*(0.5*((tbl_CONTENT[[#This Row],[RelInt]]-1)/4)^(2.5)+1),
 0
)</f>
        <v>0</v>
      </c>
      <c r="R223" s="35">
        <f>IFERROR(
 (1.907*EXP(1)^(-0.5*VALUE(tbl_CONTENT[[#This Row],[Layer]]))) *
 ((VALUE(tbl_CONTENT[[#This Row],[RelId]])-1)^(2.5)*4^(1-2.5)+1) +
 ((VALUE(tbl_CONTENT[[#This Row],[Comp]])-1)^(2.5)*4^(1-2.5)+1)*(0.5*((VALUE(tbl_CONTENT[[#This Row],[RelId]])-1)/4)^(2.5)+1),
 0
)</f>
        <v>0</v>
      </c>
    </row>
    <row r="224" spans="3:18" ht="34" x14ac:dyDescent="0.2">
      <c r="C224" s="22" t="str">
        <f>_xlfn.XLOOKUP(tbl_CONTENT[[#This Row],[TopicID]], tbl_TOPIC[TopicID], tbl_TOPIC[Subject], "")</f>
        <v>QM</v>
      </c>
      <c r="D224" s="22" t="str">
        <f xml:space="preserve"> tbl_CONTENT[[#This Row],[TopicID]] &amp; "-" &amp; TEXT(tbl_CONTENT[[#This Row],[TopicIDCount]], "00")</f>
        <v>QM-1-11-05</v>
      </c>
      <c r="F224" s="22" t="str">
        <f>_xlfn.XLOOKUP(tbl_CONTENT[[#This Row],[Topic]], tbl_TOPIC[Topic], tbl_TOPIC[TopicID], "")</f>
        <v>QM-1-11</v>
      </c>
      <c r="G224" s="22" cm="1">
        <f t="array" ref="G224">SUM((tbl_CONTENT[[#This Row],[TopicID]]=INDEX(tbl_CONTENT[TopicID],1):tbl_CONTENT[[#This Row],[TopicID]])*1)</f>
        <v>5</v>
      </c>
      <c r="H224" s="22" t="s">
        <v>374</v>
      </c>
      <c r="I224" s="22" t="s">
        <v>448</v>
      </c>
      <c r="J224" s="22" t="s">
        <v>382</v>
      </c>
      <c r="M224" s="22">
        <v>4</v>
      </c>
      <c r="Q224" s="35">
        <f>IFERROR(
 (1.907*EXP(1)^(-0.5*tbl_CONTENT[[#This Row],[Layer]])) *
 ((tbl_CONTENT[[#This Row],[RelInt]]-1)^(2.5)*4^(1-2.5)+1) +
 ((tbl_CONTENT[[#This Row],[Comp]]-1)^(2.5)*4^(1-2.5)+1)*(0.5*((tbl_CONTENT[[#This Row],[RelInt]]-1)/4)^(2.5)+1),
 0
)</f>
        <v>0</v>
      </c>
      <c r="R224" s="35">
        <f>IFERROR(
 (1.907*EXP(1)^(-0.5*VALUE(tbl_CONTENT[[#This Row],[Layer]]))) *
 ((VALUE(tbl_CONTENT[[#This Row],[RelId]])-1)^(2.5)*4^(1-2.5)+1) +
 ((VALUE(tbl_CONTENT[[#This Row],[Comp]])-1)^(2.5)*4^(1-2.5)+1)*(0.5*((VALUE(tbl_CONTENT[[#This Row],[RelId]])-1)/4)^(2.5)+1),
 0
)</f>
        <v>0</v>
      </c>
    </row>
    <row r="225" spans="3:20" ht="51" x14ac:dyDescent="0.2">
      <c r="C225" s="22" t="str">
        <f>_xlfn.XLOOKUP(tbl_CONTENT[[#This Row],[TopicID]], tbl_TOPIC[TopicID], tbl_TOPIC[Subject], "")</f>
        <v>QM</v>
      </c>
      <c r="D225" s="22" t="str">
        <f xml:space="preserve"> tbl_CONTENT[[#This Row],[TopicID]] &amp; "-" &amp; TEXT(tbl_CONTENT[[#This Row],[TopicIDCount]], "00")</f>
        <v>QM-1-11-06</v>
      </c>
      <c r="F225" s="22" t="str">
        <f>_xlfn.XLOOKUP(tbl_CONTENT[[#This Row],[Topic]], tbl_TOPIC[Topic], tbl_TOPIC[TopicID], "")</f>
        <v>QM-1-11</v>
      </c>
      <c r="G225" s="22" cm="1">
        <f t="array" ref="G225">SUM((tbl_CONTENT[[#This Row],[TopicID]]=INDEX(tbl_CONTENT[TopicID],1):tbl_CONTENT[[#This Row],[TopicID]])*1)</f>
        <v>6</v>
      </c>
      <c r="H225" s="22" t="s">
        <v>374</v>
      </c>
      <c r="I225" s="22" t="s">
        <v>449</v>
      </c>
      <c r="J225" s="22" t="s">
        <v>181</v>
      </c>
      <c r="Q225" s="35">
        <f>IFERROR(
 (1.907*EXP(1)^(-0.5*tbl_CONTENT[[#This Row],[Layer]])) *
 ((tbl_CONTENT[[#This Row],[RelInt]]-1)^(2.5)*4^(1-2.5)+1) +
 ((tbl_CONTENT[[#This Row],[Comp]]-1)^(2.5)*4^(1-2.5)+1)*(0.5*((tbl_CONTENT[[#This Row],[RelInt]]-1)/4)^(2.5)+1),
 0
)</f>
        <v>0</v>
      </c>
      <c r="R225" s="35">
        <f>IFERROR(
 (1.907*EXP(1)^(-0.5*VALUE(tbl_CONTENT[[#This Row],[Layer]]))) *
 ((VALUE(tbl_CONTENT[[#This Row],[RelId]])-1)^(2.5)*4^(1-2.5)+1) +
 ((VALUE(tbl_CONTENT[[#This Row],[Comp]])-1)^(2.5)*4^(1-2.5)+1)*(0.5*((VALUE(tbl_CONTENT[[#This Row],[RelId]])-1)/4)^(2.5)+1),
 0
)</f>
        <v>0</v>
      </c>
    </row>
    <row r="226" spans="3:20" ht="68" x14ac:dyDescent="0.2">
      <c r="C226" s="22" t="str">
        <f>_xlfn.XLOOKUP(tbl_CONTENT[[#This Row],[TopicID]], tbl_TOPIC[TopicID], tbl_TOPIC[Subject], "")</f>
        <v>QM</v>
      </c>
      <c r="D226" s="22" t="str">
        <f xml:space="preserve"> tbl_CONTENT[[#This Row],[TopicID]] &amp; "-" &amp; TEXT(tbl_CONTENT[[#This Row],[TopicIDCount]], "00")</f>
        <v>QM-1-11-07</v>
      </c>
      <c r="F226" s="22" t="str">
        <f>_xlfn.XLOOKUP(tbl_CONTENT[[#This Row],[Topic]], tbl_TOPIC[Topic], tbl_TOPIC[TopicID], "")</f>
        <v>QM-1-11</v>
      </c>
      <c r="G226" s="22" cm="1">
        <f t="array" ref="G226">SUM((tbl_CONTENT[[#This Row],[TopicID]]=INDEX(tbl_CONTENT[TopicID],1):tbl_CONTENT[[#This Row],[TopicID]])*1)</f>
        <v>7</v>
      </c>
      <c r="H226" s="22" t="s">
        <v>374</v>
      </c>
      <c r="I226" s="22" t="s">
        <v>1638</v>
      </c>
      <c r="J226" s="22" t="s">
        <v>148</v>
      </c>
      <c r="Q226" s="35">
        <f>IFERROR(
 (1.907*EXP(1)^(-0.5*tbl_CONTENT[[#This Row],[Layer]])) *
 ((tbl_CONTENT[[#This Row],[RelInt]]-1)^(2.5)*4^(1-2.5)+1) +
 ((tbl_CONTENT[[#This Row],[Comp]]-1)^(2.5)*4^(1-2.5)+1)*(0.5*((tbl_CONTENT[[#This Row],[RelInt]]-1)/4)^(2.5)+1),
 0
)</f>
        <v>0</v>
      </c>
      <c r="R226" s="35">
        <f>IFERROR(
 (1.907*EXP(1)^(-0.5*VALUE(tbl_CONTENT[[#This Row],[Layer]]))) *
 ((VALUE(tbl_CONTENT[[#This Row],[RelId]])-1)^(2.5)*4^(1-2.5)+1) +
 ((VALUE(tbl_CONTENT[[#This Row],[Comp]])-1)^(2.5)*4^(1-2.5)+1)*(0.5*((VALUE(tbl_CONTENT[[#This Row],[RelId]])-1)/4)^(2.5)+1),
 0
)</f>
        <v>0</v>
      </c>
    </row>
    <row r="227" spans="3:20" ht="68" x14ac:dyDescent="0.2">
      <c r="C227" s="22" t="str">
        <f>_xlfn.XLOOKUP(tbl_CONTENT[[#This Row],[TopicID]], tbl_TOPIC[TopicID], tbl_TOPIC[Subject], "")</f>
        <v>QM</v>
      </c>
      <c r="D227" s="22" t="str">
        <f xml:space="preserve"> tbl_CONTENT[[#This Row],[TopicID]] &amp; "-" &amp; TEXT(tbl_CONTENT[[#This Row],[TopicIDCount]], "00")</f>
        <v>QM-1-12-01</v>
      </c>
      <c r="F227" s="22" t="str">
        <f>_xlfn.XLOOKUP(tbl_CONTENT[[#This Row],[Topic]], tbl_TOPIC[Topic], tbl_TOPIC[TopicID], "")</f>
        <v>QM-1-12</v>
      </c>
      <c r="G227" s="22" cm="1">
        <f t="array" ref="G227">SUM((tbl_CONTENT[[#This Row],[TopicID]]=INDEX(tbl_CONTENT[TopicID],1):tbl_CONTENT[[#This Row],[TopicID]])*1)</f>
        <v>1</v>
      </c>
      <c r="H227" s="22" t="s">
        <v>375</v>
      </c>
      <c r="I227" s="22" t="s">
        <v>450</v>
      </c>
      <c r="J227" s="22" t="s">
        <v>181</v>
      </c>
      <c r="K227" s="22">
        <v>1</v>
      </c>
      <c r="Q227" s="35">
        <f>IFERROR(
 (1.907*EXP(1)^(-0.5*tbl_CONTENT[[#This Row],[Layer]])) *
 ((tbl_CONTENT[[#This Row],[RelInt]]-1)^(2.5)*4^(1-2.5)+1) +
 ((tbl_CONTENT[[#This Row],[Comp]]-1)^(2.5)*4^(1-2.5)+1)*(0.5*((tbl_CONTENT[[#This Row],[RelInt]]-1)/4)^(2.5)+1),
 0
)</f>
        <v>0</v>
      </c>
      <c r="R227" s="35">
        <f>IFERROR(
 (1.907*EXP(1)^(-0.5*VALUE(tbl_CONTENT[[#This Row],[Layer]]))) *
 ((VALUE(tbl_CONTENT[[#This Row],[RelId]])-1)^(2.5)*4^(1-2.5)+1) +
 ((VALUE(tbl_CONTENT[[#This Row],[Comp]])-1)^(2.5)*4^(1-2.5)+1)*(0.5*((VALUE(tbl_CONTENT[[#This Row],[RelId]])-1)/4)^(2.5)+1),
 0
)</f>
        <v>0</v>
      </c>
    </row>
    <row r="228" spans="3:20" ht="68" x14ac:dyDescent="0.2">
      <c r="C228" s="22" t="str">
        <f>_xlfn.XLOOKUP(tbl_CONTENT[[#This Row],[TopicID]], tbl_TOPIC[TopicID], tbl_TOPIC[Subject], "")</f>
        <v>QM</v>
      </c>
      <c r="D228" s="22" t="str">
        <f xml:space="preserve"> tbl_CONTENT[[#This Row],[TopicID]] &amp; "-" &amp; TEXT(tbl_CONTENT[[#This Row],[TopicIDCount]], "00")</f>
        <v>QM-1-12-02</v>
      </c>
      <c r="F228" s="22" t="str">
        <f>_xlfn.XLOOKUP(tbl_CONTENT[[#This Row],[Topic]], tbl_TOPIC[Topic], tbl_TOPIC[TopicID], "")</f>
        <v>QM-1-12</v>
      </c>
      <c r="G228" s="22" cm="1">
        <f t="array" ref="G228">SUM((tbl_CONTENT[[#This Row],[TopicID]]=INDEX(tbl_CONTENT[TopicID],1):tbl_CONTENT[[#This Row],[TopicID]])*1)</f>
        <v>2</v>
      </c>
      <c r="H228" s="22" t="s">
        <v>375</v>
      </c>
      <c r="I228" s="22" t="s">
        <v>451</v>
      </c>
      <c r="J228" s="22" t="s">
        <v>153</v>
      </c>
      <c r="K228" s="22">
        <v>1</v>
      </c>
      <c r="Q228" s="35">
        <f>IFERROR(
 (1.907*EXP(1)^(-0.5*tbl_CONTENT[[#This Row],[Layer]])) *
 ((tbl_CONTENT[[#This Row],[RelInt]]-1)^(2.5)*4^(1-2.5)+1) +
 ((tbl_CONTENT[[#This Row],[Comp]]-1)^(2.5)*4^(1-2.5)+1)*(0.5*((tbl_CONTENT[[#This Row],[RelInt]]-1)/4)^(2.5)+1),
 0
)</f>
        <v>0</v>
      </c>
      <c r="R228" s="35">
        <f>IFERROR(
 (1.907*EXP(1)^(-0.5*VALUE(tbl_CONTENT[[#This Row],[Layer]]))) *
 ((VALUE(tbl_CONTENT[[#This Row],[RelId]])-1)^(2.5)*4^(1-2.5)+1) +
 ((VALUE(tbl_CONTENT[[#This Row],[Comp]])-1)^(2.5)*4^(1-2.5)+1)*(0.5*((VALUE(tbl_CONTENT[[#This Row],[RelId]])-1)/4)^(2.5)+1),
 0
)</f>
        <v>0</v>
      </c>
    </row>
    <row r="229" spans="3:20" ht="51" x14ac:dyDescent="0.2">
      <c r="C229" s="22" t="str">
        <f>_xlfn.XLOOKUP(tbl_CONTENT[[#This Row],[TopicID]], tbl_TOPIC[TopicID], tbl_TOPIC[Subject], "")</f>
        <v>QM</v>
      </c>
      <c r="D229" s="22" t="str">
        <f xml:space="preserve"> tbl_CONTENT[[#This Row],[TopicID]] &amp; "-" &amp; TEXT(tbl_CONTENT[[#This Row],[TopicIDCount]], "00")</f>
        <v>QM-1-12-03</v>
      </c>
      <c r="F229" s="22" t="str">
        <f>_xlfn.XLOOKUP(tbl_CONTENT[[#This Row],[Topic]], tbl_TOPIC[Topic], tbl_TOPIC[TopicID], "")</f>
        <v>QM-1-12</v>
      </c>
      <c r="G229" s="22" cm="1">
        <f t="array" ref="G229">SUM((tbl_CONTENT[[#This Row],[TopicID]]=INDEX(tbl_CONTENT[TopicID],1):tbl_CONTENT[[#This Row],[TopicID]])*1)</f>
        <v>3</v>
      </c>
      <c r="H229" s="22" t="s">
        <v>375</v>
      </c>
      <c r="I229" s="22" t="s">
        <v>452</v>
      </c>
      <c r="J229" s="22" t="s">
        <v>148</v>
      </c>
      <c r="K229" s="22">
        <v>1</v>
      </c>
      <c r="Q229" s="35">
        <f>IFERROR(
 (1.907*EXP(1)^(-0.5*tbl_CONTENT[[#This Row],[Layer]])) *
 ((tbl_CONTENT[[#This Row],[RelInt]]-1)^(2.5)*4^(1-2.5)+1) +
 ((tbl_CONTENT[[#This Row],[Comp]]-1)^(2.5)*4^(1-2.5)+1)*(0.5*((tbl_CONTENT[[#This Row],[RelInt]]-1)/4)^(2.5)+1),
 0
)</f>
        <v>0</v>
      </c>
      <c r="R229" s="35">
        <f>IFERROR(
 (1.907*EXP(1)^(-0.5*VALUE(tbl_CONTENT[[#This Row],[Layer]]))) *
 ((VALUE(tbl_CONTENT[[#This Row],[RelId]])-1)^(2.5)*4^(1-2.5)+1) +
 ((VALUE(tbl_CONTENT[[#This Row],[Comp]])-1)^(2.5)*4^(1-2.5)+1)*(0.5*((VALUE(tbl_CONTENT[[#This Row],[RelId]])-1)/4)^(2.5)+1),
 0
)</f>
        <v>0</v>
      </c>
    </row>
    <row r="230" spans="3:20" ht="34" x14ac:dyDescent="0.2">
      <c r="C230" s="22" t="str">
        <f>_xlfn.XLOOKUP(tbl_CONTENT[[#This Row],[TopicID]], tbl_TOPIC[TopicID], tbl_TOPIC[Subject], "")</f>
        <v>QM</v>
      </c>
      <c r="D230" s="22" t="str">
        <f xml:space="preserve"> tbl_CONTENT[[#This Row],[TopicID]] &amp; "-" &amp; TEXT(tbl_CONTENT[[#This Row],[TopicIDCount]], "00")</f>
        <v>QM-1-12-04</v>
      </c>
      <c r="F230" s="22" t="str">
        <f>_xlfn.XLOOKUP(tbl_CONTENT[[#This Row],[Topic]], tbl_TOPIC[Topic], tbl_TOPIC[TopicID], "")</f>
        <v>QM-1-12</v>
      </c>
      <c r="G230" s="22" cm="1">
        <f t="array" ref="G230">SUM((tbl_CONTENT[[#This Row],[TopicID]]=INDEX(tbl_CONTENT[TopicID],1):tbl_CONTENT[[#This Row],[TopicID]])*1)</f>
        <v>4</v>
      </c>
      <c r="H230" s="22" t="s">
        <v>375</v>
      </c>
      <c r="I230" s="22" t="s">
        <v>453</v>
      </c>
      <c r="J230" s="22" t="s">
        <v>382</v>
      </c>
      <c r="K230" s="22">
        <v>1</v>
      </c>
      <c r="Q230" s="35">
        <f>IFERROR(
 (1.907*EXP(1)^(-0.5*tbl_CONTENT[[#This Row],[Layer]])) *
 ((tbl_CONTENT[[#This Row],[RelInt]]-1)^(2.5)*4^(1-2.5)+1) +
 ((tbl_CONTENT[[#This Row],[Comp]]-1)^(2.5)*4^(1-2.5)+1)*(0.5*((tbl_CONTENT[[#This Row],[RelInt]]-1)/4)^(2.5)+1),
 0
)</f>
        <v>0</v>
      </c>
      <c r="R230" s="35">
        <f>IFERROR(
 (1.907*EXP(1)^(-0.5*VALUE(tbl_CONTENT[[#This Row],[Layer]]))) *
 ((VALUE(tbl_CONTENT[[#This Row],[RelId]])-1)^(2.5)*4^(1-2.5)+1) +
 ((VALUE(tbl_CONTENT[[#This Row],[Comp]])-1)^(2.5)*4^(1-2.5)+1)*(0.5*((VALUE(tbl_CONTENT[[#This Row],[RelId]])-1)/4)^(2.5)+1),
 0
)</f>
        <v>0</v>
      </c>
      <c r="T230" s="22" t="s">
        <v>454</v>
      </c>
    </row>
    <row r="231" spans="3:20" ht="34" x14ac:dyDescent="0.2">
      <c r="C231" s="22" t="str">
        <f>_xlfn.XLOOKUP(tbl_CONTENT[[#This Row],[TopicID]], tbl_TOPIC[TopicID], tbl_TOPIC[Subject], "")</f>
        <v>CM</v>
      </c>
      <c r="D231" s="22" t="str">
        <f xml:space="preserve"> tbl_CONTENT[[#This Row],[TopicID]] &amp; "-" &amp; TEXT(tbl_CONTENT[[#This Row],[TopicIDCount]], "00")</f>
        <v>CM-1-01-01</v>
      </c>
      <c r="F231" s="22" t="str">
        <f>_xlfn.XLOOKUP(tbl_CONTENT[[#This Row],[Topic]], tbl_TOPIC[Topic], tbl_TOPIC[TopicID], "")</f>
        <v>CM-1-01</v>
      </c>
      <c r="G231" s="22" cm="1">
        <f t="array" ref="G231">SUM((tbl_CONTENT[[#This Row],[TopicID]]=INDEX(tbl_CONTENT[TopicID],1):tbl_CONTENT[[#This Row],[TopicID]])*1)</f>
        <v>1</v>
      </c>
      <c r="H231" s="22" t="s">
        <v>462</v>
      </c>
      <c r="I231" s="22" t="s">
        <v>466</v>
      </c>
      <c r="J231" s="22" t="s">
        <v>382</v>
      </c>
      <c r="Q231" s="35">
        <f>IFERROR(
 (1.907*EXP(1)^(-0.5*tbl_CONTENT[[#This Row],[Layer]])) *
 ((tbl_CONTENT[[#This Row],[RelInt]]-1)^(2.5)*4^(1-2.5)+1) +
 ((tbl_CONTENT[[#This Row],[Comp]]-1)^(2.5)*4^(1-2.5)+1)*(0.5*((tbl_CONTENT[[#This Row],[RelInt]]-1)/4)^(2.5)+1),
 0
)</f>
        <v>0</v>
      </c>
      <c r="R231" s="35">
        <f>IFERROR(
 (1.907*EXP(1)^(-0.5*VALUE(tbl_CONTENT[[#This Row],[Layer]]))) *
 ((VALUE(tbl_CONTENT[[#This Row],[RelId]])-1)^(2.5)*4^(1-2.5)+1) +
 ((VALUE(tbl_CONTENT[[#This Row],[Comp]])-1)^(2.5)*4^(1-2.5)+1)*(0.5*((VALUE(tbl_CONTENT[[#This Row],[RelId]])-1)/4)^(2.5)+1),
 0
)</f>
        <v>0</v>
      </c>
    </row>
    <row r="232" spans="3:20" ht="17" x14ac:dyDescent="0.2">
      <c r="C232" s="22" t="str">
        <f>_xlfn.XLOOKUP(tbl_CONTENT[[#This Row],[TopicID]], tbl_TOPIC[TopicID], tbl_TOPIC[Subject], "")</f>
        <v>CM</v>
      </c>
      <c r="D232" s="22" t="str">
        <f xml:space="preserve"> tbl_CONTENT[[#This Row],[TopicID]] &amp; "-" &amp; TEXT(tbl_CONTENT[[#This Row],[TopicIDCount]], "00")</f>
        <v>CM-1-01-02</v>
      </c>
      <c r="F232" s="22" t="str">
        <f>_xlfn.XLOOKUP(tbl_CONTENT[[#This Row],[Topic]], tbl_TOPIC[Topic], tbl_TOPIC[TopicID], "")</f>
        <v>CM-1-01</v>
      </c>
      <c r="G232" s="22" cm="1">
        <f t="array" ref="G232">SUM((tbl_CONTENT[[#This Row],[TopicID]]=INDEX(tbl_CONTENT[TopicID],1):tbl_CONTENT[[#This Row],[TopicID]])*1)</f>
        <v>2</v>
      </c>
      <c r="H232" s="22" t="s">
        <v>462</v>
      </c>
      <c r="I232" s="22" t="s">
        <v>467</v>
      </c>
      <c r="J232" s="22" t="s">
        <v>382</v>
      </c>
      <c r="Q232" s="35">
        <f>IFERROR(
 (1.907*EXP(1)^(-0.5*tbl_CONTENT[[#This Row],[Layer]])) *
 ((tbl_CONTENT[[#This Row],[RelInt]]-1)^(2.5)*4^(1-2.5)+1) +
 ((tbl_CONTENT[[#This Row],[Comp]]-1)^(2.5)*4^(1-2.5)+1)*(0.5*((tbl_CONTENT[[#This Row],[RelInt]]-1)/4)^(2.5)+1),
 0
)</f>
        <v>0</v>
      </c>
      <c r="R232" s="35">
        <f>IFERROR(
 (1.907*EXP(1)^(-0.5*VALUE(tbl_CONTENT[[#This Row],[Layer]]))) *
 ((VALUE(tbl_CONTENT[[#This Row],[RelId]])-1)^(2.5)*4^(1-2.5)+1) +
 ((VALUE(tbl_CONTENT[[#This Row],[Comp]])-1)^(2.5)*4^(1-2.5)+1)*(0.5*((VALUE(tbl_CONTENT[[#This Row],[RelId]])-1)/4)^(2.5)+1),
 0
)</f>
        <v>0</v>
      </c>
    </row>
    <row r="233" spans="3:20" ht="17" x14ac:dyDescent="0.2">
      <c r="C233" s="22" t="str">
        <f>_xlfn.XLOOKUP(tbl_CONTENT[[#This Row],[TopicID]], tbl_TOPIC[TopicID], tbl_TOPIC[Subject], "")</f>
        <v>CM</v>
      </c>
      <c r="D233" s="22" t="str">
        <f xml:space="preserve"> tbl_CONTENT[[#This Row],[TopicID]] &amp; "-" &amp; TEXT(tbl_CONTENT[[#This Row],[TopicIDCount]], "00")</f>
        <v>CM-1-02-01</v>
      </c>
      <c r="F233" s="22" t="str">
        <f>_xlfn.XLOOKUP(tbl_CONTENT[[#This Row],[Topic]], tbl_TOPIC[Topic], tbl_TOPIC[TopicID], "")</f>
        <v>CM-1-02</v>
      </c>
      <c r="G233" s="22" cm="1">
        <f t="array" ref="G233">SUM((tbl_CONTENT[[#This Row],[TopicID]]=INDEX(tbl_CONTENT[TopicID],1):tbl_CONTENT[[#This Row],[TopicID]])*1)</f>
        <v>1</v>
      </c>
      <c r="H233" s="22" t="s">
        <v>463</v>
      </c>
      <c r="I233" s="22" t="s">
        <v>468</v>
      </c>
      <c r="J233" s="22" t="s">
        <v>382</v>
      </c>
      <c r="K233" s="22">
        <v>1</v>
      </c>
      <c r="Q233" s="35">
        <f>IFERROR(
 (1.907*EXP(1)^(-0.5*tbl_CONTENT[[#This Row],[Layer]])) *
 ((tbl_CONTENT[[#This Row],[RelInt]]-1)^(2.5)*4^(1-2.5)+1) +
 ((tbl_CONTENT[[#This Row],[Comp]]-1)^(2.5)*4^(1-2.5)+1)*(0.5*((tbl_CONTENT[[#This Row],[RelInt]]-1)/4)^(2.5)+1),
 0
)</f>
        <v>0</v>
      </c>
      <c r="R233" s="35">
        <f>IFERROR(
 (1.907*EXP(1)^(-0.5*VALUE(tbl_CONTENT[[#This Row],[Layer]]))) *
 ((VALUE(tbl_CONTENT[[#This Row],[RelId]])-1)^(2.5)*4^(1-2.5)+1) +
 ((VALUE(tbl_CONTENT[[#This Row],[Comp]])-1)^(2.5)*4^(1-2.5)+1)*(0.5*((VALUE(tbl_CONTENT[[#This Row],[RelId]])-1)/4)^(2.5)+1),
 0
)</f>
        <v>0</v>
      </c>
    </row>
    <row r="234" spans="3:20" ht="102" x14ac:dyDescent="0.2">
      <c r="C234" s="22" t="str">
        <f>_xlfn.XLOOKUP(tbl_CONTENT[[#This Row],[TopicID]], tbl_TOPIC[TopicID], tbl_TOPIC[Subject], "")</f>
        <v>CM</v>
      </c>
      <c r="D234" s="22" t="str">
        <f xml:space="preserve"> tbl_CONTENT[[#This Row],[TopicID]] &amp; "-" &amp; TEXT(tbl_CONTENT[[#This Row],[TopicIDCount]], "00")</f>
        <v>CM-1-02-02</v>
      </c>
      <c r="F234" s="22" t="str">
        <f>_xlfn.XLOOKUP(tbl_CONTENT[[#This Row],[Topic]], tbl_TOPIC[Topic], tbl_TOPIC[TopicID], "")</f>
        <v>CM-1-02</v>
      </c>
      <c r="G234" s="22" cm="1">
        <f t="array" ref="G234">SUM((tbl_CONTENT[[#This Row],[TopicID]]=INDEX(tbl_CONTENT[TopicID],1):tbl_CONTENT[[#This Row],[TopicID]])*1)</f>
        <v>2</v>
      </c>
      <c r="H234" s="22" t="s">
        <v>463</v>
      </c>
      <c r="I234" s="22" t="s">
        <v>469</v>
      </c>
      <c r="J234" s="22" t="s">
        <v>153</v>
      </c>
      <c r="K234" s="22">
        <v>1</v>
      </c>
      <c r="Q234" s="35">
        <f>IFERROR(
 (1.907*EXP(1)^(-0.5*tbl_CONTENT[[#This Row],[Layer]])) *
 ((tbl_CONTENT[[#This Row],[RelInt]]-1)^(2.5)*4^(1-2.5)+1) +
 ((tbl_CONTENT[[#This Row],[Comp]]-1)^(2.5)*4^(1-2.5)+1)*(0.5*((tbl_CONTENT[[#This Row],[RelInt]]-1)/4)^(2.5)+1),
 0
)</f>
        <v>0</v>
      </c>
      <c r="R234" s="35">
        <f>IFERROR(
 (1.907*EXP(1)^(-0.5*VALUE(tbl_CONTENT[[#This Row],[Layer]]))) *
 ((VALUE(tbl_CONTENT[[#This Row],[RelId]])-1)^(2.5)*4^(1-2.5)+1) +
 ((VALUE(tbl_CONTENT[[#This Row],[Comp]])-1)^(2.5)*4^(1-2.5)+1)*(0.5*((VALUE(tbl_CONTENT[[#This Row],[RelId]])-1)/4)^(2.5)+1),
 0
)</f>
        <v>0</v>
      </c>
    </row>
    <row r="235" spans="3:20" ht="102" x14ac:dyDescent="0.2">
      <c r="C235" s="22" t="str">
        <f>_xlfn.XLOOKUP(tbl_CONTENT[[#This Row],[TopicID]], tbl_TOPIC[TopicID], tbl_TOPIC[Subject], "")</f>
        <v>CM</v>
      </c>
      <c r="D235" s="22" t="str">
        <f xml:space="preserve"> tbl_CONTENT[[#This Row],[TopicID]] &amp; "-" &amp; TEXT(tbl_CONTENT[[#This Row],[TopicIDCount]], "00")</f>
        <v>CM-1-02-03</v>
      </c>
      <c r="F235" s="22" t="str">
        <f>_xlfn.XLOOKUP(tbl_CONTENT[[#This Row],[Topic]], tbl_TOPIC[Topic], tbl_TOPIC[TopicID], "")</f>
        <v>CM-1-02</v>
      </c>
      <c r="G235" s="22" cm="1">
        <f t="array" ref="G235">SUM((tbl_CONTENT[[#This Row],[TopicID]]=INDEX(tbl_CONTENT[TopicID],1):tbl_CONTENT[[#This Row],[TopicID]])*1)</f>
        <v>3</v>
      </c>
      <c r="H235" s="22" t="s">
        <v>463</v>
      </c>
      <c r="I235" s="22" t="s">
        <v>470</v>
      </c>
      <c r="J235" s="22" t="s">
        <v>153</v>
      </c>
      <c r="K235" s="22">
        <v>1</v>
      </c>
      <c r="Q235" s="35">
        <f>IFERROR(
 (1.907*EXP(1)^(-0.5*tbl_CONTENT[[#This Row],[Layer]])) *
 ((tbl_CONTENT[[#This Row],[RelInt]]-1)^(2.5)*4^(1-2.5)+1) +
 ((tbl_CONTENT[[#This Row],[Comp]]-1)^(2.5)*4^(1-2.5)+1)*(0.5*((tbl_CONTENT[[#This Row],[RelInt]]-1)/4)^(2.5)+1),
 0
)</f>
        <v>0</v>
      </c>
      <c r="R235" s="35">
        <f>IFERROR(
 (1.907*EXP(1)^(-0.5*VALUE(tbl_CONTENT[[#This Row],[Layer]]))) *
 ((VALUE(tbl_CONTENT[[#This Row],[RelId]])-1)^(2.5)*4^(1-2.5)+1) +
 ((VALUE(tbl_CONTENT[[#This Row],[Comp]])-1)^(2.5)*4^(1-2.5)+1)*(0.5*((VALUE(tbl_CONTENT[[#This Row],[RelId]])-1)/4)^(2.5)+1),
 0
)</f>
        <v>0</v>
      </c>
      <c r="T235" s="22" t="s">
        <v>497</v>
      </c>
    </row>
    <row r="236" spans="3:20" ht="34" x14ac:dyDescent="0.2">
      <c r="C236" s="22" t="str">
        <f>_xlfn.XLOOKUP(tbl_CONTENT[[#This Row],[TopicID]], tbl_TOPIC[TopicID], tbl_TOPIC[Subject], "")</f>
        <v>CM</v>
      </c>
      <c r="D236" s="22" t="str">
        <f xml:space="preserve"> tbl_CONTENT[[#This Row],[TopicID]] &amp; "-" &amp; TEXT(tbl_CONTENT[[#This Row],[TopicIDCount]], "00")</f>
        <v>CM-1-02-04</v>
      </c>
      <c r="F236" s="22" t="str">
        <f>_xlfn.XLOOKUP(tbl_CONTENT[[#This Row],[Topic]], tbl_TOPIC[Topic], tbl_TOPIC[TopicID], "")</f>
        <v>CM-1-02</v>
      </c>
      <c r="G236" s="22" cm="1">
        <f t="array" ref="G236">SUM((tbl_CONTENT[[#This Row],[TopicID]]=INDEX(tbl_CONTENT[TopicID],1):tbl_CONTENT[[#This Row],[TopicID]])*1)</f>
        <v>4</v>
      </c>
      <c r="H236" s="22" t="s">
        <v>463</v>
      </c>
      <c r="I236" s="22" t="s">
        <v>471</v>
      </c>
      <c r="J236" s="22" t="s">
        <v>382</v>
      </c>
      <c r="Q236" s="35">
        <f>IFERROR(
 (1.907*EXP(1)^(-0.5*tbl_CONTENT[[#This Row],[Layer]])) *
 ((tbl_CONTENT[[#This Row],[RelInt]]-1)^(2.5)*4^(1-2.5)+1) +
 ((tbl_CONTENT[[#This Row],[Comp]]-1)^(2.5)*4^(1-2.5)+1)*(0.5*((tbl_CONTENT[[#This Row],[RelInt]]-1)/4)^(2.5)+1),
 0
)</f>
        <v>0</v>
      </c>
      <c r="R236" s="35">
        <f>IFERROR(
 (1.907*EXP(1)^(-0.5*VALUE(tbl_CONTENT[[#This Row],[Layer]]))) *
 ((VALUE(tbl_CONTENT[[#This Row],[RelId]])-1)^(2.5)*4^(1-2.5)+1) +
 ((VALUE(tbl_CONTENT[[#This Row],[Comp]])-1)^(2.5)*4^(1-2.5)+1)*(0.5*((VALUE(tbl_CONTENT[[#This Row],[RelId]])-1)/4)^(2.5)+1),
 0
)</f>
        <v>0</v>
      </c>
    </row>
    <row r="237" spans="3:20" ht="51" x14ac:dyDescent="0.2">
      <c r="C237" s="22" t="str">
        <f>_xlfn.XLOOKUP(tbl_CONTENT[[#This Row],[TopicID]], tbl_TOPIC[TopicID], tbl_TOPIC[Subject], "")</f>
        <v>CM</v>
      </c>
      <c r="D237" s="22" t="str">
        <f xml:space="preserve"> tbl_CONTENT[[#This Row],[TopicID]] &amp; "-" &amp; TEXT(tbl_CONTENT[[#This Row],[TopicIDCount]], "00")</f>
        <v>CM-1-02-05</v>
      </c>
      <c r="F237" s="22" t="str">
        <f>_xlfn.XLOOKUP(tbl_CONTENT[[#This Row],[Topic]], tbl_TOPIC[Topic], tbl_TOPIC[TopicID], "")</f>
        <v>CM-1-02</v>
      </c>
      <c r="G237" s="22" cm="1">
        <f t="array" ref="G237">SUM((tbl_CONTENT[[#This Row],[TopicID]]=INDEX(tbl_CONTENT[TopicID],1):tbl_CONTENT[[#This Row],[TopicID]])*1)</f>
        <v>5</v>
      </c>
      <c r="H237" s="22" t="s">
        <v>463</v>
      </c>
      <c r="I237" s="22" t="s">
        <v>1639</v>
      </c>
      <c r="J237" s="22" t="s">
        <v>382</v>
      </c>
      <c r="K237" s="22">
        <v>1</v>
      </c>
      <c r="Q237" s="35">
        <f>IFERROR(
 (1.907*EXP(1)^(-0.5*tbl_CONTENT[[#This Row],[Layer]])) *
 ((tbl_CONTENT[[#This Row],[RelInt]]-1)^(2.5)*4^(1-2.5)+1) +
 ((tbl_CONTENT[[#This Row],[Comp]]-1)^(2.5)*4^(1-2.5)+1)*(0.5*((tbl_CONTENT[[#This Row],[RelInt]]-1)/4)^(2.5)+1),
 0
)</f>
        <v>0</v>
      </c>
      <c r="R237" s="35">
        <f>IFERROR(
 (1.907*EXP(1)^(-0.5*VALUE(tbl_CONTENT[[#This Row],[Layer]]))) *
 ((VALUE(tbl_CONTENT[[#This Row],[RelId]])-1)^(2.5)*4^(1-2.5)+1) +
 ((VALUE(tbl_CONTENT[[#This Row],[Comp]])-1)^(2.5)*4^(1-2.5)+1)*(0.5*((VALUE(tbl_CONTENT[[#This Row],[RelId]])-1)/4)^(2.5)+1),
 0
)</f>
        <v>0</v>
      </c>
    </row>
    <row r="238" spans="3:20" ht="51" x14ac:dyDescent="0.2">
      <c r="C238" s="22" t="str">
        <f>_xlfn.XLOOKUP(tbl_CONTENT[[#This Row],[TopicID]], tbl_TOPIC[TopicID], tbl_TOPIC[Subject], "")</f>
        <v>CM</v>
      </c>
      <c r="D238" s="22" t="str">
        <f xml:space="preserve"> tbl_CONTENT[[#This Row],[TopicID]] &amp; "-" &amp; TEXT(tbl_CONTENT[[#This Row],[TopicIDCount]], "00")</f>
        <v>CM-1-02-06</v>
      </c>
      <c r="F238" s="22" t="str">
        <f>_xlfn.XLOOKUP(tbl_CONTENT[[#This Row],[Topic]], tbl_TOPIC[Topic], tbl_TOPIC[TopicID], "")</f>
        <v>CM-1-02</v>
      </c>
      <c r="G238" s="22" cm="1">
        <f t="array" ref="G238">SUM((tbl_CONTENT[[#This Row],[TopicID]]=INDEX(tbl_CONTENT[TopicID],1):tbl_CONTENT[[#This Row],[TopicID]])*1)</f>
        <v>6</v>
      </c>
      <c r="H238" s="22" t="s">
        <v>463</v>
      </c>
      <c r="I238" s="22" t="s">
        <v>472</v>
      </c>
      <c r="J238" s="22" t="s">
        <v>382</v>
      </c>
      <c r="Q238" s="35">
        <f>IFERROR(
 (1.907*EXP(1)^(-0.5*tbl_CONTENT[[#This Row],[Layer]])) *
 ((tbl_CONTENT[[#This Row],[RelInt]]-1)^(2.5)*4^(1-2.5)+1) +
 ((tbl_CONTENT[[#This Row],[Comp]]-1)^(2.5)*4^(1-2.5)+1)*(0.5*((tbl_CONTENT[[#This Row],[RelInt]]-1)/4)^(2.5)+1),
 0
)</f>
        <v>0</v>
      </c>
      <c r="R238" s="35">
        <f>IFERROR(
 (1.907*EXP(1)^(-0.5*VALUE(tbl_CONTENT[[#This Row],[Layer]]))) *
 ((VALUE(tbl_CONTENT[[#This Row],[RelId]])-1)^(2.5)*4^(1-2.5)+1) +
 ((VALUE(tbl_CONTENT[[#This Row],[Comp]])-1)^(2.5)*4^(1-2.5)+1)*(0.5*((VALUE(tbl_CONTENT[[#This Row],[RelId]])-1)/4)^(2.5)+1),
 0
)</f>
        <v>0</v>
      </c>
    </row>
    <row r="239" spans="3:20" ht="17" x14ac:dyDescent="0.2">
      <c r="C239" s="22" t="str">
        <f>_xlfn.XLOOKUP(tbl_CONTENT[[#This Row],[TopicID]], tbl_TOPIC[TopicID], tbl_TOPIC[Subject], "")</f>
        <v>CM</v>
      </c>
      <c r="D239" s="22" t="str">
        <f xml:space="preserve"> tbl_CONTENT[[#This Row],[TopicID]] &amp; "-" &amp; TEXT(tbl_CONTENT[[#This Row],[TopicIDCount]], "00")</f>
        <v>CM-1-02-07</v>
      </c>
      <c r="F239" s="22" t="str">
        <f>_xlfn.XLOOKUP(tbl_CONTENT[[#This Row],[Topic]], tbl_TOPIC[Topic], tbl_TOPIC[TopicID], "")</f>
        <v>CM-1-02</v>
      </c>
      <c r="G239" s="22" cm="1">
        <f t="array" ref="G239">SUM((tbl_CONTENT[[#This Row],[TopicID]]=INDEX(tbl_CONTENT[TopicID],1):tbl_CONTENT[[#This Row],[TopicID]])*1)</f>
        <v>7</v>
      </c>
      <c r="H239" s="22" t="s">
        <v>463</v>
      </c>
      <c r="I239" s="22" t="s">
        <v>473</v>
      </c>
      <c r="J239" s="22" t="s">
        <v>181</v>
      </c>
      <c r="Q239" s="35">
        <f>IFERROR(
 (1.907*EXP(1)^(-0.5*tbl_CONTENT[[#This Row],[Layer]])) *
 ((tbl_CONTENT[[#This Row],[RelInt]]-1)^(2.5)*4^(1-2.5)+1) +
 ((tbl_CONTENT[[#This Row],[Comp]]-1)^(2.5)*4^(1-2.5)+1)*(0.5*((tbl_CONTENT[[#This Row],[RelInt]]-1)/4)^(2.5)+1),
 0
)</f>
        <v>0</v>
      </c>
      <c r="R239" s="35">
        <f>IFERROR(
 (1.907*EXP(1)^(-0.5*VALUE(tbl_CONTENT[[#This Row],[Layer]]))) *
 ((VALUE(tbl_CONTENT[[#This Row],[RelId]])-1)^(2.5)*4^(1-2.5)+1) +
 ((VALUE(tbl_CONTENT[[#This Row],[Comp]])-1)^(2.5)*4^(1-2.5)+1)*(0.5*((VALUE(tbl_CONTENT[[#This Row],[RelId]])-1)/4)^(2.5)+1),
 0
)</f>
        <v>0</v>
      </c>
    </row>
    <row r="240" spans="3:20" ht="34" x14ac:dyDescent="0.2">
      <c r="C240" s="22" t="str">
        <f>_xlfn.XLOOKUP(tbl_CONTENT[[#This Row],[TopicID]], tbl_TOPIC[TopicID], tbl_TOPIC[Subject], "")</f>
        <v>CM</v>
      </c>
      <c r="D240" s="22" t="str">
        <f xml:space="preserve"> tbl_CONTENT[[#This Row],[TopicID]] &amp; "-" &amp; TEXT(tbl_CONTENT[[#This Row],[TopicIDCount]], "00")</f>
        <v>CM-1-02-08</v>
      </c>
      <c r="F240" s="22" t="str">
        <f>_xlfn.XLOOKUP(tbl_CONTENT[[#This Row],[Topic]], tbl_TOPIC[Topic], tbl_TOPIC[TopicID], "")</f>
        <v>CM-1-02</v>
      </c>
      <c r="G240" s="22" cm="1">
        <f t="array" ref="G240">SUM((tbl_CONTENT[[#This Row],[TopicID]]=INDEX(tbl_CONTENT[TopicID],1):tbl_CONTENT[[#This Row],[TopicID]])*1)</f>
        <v>8</v>
      </c>
      <c r="H240" s="22" t="s">
        <v>463</v>
      </c>
      <c r="I240" s="22" t="s">
        <v>474</v>
      </c>
      <c r="J240" s="22" t="s">
        <v>148</v>
      </c>
      <c r="Q240" s="35">
        <f>IFERROR(
 (1.907*EXP(1)^(-0.5*tbl_CONTENT[[#This Row],[Layer]])) *
 ((tbl_CONTENT[[#This Row],[RelInt]]-1)^(2.5)*4^(1-2.5)+1) +
 ((tbl_CONTENT[[#This Row],[Comp]]-1)^(2.5)*4^(1-2.5)+1)*(0.5*((tbl_CONTENT[[#This Row],[RelInt]]-1)/4)^(2.5)+1),
 0
)</f>
        <v>0</v>
      </c>
      <c r="R240" s="35">
        <f>IFERROR(
 (1.907*EXP(1)^(-0.5*VALUE(tbl_CONTENT[[#This Row],[Layer]]))) *
 ((VALUE(tbl_CONTENT[[#This Row],[RelId]])-1)^(2.5)*4^(1-2.5)+1) +
 ((VALUE(tbl_CONTENT[[#This Row],[Comp]])-1)^(2.5)*4^(1-2.5)+1)*(0.5*((VALUE(tbl_CONTENT[[#This Row],[RelId]])-1)/4)^(2.5)+1),
 0
)</f>
        <v>0</v>
      </c>
    </row>
    <row r="241" spans="3:18" ht="136" x14ac:dyDescent="0.2">
      <c r="C241" s="22" t="str">
        <f>_xlfn.XLOOKUP(tbl_CONTENT[[#This Row],[TopicID]], tbl_TOPIC[TopicID], tbl_TOPIC[Subject], "")</f>
        <v>CM</v>
      </c>
      <c r="D241" s="22" t="str">
        <f xml:space="preserve"> tbl_CONTENT[[#This Row],[TopicID]] &amp; "-" &amp; TEXT(tbl_CONTENT[[#This Row],[TopicIDCount]], "00")</f>
        <v>CM-1-03-01</v>
      </c>
      <c r="F241" s="22" t="str">
        <f>_xlfn.XLOOKUP(tbl_CONTENT[[#This Row],[Topic]], tbl_TOPIC[Topic], tbl_TOPIC[TopicID], "")</f>
        <v>CM-1-03</v>
      </c>
      <c r="G241" s="22" cm="1">
        <f t="array" ref="G241">SUM((tbl_CONTENT[[#This Row],[TopicID]]=INDEX(tbl_CONTENT[TopicID],1):tbl_CONTENT[[#This Row],[TopicID]])*1)</f>
        <v>1</v>
      </c>
      <c r="H241" s="22" t="s">
        <v>464</v>
      </c>
      <c r="I241" s="22" t="s">
        <v>475</v>
      </c>
      <c r="J241" s="22" t="s">
        <v>148</v>
      </c>
      <c r="K241" s="22">
        <v>1</v>
      </c>
      <c r="Q241" s="35">
        <f>IFERROR(
 (1.907*EXP(1)^(-0.5*tbl_CONTENT[[#This Row],[Layer]])) *
 ((tbl_CONTENT[[#This Row],[RelInt]]-1)^(2.5)*4^(1-2.5)+1) +
 ((tbl_CONTENT[[#This Row],[Comp]]-1)^(2.5)*4^(1-2.5)+1)*(0.5*((tbl_CONTENT[[#This Row],[RelInt]]-1)/4)^(2.5)+1),
 0
)</f>
        <v>0</v>
      </c>
      <c r="R241" s="35">
        <f>IFERROR(
 (1.907*EXP(1)^(-0.5*VALUE(tbl_CONTENT[[#This Row],[Layer]]))) *
 ((VALUE(tbl_CONTENT[[#This Row],[RelId]])-1)^(2.5)*4^(1-2.5)+1) +
 ((VALUE(tbl_CONTENT[[#This Row],[Comp]])-1)^(2.5)*4^(1-2.5)+1)*(0.5*((VALUE(tbl_CONTENT[[#This Row],[RelId]])-1)/4)^(2.5)+1),
 0
)</f>
        <v>0</v>
      </c>
    </row>
    <row r="242" spans="3:18" ht="68" x14ac:dyDescent="0.2">
      <c r="C242" s="22" t="str">
        <f>_xlfn.XLOOKUP(tbl_CONTENT[[#This Row],[TopicID]], tbl_TOPIC[TopicID], tbl_TOPIC[Subject], "")</f>
        <v>CM</v>
      </c>
      <c r="D242" s="22" t="str">
        <f xml:space="preserve"> tbl_CONTENT[[#This Row],[TopicID]] &amp; "-" &amp; TEXT(tbl_CONTENT[[#This Row],[TopicIDCount]], "00")</f>
        <v>CM-1-03-02</v>
      </c>
      <c r="F242" s="22" t="str">
        <f>_xlfn.XLOOKUP(tbl_CONTENT[[#This Row],[Topic]], tbl_TOPIC[Topic], tbl_TOPIC[TopicID], "")</f>
        <v>CM-1-03</v>
      </c>
      <c r="G242" s="22" cm="1">
        <f t="array" ref="G242">SUM((tbl_CONTENT[[#This Row],[TopicID]]=INDEX(tbl_CONTENT[TopicID],1):tbl_CONTENT[[#This Row],[TopicID]])*1)</f>
        <v>2</v>
      </c>
      <c r="H242" s="22" t="s">
        <v>464</v>
      </c>
      <c r="I242" s="22" t="s">
        <v>476</v>
      </c>
      <c r="J242" s="22" t="s">
        <v>181</v>
      </c>
      <c r="K242" s="22">
        <v>1</v>
      </c>
      <c r="Q242" s="35">
        <f>IFERROR(
 (1.907*EXP(1)^(-0.5*tbl_CONTENT[[#This Row],[Layer]])) *
 ((tbl_CONTENT[[#This Row],[RelInt]]-1)^(2.5)*4^(1-2.5)+1) +
 ((tbl_CONTENT[[#This Row],[Comp]]-1)^(2.5)*4^(1-2.5)+1)*(0.5*((tbl_CONTENT[[#This Row],[RelInt]]-1)/4)^(2.5)+1),
 0
)</f>
        <v>0</v>
      </c>
      <c r="R242" s="35">
        <f>IFERROR(
 (1.907*EXP(1)^(-0.5*VALUE(tbl_CONTENT[[#This Row],[Layer]]))) *
 ((VALUE(tbl_CONTENT[[#This Row],[RelId]])-1)^(2.5)*4^(1-2.5)+1) +
 ((VALUE(tbl_CONTENT[[#This Row],[Comp]])-1)^(2.5)*4^(1-2.5)+1)*(0.5*((VALUE(tbl_CONTENT[[#This Row],[RelId]])-1)/4)^(2.5)+1),
 0
)</f>
        <v>0</v>
      </c>
    </row>
    <row r="243" spans="3:18" ht="68" x14ac:dyDescent="0.2">
      <c r="C243" s="22" t="str">
        <f>_xlfn.XLOOKUP(tbl_CONTENT[[#This Row],[TopicID]], tbl_TOPIC[TopicID], tbl_TOPIC[Subject], "")</f>
        <v>CM</v>
      </c>
      <c r="D243" s="22" t="str">
        <f xml:space="preserve"> tbl_CONTENT[[#This Row],[TopicID]] &amp; "-" &amp; TEXT(tbl_CONTENT[[#This Row],[TopicIDCount]], "00")</f>
        <v>CM-1-03-03</v>
      </c>
      <c r="F243" s="22" t="str">
        <f>_xlfn.XLOOKUP(tbl_CONTENT[[#This Row],[Topic]], tbl_TOPIC[Topic], tbl_TOPIC[TopicID], "")</f>
        <v>CM-1-03</v>
      </c>
      <c r="G243" s="22" cm="1">
        <f t="array" ref="G243">SUM((tbl_CONTENT[[#This Row],[TopicID]]=INDEX(tbl_CONTENT[TopicID],1):tbl_CONTENT[[#This Row],[TopicID]])*1)</f>
        <v>3</v>
      </c>
      <c r="H243" s="22" t="s">
        <v>464</v>
      </c>
      <c r="I243" s="22" t="s">
        <v>1640</v>
      </c>
      <c r="J243" s="22" t="s">
        <v>382</v>
      </c>
      <c r="K243" s="22">
        <v>1</v>
      </c>
      <c r="Q243" s="35">
        <f>IFERROR(
 (1.907*EXP(1)^(-0.5*tbl_CONTENT[[#This Row],[Layer]])) *
 ((tbl_CONTENT[[#This Row],[RelInt]]-1)^(2.5)*4^(1-2.5)+1) +
 ((tbl_CONTENT[[#This Row],[Comp]]-1)^(2.5)*4^(1-2.5)+1)*(0.5*((tbl_CONTENT[[#This Row],[RelInt]]-1)/4)^(2.5)+1),
 0
)</f>
        <v>0</v>
      </c>
      <c r="R243" s="35">
        <f>IFERROR(
 (1.907*EXP(1)^(-0.5*VALUE(tbl_CONTENT[[#This Row],[Layer]]))) *
 ((VALUE(tbl_CONTENT[[#This Row],[RelId]])-1)^(2.5)*4^(1-2.5)+1) +
 ((VALUE(tbl_CONTENT[[#This Row],[Comp]])-1)^(2.5)*4^(1-2.5)+1)*(0.5*((VALUE(tbl_CONTENT[[#This Row],[RelId]])-1)/4)^(2.5)+1),
 0
)</f>
        <v>0</v>
      </c>
    </row>
    <row r="244" spans="3:18" ht="68" x14ac:dyDescent="0.2">
      <c r="C244" s="22" t="str">
        <f>_xlfn.XLOOKUP(tbl_CONTENT[[#This Row],[TopicID]], tbl_TOPIC[TopicID], tbl_TOPIC[Subject], "")</f>
        <v>CM</v>
      </c>
      <c r="D244" s="22" t="str">
        <f xml:space="preserve"> tbl_CONTENT[[#This Row],[TopicID]] &amp; "-" &amp; TEXT(tbl_CONTENT[[#This Row],[TopicIDCount]], "00")</f>
        <v>CM-1-03-04</v>
      </c>
      <c r="F244" s="22" t="str">
        <f>_xlfn.XLOOKUP(tbl_CONTENT[[#This Row],[Topic]], tbl_TOPIC[Topic], tbl_TOPIC[TopicID], "")</f>
        <v>CM-1-03</v>
      </c>
      <c r="G244" s="22" cm="1">
        <f t="array" ref="G244">SUM((tbl_CONTENT[[#This Row],[TopicID]]=INDEX(tbl_CONTENT[TopicID],1):tbl_CONTENT[[#This Row],[TopicID]])*1)</f>
        <v>4</v>
      </c>
      <c r="H244" s="22" t="s">
        <v>464</v>
      </c>
      <c r="I244" s="22" t="s">
        <v>481</v>
      </c>
      <c r="J244" s="22" t="s">
        <v>382</v>
      </c>
      <c r="K244" s="22">
        <v>1</v>
      </c>
      <c r="Q244" s="35">
        <f>IFERROR(
 (1.907*EXP(1)^(-0.5*tbl_CONTENT[[#This Row],[Layer]])) *
 ((tbl_CONTENT[[#This Row],[RelInt]]-1)^(2.5)*4^(1-2.5)+1) +
 ((tbl_CONTENT[[#This Row],[Comp]]-1)^(2.5)*4^(1-2.5)+1)*(0.5*((tbl_CONTENT[[#This Row],[RelInt]]-1)/4)^(2.5)+1),
 0
)</f>
        <v>0</v>
      </c>
      <c r="R244" s="35">
        <f>IFERROR(
 (1.907*EXP(1)^(-0.5*VALUE(tbl_CONTENT[[#This Row],[Layer]]))) *
 ((VALUE(tbl_CONTENT[[#This Row],[RelId]])-1)^(2.5)*4^(1-2.5)+1) +
 ((VALUE(tbl_CONTENT[[#This Row],[Comp]])-1)^(2.5)*4^(1-2.5)+1)*(0.5*((VALUE(tbl_CONTENT[[#This Row],[RelId]])-1)/4)^(2.5)+1),
 0
)</f>
        <v>0</v>
      </c>
    </row>
    <row r="245" spans="3:18" ht="68" x14ac:dyDescent="0.2">
      <c r="C245" s="22" t="str">
        <f>_xlfn.XLOOKUP(tbl_CONTENT[[#This Row],[TopicID]], tbl_TOPIC[TopicID], tbl_TOPIC[Subject], "")</f>
        <v>CM</v>
      </c>
      <c r="D245" s="22" t="str">
        <f xml:space="preserve"> tbl_CONTENT[[#This Row],[TopicID]] &amp; "-" &amp; TEXT(tbl_CONTENT[[#This Row],[TopicIDCount]], "00")</f>
        <v>CM-1-03-05</v>
      </c>
      <c r="F245" s="22" t="str">
        <f>_xlfn.XLOOKUP(tbl_CONTENT[[#This Row],[Topic]], tbl_TOPIC[Topic], tbl_TOPIC[TopicID], "")</f>
        <v>CM-1-03</v>
      </c>
      <c r="G245" s="22" cm="1">
        <f t="array" ref="G245">SUM((tbl_CONTENT[[#This Row],[TopicID]]=INDEX(tbl_CONTENT[TopicID],1):tbl_CONTENT[[#This Row],[TopicID]])*1)</f>
        <v>5</v>
      </c>
      <c r="H245" s="22" t="s">
        <v>464</v>
      </c>
      <c r="I245" s="22" t="s">
        <v>477</v>
      </c>
      <c r="J245" s="22" t="s">
        <v>152</v>
      </c>
      <c r="K245" s="22">
        <v>1</v>
      </c>
      <c r="Q245" s="35">
        <f>IFERROR(
 (1.907*EXP(1)^(-0.5*tbl_CONTENT[[#This Row],[Layer]])) *
 ((tbl_CONTENT[[#This Row],[RelInt]]-1)^(2.5)*4^(1-2.5)+1) +
 ((tbl_CONTENT[[#This Row],[Comp]]-1)^(2.5)*4^(1-2.5)+1)*(0.5*((tbl_CONTENT[[#This Row],[RelInt]]-1)/4)^(2.5)+1),
 0
)</f>
        <v>0</v>
      </c>
      <c r="R245" s="35">
        <f>IFERROR(
 (1.907*EXP(1)^(-0.5*VALUE(tbl_CONTENT[[#This Row],[Layer]]))) *
 ((VALUE(tbl_CONTENT[[#This Row],[RelId]])-1)^(2.5)*4^(1-2.5)+1) +
 ((VALUE(tbl_CONTENT[[#This Row],[Comp]])-1)^(2.5)*4^(1-2.5)+1)*(0.5*((VALUE(tbl_CONTENT[[#This Row],[RelId]])-1)/4)^(2.5)+1),
 0
)</f>
        <v>0</v>
      </c>
    </row>
    <row r="246" spans="3:18" ht="68" x14ac:dyDescent="0.2">
      <c r="C246" s="22" t="str">
        <f>_xlfn.XLOOKUP(tbl_CONTENT[[#This Row],[TopicID]], tbl_TOPIC[TopicID], tbl_TOPIC[Subject], "")</f>
        <v>CM</v>
      </c>
      <c r="D246" s="22" t="str">
        <f xml:space="preserve"> tbl_CONTENT[[#This Row],[TopicID]] &amp; "-" &amp; TEXT(tbl_CONTENT[[#This Row],[TopicIDCount]], "00")</f>
        <v>CM-1-03-06</v>
      </c>
      <c r="F246" s="22" t="str">
        <f>_xlfn.XLOOKUP(tbl_CONTENT[[#This Row],[Topic]], tbl_TOPIC[Topic], tbl_TOPIC[TopicID], "")</f>
        <v>CM-1-03</v>
      </c>
      <c r="G246" s="22" cm="1">
        <f t="array" ref="G246">SUM((tbl_CONTENT[[#This Row],[TopicID]]=INDEX(tbl_CONTENT[TopicID],1):tbl_CONTENT[[#This Row],[TopicID]])*1)</f>
        <v>6</v>
      </c>
      <c r="H246" s="22" t="s">
        <v>464</v>
      </c>
      <c r="I246" s="22" t="s">
        <v>478</v>
      </c>
      <c r="J246" s="22" t="s">
        <v>152</v>
      </c>
      <c r="Q246" s="35">
        <f>IFERROR(
 (1.907*EXP(1)^(-0.5*tbl_CONTENT[[#This Row],[Layer]])) *
 ((tbl_CONTENT[[#This Row],[RelInt]]-1)^(2.5)*4^(1-2.5)+1) +
 ((tbl_CONTENT[[#This Row],[Comp]]-1)^(2.5)*4^(1-2.5)+1)*(0.5*((tbl_CONTENT[[#This Row],[RelInt]]-1)/4)^(2.5)+1),
 0
)</f>
        <v>0</v>
      </c>
      <c r="R246" s="35">
        <f>IFERROR(
 (1.907*EXP(1)^(-0.5*VALUE(tbl_CONTENT[[#This Row],[Layer]]))) *
 ((VALUE(tbl_CONTENT[[#This Row],[RelId]])-1)^(2.5)*4^(1-2.5)+1) +
 ((VALUE(tbl_CONTENT[[#This Row],[Comp]])-1)^(2.5)*4^(1-2.5)+1)*(0.5*((VALUE(tbl_CONTENT[[#This Row],[RelId]])-1)/4)^(2.5)+1),
 0
)</f>
        <v>0</v>
      </c>
    </row>
    <row r="247" spans="3:18" ht="68" x14ac:dyDescent="0.2">
      <c r="C247" s="22" t="str">
        <f>_xlfn.XLOOKUP(tbl_CONTENT[[#This Row],[TopicID]], tbl_TOPIC[TopicID], tbl_TOPIC[Subject], "")</f>
        <v>CM</v>
      </c>
      <c r="D247" s="22" t="str">
        <f xml:space="preserve"> tbl_CONTENT[[#This Row],[TopicID]] &amp; "-" &amp; TEXT(tbl_CONTENT[[#This Row],[TopicIDCount]], "00")</f>
        <v>CM-1-03-07</v>
      </c>
      <c r="F247" s="22" t="str">
        <f>_xlfn.XLOOKUP(tbl_CONTENT[[#This Row],[Topic]], tbl_TOPIC[Topic], tbl_TOPIC[TopicID], "")</f>
        <v>CM-1-03</v>
      </c>
      <c r="G247" s="22" cm="1">
        <f t="array" ref="G247">SUM((tbl_CONTENT[[#This Row],[TopicID]]=INDEX(tbl_CONTENT[TopicID],1):tbl_CONTENT[[#This Row],[TopicID]])*1)</f>
        <v>7</v>
      </c>
      <c r="H247" s="22" t="s">
        <v>464</v>
      </c>
      <c r="I247" s="22" t="s">
        <v>479</v>
      </c>
      <c r="J247" s="22" t="s">
        <v>382</v>
      </c>
      <c r="K247" s="22">
        <v>1</v>
      </c>
      <c r="Q247" s="35">
        <f>IFERROR(
 (1.907*EXP(1)^(-0.5*tbl_CONTENT[[#This Row],[Layer]])) *
 ((tbl_CONTENT[[#This Row],[RelInt]]-1)^(2.5)*4^(1-2.5)+1) +
 ((tbl_CONTENT[[#This Row],[Comp]]-1)^(2.5)*4^(1-2.5)+1)*(0.5*((tbl_CONTENT[[#This Row],[RelInt]]-1)/4)^(2.5)+1),
 0
)</f>
        <v>0</v>
      </c>
      <c r="R247" s="35">
        <f>IFERROR(
 (1.907*EXP(1)^(-0.5*VALUE(tbl_CONTENT[[#This Row],[Layer]]))) *
 ((VALUE(tbl_CONTENT[[#This Row],[RelId]])-1)^(2.5)*4^(1-2.5)+1) +
 ((VALUE(tbl_CONTENT[[#This Row],[Comp]])-1)^(2.5)*4^(1-2.5)+1)*(0.5*((VALUE(tbl_CONTENT[[#This Row],[RelId]])-1)/4)^(2.5)+1),
 0
)</f>
        <v>0</v>
      </c>
    </row>
    <row r="248" spans="3:18" ht="68" x14ac:dyDescent="0.2">
      <c r="C248" s="22" t="str">
        <f>_xlfn.XLOOKUP(tbl_CONTENT[[#This Row],[TopicID]], tbl_TOPIC[TopicID], tbl_TOPIC[Subject], "")</f>
        <v>CM</v>
      </c>
      <c r="D248" s="22" t="str">
        <f xml:space="preserve"> tbl_CONTENT[[#This Row],[TopicID]] &amp; "-" &amp; TEXT(tbl_CONTENT[[#This Row],[TopicIDCount]], "00")</f>
        <v>CM-1-03-08</v>
      </c>
      <c r="F248" s="22" t="str">
        <f>_xlfn.XLOOKUP(tbl_CONTENT[[#This Row],[Topic]], tbl_TOPIC[Topic], tbl_TOPIC[TopicID], "")</f>
        <v>CM-1-03</v>
      </c>
      <c r="G248" s="22" cm="1">
        <f t="array" ref="G248">SUM((tbl_CONTENT[[#This Row],[TopicID]]=INDEX(tbl_CONTENT[TopicID],1):tbl_CONTENT[[#This Row],[TopicID]])*1)</f>
        <v>8</v>
      </c>
      <c r="H248" s="22" t="s">
        <v>464</v>
      </c>
      <c r="I248" s="22" t="s">
        <v>480</v>
      </c>
      <c r="J248" s="22" t="s">
        <v>152</v>
      </c>
      <c r="K248" s="22">
        <v>1</v>
      </c>
      <c r="Q248" s="35">
        <f>IFERROR(
 (1.907*EXP(1)^(-0.5*tbl_CONTENT[[#This Row],[Layer]])) *
 ((tbl_CONTENT[[#This Row],[RelInt]]-1)^(2.5)*4^(1-2.5)+1) +
 ((tbl_CONTENT[[#This Row],[Comp]]-1)^(2.5)*4^(1-2.5)+1)*(0.5*((tbl_CONTENT[[#This Row],[RelInt]]-1)/4)^(2.5)+1),
 0
)</f>
        <v>0</v>
      </c>
      <c r="R248" s="35">
        <f>IFERROR(
 (1.907*EXP(1)^(-0.5*VALUE(tbl_CONTENT[[#This Row],[Layer]]))) *
 ((VALUE(tbl_CONTENT[[#This Row],[RelId]])-1)^(2.5)*4^(1-2.5)+1) +
 ((VALUE(tbl_CONTENT[[#This Row],[Comp]])-1)^(2.5)*4^(1-2.5)+1)*(0.5*((VALUE(tbl_CONTENT[[#This Row],[RelId]])-1)/4)^(2.5)+1),
 0
)</f>
        <v>0</v>
      </c>
    </row>
    <row r="249" spans="3:18" ht="68" x14ac:dyDescent="0.2">
      <c r="C249" s="22" t="str">
        <f>_xlfn.XLOOKUP(tbl_CONTENT[[#This Row],[TopicID]], tbl_TOPIC[TopicID], tbl_TOPIC[Subject], "")</f>
        <v>CM</v>
      </c>
      <c r="D249" s="22" t="str">
        <f xml:space="preserve"> tbl_CONTENT[[#This Row],[TopicID]] &amp; "-" &amp; TEXT(tbl_CONTENT[[#This Row],[TopicIDCount]], "00")</f>
        <v>CM-1-03-09</v>
      </c>
      <c r="F249" s="22" t="str">
        <f>_xlfn.XLOOKUP(tbl_CONTENT[[#This Row],[Topic]], tbl_TOPIC[Topic], tbl_TOPIC[TopicID], "")</f>
        <v>CM-1-03</v>
      </c>
      <c r="G249" s="22" cm="1">
        <f t="array" ref="G249">SUM((tbl_CONTENT[[#This Row],[TopicID]]=INDEX(tbl_CONTENT[TopicID],1):tbl_CONTENT[[#This Row],[TopicID]])*1)</f>
        <v>9</v>
      </c>
      <c r="H249" s="22" t="s">
        <v>464</v>
      </c>
      <c r="I249" s="22" t="s">
        <v>482</v>
      </c>
      <c r="J249" s="22" t="s">
        <v>181</v>
      </c>
      <c r="Q249" s="35">
        <f>IFERROR(
 (1.907*EXP(1)^(-0.5*tbl_CONTENT[[#This Row],[Layer]])) *
 ((tbl_CONTENT[[#This Row],[RelInt]]-1)^(2.5)*4^(1-2.5)+1) +
 ((tbl_CONTENT[[#This Row],[Comp]]-1)^(2.5)*4^(1-2.5)+1)*(0.5*((tbl_CONTENT[[#This Row],[RelInt]]-1)/4)^(2.5)+1),
 0
)</f>
        <v>0</v>
      </c>
      <c r="R249" s="35">
        <f>IFERROR(
 (1.907*EXP(1)^(-0.5*VALUE(tbl_CONTENT[[#This Row],[Layer]]))) *
 ((VALUE(tbl_CONTENT[[#This Row],[RelId]])-1)^(2.5)*4^(1-2.5)+1) +
 ((VALUE(tbl_CONTENT[[#This Row],[Comp]])-1)^(2.5)*4^(1-2.5)+1)*(0.5*((VALUE(tbl_CONTENT[[#This Row],[RelId]])-1)/4)^(2.5)+1),
 0
)</f>
        <v>0</v>
      </c>
    </row>
    <row r="250" spans="3:18" ht="68" x14ac:dyDescent="0.2">
      <c r="C250" s="22" t="str">
        <f>_xlfn.XLOOKUP(tbl_CONTENT[[#This Row],[TopicID]], tbl_TOPIC[TopicID], tbl_TOPIC[Subject], "")</f>
        <v>CM</v>
      </c>
      <c r="D250" s="22" t="str">
        <f xml:space="preserve"> tbl_CONTENT[[#This Row],[TopicID]] &amp; "-" &amp; TEXT(tbl_CONTENT[[#This Row],[TopicIDCount]], "00")</f>
        <v>CM-1-03-10</v>
      </c>
      <c r="F250" s="22" t="str">
        <f>_xlfn.XLOOKUP(tbl_CONTENT[[#This Row],[Topic]], tbl_TOPIC[Topic], tbl_TOPIC[TopicID], "")</f>
        <v>CM-1-03</v>
      </c>
      <c r="G250" s="22" cm="1">
        <f t="array" ref="G250">SUM((tbl_CONTENT[[#This Row],[TopicID]]=INDEX(tbl_CONTENT[TopicID],1):tbl_CONTENT[[#This Row],[TopicID]])*1)</f>
        <v>10</v>
      </c>
      <c r="H250" s="22" t="s">
        <v>464</v>
      </c>
      <c r="I250" s="22" t="s">
        <v>483</v>
      </c>
      <c r="J250" s="22" t="s">
        <v>148</v>
      </c>
      <c r="Q250" s="35">
        <f>IFERROR(
 (1.907*EXP(1)^(-0.5*tbl_CONTENT[[#This Row],[Layer]])) *
 ((tbl_CONTENT[[#This Row],[RelInt]]-1)^(2.5)*4^(1-2.5)+1) +
 ((tbl_CONTENT[[#This Row],[Comp]]-1)^(2.5)*4^(1-2.5)+1)*(0.5*((tbl_CONTENT[[#This Row],[RelInt]]-1)/4)^(2.5)+1),
 0
)</f>
        <v>0</v>
      </c>
      <c r="R250" s="35">
        <f>IFERROR(
 (1.907*EXP(1)^(-0.5*VALUE(tbl_CONTENT[[#This Row],[Layer]]))) *
 ((VALUE(tbl_CONTENT[[#This Row],[RelId]])-1)^(2.5)*4^(1-2.5)+1) +
 ((VALUE(tbl_CONTENT[[#This Row],[Comp]])-1)^(2.5)*4^(1-2.5)+1)*(0.5*((VALUE(tbl_CONTENT[[#This Row],[RelId]])-1)/4)^(2.5)+1),
 0
)</f>
        <v>0</v>
      </c>
    </row>
    <row r="251" spans="3:18" ht="34" x14ac:dyDescent="0.2">
      <c r="C251" s="22" t="str">
        <f>_xlfn.XLOOKUP(tbl_CONTENT[[#This Row],[TopicID]], tbl_TOPIC[TopicID], tbl_TOPIC[Subject], "")</f>
        <v>CM</v>
      </c>
      <c r="D251" s="22" t="str">
        <f xml:space="preserve"> tbl_CONTENT[[#This Row],[TopicID]] &amp; "-" &amp; TEXT(tbl_CONTENT[[#This Row],[TopicIDCount]], "00")</f>
        <v>CM-1-04-01</v>
      </c>
      <c r="F251" s="22" t="str">
        <f>_xlfn.XLOOKUP(tbl_CONTENT[[#This Row],[Topic]], tbl_TOPIC[Topic], tbl_TOPIC[TopicID], "")</f>
        <v>CM-1-04</v>
      </c>
      <c r="G251" s="22" cm="1">
        <f t="array" ref="G251">SUM((tbl_CONTENT[[#This Row],[TopicID]]=INDEX(tbl_CONTENT[TopicID],1):tbl_CONTENT[[#This Row],[TopicID]])*1)</f>
        <v>1</v>
      </c>
      <c r="H251" s="22" t="s">
        <v>465</v>
      </c>
      <c r="Q251" s="35">
        <f>IFERROR(
 (1.907*EXP(1)^(-0.5*tbl_CONTENT[[#This Row],[Layer]])) *
 ((tbl_CONTENT[[#This Row],[RelInt]]-1)^(2.5)*4^(1-2.5)+1) +
 ((tbl_CONTENT[[#This Row],[Comp]]-1)^(2.5)*4^(1-2.5)+1)*(0.5*((tbl_CONTENT[[#This Row],[RelInt]]-1)/4)^(2.5)+1),
 0
)</f>
        <v>0</v>
      </c>
      <c r="R251" s="35">
        <f>IFERROR(
 (1.907*EXP(1)^(-0.5*VALUE(tbl_CONTENT[[#This Row],[Layer]]))) *
 ((VALUE(tbl_CONTENT[[#This Row],[RelId]])-1)^(2.5)*4^(1-2.5)+1) +
 ((VALUE(tbl_CONTENT[[#This Row],[Comp]])-1)^(2.5)*4^(1-2.5)+1)*(0.5*((VALUE(tbl_CONTENT[[#This Row],[RelId]])-1)/4)^(2.5)+1),
 0
)</f>
        <v>0</v>
      </c>
    </row>
    <row r="252" spans="3:18" ht="34" x14ac:dyDescent="0.2">
      <c r="C252" s="22" t="str">
        <f>_xlfn.XLOOKUP(tbl_CONTENT[[#This Row],[TopicID]], tbl_TOPIC[TopicID], tbl_TOPIC[Subject], "")</f>
        <v>CM</v>
      </c>
      <c r="D252" s="22" t="str">
        <f xml:space="preserve"> tbl_CONTENT[[#This Row],[TopicID]] &amp; "-" &amp; TEXT(tbl_CONTENT[[#This Row],[TopicIDCount]], "00")</f>
        <v>CM-1-05-01</v>
      </c>
      <c r="F252" s="22" t="str">
        <f>_xlfn.XLOOKUP(tbl_CONTENT[[#This Row],[Topic]], tbl_TOPIC[Topic], tbl_TOPIC[TopicID], "")</f>
        <v>CM-1-05</v>
      </c>
      <c r="G252" s="22" cm="1">
        <f t="array" ref="G252">SUM((tbl_CONTENT[[#This Row],[TopicID]]=INDEX(tbl_CONTENT[TopicID],1):tbl_CONTENT[[#This Row],[TopicID]])*1)</f>
        <v>1</v>
      </c>
      <c r="H252" s="22" t="s">
        <v>484</v>
      </c>
      <c r="I252" s="22" t="s">
        <v>485</v>
      </c>
      <c r="J252" s="22" t="s">
        <v>382</v>
      </c>
      <c r="K252" s="22">
        <v>1</v>
      </c>
      <c r="Q252" s="35">
        <f>IFERROR(
 (1.907*EXP(1)^(-0.5*tbl_CONTENT[[#This Row],[Layer]])) *
 ((tbl_CONTENT[[#This Row],[RelInt]]-1)^(2.5)*4^(1-2.5)+1) +
 ((tbl_CONTENT[[#This Row],[Comp]]-1)^(2.5)*4^(1-2.5)+1)*(0.5*((tbl_CONTENT[[#This Row],[RelInt]]-1)/4)^(2.5)+1),
 0
)</f>
        <v>0</v>
      </c>
      <c r="R252" s="35">
        <f>IFERROR(
 (1.907*EXP(1)^(-0.5*VALUE(tbl_CONTENT[[#This Row],[Layer]]))) *
 ((VALUE(tbl_CONTENT[[#This Row],[RelId]])-1)^(2.5)*4^(1-2.5)+1) +
 ((VALUE(tbl_CONTENT[[#This Row],[Comp]])-1)^(2.5)*4^(1-2.5)+1)*(0.5*((VALUE(tbl_CONTENT[[#This Row],[RelId]])-1)/4)^(2.5)+1),
 0
)</f>
        <v>0</v>
      </c>
    </row>
    <row r="253" spans="3:18" ht="34" x14ac:dyDescent="0.2">
      <c r="C253" s="22" t="str">
        <f>_xlfn.XLOOKUP(tbl_CONTENT[[#This Row],[TopicID]], tbl_TOPIC[TopicID], tbl_TOPIC[Subject], "")</f>
        <v>CM</v>
      </c>
      <c r="D253" s="22" t="str">
        <f xml:space="preserve"> tbl_CONTENT[[#This Row],[TopicID]] &amp; "-" &amp; TEXT(tbl_CONTENT[[#This Row],[TopicIDCount]], "00")</f>
        <v>CM-1-05-02</v>
      </c>
      <c r="F253" s="22" t="str">
        <f>_xlfn.XLOOKUP(tbl_CONTENT[[#This Row],[Topic]], tbl_TOPIC[Topic], tbl_TOPIC[TopicID], "")</f>
        <v>CM-1-05</v>
      </c>
      <c r="G253" s="22" cm="1">
        <f t="array" ref="G253">SUM((tbl_CONTENT[[#This Row],[TopicID]]=INDEX(tbl_CONTENT[TopicID],1):tbl_CONTENT[[#This Row],[TopicID]])*1)</f>
        <v>2</v>
      </c>
      <c r="H253" s="22" t="s">
        <v>484</v>
      </c>
      <c r="I253" s="22" t="s">
        <v>486</v>
      </c>
      <c r="J253" s="22" t="s">
        <v>382</v>
      </c>
      <c r="K253" s="22">
        <v>1</v>
      </c>
      <c r="Q253" s="35">
        <f>IFERROR(
 (1.907*EXP(1)^(-0.5*tbl_CONTENT[[#This Row],[Layer]])) *
 ((tbl_CONTENT[[#This Row],[RelInt]]-1)^(2.5)*4^(1-2.5)+1) +
 ((tbl_CONTENT[[#This Row],[Comp]]-1)^(2.5)*4^(1-2.5)+1)*(0.5*((tbl_CONTENT[[#This Row],[RelInt]]-1)/4)^(2.5)+1),
 0
)</f>
        <v>0</v>
      </c>
      <c r="R253" s="35">
        <f>IFERROR(
 (1.907*EXP(1)^(-0.5*VALUE(tbl_CONTENT[[#This Row],[Layer]]))) *
 ((VALUE(tbl_CONTENT[[#This Row],[RelId]])-1)^(2.5)*4^(1-2.5)+1) +
 ((VALUE(tbl_CONTENT[[#This Row],[Comp]])-1)^(2.5)*4^(1-2.5)+1)*(0.5*((VALUE(tbl_CONTENT[[#This Row],[RelId]])-1)/4)^(2.5)+1),
 0
)</f>
        <v>0</v>
      </c>
    </row>
    <row r="254" spans="3:18" ht="34" x14ac:dyDescent="0.2">
      <c r="C254" s="22" t="str">
        <f>_xlfn.XLOOKUP(tbl_CONTENT[[#This Row],[TopicID]], tbl_TOPIC[TopicID], tbl_TOPIC[Subject], "")</f>
        <v>CM</v>
      </c>
      <c r="D254" s="22" t="str">
        <f xml:space="preserve"> tbl_CONTENT[[#This Row],[TopicID]] &amp; "-" &amp; TEXT(tbl_CONTENT[[#This Row],[TopicIDCount]], "00")</f>
        <v>CM-1-05-03</v>
      </c>
      <c r="F254" s="22" t="str">
        <f>_xlfn.XLOOKUP(tbl_CONTENT[[#This Row],[Topic]], tbl_TOPIC[Topic], tbl_TOPIC[TopicID], "")</f>
        <v>CM-1-05</v>
      </c>
      <c r="G254" s="22" cm="1">
        <f t="array" ref="G254">SUM((tbl_CONTENT[[#This Row],[TopicID]]=INDEX(tbl_CONTENT[TopicID],1):tbl_CONTENT[[#This Row],[TopicID]])*1)</f>
        <v>3</v>
      </c>
      <c r="H254" s="22" t="s">
        <v>484</v>
      </c>
      <c r="I254" s="22" t="s">
        <v>487</v>
      </c>
      <c r="J254" s="22" t="s">
        <v>153</v>
      </c>
      <c r="K254" s="22">
        <v>1</v>
      </c>
      <c r="Q254" s="35">
        <f>IFERROR(
 (1.907*EXP(1)^(-0.5*tbl_CONTENT[[#This Row],[Layer]])) *
 ((tbl_CONTENT[[#This Row],[RelInt]]-1)^(2.5)*4^(1-2.5)+1) +
 ((tbl_CONTENT[[#This Row],[Comp]]-1)^(2.5)*4^(1-2.5)+1)*(0.5*((tbl_CONTENT[[#This Row],[RelInt]]-1)/4)^(2.5)+1),
 0
)</f>
        <v>0</v>
      </c>
      <c r="R254" s="35">
        <f>IFERROR(
 (1.907*EXP(1)^(-0.5*VALUE(tbl_CONTENT[[#This Row],[Layer]]))) *
 ((VALUE(tbl_CONTENT[[#This Row],[RelId]])-1)^(2.5)*4^(1-2.5)+1) +
 ((VALUE(tbl_CONTENT[[#This Row],[Comp]])-1)^(2.5)*4^(1-2.5)+1)*(0.5*((VALUE(tbl_CONTENT[[#This Row],[RelId]])-1)/4)^(2.5)+1),
 0
)</f>
        <v>0</v>
      </c>
    </row>
    <row r="255" spans="3:18" ht="34" x14ac:dyDescent="0.2">
      <c r="C255" s="22" t="str">
        <f>_xlfn.XLOOKUP(tbl_CONTENT[[#This Row],[TopicID]], tbl_TOPIC[TopicID], tbl_TOPIC[Subject], "")</f>
        <v>CM</v>
      </c>
      <c r="D255" s="22" t="str">
        <f xml:space="preserve"> tbl_CONTENT[[#This Row],[TopicID]] &amp; "-" &amp; TEXT(tbl_CONTENT[[#This Row],[TopicIDCount]], "00")</f>
        <v>CM-1-05-04</v>
      </c>
      <c r="F255" s="22" t="str">
        <f>_xlfn.XLOOKUP(tbl_CONTENT[[#This Row],[Topic]], tbl_TOPIC[Topic], tbl_TOPIC[TopicID], "")</f>
        <v>CM-1-05</v>
      </c>
      <c r="G255" s="22" cm="1">
        <f t="array" ref="G255">SUM((tbl_CONTENT[[#This Row],[TopicID]]=INDEX(tbl_CONTENT[TopicID],1):tbl_CONTENT[[#This Row],[TopicID]])*1)</f>
        <v>4</v>
      </c>
      <c r="H255" s="22" t="s">
        <v>484</v>
      </c>
      <c r="I255" s="22" t="s">
        <v>488</v>
      </c>
      <c r="J255" s="22" t="s">
        <v>153</v>
      </c>
      <c r="K255" s="22">
        <v>1</v>
      </c>
      <c r="Q255" s="35">
        <f>IFERROR(
 (1.907*EXP(1)^(-0.5*tbl_CONTENT[[#This Row],[Layer]])) *
 ((tbl_CONTENT[[#This Row],[RelInt]]-1)^(2.5)*4^(1-2.5)+1) +
 ((tbl_CONTENT[[#This Row],[Comp]]-1)^(2.5)*4^(1-2.5)+1)*(0.5*((tbl_CONTENT[[#This Row],[RelInt]]-1)/4)^(2.5)+1),
 0
)</f>
        <v>0</v>
      </c>
      <c r="R255" s="35">
        <f>IFERROR(
 (1.907*EXP(1)^(-0.5*VALUE(tbl_CONTENT[[#This Row],[Layer]]))) *
 ((VALUE(tbl_CONTENT[[#This Row],[RelId]])-1)^(2.5)*4^(1-2.5)+1) +
 ((VALUE(tbl_CONTENT[[#This Row],[Comp]])-1)^(2.5)*4^(1-2.5)+1)*(0.5*((VALUE(tbl_CONTENT[[#This Row],[RelId]])-1)/4)^(2.5)+1),
 0
)</f>
        <v>0</v>
      </c>
    </row>
    <row r="256" spans="3:18" ht="51" x14ac:dyDescent="0.2">
      <c r="C256" s="22" t="str">
        <f>_xlfn.XLOOKUP(tbl_CONTENT[[#This Row],[TopicID]], tbl_TOPIC[TopicID], tbl_TOPIC[Subject], "")</f>
        <v>CM</v>
      </c>
      <c r="D256" s="22" t="str">
        <f xml:space="preserve"> tbl_CONTENT[[#This Row],[TopicID]] &amp; "-" &amp; TEXT(tbl_CONTENT[[#This Row],[TopicIDCount]], "00")</f>
        <v>CM-1-05-05</v>
      </c>
      <c r="F256" s="22" t="str">
        <f>_xlfn.XLOOKUP(tbl_CONTENT[[#This Row],[Topic]], tbl_TOPIC[Topic], tbl_TOPIC[TopicID], "")</f>
        <v>CM-1-05</v>
      </c>
      <c r="G256" s="22" cm="1">
        <f t="array" ref="G256">SUM((tbl_CONTENT[[#This Row],[TopicID]]=INDEX(tbl_CONTENT[TopicID],1):tbl_CONTENT[[#This Row],[TopicID]])*1)</f>
        <v>5</v>
      </c>
      <c r="H256" s="22" t="s">
        <v>484</v>
      </c>
      <c r="I256" s="22" t="s">
        <v>489</v>
      </c>
      <c r="J256" s="22" t="s">
        <v>382</v>
      </c>
      <c r="K256" s="22">
        <v>1</v>
      </c>
      <c r="Q256" s="35">
        <f>IFERROR(
 (1.907*EXP(1)^(-0.5*tbl_CONTENT[[#This Row],[Layer]])) *
 ((tbl_CONTENT[[#This Row],[RelInt]]-1)^(2.5)*4^(1-2.5)+1) +
 ((tbl_CONTENT[[#This Row],[Comp]]-1)^(2.5)*4^(1-2.5)+1)*(0.5*((tbl_CONTENT[[#This Row],[RelInt]]-1)/4)^(2.5)+1),
 0
)</f>
        <v>0</v>
      </c>
      <c r="R256" s="35">
        <f>IFERROR(
 (1.907*EXP(1)^(-0.5*VALUE(tbl_CONTENT[[#This Row],[Layer]]))) *
 ((VALUE(tbl_CONTENT[[#This Row],[RelId]])-1)^(2.5)*4^(1-2.5)+1) +
 ((VALUE(tbl_CONTENT[[#This Row],[Comp]])-1)^(2.5)*4^(1-2.5)+1)*(0.5*((VALUE(tbl_CONTENT[[#This Row],[RelId]])-1)/4)^(2.5)+1),
 0
)</f>
        <v>0</v>
      </c>
    </row>
    <row r="257" spans="3:18" ht="34" x14ac:dyDescent="0.2">
      <c r="C257" s="22" t="str">
        <f>_xlfn.XLOOKUP(tbl_CONTENT[[#This Row],[TopicID]], tbl_TOPIC[TopicID], tbl_TOPIC[Subject], "")</f>
        <v>CM</v>
      </c>
      <c r="D257" s="22" t="str">
        <f xml:space="preserve"> tbl_CONTENT[[#This Row],[TopicID]] &amp; "-" &amp; TEXT(tbl_CONTENT[[#This Row],[TopicIDCount]], "00")</f>
        <v>CM-1-05-06</v>
      </c>
      <c r="F257" s="22" t="str">
        <f>_xlfn.XLOOKUP(tbl_CONTENT[[#This Row],[Topic]], tbl_TOPIC[Topic], tbl_TOPIC[TopicID], "")</f>
        <v>CM-1-05</v>
      </c>
      <c r="G257" s="22" cm="1">
        <f t="array" ref="G257">SUM((tbl_CONTENT[[#This Row],[TopicID]]=INDEX(tbl_CONTENT[TopicID],1):tbl_CONTENT[[#This Row],[TopicID]])*1)</f>
        <v>6</v>
      </c>
      <c r="H257" s="22" t="s">
        <v>484</v>
      </c>
      <c r="I257" s="22" t="s">
        <v>490</v>
      </c>
      <c r="J257" s="22" t="s">
        <v>382</v>
      </c>
      <c r="K257" s="22">
        <v>1</v>
      </c>
      <c r="Q257" s="35">
        <f>IFERROR(
 (1.907*EXP(1)^(-0.5*tbl_CONTENT[[#This Row],[Layer]])) *
 ((tbl_CONTENT[[#This Row],[RelInt]]-1)^(2.5)*4^(1-2.5)+1) +
 ((tbl_CONTENT[[#This Row],[Comp]]-1)^(2.5)*4^(1-2.5)+1)*(0.5*((tbl_CONTENT[[#This Row],[RelInt]]-1)/4)^(2.5)+1),
 0
)</f>
        <v>0</v>
      </c>
      <c r="R257" s="35">
        <f>IFERROR(
 (1.907*EXP(1)^(-0.5*VALUE(tbl_CONTENT[[#This Row],[Layer]]))) *
 ((VALUE(tbl_CONTENT[[#This Row],[RelId]])-1)^(2.5)*4^(1-2.5)+1) +
 ((VALUE(tbl_CONTENT[[#This Row],[Comp]])-1)^(2.5)*4^(1-2.5)+1)*(0.5*((VALUE(tbl_CONTENT[[#This Row],[RelId]])-1)/4)^(2.5)+1),
 0
)</f>
        <v>0</v>
      </c>
    </row>
    <row r="258" spans="3:18" ht="17" x14ac:dyDescent="0.2">
      <c r="C258" s="22" t="str">
        <f>_xlfn.XLOOKUP(tbl_CONTENT[[#This Row],[TopicID]], tbl_TOPIC[TopicID], tbl_TOPIC[Subject], "")</f>
        <v>CM</v>
      </c>
      <c r="D258" s="22" t="str">
        <f xml:space="preserve"> tbl_CONTENT[[#This Row],[TopicID]] &amp; "-" &amp; TEXT(tbl_CONTENT[[#This Row],[TopicIDCount]], "00")</f>
        <v>CM-1-07-01</v>
      </c>
      <c r="F258" s="22" t="str">
        <f>_xlfn.XLOOKUP(tbl_CONTENT[[#This Row],[Topic]], tbl_TOPIC[Topic], tbl_TOPIC[TopicID], "")</f>
        <v>CM-1-07</v>
      </c>
      <c r="G258" s="22" cm="1">
        <f t="array" ref="G258">SUM((tbl_CONTENT[[#This Row],[TopicID]]=INDEX(tbl_CONTENT[TopicID],1):tbl_CONTENT[[#This Row],[TopicID]])*1)</f>
        <v>1</v>
      </c>
      <c r="H258" s="22" t="s">
        <v>492</v>
      </c>
      <c r="I258" s="22" t="s">
        <v>493</v>
      </c>
      <c r="J258" s="22" t="s">
        <v>494</v>
      </c>
      <c r="Q258" s="35">
        <f>IFERROR(
 (1.907*EXP(1)^(-0.5*tbl_CONTENT[[#This Row],[Layer]])) *
 ((tbl_CONTENT[[#This Row],[RelInt]]-1)^(2.5)*4^(1-2.5)+1) +
 ((tbl_CONTENT[[#This Row],[Comp]]-1)^(2.5)*4^(1-2.5)+1)*(0.5*((tbl_CONTENT[[#This Row],[RelInt]]-1)/4)^(2.5)+1),
 0
)</f>
        <v>0</v>
      </c>
      <c r="R258" s="35">
        <f>IFERROR(
 (1.907*EXP(1)^(-0.5*VALUE(tbl_CONTENT[[#This Row],[Layer]]))) *
 ((VALUE(tbl_CONTENT[[#This Row],[RelId]])-1)^(2.5)*4^(1-2.5)+1) +
 ((VALUE(tbl_CONTENT[[#This Row],[Comp]])-1)^(2.5)*4^(1-2.5)+1)*(0.5*((VALUE(tbl_CONTENT[[#This Row],[RelId]])-1)/4)^(2.5)+1),
 0
)</f>
        <v>0</v>
      </c>
    </row>
    <row r="259" spans="3:18" ht="34" x14ac:dyDescent="0.2">
      <c r="C259" s="22" t="str">
        <f>_xlfn.XLOOKUP(tbl_CONTENT[[#This Row],[TopicID]], tbl_TOPIC[TopicID], tbl_TOPIC[Subject], "")</f>
        <v>CM</v>
      </c>
      <c r="D259" s="22" t="str">
        <f xml:space="preserve"> tbl_CONTENT[[#This Row],[TopicID]] &amp; "-" &amp; TEXT(tbl_CONTENT[[#This Row],[TopicIDCount]], "00")</f>
        <v>CM-1-07-02</v>
      </c>
      <c r="F259" s="22" t="str">
        <f>_xlfn.XLOOKUP(tbl_CONTENT[[#This Row],[Topic]], tbl_TOPIC[Topic], tbl_TOPIC[TopicID], "")</f>
        <v>CM-1-07</v>
      </c>
      <c r="G259" s="22" cm="1">
        <f t="array" ref="G259">SUM((tbl_CONTENT[[#This Row],[TopicID]]=INDEX(tbl_CONTENT[TopicID],1):tbl_CONTENT[[#This Row],[TopicID]])*1)</f>
        <v>2</v>
      </c>
      <c r="H259" s="22" t="s">
        <v>492</v>
      </c>
      <c r="I259" s="22" t="s">
        <v>495</v>
      </c>
      <c r="J259" s="22" t="s">
        <v>494</v>
      </c>
      <c r="Q259" s="35">
        <f>IFERROR(
 (1.907*EXP(1)^(-0.5*tbl_CONTENT[[#This Row],[Layer]])) *
 ((tbl_CONTENT[[#This Row],[RelInt]]-1)^(2.5)*4^(1-2.5)+1) +
 ((tbl_CONTENT[[#This Row],[Comp]]-1)^(2.5)*4^(1-2.5)+1)*(0.5*((tbl_CONTENT[[#This Row],[RelInt]]-1)/4)^(2.5)+1),
 0
)</f>
        <v>0</v>
      </c>
      <c r="R259" s="35">
        <f>IFERROR(
 (1.907*EXP(1)^(-0.5*VALUE(tbl_CONTENT[[#This Row],[Layer]]))) *
 ((VALUE(tbl_CONTENT[[#This Row],[RelId]])-1)^(2.5)*4^(1-2.5)+1) +
 ((VALUE(tbl_CONTENT[[#This Row],[Comp]])-1)^(2.5)*4^(1-2.5)+1)*(0.5*((VALUE(tbl_CONTENT[[#This Row],[RelId]])-1)/4)^(2.5)+1),
 0
)</f>
        <v>0</v>
      </c>
    </row>
    <row r="260" spans="3:18" ht="34" x14ac:dyDescent="0.2">
      <c r="C260" s="22" t="str">
        <f>_xlfn.XLOOKUP(tbl_CONTENT[[#This Row],[TopicID]], tbl_TOPIC[TopicID], tbl_TOPIC[Subject], "")</f>
        <v>CM</v>
      </c>
      <c r="D260" s="22" t="str">
        <f xml:space="preserve"> tbl_CONTENT[[#This Row],[TopicID]] &amp; "-" &amp; TEXT(tbl_CONTENT[[#This Row],[TopicIDCount]], "00")</f>
        <v>CM-1-07-03</v>
      </c>
      <c r="F260" s="22" t="str">
        <f>_xlfn.XLOOKUP(tbl_CONTENT[[#This Row],[Topic]], tbl_TOPIC[Topic], tbl_TOPIC[TopicID], "")</f>
        <v>CM-1-07</v>
      </c>
      <c r="G260" s="22" cm="1">
        <f t="array" ref="G260">SUM((tbl_CONTENT[[#This Row],[TopicID]]=INDEX(tbl_CONTENT[TopicID],1):tbl_CONTENT[[#This Row],[TopicID]])*1)</f>
        <v>3</v>
      </c>
      <c r="H260" s="22" t="s">
        <v>492</v>
      </c>
      <c r="I260" s="22" t="s">
        <v>1587</v>
      </c>
      <c r="J260" s="22" t="s">
        <v>494</v>
      </c>
      <c r="Q260" s="35">
        <f>IFERROR(
 (1.907*EXP(1)^(-0.5*tbl_CONTENT[[#This Row],[Layer]])) *
 ((tbl_CONTENT[[#This Row],[RelInt]]-1)^(2.5)*4^(1-2.5)+1) +
 ((tbl_CONTENT[[#This Row],[Comp]]-1)^(2.5)*4^(1-2.5)+1)*(0.5*((tbl_CONTENT[[#This Row],[RelInt]]-1)/4)^(2.5)+1),
 0
)</f>
        <v>0</v>
      </c>
      <c r="R260" s="35">
        <f>IFERROR(
 (1.907*EXP(1)^(-0.5*VALUE(tbl_CONTENT[[#This Row],[Layer]]))) *
 ((VALUE(tbl_CONTENT[[#This Row],[RelId]])-1)^(2.5)*4^(1-2.5)+1) +
 ((VALUE(tbl_CONTENT[[#This Row],[Comp]])-1)^(2.5)*4^(1-2.5)+1)*(0.5*((VALUE(tbl_CONTENT[[#This Row],[RelId]])-1)/4)^(2.5)+1),
 0
)</f>
        <v>0</v>
      </c>
    </row>
    <row r="261" spans="3:18" ht="34" x14ac:dyDescent="0.2">
      <c r="C261" s="22" t="str">
        <f>_xlfn.XLOOKUP(tbl_CONTENT[[#This Row],[TopicID]], tbl_TOPIC[TopicID], tbl_TOPIC[Subject], "")</f>
        <v>CM</v>
      </c>
      <c r="D261" s="22" t="str">
        <f xml:space="preserve"> tbl_CONTENT[[#This Row],[TopicID]] &amp; "-" &amp; TEXT(tbl_CONTENT[[#This Row],[TopicIDCount]], "00")</f>
        <v>CM-1-07-04</v>
      </c>
      <c r="F261" s="22" t="str">
        <f>_xlfn.XLOOKUP(tbl_CONTENT[[#This Row],[Topic]], tbl_TOPIC[Topic], tbl_TOPIC[TopicID], "")</f>
        <v>CM-1-07</v>
      </c>
      <c r="G261" s="22" cm="1">
        <f t="array" ref="G261">SUM((tbl_CONTENT[[#This Row],[TopicID]]=INDEX(tbl_CONTENT[TopicID],1):tbl_CONTENT[[#This Row],[TopicID]])*1)</f>
        <v>4</v>
      </c>
      <c r="H261" s="22" t="s">
        <v>492</v>
      </c>
      <c r="I261" s="22" t="s">
        <v>496</v>
      </c>
      <c r="J261" s="22" t="s">
        <v>494</v>
      </c>
      <c r="Q261" s="35">
        <f>IFERROR(
 (1.907*EXP(1)^(-0.5*tbl_CONTENT[[#This Row],[Layer]])) *
 ((tbl_CONTENT[[#This Row],[RelInt]]-1)^(2.5)*4^(1-2.5)+1) +
 ((tbl_CONTENT[[#This Row],[Comp]]-1)^(2.5)*4^(1-2.5)+1)*(0.5*((tbl_CONTENT[[#This Row],[RelInt]]-1)/4)^(2.5)+1),
 0
)</f>
        <v>0</v>
      </c>
      <c r="R261" s="35">
        <f>IFERROR(
 (1.907*EXP(1)^(-0.5*VALUE(tbl_CONTENT[[#This Row],[Layer]]))) *
 ((VALUE(tbl_CONTENT[[#This Row],[RelId]])-1)^(2.5)*4^(1-2.5)+1) +
 ((VALUE(tbl_CONTENT[[#This Row],[Comp]])-1)^(2.5)*4^(1-2.5)+1)*(0.5*((VALUE(tbl_CONTENT[[#This Row],[RelId]])-1)/4)^(2.5)+1),
 0
)</f>
        <v>0</v>
      </c>
    </row>
    <row r="262" spans="3:18" ht="34" x14ac:dyDescent="0.2">
      <c r="C262" s="22" t="str">
        <f>_xlfn.XLOOKUP(tbl_CONTENT[[#This Row],[TopicID]], tbl_TOPIC[TopicID], tbl_TOPIC[Subject], "")</f>
        <v>RG</v>
      </c>
      <c r="D262" s="22" t="str">
        <f xml:space="preserve"> tbl_CONTENT[[#This Row],[TopicID]] &amp; "-" &amp; TEXT(tbl_CONTENT[[#This Row],[TopicIDCount]], "00")</f>
        <v>RG-1-02-01</v>
      </c>
      <c r="F262" s="22" t="str">
        <f>_xlfn.XLOOKUP(tbl_CONTENT[[#This Row],[Topic]], tbl_TOPIC[Topic], tbl_TOPIC[TopicID], "")</f>
        <v>RG-1-02</v>
      </c>
      <c r="G262" s="22" cm="1">
        <f t="array" ref="G262">SUM((tbl_CONTENT[[#This Row],[TopicID]]=INDEX(tbl_CONTENT[TopicID],1):tbl_CONTENT[[#This Row],[TopicID]])*1)</f>
        <v>1</v>
      </c>
      <c r="H262" s="22" t="s">
        <v>499</v>
      </c>
      <c r="I262" s="22" t="s">
        <v>511</v>
      </c>
      <c r="J262" s="22" t="s">
        <v>153</v>
      </c>
      <c r="Q262" s="35">
        <f>IFERROR(
 (1.907*EXP(1)^(-0.5*tbl_CONTENT[[#This Row],[Layer]])) *
 ((tbl_CONTENT[[#This Row],[RelInt]]-1)^(2.5)*4^(1-2.5)+1) +
 ((tbl_CONTENT[[#This Row],[Comp]]-1)^(2.5)*4^(1-2.5)+1)*(0.5*((tbl_CONTENT[[#This Row],[RelInt]]-1)/4)^(2.5)+1),
 0
)</f>
        <v>0</v>
      </c>
      <c r="R262" s="35">
        <f>IFERROR(
 (1.907*EXP(1)^(-0.5*VALUE(tbl_CONTENT[[#This Row],[Layer]]))) *
 ((VALUE(tbl_CONTENT[[#This Row],[RelId]])-1)^(2.5)*4^(1-2.5)+1) +
 ((VALUE(tbl_CONTENT[[#This Row],[Comp]])-1)^(2.5)*4^(1-2.5)+1)*(0.5*((VALUE(tbl_CONTENT[[#This Row],[RelId]])-1)/4)^(2.5)+1),
 0
)</f>
        <v>0</v>
      </c>
    </row>
    <row r="263" spans="3:18" ht="34" x14ac:dyDescent="0.2">
      <c r="C263" s="22" t="str">
        <f>_xlfn.XLOOKUP(tbl_CONTENT[[#This Row],[TopicID]], tbl_TOPIC[TopicID], tbl_TOPIC[Subject], "")</f>
        <v>RG</v>
      </c>
      <c r="D263" s="22" t="str">
        <f xml:space="preserve"> tbl_CONTENT[[#This Row],[TopicID]] &amp; "-" &amp; TEXT(tbl_CONTENT[[#This Row],[TopicIDCount]], "00")</f>
        <v>RG-1-02-02</v>
      </c>
      <c r="F263" s="22" t="str">
        <f>_xlfn.XLOOKUP(tbl_CONTENT[[#This Row],[Topic]], tbl_TOPIC[Topic], tbl_TOPIC[TopicID], "")</f>
        <v>RG-1-02</v>
      </c>
      <c r="G263" s="22" cm="1">
        <f t="array" ref="G263">SUM((tbl_CONTENT[[#This Row],[TopicID]]=INDEX(tbl_CONTENT[TopicID],1):tbl_CONTENT[[#This Row],[TopicID]])*1)</f>
        <v>2</v>
      </c>
      <c r="H263" s="22" t="s">
        <v>499</v>
      </c>
      <c r="I263" s="22" t="s">
        <v>512</v>
      </c>
      <c r="J263" s="22" t="s">
        <v>181</v>
      </c>
      <c r="Q263" s="35">
        <f>IFERROR(
 (1.907*EXP(1)^(-0.5*tbl_CONTENT[[#This Row],[Layer]])) *
 ((tbl_CONTENT[[#This Row],[RelInt]]-1)^(2.5)*4^(1-2.5)+1) +
 ((tbl_CONTENT[[#This Row],[Comp]]-1)^(2.5)*4^(1-2.5)+1)*(0.5*((tbl_CONTENT[[#This Row],[RelInt]]-1)/4)^(2.5)+1),
 0
)</f>
        <v>0</v>
      </c>
      <c r="R263" s="35">
        <f>IFERROR(
 (1.907*EXP(1)^(-0.5*VALUE(tbl_CONTENT[[#This Row],[Layer]]))) *
 ((VALUE(tbl_CONTENT[[#This Row],[RelId]])-1)^(2.5)*4^(1-2.5)+1) +
 ((VALUE(tbl_CONTENT[[#This Row],[Comp]])-1)^(2.5)*4^(1-2.5)+1)*(0.5*((VALUE(tbl_CONTENT[[#This Row],[RelId]])-1)/4)^(2.5)+1),
 0
)</f>
        <v>0</v>
      </c>
    </row>
    <row r="264" spans="3:18" ht="34" x14ac:dyDescent="0.2">
      <c r="C264" s="22" t="str">
        <f>_xlfn.XLOOKUP(tbl_CONTENT[[#This Row],[TopicID]], tbl_TOPIC[TopicID], tbl_TOPIC[Subject], "")</f>
        <v>RG</v>
      </c>
      <c r="D264" s="22" t="str">
        <f xml:space="preserve"> tbl_CONTENT[[#This Row],[TopicID]] &amp; "-" &amp; TEXT(tbl_CONTENT[[#This Row],[TopicIDCount]], "00")</f>
        <v>RG-1-02-03</v>
      </c>
      <c r="F264" s="22" t="str">
        <f>_xlfn.XLOOKUP(tbl_CONTENT[[#This Row],[Topic]], tbl_TOPIC[Topic], tbl_TOPIC[TopicID], "")</f>
        <v>RG-1-02</v>
      </c>
      <c r="G264" s="22" cm="1">
        <f t="array" ref="G264">SUM((tbl_CONTENT[[#This Row],[TopicID]]=INDEX(tbl_CONTENT[TopicID],1):tbl_CONTENT[[#This Row],[TopicID]])*1)</f>
        <v>3</v>
      </c>
      <c r="H264" s="22" t="s">
        <v>499</v>
      </c>
      <c r="I264" s="22" t="s">
        <v>513</v>
      </c>
      <c r="J264" s="22" t="s">
        <v>181</v>
      </c>
      <c r="Q264" s="35">
        <f>IFERROR(
 (1.907*EXP(1)^(-0.5*tbl_CONTENT[[#This Row],[Layer]])) *
 ((tbl_CONTENT[[#This Row],[RelInt]]-1)^(2.5)*4^(1-2.5)+1) +
 ((tbl_CONTENT[[#This Row],[Comp]]-1)^(2.5)*4^(1-2.5)+1)*(0.5*((tbl_CONTENT[[#This Row],[RelInt]]-1)/4)^(2.5)+1),
 0
)</f>
        <v>0</v>
      </c>
      <c r="R264" s="35">
        <f>IFERROR(
 (1.907*EXP(1)^(-0.5*VALUE(tbl_CONTENT[[#This Row],[Layer]]))) *
 ((VALUE(tbl_CONTENT[[#This Row],[RelId]])-1)^(2.5)*4^(1-2.5)+1) +
 ((VALUE(tbl_CONTENT[[#This Row],[Comp]])-1)^(2.5)*4^(1-2.5)+1)*(0.5*((VALUE(tbl_CONTENT[[#This Row],[RelId]])-1)/4)^(2.5)+1),
 0
)</f>
        <v>0</v>
      </c>
    </row>
    <row r="265" spans="3:18" ht="34" x14ac:dyDescent="0.2">
      <c r="C265" s="22" t="str">
        <f>_xlfn.XLOOKUP(tbl_CONTENT[[#This Row],[TopicID]], tbl_TOPIC[TopicID], tbl_TOPIC[Subject], "")</f>
        <v>RG</v>
      </c>
      <c r="D265" s="22" t="str">
        <f xml:space="preserve"> tbl_CONTENT[[#This Row],[TopicID]] &amp; "-" &amp; TEXT(tbl_CONTENT[[#This Row],[TopicIDCount]], "00")</f>
        <v>RG-1-02-04</v>
      </c>
      <c r="F265" s="22" t="str">
        <f>_xlfn.XLOOKUP(tbl_CONTENT[[#This Row],[Topic]], tbl_TOPIC[Topic], tbl_TOPIC[TopicID], "")</f>
        <v>RG-1-02</v>
      </c>
      <c r="G265" s="22" cm="1">
        <f t="array" ref="G265">SUM((tbl_CONTENT[[#This Row],[TopicID]]=INDEX(tbl_CONTENT[TopicID],1):tbl_CONTENT[[#This Row],[TopicID]])*1)</f>
        <v>4</v>
      </c>
      <c r="H265" s="22" t="s">
        <v>499</v>
      </c>
      <c r="I265" s="22" t="s">
        <v>514</v>
      </c>
      <c r="J265" s="22" t="s">
        <v>181</v>
      </c>
      <c r="Q265" s="35">
        <f>IFERROR(
 (1.907*EXP(1)^(-0.5*tbl_CONTENT[[#This Row],[Layer]])) *
 ((tbl_CONTENT[[#This Row],[RelInt]]-1)^(2.5)*4^(1-2.5)+1) +
 ((tbl_CONTENT[[#This Row],[Comp]]-1)^(2.5)*4^(1-2.5)+1)*(0.5*((tbl_CONTENT[[#This Row],[RelInt]]-1)/4)^(2.5)+1),
 0
)</f>
        <v>0</v>
      </c>
      <c r="R265" s="35">
        <f>IFERROR(
 (1.907*EXP(1)^(-0.5*VALUE(tbl_CONTENT[[#This Row],[Layer]]))) *
 ((VALUE(tbl_CONTENT[[#This Row],[RelId]])-1)^(2.5)*4^(1-2.5)+1) +
 ((VALUE(tbl_CONTENT[[#This Row],[Comp]])-1)^(2.5)*4^(1-2.5)+1)*(0.5*((VALUE(tbl_CONTENT[[#This Row],[RelId]])-1)/4)^(2.5)+1),
 0
)</f>
        <v>0</v>
      </c>
    </row>
    <row r="266" spans="3:18" ht="34" x14ac:dyDescent="0.2">
      <c r="C266" s="22" t="str">
        <f>_xlfn.XLOOKUP(tbl_CONTENT[[#This Row],[TopicID]], tbl_TOPIC[TopicID], tbl_TOPIC[Subject], "")</f>
        <v>RG</v>
      </c>
      <c r="D266" s="22" t="str">
        <f xml:space="preserve"> tbl_CONTENT[[#This Row],[TopicID]] &amp; "-" &amp; TEXT(tbl_CONTENT[[#This Row],[TopicIDCount]], "00")</f>
        <v>RG-1-02-05</v>
      </c>
      <c r="F266" s="22" t="str">
        <f>_xlfn.XLOOKUP(tbl_CONTENT[[#This Row],[Topic]], tbl_TOPIC[Topic], tbl_TOPIC[TopicID], "")</f>
        <v>RG-1-02</v>
      </c>
      <c r="G266" s="22" cm="1">
        <f t="array" ref="G266">SUM((tbl_CONTENT[[#This Row],[TopicID]]=INDEX(tbl_CONTENT[TopicID],1):tbl_CONTENT[[#This Row],[TopicID]])*1)</f>
        <v>5</v>
      </c>
      <c r="H266" s="22" t="s">
        <v>499</v>
      </c>
      <c r="I266" s="22" t="s">
        <v>1641</v>
      </c>
      <c r="J266" s="22" t="s">
        <v>181</v>
      </c>
      <c r="Q266" s="35">
        <f>IFERROR(
 (1.907*EXP(1)^(-0.5*tbl_CONTENT[[#This Row],[Layer]])) *
 ((tbl_CONTENT[[#This Row],[RelInt]]-1)^(2.5)*4^(1-2.5)+1) +
 ((tbl_CONTENT[[#This Row],[Comp]]-1)^(2.5)*4^(1-2.5)+1)*(0.5*((tbl_CONTENT[[#This Row],[RelInt]]-1)/4)^(2.5)+1),
 0
)</f>
        <v>0</v>
      </c>
      <c r="R266" s="35">
        <f>IFERROR(
 (1.907*EXP(1)^(-0.5*VALUE(tbl_CONTENT[[#This Row],[Layer]]))) *
 ((VALUE(tbl_CONTENT[[#This Row],[RelId]])-1)^(2.5)*4^(1-2.5)+1) +
 ((VALUE(tbl_CONTENT[[#This Row],[Comp]])-1)^(2.5)*4^(1-2.5)+1)*(0.5*((VALUE(tbl_CONTENT[[#This Row],[RelId]])-1)/4)^(2.5)+1),
 0
)</f>
        <v>0</v>
      </c>
    </row>
    <row r="267" spans="3:18" ht="51" x14ac:dyDescent="0.2">
      <c r="C267" s="22" t="str">
        <f>_xlfn.XLOOKUP(tbl_CONTENT[[#This Row],[TopicID]], tbl_TOPIC[TopicID], tbl_TOPIC[Subject], "")</f>
        <v>RG</v>
      </c>
      <c r="D267" s="22" t="str">
        <f xml:space="preserve"> tbl_CONTENT[[#This Row],[TopicID]] &amp; "-" &amp; TEXT(tbl_CONTENT[[#This Row],[TopicIDCount]], "00")</f>
        <v>RG-1-02-06</v>
      </c>
      <c r="F267" s="22" t="str">
        <f>_xlfn.XLOOKUP(tbl_CONTENT[[#This Row],[Topic]], tbl_TOPIC[Topic], tbl_TOPIC[TopicID], "")</f>
        <v>RG-1-02</v>
      </c>
      <c r="G267" s="22" cm="1">
        <f t="array" ref="G267">SUM((tbl_CONTENT[[#This Row],[TopicID]]=INDEX(tbl_CONTENT[TopicID],1):tbl_CONTENT[[#This Row],[TopicID]])*1)</f>
        <v>6</v>
      </c>
      <c r="H267" s="22" t="s">
        <v>499</v>
      </c>
      <c r="I267" s="22" t="s">
        <v>515</v>
      </c>
      <c r="J267" s="22" t="s">
        <v>152</v>
      </c>
      <c r="Q267" s="35">
        <f>IFERROR(
 (1.907*EXP(1)^(-0.5*tbl_CONTENT[[#This Row],[Layer]])) *
 ((tbl_CONTENT[[#This Row],[RelInt]]-1)^(2.5)*4^(1-2.5)+1) +
 ((tbl_CONTENT[[#This Row],[Comp]]-1)^(2.5)*4^(1-2.5)+1)*(0.5*((tbl_CONTENT[[#This Row],[RelInt]]-1)/4)^(2.5)+1),
 0
)</f>
        <v>0</v>
      </c>
      <c r="R267" s="35">
        <f>IFERROR(
 (1.907*EXP(1)^(-0.5*VALUE(tbl_CONTENT[[#This Row],[Layer]]))) *
 ((VALUE(tbl_CONTENT[[#This Row],[RelId]])-1)^(2.5)*4^(1-2.5)+1) +
 ((VALUE(tbl_CONTENT[[#This Row],[Comp]])-1)^(2.5)*4^(1-2.5)+1)*(0.5*((VALUE(tbl_CONTENT[[#This Row],[RelId]])-1)/4)^(2.5)+1),
 0
)</f>
        <v>0</v>
      </c>
    </row>
    <row r="268" spans="3:18" ht="34" x14ac:dyDescent="0.2">
      <c r="C268" s="22" t="str">
        <f>_xlfn.XLOOKUP(tbl_CONTENT[[#This Row],[TopicID]], tbl_TOPIC[TopicID], tbl_TOPIC[Subject], "")</f>
        <v>RG</v>
      </c>
      <c r="D268" s="22" t="str">
        <f xml:space="preserve"> tbl_CONTENT[[#This Row],[TopicID]] &amp; "-" &amp; TEXT(tbl_CONTENT[[#This Row],[TopicIDCount]], "00")</f>
        <v>RG-1-02-07</v>
      </c>
      <c r="F268" s="22" t="str">
        <f>_xlfn.XLOOKUP(tbl_CONTENT[[#This Row],[Topic]], tbl_TOPIC[Topic], tbl_TOPIC[TopicID], "")</f>
        <v>RG-1-02</v>
      </c>
      <c r="G268" s="22" cm="1">
        <f t="array" ref="G268">SUM((tbl_CONTENT[[#This Row],[TopicID]]=INDEX(tbl_CONTENT[TopicID],1):tbl_CONTENT[[#This Row],[TopicID]])*1)</f>
        <v>7</v>
      </c>
      <c r="H268" s="22" t="s">
        <v>499</v>
      </c>
      <c r="I268" s="22" t="s">
        <v>483</v>
      </c>
      <c r="J268" s="22" t="s">
        <v>148</v>
      </c>
      <c r="Q268" s="35">
        <f>IFERROR(
 (1.907*EXP(1)^(-0.5*tbl_CONTENT[[#This Row],[Layer]])) *
 ((tbl_CONTENT[[#This Row],[RelInt]]-1)^(2.5)*4^(1-2.5)+1) +
 ((tbl_CONTENT[[#This Row],[Comp]]-1)^(2.5)*4^(1-2.5)+1)*(0.5*((tbl_CONTENT[[#This Row],[RelInt]]-1)/4)^(2.5)+1),
 0
)</f>
        <v>0</v>
      </c>
      <c r="R268" s="35">
        <f>IFERROR(
 (1.907*EXP(1)^(-0.5*VALUE(tbl_CONTENT[[#This Row],[Layer]]))) *
 ((VALUE(tbl_CONTENT[[#This Row],[RelId]])-1)^(2.5)*4^(1-2.5)+1) +
 ((VALUE(tbl_CONTENT[[#This Row],[Comp]])-1)^(2.5)*4^(1-2.5)+1)*(0.5*((VALUE(tbl_CONTENT[[#This Row],[RelId]])-1)/4)^(2.5)+1),
 0
)</f>
        <v>0</v>
      </c>
    </row>
    <row r="269" spans="3:18" ht="34" x14ac:dyDescent="0.2">
      <c r="C269" s="22" t="str">
        <f>_xlfn.XLOOKUP(tbl_CONTENT[[#This Row],[TopicID]], tbl_TOPIC[TopicID], tbl_TOPIC[Subject], "")</f>
        <v>RG</v>
      </c>
      <c r="D269" s="22" t="str">
        <f xml:space="preserve"> tbl_CONTENT[[#This Row],[TopicID]] &amp; "-" &amp; TEXT(tbl_CONTENT[[#This Row],[TopicIDCount]], "00")</f>
        <v>RG-1-03-01</v>
      </c>
      <c r="F269" s="22" t="str">
        <f>_xlfn.XLOOKUP(tbl_CONTENT[[#This Row],[Topic]], tbl_TOPIC[Topic], tbl_TOPIC[TopicID], "")</f>
        <v>RG-1-03</v>
      </c>
      <c r="G269" s="22" cm="1">
        <f t="array" ref="G269">SUM((tbl_CONTENT[[#This Row],[TopicID]]=INDEX(tbl_CONTENT[TopicID],1):tbl_CONTENT[[#This Row],[TopicID]])*1)</f>
        <v>1</v>
      </c>
      <c r="H269" s="22" t="s">
        <v>500</v>
      </c>
      <c r="I269" s="22" t="s">
        <v>518</v>
      </c>
      <c r="J269" s="22" t="s">
        <v>153</v>
      </c>
      <c r="Q269" s="35">
        <f>IFERROR(
 (1.907*EXP(1)^(-0.5*tbl_CONTENT[[#This Row],[Layer]])) *
 ((tbl_CONTENT[[#This Row],[RelInt]]-1)^(2.5)*4^(1-2.5)+1) +
 ((tbl_CONTENT[[#This Row],[Comp]]-1)^(2.5)*4^(1-2.5)+1)*(0.5*((tbl_CONTENT[[#This Row],[RelInt]]-1)/4)^(2.5)+1),
 0
)</f>
        <v>0</v>
      </c>
      <c r="R269" s="35">
        <f>IFERROR(
 (1.907*EXP(1)^(-0.5*VALUE(tbl_CONTENT[[#This Row],[Layer]]))) *
 ((VALUE(tbl_CONTENT[[#This Row],[RelId]])-1)^(2.5)*4^(1-2.5)+1) +
 ((VALUE(tbl_CONTENT[[#This Row],[Comp]])-1)^(2.5)*4^(1-2.5)+1)*(0.5*((VALUE(tbl_CONTENT[[#This Row],[RelId]])-1)/4)^(2.5)+1),
 0
)</f>
        <v>0</v>
      </c>
    </row>
    <row r="270" spans="3:18" ht="17" x14ac:dyDescent="0.2">
      <c r="C270" s="22" t="str">
        <f>_xlfn.XLOOKUP(tbl_CONTENT[[#This Row],[TopicID]], tbl_TOPIC[TopicID], tbl_TOPIC[Subject], "")</f>
        <v>RG</v>
      </c>
      <c r="D270" s="22" t="str">
        <f xml:space="preserve"> tbl_CONTENT[[#This Row],[TopicID]] &amp; "-" &amp; TEXT(tbl_CONTENT[[#This Row],[TopicIDCount]], "00")</f>
        <v>RG-1-03-02</v>
      </c>
      <c r="F270" s="22" t="str">
        <f>_xlfn.XLOOKUP(tbl_CONTENT[[#This Row],[Topic]], tbl_TOPIC[Topic], tbl_TOPIC[TopicID], "")</f>
        <v>RG-1-03</v>
      </c>
      <c r="G270" s="22" cm="1">
        <f t="array" ref="G270">SUM((tbl_CONTENT[[#This Row],[TopicID]]=INDEX(tbl_CONTENT[TopicID],1):tbl_CONTENT[[#This Row],[TopicID]])*1)</f>
        <v>2</v>
      </c>
      <c r="H270" s="22" t="s">
        <v>500</v>
      </c>
      <c r="I270" s="22" t="s">
        <v>516</v>
      </c>
      <c r="J270" s="22" t="s">
        <v>153</v>
      </c>
      <c r="Q270" s="35">
        <f>IFERROR(
 (1.907*EXP(1)^(-0.5*tbl_CONTENT[[#This Row],[Layer]])) *
 ((tbl_CONTENT[[#This Row],[RelInt]]-1)^(2.5)*4^(1-2.5)+1) +
 ((tbl_CONTENT[[#This Row],[Comp]]-1)^(2.5)*4^(1-2.5)+1)*(0.5*((tbl_CONTENT[[#This Row],[RelInt]]-1)/4)^(2.5)+1),
 0
)</f>
        <v>0</v>
      </c>
      <c r="R270" s="35">
        <f>IFERROR(
 (1.907*EXP(1)^(-0.5*VALUE(tbl_CONTENT[[#This Row],[Layer]]))) *
 ((VALUE(tbl_CONTENT[[#This Row],[RelId]])-1)^(2.5)*4^(1-2.5)+1) +
 ((VALUE(tbl_CONTENT[[#This Row],[Comp]])-1)^(2.5)*4^(1-2.5)+1)*(0.5*((VALUE(tbl_CONTENT[[#This Row],[RelId]])-1)/4)^(2.5)+1),
 0
)</f>
        <v>0</v>
      </c>
    </row>
    <row r="271" spans="3:18" ht="17" x14ac:dyDescent="0.2">
      <c r="C271" s="22" t="str">
        <f>_xlfn.XLOOKUP(tbl_CONTENT[[#This Row],[TopicID]], tbl_TOPIC[TopicID], tbl_TOPIC[Subject], "")</f>
        <v>RG</v>
      </c>
      <c r="D271" s="22" t="str">
        <f xml:space="preserve"> tbl_CONTENT[[#This Row],[TopicID]] &amp; "-" &amp; TEXT(tbl_CONTENT[[#This Row],[TopicIDCount]], "00")</f>
        <v>RG-1-03-03</v>
      </c>
      <c r="F271" s="22" t="str">
        <f>_xlfn.XLOOKUP(tbl_CONTENT[[#This Row],[Topic]], tbl_TOPIC[Topic], tbl_TOPIC[TopicID], "")</f>
        <v>RG-1-03</v>
      </c>
      <c r="G271" s="22" cm="1">
        <f t="array" ref="G271">SUM((tbl_CONTENT[[#This Row],[TopicID]]=INDEX(tbl_CONTENT[TopicID],1):tbl_CONTENT[[#This Row],[TopicID]])*1)</f>
        <v>3</v>
      </c>
      <c r="H271" s="22" t="s">
        <v>500</v>
      </c>
      <c r="I271" s="22" t="s">
        <v>517</v>
      </c>
      <c r="J271" s="22" t="s">
        <v>148</v>
      </c>
      <c r="Q271" s="35">
        <f>IFERROR(
 (1.907*EXP(1)^(-0.5*tbl_CONTENT[[#This Row],[Layer]])) *
 ((tbl_CONTENT[[#This Row],[RelInt]]-1)^(2.5)*4^(1-2.5)+1) +
 ((tbl_CONTENT[[#This Row],[Comp]]-1)^(2.5)*4^(1-2.5)+1)*(0.5*((tbl_CONTENT[[#This Row],[RelInt]]-1)/4)^(2.5)+1),
 0
)</f>
        <v>0</v>
      </c>
      <c r="R271" s="35">
        <f>IFERROR(
 (1.907*EXP(1)^(-0.5*VALUE(tbl_CONTENT[[#This Row],[Layer]]))) *
 ((VALUE(tbl_CONTENT[[#This Row],[RelId]])-1)^(2.5)*4^(1-2.5)+1) +
 ((VALUE(tbl_CONTENT[[#This Row],[Comp]])-1)^(2.5)*4^(1-2.5)+1)*(0.5*((VALUE(tbl_CONTENT[[#This Row],[RelId]])-1)/4)^(2.5)+1),
 0
)</f>
        <v>0</v>
      </c>
    </row>
    <row r="272" spans="3:18" ht="17" x14ac:dyDescent="0.2">
      <c r="C272" s="22" t="str">
        <f>_xlfn.XLOOKUP(tbl_CONTENT[[#This Row],[TopicID]], tbl_TOPIC[TopicID], tbl_TOPIC[Subject], "")</f>
        <v>RG</v>
      </c>
      <c r="D272" s="22" t="str">
        <f xml:space="preserve"> tbl_CONTENT[[#This Row],[TopicID]] &amp; "-" &amp; TEXT(tbl_CONTENT[[#This Row],[TopicIDCount]], "00")</f>
        <v>RG-1-03-04</v>
      </c>
      <c r="F272" s="22" t="str">
        <f>_xlfn.XLOOKUP(tbl_CONTENT[[#This Row],[Topic]], tbl_TOPIC[Topic], tbl_TOPIC[TopicID], "")</f>
        <v>RG-1-03</v>
      </c>
      <c r="G272" s="22" cm="1">
        <f t="array" ref="G272">SUM((tbl_CONTENT[[#This Row],[TopicID]]=INDEX(tbl_CONTENT[TopicID],1):tbl_CONTENT[[#This Row],[TopicID]])*1)</f>
        <v>4</v>
      </c>
      <c r="H272" s="22" t="s">
        <v>500</v>
      </c>
      <c r="I272" s="22" t="s">
        <v>519</v>
      </c>
      <c r="J272" s="22" t="s">
        <v>153</v>
      </c>
      <c r="Q272" s="35">
        <f>IFERROR(
 (1.907*EXP(1)^(-0.5*tbl_CONTENT[[#This Row],[Layer]])) *
 ((tbl_CONTENT[[#This Row],[RelInt]]-1)^(2.5)*4^(1-2.5)+1) +
 ((tbl_CONTENT[[#This Row],[Comp]]-1)^(2.5)*4^(1-2.5)+1)*(0.5*((tbl_CONTENT[[#This Row],[RelInt]]-1)/4)^(2.5)+1),
 0
)</f>
        <v>0</v>
      </c>
      <c r="R272" s="35">
        <f>IFERROR(
 (1.907*EXP(1)^(-0.5*VALUE(tbl_CONTENT[[#This Row],[Layer]]))) *
 ((VALUE(tbl_CONTENT[[#This Row],[RelId]])-1)^(2.5)*4^(1-2.5)+1) +
 ((VALUE(tbl_CONTENT[[#This Row],[Comp]])-1)^(2.5)*4^(1-2.5)+1)*(0.5*((VALUE(tbl_CONTENT[[#This Row],[RelId]])-1)/4)^(2.5)+1),
 0
)</f>
        <v>0</v>
      </c>
    </row>
    <row r="273" spans="3:20" ht="17" x14ac:dyDescent="0.2">
      <c r="C273" s="22" t="str">
        <f>_xlfn.XLOOKUP(tbl_CONTENT[[#This Row],[TopicID]], tbl_TOPIC[TopicID], tbl_TOPIC[Subject], "")</f>
        <v>RG</v>
      </c>
      <c r="D273" s="22" t="str">
        <f xml:space="preserve"> tbl_CONTENT[[#This Row],[TopicID]] &amp; "-" &amp; TEXT(tbl_CONTENT[[#This Row],[TopicIDCount]], "00")</f>
        <v>RG-1-03-05</v>
      </c>
      <c r="F273" s="22" t="str">
        <f>_xlfn.XLOOKUP(tbl_CONTENT[[#This Row],[Topic]], tbl_TOPIC[Topic], tbl_TOPIC[TopicID], "")</f>
        <v>RG-1-03</v>
      </c>
      <c r="G273" s="22" cm="1">
        <f t="array" ref="G273">SUM((tbl_CONTENT[[#This Row],[TopicID]]=INDEX(tbl_CONTENT[TopicID],1):tbl_CONTENT[[#This Row],[TopicID]])*1)</f>
        <v>5</v>
      </c>
      <c r="H273" s="22" t="s">
        <v>500</v>
      </c>
      <c r="I273" s="22" t="s">
        <v>520</v>
      </c>
      <c r="J273" s="22" t="s">
        <v>153</v>
      </c>
      <c r="Q273" s="35">
        <f>IFERROR(
 (1.907*EXP(1)^(-0.5*tbl_CONTENT[[#This Row],[Layer]])) *
 ((tbl_CONTENT[[#This Row],[RelInt]]-1)^(2.5)*4^(1-2.5)+1) +
 ((tbl_CONTENT[[#This Row],[Comp]]-1)^(2.5)*4^(1-2.5)+1)*(0.5*((tbl_CONTENT[[#This Row],[RelInt]]-1)/4)^(2.5)+1),
 0
)</f>
        <v>0</v>
      </c>
      <c r="R273" s="35">
        <f>IFERROR(
 (1.907*EXP(1)^(-0.5*VALUE(tbl_CONTENT[[#This Row],[Layer]]))) *
 ((VALUE(tbl_CONTENT[[#This Row],[RelId]])-1)^(2.5)*4^(1-2.5)+1) +
 ((VALUE(tbl_CONTENT[[#This Row],[Comp]])-1)^(2.5)*4^(1-2.5)+1)*(0.5*((VALUE(tbl_CONTENT[[#This Row],[RelId]])-1)/4)^(2.5)+1),
 0
)</f>
        <v>0</v>
      </c>
    </row>
    <row r="274" spans="3:20" ht="34" x14ac:dyDescent="0.2">
      <c r="C274" s="22" t="str">
        <f>_xlfn.XLOOKUP(tbl_CONTENT[[#This Row],[TopicID]], tbl_TOPIC[TopicID], tbl_TOPIC[Subject], "")</f>
        <v>RG</v>
      </c>
      <c r="D274" s="22" t="str">
        <f xml:space="preserve"> tbl_CONTENT[[#This Row],[TopicID]] &amp; "-" &amp; TEXT(tbl_CONTENT[[#This Row],[TopicIDCount]], "00")</f>
        <v>RG-1-03-06</v>
      </c>
      <c r="F274" s="22" t="str">
        <f>_xlfn.XLOOKUP(tbl_CONTENT[[#This Row],[Topic]], tbl_TOPIC[Topic], tbl_TOPIC[TopicID], "")</f>
        <v>RG-1-03</v>
      </c>
      <c r="G274" s="22" cm="1">
        <f t="array" ref="G274">SUM((tbl_CONTENT[[#This Row],[TopicID]]=INDEX(tbl_CONTENT[TopicID],1):tbl_CONTENT[[#This Row],[TopicID]])*1)</f>
        <v>6</v>
      </c>
      <c r="H274" s="22" t="s">
        <v>500</v>
      </c>
      <c r="I274" s="22" t="s">
        <v>521</v>
      </c>
      <c r="J274" s="22" t="s">
        <v>153</v>
      </c>
      <c r="Q274" s="35">
        <f>IFERROR(
 (1.907*EXP(1)^(-0.5*tbl_CONTENT[[#This Row],[Layer]])) *
 ((tbl_CONTENT[[#This Row],[RelInt]]-1)^(2.5)*4^(1-2.5)+1) +
 ((tbl_CONTENT[[#This Row],[Comp]]-1)^(2.5)*4^(1-2.5)+1)*(0.5*((tbl_CONTENT[[#This Row],[RelInt]]-1)/4)^(2.5)+1),
 0
)</f>
        <v>0</v>
      </c>
      <c r="R274" s="35">
        <f>IFERROR(
 (1.907*EXP(1)^(-0.5*VALUE(tbl_CONTENT[[#This Row],[Layer]]))) *
 ((VALUE(tbl_CONTENT[[#This Row],[RelId]])-1)^(2.5)*4^(1-2.5)+1) +
 ((VALUE(tbl_CONTENT[[#This Row],[Comp]])-1)^(2.5)*4^(1-2.5)+1)*(0.5*((VALUE(tbl_CONTENT[[#This Row],[RelId]])-1)/4)^(2.5)+1),
 0
)</f>
        <v>0</v>
      </c>
    </row>
    <row r="275" spans="3:20" ht="17" x14ac:dyDescent="0.2">
      <c r="C275" s="22" t="str">
        <f>_xlfn.XLOOKUP(tbl_CONTENT[[#This Row],[TopicID]], tbl_TOPIC[TopicID], tbl_TOPIC[Subject], "")</f>
        <v>RG</v>
      </c>
      <c r="D275" s="22" t="str">
        <f xml:space="preserve"> tbl_CONTENT[[#This Row],[TopicID]] &amp; "-" &amp; TEXT(tbl_CONTENT[[#This Row],[TopicIDCount]], "00")</f>
        <v>RG-1-03-07</v>
      </c>
      <c r="F275" s="22" t="str">
        <f>_xlfn.XLOOKUP(tbl_CONTENT[[#This Row],[Topic]], tbl_TOPIC[Topic], tbl_TOPIC[TopicID], "")</f>
        <v>RG-1-03</v>
      </c>
      <c r="G275" s="22" cm="1">
        <f t="array" ref="G275">SUM((tbl_CONTENT[[#This Row],[TopicID]]=INDEX(tbl_CONTENT[TopicID],1):tbl_CONTENT[[#This Row],[TopicID]])*1)</f>
        <v>7</v>
      </c>
      <c r="H275" s="22" t="s">
        <v>500</v>
      </c>
      <c r="I275" s="22" t="s">
        <v>523</v>
      </c>
      <c r="J275" s="22" t="s">
        <v>181</v>
      </c>
      <c r="Q275" s="35">
        <f>IFERROR(
 (1.907*EXP(1)^(-0.5*tbl_CONTENT[[#This Row],[Layer]])) *
 ((tbl_CONTENT[[#This Row],[RelInt]]-1)^(2.5)*4^(1-2.5)+1) +
 ((tbl_CONTENT[[#This Row],[Comp]]-1)^(2.5)*4^(1-2.5)+1)*(0.5*((tbl_CONTENT[[#This Row],[RelInt]]-1)/4)^(2.5)+1),
 0
)</f>
        <v>0</v>
      </c>
      <c r="R275" s="35">
        <f>IFERROR(
 (1.907*EXP(1)^(-0.5*VALUE(tbl_CONTENT[[#This Row],[Layer]]))) *
 ((VALUE(tbl_CONTENT[[#This Row],[RelId]])-1)^(2.5)*4^(1-2.5)+1) +
 ((VALUE(tbl_CONTENT[[#This Row],[Comp]])-1)^(2.5)*4^(1-2.5)+1)*(0.5*((VALUE(tbl_CONTENT[[#This Row],[RelId]])-1)/4)^(2.5)+1),
 0
)</f>
        <v>0</v>
      </c>
      <c r="T275" s="22" t="s">
        <v>596</v>
      </c>
    </row>
    <row r="276" spans="3:20" ht="17" x14ac:dyDescent="0.2">
      <c r="C276" s="22" t="str">
        <f>_xlfn.XLOOKUP(tbl_CONTENT[[#This Row],[TopicID]], tbl_TOPIC[TopicID], tbl_TOPIC[Subject], "")</f>
        <v>RG</v>
      </c>
      <c r="D276" s="22" t="str">
        <f xml:space="preserve"> tbl_CONTENT[[#This Row],[TopicID]] &amp; "-" &amp; TEXT(tbl_CONTENT[[#This Row],[TopicIDCount]], "00")</f>
        <v>RG-1-03-08</v>
      </c>
      <c r="F276" s="22" t="str">
        <f>_xlfn.XLOOKUP(tbl_CONTENT[[#This Row],[Topic]], tbl_TOPIC[Topic], tbl_TOPIC[TopicID], "")</f>
        <v>RG-1-03</v>
      </c>
      <c r="G276" s="22" cm="1">
        <f t="array" ref="G276">SUM((tbl_CONTENT[[#This Row],[TopicID]]=INDEX(tbl_CONTENT[TopicID],1):tbl_CONTENT[[#This Row],[TopicID]])*1)</f>
        <v>8</v>
      </c>
      <c r="H276" s="22" t="s">
        <v>500</v>
      </c>
      <c r="I276" s="22" t="s">
        <v>524</v>
      </c>
      <c r="J276" s="22" t="s">
        <v>181</v>
      </c>
      <c r="Q276" s="35">
        <f>IFERROR(
 (1.907*EXP(1)^(-0.5*tbl_CONTENT[[#This Row],[Layer]])) *
 ((tbl_CONTENT[[#This Row],[RelInt]]-1)^(2.5)*4^(1-2.5)+1) +
 ((tbl_CONTENT[[#This Row],[Comp]]-1)^(2.5)*4^(1-2.5)+1)*(0.5*((tbl_CONTENT[[#This Row],[RelInt]]-1)/4)^(2.5)+1),
 0
)</f>
        <v>0</v>
      </c>
      <c r="R276" s="35">
        <f>IFERROR(
 (1.907*EXP(1)^(-0.5*VALUE(tbl_CONTENT[[#This Row],[Layer]]))) *
 ((VALUE(tbl_CONTENT[[#This Row],[RelId]])-1)^(2.5)*4^(1-2.5)+1) +
 ((VALUE(tbl_CONTENT[[#This Row],[Comp]])-1)^(2.5)*4^(1-2.5)+1)*(0.5*((VALUE(tbl_CONTENT[[#This Row],[RelId]])-1)/4)^(2.5)+1),
 0
)</f>
        <v>0</v>
      </c>
    </row>
    <row r="277" spans="3:20" ht="17" x14ac:dyDescent="0.2">
      <c r="C277" s="22" t="str">
        <f>_xlfn.XLOOKUP(tbl_CONTENT[[#This Row],[TopicID]], tbl_TOPIC[TopicID], tbl_TOPIC[Subject], "")</f>
        <v>RG</v>
      </c>
      <c r="D277" s="22" t="str">
        <f xml:space="preserve"> tbl_CONTENT[[#This Row],[TopicID]] &amp; "-" &amp; TEXT(tbl_CONTENT[[#This Row],[TopicIDCount]], "00")</f>
        <v>RG-1-03-09</v>
      </c>
      <c r="F277" s="22" t="str">
        <f>_xlfn.XLOOKUP(tbl_CONTENT[[#This Row],[Topic]], tbl_TOPIC[Topic], tbl_TOPIC[TopicID], "")</f>
        <v>RG-1-03</v>
      </c>
      <c r="G277" s="22" cm="1">
        <f t="array" ref="G277">SUM((tbl_CONTENT[[#This Row],[TopicID]]=INDEX(tbl_CONTENT[TopicID],1):tbl_CONTENT[[#This Row],[TopicID]])*1)</f>
        <v>9</v>
      </c>
      <c r="H277" s="22" t="s">
        <v>500</v>
      </c>
      <c r="I277" s="22" t="s">
        <v>522</v>
      </c>
      <c r="J277" s="22" t="s">
        <v>181</v>
      </c>
      <c r="Q277" s="35">
        <f>IFERROR(
 (1.907*EXP(1)^(-0.5*tbl_CONTENT[[#This Row],[Layer]])) *
 ((tbl_CONTENT[[#This Row],[RelInt]]-1)^(2.5)*4^(1-2.5)+1) +
 ((tbl_CONTENT[[#This Row],[Comp]]-1)^(2.5)*4^(1-2.5)+1)*(0.5*((tbl_CONTENT[[#This Row],[RelInt]]-1)/4)^(2.5)+1),
 0
)</f>
        <v>0</v>
      </c>
      <c r="R277" s="35">
        <f>IFERROR(
 (1.907*EXP(1)^(-0.5*VALUE(tbl_CONTENT[[#This Row],[Layer]]))) *
 ((VALUE(tbl_CONTENT[[#This Row],[RelId]])-1)^(2.5)*4^(1-2.5)+1) +
 ((VALUE(tbl_CONTENT[[#This Row],[Comp]])-1)^(2.5)*4^(1-2.5)+1)*(0.5*((VALUE(tbl_CONTENT[[#This Row],[RelId]])-1)/4)^(2.5)+1),
 0
)</f>
        <v>0</v>
      </c>
    </row>
    <row r="278" spans="3:20" ht="17" x14ac:dyDescent="0.2">
      <c r="C278" s="22" t="str">
        <f>_xlfn.XLOOKUP(tbl_CONTENT[[#This Row],[TopicID]], tbl_TOPIC[TopicID], tbl_TOPIC[Subject], "")</f>
        <v>RG</v>
      </c>
      <c r="D278" s="22" t="str">
        <f xml:space="preserve"> tbl_CONTENT[[#This Row],[TopicID]] &amp; "-" &amp; TEXT(tbl_CONTENT[[#This Row],[TopicIDCount]], "00")</f>
        <v>RG-1-03-10</v>
      </c>
      <c r="F278" s="22" t="str">
        <f>_xlfn.XLOOKUP(tbl_CONTENT[[#This Row],[Topic]], tbl_TOPIC[Topic], tbl_TOPIC[TopicID], "")</f>
        <v>RG-1-03</v>
      </c>
      <c r="G278" s="22" cm="1">
        <f t="array" ref="G278">SUM((tbl_CONTENT[[#This Row],[TopicID]]=INDEX(tbl_CONTENT[TopicID],1):tbl_CONTENT[[#This Row],[TopicID]])*1)</f>
        <v>10</v>
      </c>
      <c r="H278" s="22" t="s">
        <v>500</v>
      </c>
      <c r="I278" s="22" t="s">
        <v>525</v>
      </c>
      <c r="J278" s="22" t="s">
        <v>181</v>
      </c>
      <c r="Q278" s="35">
        <f>IFERROR(
 (1.907*EXP(1)^(-0.5*tbl_CONTENT[[#This Row],[Layer]])) *
 ((tbl_CONTENT[[#This Row],[RelInt]]-1)^(2.5)*4^(1-2.5)+1) +
 ((tbl_CONTENT[[#This Row],[Comp]]-1)^(2.5)*4^(1-2.5)+1)*(0.5*((tbl_CONTENT[[#This Row],[RelInt]]-1)/4)^(2.5)+1),
 0
)</f>
        <v>0</v>
      </c>
      <c r="R278" s="35">
        <f>IFERROR(
 (1.907*EXP(1)^(-0.5*VALUE(tbl_CONTENT[[#This Row],[Layer]]))) *
 ((VALUE(tbl_CONTENT[[#This Row],[RelId]])-1)^(2.5)*4^(1-2.5)+1) +
 ((VALUE(tbl_CONTENT[[#This Row],[Comp]])-1)^(2.5)*4^(1-2.5)+1)*(0.5*((VALUE(tbl_CONTENT[[#This Row],[RelId]])-1)/4)^(2.5)+1),
 0
)</f>
        <v>0</v>
      </c>
    </row>
    <row r="279" spans="3:20" ht="17" x14ac:dyDescent="0.2">
      <c r="C279" s="22" t="str">
        <f>_xlfn.XLOOKUP(tbl_CONTENT[[#This Row],[TopicID]], tbl_TOPIC[TopicID], tbl_TOPIC[Subject], "")</f>
        <v>RG</v>
      </c>
      <c r="D279" s="22" t="str">
        <f xml:space="preserve"> tbl_CONTENT[[#This Row],[TopicID]] &amp; "-" &amp; TEXT(tbl_CONTENT[[#This Row],[TopicIDCount]], "00")</f>
        <v>RG-1-03-11</v>
      </c>
      <c r="F279" s="22" t="str">
        <f>_xlfn.XLOOKUP(tbl_CONTENT[[#This Row],[Topic]], tbl_TOPIC[Topic], tbl_TOPIC[TopicID], "")</f>
        <v>RG-1-03</v>
      </c>
      <c r="G279" s="22" cm="1">
        <f t="array" ref="G279">SUM((tbl_CONTENT[[#This Row],[TopicID]]=INDEX(tbl_CONTENT[TopicID],1):tbl_CONTENT[[#This Row],[TopicID]])*1)</f>
        <v>11</v>
      </c>
      <c r="H279" s="22" t="s">
        <v>500</v>
      </c>
      <c r="I279" s="22" t="s">
        <v>526</v>
      </c>
      <c r="J279" s="22" t="s">
        <v>181</v>
      </c>
      <c r="Q279" s="35">
        <f>IFERROR(
 (1.907*EXP(1)^(-0.5*tbl_CONTENT[[#This Row],[Layer]])) *
 ((tbl_CONTENT[[#This Row],[RelInt]]-1)^(2.5)*4^(1-2.5)+1) +
 ((tbl_CONTENT[[#This Row],[Comp]]-1)^(2.5)*4^(1-2.5)+1)*(0.5*((tbl_CONTENT[[#This Row],[RelInt]]-1)/4)^(2.5)+1),
 0
)</f>
        <v>0</v>
      </c>
      <c r="R279" s="35">
        <f>IFERROR(
 (1.907*EXP(1)^(-0.5*VALUE(tbl_CONTENT[[#This Row],[Layer]]))) *
 ((VALUE(tbl_CONTENT[[#This Row],[RelId]])-1)^(2.5)*4^(1-2.5)+1) +
 ((VALUE(tbl_CONTENT[[#This Row],[Comp]])-1)^(2.5)*4^(1-2.5)+1)*(0.5*((VALUE(tbl_CONTENT[[#This Row],[RelId]])-1)/4)^(2.5)+1),
 0
)</f>
        <v>0</v>
      </c>
    </row>
    <row r="280" spans="3:20" ht="17" x14ac:dyDescent="0.2">
      <c r="C280" s="22" t="str">
        <f>_xlfn.XLOOKUP(tbl_CONTENT[[#This Row],[TopicID]], tbl_TOPIC[TopicID], tbl_TOPIC[Subject], "")</f>
        <v>RG</v>
      </c>
      <c r="D280" s="22" t="str">
        <f xml:space="preserve"> tbl_CONTENT[[#This Row],[TopicID]] &amp; "-" &amp; TEXT(tbl_CONTENT[[#This Row],[TopicIDCount]], "00")</f>
        <v>RG-1-03-12</v>
      </c>
      <c r="F280" s="22" t="str">
        <f>_xlfn.XLOOKUP(tbl_CONTENT[[#This Row],[Topic]], tbl_TOPIC[Topic], tbl_TOPIC[TopicID], "")</f>
        <v>RG-1-03</v>
      </c>
      <c r="G280" s="22" cm="1">
        <f t="array" ref="G280">SUM((tbl_CONTENT[[#This Row],[TopicID]]=INDEX(tbl_CONTENT[TopicID],1):tbl_CONTENT[[#This Row],[TopicID]])*1)</f>
        <v>12</v>
      </c>
      <c r="H280" s="22" t="s">
        <v>500</v>
      </c>
      <c r="I280" s="22" t="s">
        <v>527</v>
      </c>
      <c r="J280" s="22" t="s">
        <v>181</v>
      </c>
      <c r="Q280" s="35">
        <f>IFERROR(
 (1.907*EXP(1)^(-0.5*tbl_CONTENT[[#This Row],[Layer]])) *
 ((tbl_CONTENT[[#This Row],[RelInt]]-1)^(2.5)*4^(1-2.5)+1) +
 ((tbl_CONTENT[[#This Row],[Comp]]-1)^(2.5)*4^(1-2.5)+1)*(0.5*((tbl_CONTENT[[#This Row],[RelInt]]-1)/4)^(2.5)+1),
 0
)</f>
        <v>0</v>
      </c>
      <c r="R280" s="35">
        <f>IFERROR(
 (1.907*EXP(1)^(-0.5*VALUE(tbl_CONTENT[[#This Row],[Layer]]))) *
 ((VALUE(tbl_CONTENT[[#This Row],[RelId]])-1)^(2.5)*4^(1-2.5)+1) +
 ((VALUE(tbl_CONTENT[[#This Row],[Comp]])-1)^(2.5)*4^(1-2.5)+1)*(0.5*((VALUE(tbl_CONTENT[[#This Row],[RelId]])-1)/4)^(2.5)+1),
 0
)</f>
        <v>0</v>
      </c>
    </row>
    <row r="281" spans="3:20" ht="34" x14ac:dyDescent="0.2">
      <c r="C281" s="22" t="str">
        <f>_xlfn.XLOOKUP(tbl_CONTENT[[#This Row],[TopicID]], tbl_TOPIC[TopicID], tbl_TOPIC[Subject], "")</f>
        <v>RG</v>
      </c>
      <c r="D281" s="22" t="str">
        <f xml:space="preserve"> tbl_CONTENT[[#This Row],[TopicID]] &amp; "-" &amp; TEXT(tbl_CONTENT[[#This Row],[TopicIDCount]], "00")</f>
        <v>RG-1-03-13</v>
      </c>
      <c r="F281" s="22" t="str">
        <f>_xlfn.XLOOKUP(tbl_CONTENT[[#This Row],[Topic]], tbl_TOPIC[Topic], tbl_TOPIC[TopicID], "")</f>
        <v>RG-1-03</v>
      </c>
      <c r="G281" s="22" cm="1">
        <f t="array" ref="G281">SUM((tbl_CONTENT[[#This Row],[TopicID]]=INDEX(tbl_CONTENT[TopicID],1):tbl_CONTENT[[#This Row],[TopicID]])*1)</f>
        <v>13</v>
      </c>
      <c r="H281" s="22" t="s">
        <v>500</v>
      </c>
      <c r="I281" s="22" t="s">
        <v>528</v>
      </c>
      <c r="J281" s="22" t="s">
        <v>148</v>
      </c>
      <c r="Q281" s="35">
        <f>IFERROR(
 (1.907*EXP(1)^(-0.5*tbl_CONTENT[[#This Row],[Layer]])) *
 ((tbl_CONTENT[[#This Row],[RelInt]]-1)^(2.5)*4^(1-2.5)+1) +
 ((tbl_CONTENT[[#This Row],[Comp]]-1)^(2.5)*4^(1-2.5)+1)*(0.5*((tbl_CONTENT[[#This Row],[RelInt]]-1)/4)^(2.5)+1),
 0
)</f>
        <v>0</v>
      </c>
      <c r="R281" s="35">
        <f>IFERROR(
 (1.907*EXP(1)^(-0.5*VALUE(tbl_CONTENT[[#This Row],[Layer]]))) *
 ((VALUE(tbl_CONTENT[[#This Row],[RelId]])-1)^(2.5)*4^(1-2.5)+1) +
 ((VALUE(tbl_CONTENT[[#This Row],[Comp]])-1)^(2.5)*4^(1-2.5)+1)*(0.5*((VALUE(tbl_CONTENT[[#This Row],[RelId]])-1)/4)^(2.5)+1),
 0
)</f>
        <v>0</v>
      </c>
    </row>
    <row r="282" spans="3:20" ht="34" x14ac:dyDescent="0.2">
      <c r="C282" s="22" t="str">
        <f>_xlfn.XLOOKUP(tbl_CONTENT[[#This Row],[TopicID]], tbl_TOPIC[TopicID], tbl_TOPIC[Subject], "")</f>
        <v>RG</v>
      </c>
      <c r="D282" s="22" t="str">
        <f xml:space="preserve"> tbl_CONTENT[[#This Row],[TopicID]] &amp; "-" &amp; TEXT(tbl_CONTENT[[#This Row],[TopicIDCount]], "00")</f>
        <v>RG-1-04-01</v>
      </c>
      <c r="F282" s="22" t="str">
        <f>_xlfn.XLOOKUP(tbl_CONTENT[[#This Row],[Topic]], tbl_TOPIC[Topic], tbl_TOPIC[TopicID], "")</f>
        <v>RG-1-04</v>
      </c>
      <c r="G282" s="22" cm="1">
        <f t="array" ref="G282">SUM((tbl_CONTENT[[#This Row],[TopicID]]=INDEX(tbl_CONTENT[TopicID],1):tbl_CONTENT[[#This Row],[TopicID]])*1)</f>
        <v>1</v>
      </c>
      <c r="H282" s="22" t="s">
        <v>501</v>
      </c>
      <c r="I282" s="22" t="s">
        <v>529</v>
      </c>
      <c r="J282" s="22" t="s">
        <v>153</v>
      </c>
      <c r="Q282" s="35">
        <f>IFERROR(
 (1.907*EXP(1)^(-0.5*tbl_CONTENT[[#This Row],[Layer]])) *
 ((tbl_CONTENT[[#This Row],[RelInt]]-1)^(2.5)*4^(1-2.5)+1) +
 ((tbl_CONTENT[[#This Row],[Comp]]-1)^(2.5)*4^(1-2.5)+1)*(0.5*((tbl_CONTENT[[#This Row],[RelInt]]-1)/4)^(2.5)+1),
 0
)</f>
        <v>0</v>
      </c>
      <c r="R282" s="35">
        <f>IFERROR(
 (1.907*EXP(1)^(-0.5*VALUE(tbl_CONTENT[[#This Row],[Layer]]))) *
 ((VALUE(tbl_CONTENT[[#This Row],[RelId]])-1)^(2.5)*4^(1-2.5)+1) +
 ((VALUE(tbl_CONTENT[[#This Row],[Comp]])-1)^(2.5)*4^(1-2.5)+1)*(0.5*((VALUE(tbl_CONTENT[[#This Row],[RelId]])-1)/4)^(2.5)+1),
 0
)</f>
        <v>0</v>
      </c>
    </row>
    <row r="283" spans="3:20" ht="34" x14ac:dyDescent="0.2">
      <c r="C283" s="22" t="str">
        <f>_xlfn.XLOOKUP(tbl_CONTENT[[#This Row],[TopicID]], tbl_TOPIC[TopicID], tbl_TOPIC[Subject], "")</f>
        <v>RG</v>
      </c>
      <c r="D283" s="22" t="str">
        <f xml:space="preserve"> tbl_CONTENT[[#This Row],[TopicID]] &amp; "-" &amp; TEXT(tbl_CONTENT[[#This Row],[TopicIDCount]], "00")</f>
        <v>RG-1-04-02</v>
      </c>
      <c r="F283" s="22" t="str">
        <f>_xlfn.XLOOKUP(tbl_CONTENT[[#This Row],[Topic]], tbl_TOPIC[Topic], tbl_TOPIC[TopicID], "")</f>
        <v>RG-1-04</v>
      </c>
      <c r="G283" s="22" cm="1">
        <f t="array" ref="G283">SUM((tbl_CONTENT[[#This Row],[TopicID]]=INDEX(tbl_CONTENT[TopicID],1):tbl_CONTENT[[#This Row],[TopicID]])*1)</f>
        <v>2</v>
      </c>
      <c r="H283" s="22" t="s">
        <v>501</v>
      </c>
      <c r="I283" s="22" t="s">
        <v>530</v>
      </c>
      <c r="J283" s="22" t="s">
        <v>153</v>
      </c>
      <c r="Q283" s="35">
        <f>IFERROR(
 (1.907*EXP(1)^(-0.5*tbl_CONTENT[[#This Row],[Layer]])) *
 ((tbl_CONTENT[[#This Row],[RelInt]]-1)^(2.5)*4^(1-2.5)+1) +
 ((tbl_CONTENT[[#This Row],[Comp]]-1)^(2.5)*4^(1-2.5)+1)*(0.5*((tbl_CONTENT[[#This Row],[RelInt]]-1)/4)^(2.5)+1),
 0
)</f>
        <v>0</v>
      </c>
      <c r="R283" s="35">
        <f>IFERROR(
 (1.907*EXP(1)^(-0.5*VALUE(tbl_CONTENT[[#This Row],[Layer]]))) *
 ((VALUE(tbl_CONTENT[[#This Row],[RelId]])-1)^(2.5)*4^(1-2.5)+1) +
 ((VALUE(tbl_CONTENT[[#This Row],[Comp]])-1)^(2.5)*4^(1-2.5)+1)*(0.5*((VALUE(tbl_CONTENT[[#This Row],[RelId]])-1)/4)^(2.5)+1),
 0
)</f>
        <v>0</v>
      </c>
    </row>
    <row r="284" spans="3:20" ht="34" x14ac:dyDescent="0.2">
      <c r="C284" s="22" t="str">
        <f>_xlfn.XLOOKUP(tbl_CONTENT[[#This Row],[TopicID]], tbl_TOPIC[TopicID], tbl_TOPIC[Subject], "")</f>
        <v>RG</v>
      </c>
      <c r="D284" s="22" t="str">
        <f xml:space="preserve"> tbl_CONTENT[[#This Row],[TopicID]] &amp; "-" &amp; TEXT(tbl_CONTENT[[#This Row],[TopicIDCount]], "00")</f>
        <v>RG-1-04-03</v>
      </c>
      <c r="F284" s="22" t="str">
        <f>_xlfn.XLOOKUP(tbl_CONTENT[[#This Row],[Topic]], tbl_TOPIC[Topic], tbl_TOPIC[TopicID], "")</f>
        <v>RG-1-04</v>
      </c>
      <c r="G284" s="22" cm="1">
        <f t="array" ref="G284">SUM((tbl_CONTENT[[#This Row],[TopicID]]=INDEX(tbl_CONTENT[TopicID],1):tbl_CONTENT[[#This Row],[TopicID]])*1)</f>
        <v>3</v>
      </c>
      <c r="H284" s="22" t="s">
        <v>501</v>
      </c>
      <c r="I284" s="22" t="s">
        <v>531</v>
      </c>
      <c r="J284" s="22" t="s">
        <v>153</v>
      </c>
      <c r="Q284" s="35">
        <f>IFERROR(
 (1.907*EXP(1)^(-0.5*tbl_CONTENT[[#This Row],[Layer]])) *
 ((tbl_CONTENT[[#This Row],[RelInt]]-1)^(2.5)*4^(1-2.5)+1) +
 ((tbl_CONTENT[[#This Row],[Comp]]-1)^(2.5)*4^(1-2.5)+1)*(0.5*((tbl_CONTENT[[#This Row],[RelInt]]-1)/4)^(2.5)+1),
 0
)</f>
        <v>0</v>
      </c>
      <c r="R284" s="35">
        <f>IFERROR(
 (1.907*EXP(1)^(-0.5*VALUE(tbl_CONTENT[[#This Row],[Layer]]))) *
 ((VALUE(tbl_CONTENT[[#This Row],[RelId]])-1)^(2.5)*4^(1-2.5)+1) +
 ((VALUE(tbl_CONTENT[[#This Row],[Comp]])-1)^(2.5)*4^(1-2.5)+1)*(0.5*((VALUE(tbl_CONTENT[[#This Row],[RelId]])-1)/4)^(2.5)+1),
 0
)</f>
        <v>0</v>
      </c>
    </row>
    <row r="285" spans="3:20" ht="34" x14ac:dyDescent="0.2">
      <c r="C285" s="22" t="str">
        <f>_xlfn.XLOOKUP(tbl_CONTENT[[#This Row],[TopicID]], tbl_TOPIC[TopicID], tbl_TOPIC[Subject], "")</f>
        <v>RG</v>
      </c>
      <c r="D285" s="22" t="str">
        <f xml:space="preserve"> tbl_CONTENT[[#This Row],[TopicID]] &amp; "-" &amp; TEXT(tbl_CONTENT[[#This Row],[TopicIDCount]], "00")</f>
        <v>RG-1-04-04</v>
      </c>
      <c r="F285" s="22" t="str">
        <f>_xlfn.XLOOKUP(tbl_CONTENT[[#This Row],[Topic]], tbl_TOPIC[Topic], tbl_TOPIC[TopicID], "")</f>
        <v>RG-1-04</v>
      </c>
      <c r="G285" s="22" cm="1">
        <f t="array" ref="G285">SUM((tbl_CONTENT[[#This Row],[TopicID]]=INDEX(tbl_CONTENT[TopicID],1):tbl_CONTENT[[#This Row],[TopicID]])*1)</f>
        <v>4</v>
      </c>
      <c r="H285" s="22" t="s">
        <v>501</v>
      </c>
      <c r="I285" s="22" t="s">
        <v>532</v>
      </c>
      <c r="J285" s="22" t="s">
        <v>153</v>
      </c>
      <c r="Q285" s="35">
        <f>IFERROR(
 (1.907*EXP(1)^(-0.5*tbl_CONTENT[[#This Row],[Layer]])) *
 ((tbl_CONTENT[[#This Row],[RelInt]]-1)^(2.5)*4^(1-2.5)+1) +
 ((tbl_CONTENT[[#This Row],[Comp]]-1)^(2.5)*4^(1-2.5)+1)*(0.5*((tbl_CONTENT[[#This Row],[RelInt]]-1)/4)^(2.5)+1),
 0
)</f>
        <v>0</v>
      </c>
      <c r="R285" s="35">
        <f>IFERROR(
 (1.907*EXP(1)^(-0.5*VALUE(tbl_CONTENT[[#This Row],[Layer]]))) *
 ((VALUE(tbl_CONTENT[[#This Row],[RelId]])-1)^(2.5)*4^(1-2.5)+1) +
 ((VALUE(tbl_CONTENT[[#This Row],[Comp]])-1)^(2.5)*4^(1-2.5)+1)*(0.5*((VALUE(tbl_CONTENT[[#This Row],[RelId]])-1)/4)^(2.5)+1),
 0
)</f>
        <v>0</v>
      </c>
    </row>
    <row r="286" spans="3:20" ht="34" x14ac:dyDescent="0.2">
      <c r="C286" s="22" t="str">
        <f>_xlfn.XLOOKUP(tbl_CONTENT[[#This Row],[TopicID]], tbl_TOPIC[TopicID], tbl_TOPIC[Subject], "")</f>
        <v>RG</v>
      </c>
      <c r="D286" s="22" t="str">
        <f xml:space="preserve"> tbl_CONTENT[[#This Row],[TopicID]] &amp; "-" &amp; TEXT(tbl_CONTENT[[#This Row],[TopicIDCount]], "00")</f>
        <v>RG-1-04-05</v>
      </c>
      <c r="F286" s="22" t="str">
        <f>_xlfn.XLOOKUP(tbl_CONTENT[[#This Row],[Topic]], tbl_TOPIC[Topic], tbl_TOPIC[TopicID], "")</f>
        <v>RG-1-04</v>
      </c>
      <c r="G286" s="22" cm="1">
        <f t="array" ref="G286">SUM((tbl_CONTENT[[#This Row],[TopicID]]=INDEX(tbl_CONTENT[TopicID],1):tbl_CONTENT[[#This Row],[TopicID]])*1)</f>
        <v>5</v>
      </c>
      <c r="H286" s="22" t="s">
        <v>501</v>
      </c>
      <c r="I286" s="22" t="s">
        <v>533</v>
      </c>
      <c r="J286" s="22" t="s">
        <v>153</v>
      </c>
      <c r="Q286" s="35">
        <f>IFERROR(
 (1.907*EXP(1)^(-0.5*tbl_CONTENT[[#This Row],[Layer]])) *
 ((tbl_CONTENT[[#This Row],[RelInt]]-1)^(2.5)*4^(1-2.5)+1) +
 ((tbl_CONTENT[[#This Row],[Comp]]-1)^(2.5)*4^(1-2.5)+1)*(0.5*((tbl_CONTENT[[#This Row],[RelInt]]-1)/4)^(2.5)+1),
 0
)</f>
        <v>0</v>
      </c>
      <c r="R286" s="35">
        <f>IFERROR(
 (1.907*EXP(1)^(-0.5*VALUE(tbl_CONTENT[[#This Row],[Layer]]))) *
 ((VALUE(tbl_CONTENT[[#This Row],[RelId]])-1)^(2.5)*4^(1-2.5)+1) +
 ((VALUE(tbl_CONTENT[[#This Row],[Comp]])-1)^(2.5)*4^(1-2.5)+1)*(0.5*((VALUE(tbl_CONTENT[[#This Row],[RelId]])-1)/4)^(2.5)+1),
 0
)</f>
        <v>0</v>
      </c>
    </row>
    <row r="287" spans="3:20" ht="34" x14ac:dyDescent="0.2">
      <c r="C287" s="22" t="str">
        <f>_xlfn.XLOOKUP(tbl_CONTENT[[#This Row],[TopicID]], tbl_TOPIC[TopicID], tbl_TOPIC[Subject], "")</f>
        <v>RG</v>
      </c>
      <c r="D287" s="22" t="str">
        <f xml:space="preserve"> tbl_CONTENT[[#This Row],[TopicID]] &amp; "-" &amp; TEXT(tbl_CONTENT[[#This Row],[TopicIDCount]], "00")</f>
        <v>RG-1-04-06</v>
      </c>
      <c r="F287" s="22" t="str">
        <f>_xlfn.XLOOKUP(tbl_CONTENT[[#This Row],[Topic]], tbl_TOPIC[Topic], tbl_TOPIC[TopicID], "")</f>
        <v>RG-1-04</v>
      </c>
      <c r="G287" s="22" cm="1">
        <f t="array" ref="G287">SUM((tbl_CONTENT[[#This Row],[TopicID]]=INDEX(tbl_CONTENT[TopicID],1):tbl_CONTENT[[#This Row],[TopicID]])*1)</f>
        <v>6</v>
      </c>
      <c r="H287" s="22" t="s">
        <v>501</v>
      </c>
      <c r="I287" s="22" t="s">
        <v>534</v>
      </c>
      <c r="J287" s="22" t="s">
        <v>153</v>
      </c>
      <c r="Q287" s="35">
        <f>IFERROR(
 (1.907*EXP(1)^(-0.5*tbl_CONTENT[[#This Row],[Layer]])) *
 ((tbl_CONTENT[[#This Row],[RelInt]]-1)^(2.5)*4^(1-2.5)+1) +
 ((tbl_CONTENT[[#This Row],[Comp]]-1)^(2.5)*4^(1-2.5)+1)*(0.5*((tbl_CONTENT[[#This Row],[RelInt]]-1)/4)^(2.5)+1),
 0
)</f>
        <v>0</v>
      </c>
      <c r="R287" s="35">
        <f>IFERROR(
 (1.907*EXP(1)^(-0.5*VALUE(tbl_CONTENT[[#This Row],[Layer]]))) *
 ((VALUE(tbl_CONTENT[[#This Row],[RelId]])-1)^(2.5)*4^(1-2.5)+1) +
 ((VALUE(tbl_CONTENT[[#This Row],[Comp]])-1)^(2.5)*4^(1-2.5)+1)*(0.5*((VALUE(tbl_CONTENT[[#This Row],[RelId]])-1)/4)^(2.5)+1),
 0
)</f>
        <v>0</v>
      </c>
    </row>
    <row r="288" spans="3:20" ht="34" x14ac:dyDescent="0.2">
      <c r="C288" s="22" t="str">
        <f>_xlfn.XLOOKUP(tbl_CONTENT[[#This Row],[TopicID]], tbl_TOPIC[TopicID], tbl_TOPIC[Subject], "")</f>
        <v>RG</v>
      </c>
      <c r="D288" s="22" t="str">
        <f xml:space="preserve"> tbl_CONTENT[[#This Row],[TopicID]] &amp; "-" &amp; TEXT(tbl_CONTENT[[#This Row],[TopicIDCount]], "00")</f>
        <v>RG-1-04-07</v>
      </c>
      <c r="F288" s="22" t="str">
        <f>_xlfn.XLOOKUP(tbl_CONTENT[[#This Row],[Topic]], tbl_TOPIC[Topic], tbl_TOPIC[TopicID], "")</f>
        <v>RG-1-04</v>
      </c>
      <c r="G288" s="22" cm="1">
        <f t="array" ref="G288">SUM((tbl_CONTENT[[#This Row],[TopicID]]=INDEX(tbl_CONTENT[TopicID],1):tbl_CONTENT[[#This Row],[TopicID]])*1)</f>
        <v>7</v>
      </c>
      <c r="H288" s="22" t="s">
        <v>501</v>
      </c>
      <c r="I288" s="22" t="s">
        <v>535</v>
      </c>
      <c r="J288" s="22" t="s">
        <v>153</v>
      </c>
      <c r="Q288" s="35">
        <f>IFERROR(
 (1.907*EXP(1)^(-0.5*tbl_CONTENT[[#This Row],[Layer]])) *
 ((tbl_CONTENT[[#This Row],[RelInt]]-1)^(2.5)*4^(1-2.5)+1) +
 ((tbl_CONTENT[[#This Row],[Comp]]-1)^(2.5)*4^(1-2.5)+1)*(0.5*((tbl_CONTENT[[#This Row],[RelInt]]-1)/4)^(2.5)+1),
 0
)</f>
        <v>0</v>
      </c>
      <c r="R288" s="35">
        <f>IFERROR(
 (1.907*EXP(1)^(-0.5*VALUE(tbl_CONTENT[[#This Row],[Layer]]))) *
 ((VALUE(tbl_CONTENT[[#This Row],[RelId]])-1)^(2.5)*4^(1-2.5)+1) +
 ((VALUE(tbl_CONTENT[[#This Row],[Comp]])-1)^(2.5)*4^(1-2.5)+1)*(0.5*((VALUE(tbl_CONTENT[[#This Row],[RelId]])-1)/4)^(2.5)+1),
 0
)</f>
        <v>0</v>
      </c>
    </row>
    <row r="289" spans="3:20" ht="34" x14ac:dyDescent="0.2">
      <c r="C289" s="22" t="str">
        <f>_xlfn.XLOOKUP(tbl_CONTENT[[#This Row],[TopicID]], tbl_TOPIC[TopicID], tbl_TOPIC[Subject], "")</f>
        <v>RG</v>
      </c>
      <c r="D289" s="22" t="str">
        <f xml:space="preserve"> tbl_CONTENT[[#This Row],[TopicID]] &amp; "-" &amp; TEXT(tbl_CONTENT[[#This Row],[TopicIDCount]], "00")</f>
        <v>RG-1-04-08</v>
      </c>
      <c r="F289" s="22" t="str">
        <f>_xlfn.XLOOKUP(tbl_CONTENT[[#This Row],[Topic]], tbl_TOPIC[Topic], tbl_TOPIC[TopicID], "")</f>
        <v>RG-1-04</v>
      </c>
      <c r="G289" s="22" cm="1">
        <f t="array" ref="G289">SUM((tbl_CONTENT[[#This Row],[TopicID]]=INDEX(tbl_CONTENT[TopicID],1):tbl_CONTENT[[#This Row],[TopicID]])*1)</f>
        <v>8</v>
      </c>
      <c r="H289" s="22" t="s">
        <v>501</v>
      </c>
      <c r="I289" s="22" t="s">
        <v>536</v>
      </c>
      <c r="J289" s="22" t="s">
        <v>148</v>
      </c>
      <c r="Q289" s="35">
        <f>IFERROR(
 (1.907*EXP(1)^(-0.5*tbl_CONTENT[[#This Row],[Layer]])) *
 ((tbl_CONTENT[[#This Row],[RelInt]]-1)^(2.5)*4^(1-2.5)+1) +
 ((tbl_CONTENT[[#This Row],[Comp]]-1)^(2.5)*4^(1-2.5)+1)*(0.5*((tbl_CONTENT[[#This Row],[RelInt]]-1)/4)^(2.5)+1),
 0
)</f>
        <v>0</v>
      </c>
      <c r="R289" s="35">
        <f>IFERROR(
 (1.907*EXP(1)^(-0.5*VALUE(tbl_CONTENT[[#This Row],[Layer]]))) *
 ((VALUE(tbl_CONTENT[[#This Row],[RelId]])-1)^(2.5)*4^(1-2.5)+1) +
 ((VALUE(tbl_CONTENT[[#This Row],[Comp]])-1)^(2.5)*4^(1-2.5)+1)*(0.5*((VALUE(tbl_CONTENT[[#This Row],[RelId]])-1)/4)^(2.5)+1),
 0
)</f>
        <v>0</v>
      </c>
    </row>
    <row r="290" spans="3:20" ht="34" x14ac:dyDescent="0.2">
      <c r="C290" s="22" t="str">
        <f>_xlfn.XLOOKUP(tbl_CONTENT[[#This Row],[TopicID]], tbl_TOPIC[TopicID], tbl_TOPIC[Subject], "")</f>
        <v>RG</v>
      </c>
      <c r="D290" s="22" t="str">
        <f xml:space="preserve"> tbl_CONTENT[[#This Row],[TopicID]] &amp; "-" &amp; TEXT(tbl_CONTENT[[#This Row],[TopicIDCount]], "00")</f>
        <v>RG-1-04-09</v>
      </c>
      <c r="F290" s="22" t="str">
        <f>_xlfn.XLOOKUP(tbl_CONTENT[[#This Row],[Topic]], tbl_TOPIC[Topic], tbl_TOPIC[TopicID], "")</f>
        <v>RG-1-04</v>
      </c>
      <c r="G290" s="22" cm="1">
        <f t="array" ref="G290">SUM((tbl_CONTENT[[#This Row],[TopicID]]=INDEX(tbl_CONTENT[TopicID],1):tbl_CONTENT[[#This Row],[TopicID]])*1)</f>
        <v>9</v>
      </c>
      <c r="H290" s="22" t="s">
        <v>501</v>
      </c>
      <c r="I290" s="22" t="s">
        <v>537</v>
      </c>
      <c r="J290" s="22" t="s">
        <v>153</v>
      </c>
      <c r="Q290" s="35">
        <f>IFERROR(
 (1.907*EXP(1)^(-0.5*tbl_CONTENT[[#This Row],[Layer]])) *
 ((tbl_CONTENT[[#This Row],[RelInt]]-1)^(2.5)*4^(1-2.5)+1) +
 ((tbl_CONTENT[[#This Row],[Comp]]-1)^(2.5)*4^(1-2.5)+1)*(0.5*((tbl_CONTENT[[#This Row],[RelInt]]-1)/4)^(2.5)+1),
 0
)</f>
        <v>0</v>
      </c>
      <c r="R290" s="35">
        <f>IFERROR(
 (1.907*EXP(1)^(-0.5*VALUE(tbl_CONTENT[[#This Row],[Layer]]))) *
 ((VALUE(tbl_CONTENT[[#This Row],[RelId]])-1)^(2.5)*4^(1-2.5)+1) +
 ((VALUE(tbl_CONTENT[[#This Row],[Comp]])-1)^(2.5)*4^(1-2.5)+1)*(0.5*((VALUE(tbl_CONTENT[[#This Row],[RelId]])-1)/4)^(2.5)+1),
 0
)</f>
        <v>0</v>
      </c>
    </row>
    <row r="291" spans="3:20" ht="34" x14ac:dyDescent="0.2">
      <c r="C291" s="22" t="str">
        <f>_xlfn.XLOOKUP(tbl_CONTENT[[#This Row],[TopicID]], tbl_TOPIC[TopicID], tbl_TOPIC[Subject], "")</f>
        <v>RG</v>
      </c>
      <c r="D291" s="22" t="str">
        <f xml:space="preserve"> tbl_CONTENT[[#This Row],[TopicID]] &amp; "-" &amp; TEXT(tbl_CONTENT[[#This Row],[TopicIDCount]], "00")</f>
        <v>RG-1-04-10</v>
      </c>
      <c r="F291" s="22" t="str">
        <f>_xlfn.XLOOKUP(tbl_CONTENT[[#This Row],[Topic]], tbl_TOPIC[Topic], tbl_TOPIC[TopicID], "")</f>
        <v>RG-1-04</v>
      </c>
      <c r="G291" s="22" cm="1">
        <f t="array" ref="G291">SUM((tbl_CONTENT[[#This Row],[TopicID]]=INDEX(tbl_CONTENT[TopicID],1):tbl_CONTENT[[#This Row],[TopicID]])*1)</f>
        <v>10</v>
      </c>
      <c r="H291" s="22" t="s">
        <v>501</v>
      </c>
      <c r="I291" s="22" t="s">
        <v>538</v>
      </c>
      <c r="J291" s="22" t="s">
        <v>152</v>
      </c>
      <c r="Q291" s="35">
        <f>IFERROR(
 (1.907*EXP(1)^(-0.5*tbl_CONTENT[[#This Row],[Layer]])) *
 ((tbl_CONTENT[[#This Row],[RelInt]]-1)^(2.5)*4^(1-2.5)+1) +
 ((tbl_CONTENT[[#This Row],[Comp]]-1)^(2.5)*4^(1-2.5)+1)*(0.5*((tbl_CONTENT[[#This Row],[RelInt]]-1)/4)^(2.5)+1),
 0
)</f>
        <v>0</v>
      </c>
      <c r="R291" s="35">
        <f>IFERROR(
 (1.907*EXP(1)^(-0.5*VALUE(tbl_CONTENT[[#This Row],[Layer]]))) *
 ((VALUE(tbl_CONTENT[[#This Row],[RelId]])-1)^(2.5)*4^(1-2.5)+1) +
 ((VALUE(tbl_CONTENT[[#This Row],[Comp]])-1)^(2.5)*4^(1-2.5)+1)*(0.5*((VALUE(tbl_CONTENT[[#This Row],[RelId]])-1)/4)^(2.5)+1),
 0
)</f>
        <v>0</v>
      </c>
    </row>
    <row r="292" spans="3:20" ht="34" x14ac:dyDescent="0.2">
      <c r="C292" s="22" t="str">
        <f>_xlfn.XLOOKUP(tbl_CONTENT[[#This Row],[TopicID]], tbl_TOPIC[TopicID], tbl_TOPIC[Subject], "")</f>
        <v>RG</v>
      </c>
      <c r="D292" s="22" t="str">
        <f xml:space="preserve"> tbl_CONTENT[[#This Row],[TopicID]] &amp; "-" &amp; TEXT(tbl_CONTENT[[#This Row],[TopicIDCount]], "00")</f>
        <v>RG-1-04-11</v>
      </c>
      <c r="F292" s="22" t="str">
        <f>_xlfn.XLOOKUP(tbl_CONTENT[[#This Row],[Topic]], tbl_TOPIC[Topic], tbl_TOPIC[TopicID], "")</f>
        <v>RG-1-04</v>
      </c>
      <c r="G292" s="22" cm="1">
        <f t="array" ref="G292">SUM((tbl_CONTENT[[#This Row],[TopicID]]=INDEX(tbl_CONTENT[TopicID],1):tbl_CONTENT[[#This Row],[TopicID]])*1)</f>
        <v>11</v>
      </c>
      <c r="H292" s="22" t="s">
        <v>501</v>
      </c>
      <c r="I292" s="22" t="s">
        <v>539</v>
      </c>
      <c r="J292" s="22" t="s">
        <v>153</v>
      </c>
      <c r="Q292" s="35">
        <f>IFERROR(
 (1.907*EXP(1)^(-0.5*tbl_CONTENT[[#This Row],[Layer]])) *
 ((tbl_CONTENT[[#This Row],[RelInt]]-1)^(2.5)*4^(1-2.5)+1) +
 ((tbl_CONTENT[[#This Row],[Comp]]-1)^(2.5)*4^(1-2.5)+1)*(0.5*((tbl_CONTENT[[#This Row],[RelInt]]-1)/4)^(2.5)+1),
 0
)</f>
        <v>0</v>
      </c>
      <c r="R292" s="35">
        <f>IFERROR(
 (1.907*EXP(1)^(-0.5*VALUE(tbl_CONTENT[[#This Row],[Layer]]))) *
 ((VALUE(tbl_CONTENT[[#This Row],[RelId]])-1)^(2.5)*4^(1-2.5)+1) +
 ((VALUE(tbl_CONTENT[[#This Row],[Comp]])-1)^(2.5)*4^(1-2.5)+1)*(0.5*((VALUE(tbl_CONTENT[[#This Row],[RelId]])-1)/4)^(2.5)+1),
 0
)</f>
        <v>0</v>
      </c>
    </row>
    <row r="293" spans="3:20" ht="51" x14ac:dyDescent="0.2">
      <c r="C293" s="22" t="str">
        <f>_xlfn.XLOOKUP(tbl_CONTENT[[#This Row],[TopicID]], tbl_TOPIC[TopicID], tbl_TOPIC[Subject], "")</f>
        <v>RG</v>
      </c>
      <c r="D293" s="22" t="str">
        <f xml:space="preserve"> tbl_CONTENT[[#This Row],[TopicID]] &amp; "-" &amp; TEXT(tbl_CONTENT[[#This Row],[TopicIDCount]], "00")</f>
        <v>RG-1-04-12</v>
      </c>
      <c r="F293" s="22" t="str">
        <f>_xlfn.XLOOKUP(tbl_CONTENT[[#This Row],[Topic]], tbl_TOPIC[Topic], tbl_TOPIC[TopicID], "")</f>
        <v>RG-1-04</v>
      </c>
      <c r="G293" s="22" cm="1">
        <f t="array" ref="G293">SUM((tbl_CONTENT[[#This Row],[TopicID]]=INDEX(tbl_CONTENT[TopicID],1):tbl_CONTENT[[#This Row],[TopicID]])*1)</f>
        <v>12</v>
      </c>
      <c r="H293" s="22" t="s">
        <v>501</v>
      </c>
      <c r="I293" s="22" t="s">
        <v>540</v>
      </c>
      <c r="J293" s="22" t="s">
        <v>148</v>
      </c>
      <c r="Q293" s="35">
        <f>IFERROR(
 (1.907*EXP(1)^(-0.5*tbl_CONTENT[[#This Row],[Layer]])) *
 ((tbl_CONTENT[[#This Row],[RelInt]]-1)^(2.5)*4^(1-2.5)+1) +
 ((tbl_CONTENT[[#This Row],[Comp]]-1)^(2.5)*4^(1-2.5)+1)*(0.5*((tbl_CONTENT[[#This Row],[RelInt]]-1)/4)^(2.5)+1),
 0
)</f>
        <v>0</v>
      </c>
      <c r="R293" s="35">
        <f>IFERROR(
 (1.907*EXP(1)^(-0.5*VALUE(tbl_CONTENT[[#This Row],[Layer]]))) *
 ((VALUE(tbl_CONTENT[[#This Row],[RelId]])-1)^(2.5)*4^(1-2.5)+1) +
 ((VALUE(tbl_CONTENT[[#This Row],[Comp]])-1)^(2.5)*4^(1-2.5)+1)*(0.5*((VALUE(tbl_CONTENT[[#This Row],[RelId]])-1)/4)^(2.5)+1),
 0
)</f>
        <v>0</v>
      </c>
    </row>
    <row r="294" spans="3:20" ht="34" x14ac:dyDescent="0.2">
      <c r="C294" s="22" t="str">
        <f>_xlfn.XLOOKUP(tbl_CONTENT[[#This Row],[TopicID]], tbl_TOPIC[TopicID], tbl_TOPIC[Subject], "")</f>
        <v>RG</v>
      </c>
      <c r="D294" s="22" t="str">
        <f xml:space="preserve"> tbl_CONTENT[[#This Row],[TopicID]] &amp; "-" &amp; TEXT(tbl_CONTENT[[#This Row],[TopicIDCount]], "00")</f>
        <v>RG-1-04-13</v>
      </c>
      <c r="F294" s="22" t="str">
        <f>_xlfn.XLOOKUP(tbl_CONTENT[[#This Row],[Topic]], tbl_TOPIC[Topic], tbl_TOPIC[TopicID], "")</f>
        <v>RG-1-04</v>
      </c>
      <c r="G294" s="22" cm="1">
        <f t="array" ref="G294">SUM((tbl_CONTENT[[#This Row],[TopicID]]=INDEX(tbl_CONTENT[TopicID],1):tbl_CONTENT[[#This Row],[TopicID]])*1)</f>
        <v>13</v>
      </c>
      <c r="H294" s="22" t="s">
        <v>501</v>
      </c>
      <c r="I294" s="22" t="s">
        <v>541</v>
      </c>
      <c r="J294" s="22" t="s">
        <v>153</v>
      </c>
      <c r="Q294" s="35">
        <f>IFERROR(
 (1.907*EXP(1)^(-0.5*tbl_CONTENT[[#This Row],[Layer]])) *
 ((tbl_CONTENT[[#This Row],[RelInt]]-1)^(2.5)*4^(1-2.5)+1) +
 ((tbl_CONTENT[[#This Row],[Comp]]-1)^(2.5)*4^(1-2.5)+1)*(0.5*((tbl_CONTENT[[#This Row],[RelInt]]-1)/4)^(2.5)+1),
 0
)</f>
        <v>0</v>
      </c>
      <c r="R294" s="35">
        <f>IFERROR(
 (1.907*EXP(1)^(-0.5*VALUE(tbl_CONTENT[[#This Row],[Layer]]))) *
 ((VALUE(tbl_CONTENT[[#This Row],[RelId]])-1)^(2.5)*4^(1-2.5)+1) +
 ((VALUE(tbl_CONTENT[[#This Row],[Comp]])-1)^(2.5)*4^(1-2.5)+1)*(0.5*((VALUE(tbl_CONTENT[[#This Row],[RelId]])-1)/4)^(2.5)+1),
 0
)</f>
        <v>0</v>
      </c>
      <c r="T294" s="22" t="s">
        <v>542</v>
      </c>
    </row>
    <row r="295" spans="3:20" ht="34" x14ac:dyDescent="0.2">
      <c r="C295" s="22" t="str">
        <f>_xlfn.XLOOKUP(tbl_CONTENT[[#This Row],[TopicID]], tbl_TOPIC[TopicID], tbl_TOPIC[Subject], "")</f>
        <v>RG</v>
      </c>
      <c r="D295" s="22" t="str">
        <f xml:space="preserve"> tbl_CONTENT[[#This Row],[TopicID]] &amp; "-" &amp; TEXT(tbl_CONTENT[[#This Row],[TopicIDCount]], "00")</f>
        <v>RG-1-04-14</v>
      </c>
      <c r="F295" s="22" t="str">
        <f>_xlfn.XLOOKUP(tbl_CONTENT[[#This Row],[Topic]], tbl_TOPIC[Topic], tbl_TOPIC[TopicID], "")</f>
        <v>RG-1-04</v>
      </c>
      <c r="G295" s="22" cm="1">
        <f t="array" ref="G295">SUM((tbl_CONTENT[[#This Row],[TopicID]]=INDEX(tbl_CONTENT[TopicID],1):tbl_CONTENT[[#This Row],[TopicID]])*1)</f>
        <v>14</v>
      </c>
      <c r="H295" s="22" t="s">
        <v>501</v>
      </c>
      <c r="I295" s="22" t="s">
        <v>544</v>
      </c>
      <c r="J295" s="22" t="s">
        <v>153</v>
      </c>
      <c r="Q295" s="35">
        <f>IFERROR(
 (1.907*EXP(1)^(-0.5*tbl_CONTENT[[#This Row],[Layer]])) *
 ((tbl_CONTENT[[#This Row],[RelInt]]-1)^(2.5)*4^(1-2.5)+1) +
 ((tbl_CONTENT[[#This Row],[Comp]]-1)^(2.5)*4^(1-2.5)+1)*(0.5*((tbl_CONTENT[[#This Row],[RelInt]]-1)/4)^(2.5)+1),
 0
)</f>
        <v>0</v>
      </c>
      <c r="R295" s="35">
        <f>IFERROR(
 (1.907*EXP(1)^(-0.5*VALUE(tbl_CONTENT[[#This Row],[Layer]]))) *
 ((VALUE(tbl_CONTENT[[#This Row],[RelId]])-1)^(2.5)*4^(1-2.5)+1) +
 ((VALUE(tbl_CONTENT[[#This Row],[Comp]])-1)^(2.5)*4^(1-2.5)+1)*(0.5*((VALUE(tbl_CONTENT[[#This Row],[RelId]])-1)/4)^(2.5)+1),
 0
)</f>
        <v>0</v>
      </c>
    </row>
    <row r="296" spans="3:20" ht="68" x14ac:dyDescent="0.2">
      <c r="C296" s="22" t="str">
        <f>_xlfn.XLOOKUP(tbl_CONTENT[[#This Row],[TopicID]], tbl_TOPIC[TopicID], tbl_TOPIC[Subject], "")</f>
        <v>RG</v>
      </c>
      <c r="D296" s="22" t="str">
        <f xml:space="preserve"> tbl_CONTENT[[#This Row],[TopicID]] &amp; "-" &amp; TEXT(tbl_CONTENT[[#This Row],[TopicIDCount]], "00")</f>
        <v>RG-1-04-15</v>
      </c>
      <c r="F296" s="22" t="str">
        <f>_xlfn.XLOOKUP(tbl_CONTENT[[#This Row],[Topic]], tbl_TOPIC[Topic], tbl_TOPIC[TopicID], "")</f>
        <v>RG-1-04</v>
      </c>
      <c r="G296" s="22" cm="1">
        <f t="array" ref="G296">SUM((tbl_CONTENT[[#This Row],[TopicID]]=INDEX(tbl_CONTENT[TopicID],1):tbl_CONTENT[[#This Row],[TopicID]])*1)</f>
        <v>15</v>
      </c>
      <c r="H296" s="22" t="s">
        <v>501</v>
      </c>
      <c r="I296" s="22" t="s">
        <v>543</v>
      </c>
      <c r="J296" s="22" t="s">
        <v>148</v>
      </c>
      <c r="Q296" s="35">
        <f>IFERROR(
 (1.907*EXP(1)^(-0.5*tbl_CONTENT[[#This Row],[Layer]])) *
 ((tbl_CONTENT[[#This Row],[RelInt]]-1)^(2.5)*4^(1-2.5)+1) +
 ((tbl_CONTENT[[#This Row],[Comp]]-1)^(2.5)*4^(1-2.5)+1)*(0.5*((tbl_CONTENT[[#This Row],[RelInt]]-1)/4)^(2.5)+1),
 0
)</f>
        <v>0</v>
      </c>
      <c r="R296" s="35">
        <f>IFERROR(
 (1.907*EXP(1)^(-0.5*VALUE(tbl_CONTENT[[#This Row],[Layer]]))) *
 ((VALUE(tbl_CONTENT[[#This Row],[RelId]])-1)^(2.5)*4^(1-2.5)+1) +
 ((VALUE(tbl_CONTENT[[#This Row],[Comp]])-1)^(2.5)*4^(1-2.5)+1)*(0.5*((VALUE(tbl_CONTENT[[#This Row],[RelId]])-1)/4)^(2.5)+1),
 0
)</f>
        <v>0</v>
      </c>
    </row>
    <row r="297" spans="3:20" ht="34" x14ac:dyDescent="0.2">
      <c r="C297" s="22" t="str">
        <f>_xlfn.XLOOKUP(tbl_CONTENT[[#This Row],[TopicID]], tbl_TOPIC[TopicID], tbl_TOPIC[Subject], "")</f>
        <v>RG</v>
      </c>
      <c r="D297" s="22" t="str">
        <f xml:space="preserve"> tbl_CONTENT[[#This Row],[TopicID]] &amp; "-" &amp; TEXT(tbl_CONTENT[[#This Row],[TopicIDCount]], "00")</f>
        <v>RG-1-04-16</v>
      </c>
      <c r="F297" s="22" t="str">
        <f>_xlfn.XLOOKUP(tbl_CONTENT[[#This Row],[Topic]], tbl_TOPIC[Topic], tbl_TOPIC[TopicID], "")</f>
        <v>RG-1-04</v>
      </c>
      <c r="G297" s="22" cm="1">
        <f t="array" ref="G297">SUM((tbl_CONTENT[[#This Row],[TopicID]]=INDEX(tbl_CONTENT[TopicID],1):tbl_CONTENT[[#This Row],[TopicID]])*1)</f>
        <v>16</v>
      </c>
      <c r="H297" s="22" t="s">
        <v>501</v>
      </c>
      <c r="I297" s="22" t="s">
        <v>545</v>
      </c>
      <c r="J297" s="22" t="s">
        <v>153</v>
      </c>
      <c r="Q297" s="35">
        <f>IFERROR(
 (1.907*EXP(1)^(-0.5*tbl_CONTENT[[#This Row],[Layer]])) *
 ((tbl_CONTENT[[#This Row],[RelInt]]-1)^(2.5)*4^(1-2.5)+1) +
 ((tbl_CONTENT[[#This Row],[Comp]]-1)^(2.5)*4^(1-2.5)+1)*(0.5*((tbl_CONTENT[[#This Row],[RelInt]]-1)/4)^(2.5)+1),
 0
)</f>
        <v>0</v>
      </c>
      <c r="R297" s="35">
        <f>IFERROR(
 (1.907*EXP(1)^(-0.5*VALUE(tbl_CONTENT[[#This Row],[Layer]]))) *
 ((VALUE(tbl_CONTENT[[#This Row],[RelId]])-1)^(2.5)*4^(1-2.5)+1) +
 ((VALUE(tbl_CONTENT[[#This Row],[Comp]])-1)^(2.5)*4^(1-2.5)+1)*(0.5*((VALUE(tbl_CONTENT[[#This Row],[RelId]])-1)/4)^(2.5)+1),
 0
)</f>
        <v>0</v>
      </c>
    </row>
    <row r="298" spans="3:20" ht="17" x14ac:dyDescent="0.2">
      <c r="C298" s="22" t="str">
        <f>_xlfn.XLOOKUP(tbl_CONTENT[[#This Row],[TopicID]], tbl_TOPIC[TopicID], tbl_TOPIC[Subject], "")</f>
        <v>RG</v>
      </c>
      <c r="D298" s="22" t="str">
        <f xml:space="preserve"> tbl_CONTENT[[#This Row],[TopicID]] &amp; "-" &amp; TEXT(tbl_CONTENT[[#This Row],[TopicIDCount]], "00")</f>
        <v>RG-1-05-01</v>
      </c>
      <c r="F298" s="22" t="str">
        <f>_xlfn.XLOOKUP(tbl_CONTENT[[#This Row],[Topic]], tbl_TOPIC[Topic], tbl_TOPIC[TopicID], "")</f>
        <v>RG-1-05</v>
      </c>
      <c r="G298" s="22" cm="1">
        <f t="array" ref="G298">SUM((tbl_CONTENT[[#This Row],[TopicID]]=INDEX(tbl_CONTENT[TopicID],1):tbl_CONTENT[[#This Row],[TopicID]])*1)</f>
        <v>1</v>
      </c>
      <c r="H298" s="22" t="s">
        <v>502</v>
      </c>
      <c r="I298" s="22" t="s">
        <v>546</v>
      </c>
      <c r="J298" s="22" t="s">
        <v>153</v>
      </c>
      <c r="Q298" s="35">
        <f>IFERROR(
 (1.907*EXP(1)^(-0.5*tbl_CONTENT[[#This Row],[Layer]])) *
 ((tbl_CONTENT[[#This Row],[RelInt]]-1)^(2.5)*4^(1-2.5)+1) +
 ((tbl_CONTENT[[#This Row],[Comp]]-1)^(2.5)*4^(1-2.5)+1)*(0.5*((tbl_CONTENT[[#This Row],[RelInt]]-1)/4)^(2.5)+1),
 0
)</f>
        <v>0</v>
      </c>
      <c r="R298" s="35">
        <f>IFERROR(
 (1.907*EXP(1)^(-0.5*VALUE(tbl_CONTENT[[#This Row],[Layer]]))) *
 ((VALUE(tbl_CONTENT[[#This Row],[RelId]])-1)^(2.5)*4^(1-2.5)+1) +
 ((VALUE(tbl_CONTENT[[#This Row],[Comp]])-1)^(2.5)*4^(1-2.5)+1)*(0.5*((VALUE(tbl_CONTENT[[#This Row],[RelId]])-1)/4)^(2.5)+1),
 0
)</f>
        <v>0</v>
      </c>
    </row>
    <row r="299" spans="3:20" ht="17" x14ac:dyDescent="0.2">
      <c r="C299" s="22" t="str">
        <f>_xlfn.XLOOKUP(tbl_CONTENT[[#This Row],[TopicID]], tbl_TOPIC[TopicID], tbl_TOPIC[Subject], "")</f>
        <v>RG</v>
      </c>
      <c r="D299" s="22" t="str">
        <f xml:space="preserve"> tbl_CONTENT[[#This Row],[TopicID]] &amp; "-" &amp; TEXT(tbl_CONTENT[[#This Row],[TopicIDCount]], "00")</f>
        <v>RG-1-05-02</v>
      </c>
      <c r="F299" s="22" t="str">
        <f>_xlfn.XLOOKUP(tbl_CONTENT[[#This Row],[Topic]], tbl_TOPIC[Topic], tbl_TOPIC[TopicID], "")</f>
        <v>RG-1-05</v>
      </c>
      <c r="G299" s="22" cm="1">
        <f t="array" ref="G299">SUM((tbl_CONTENT[[#This Row],[TopicID]]=INDEX(tbl_CONTENT[TopicID],1):tbl_CONTENT[[#This Row],[TopicID]])*1)</f>
        <v>2</v>
      </c>
      <c r="H299" s="22" t="s">
        <v>502</v>
      </c>
      <c r="I299" s="22" t="s">
        <v>547</v>
      </c>
      <c r="J299" s="22" t="s">
        <v>153</v>
      </c>
      <c r="Q299" s="35">
        <f>IFERROR(
 (1.907*EXP(1)^(-0.5*tbl_CONTENT[[#This Row],[Layer]])) *
 ((tbl_CONTENT[[#This Row],[RelInt]]-1)^(2.5)*4^(1-2.5)+1) +
 ((tbl_CONTENT[[#This Row],[Comp]]-1)^(2.5)*4^(1-2.5)+1)*(0.5*((tbl_CONTENT[[#This Row],[RelInt]]-1)/4)^(2.5)+1),
 0
)</f>
        <v>0</v>
      </c>
      <c r="R299" s="35">
        <f>IFERROR(
 (1.907*EXP(1)^(-0.5*VALUE(tbl_CONTENT[[#This Row],[Layer]]))) *
 ((VALUE(tbl_CONTENT[[#This Row],[RelId]])-1)^(2.5)*4^(1-2.5)+1) +
 ((VALUE(tbl_CONTENT[[#This Row],[Comp]])-1)^(2.5)*4^(1-2.5)+1)*(0.5*((VALUE(tbl_CONTENT[[#This Row],[RelId]])-1)/4)^(2.5)+1),
 0
)</f>
        <v>0</v>
      </c>
    </row>
    <row r="300" spans="3:20" ht="17" x14ac:dyDescent="0.2">
      <c r="C300" s="22" t="str">
        <f>_xlfn.XLOOKUP(tbl_CONTENT[[#This Row],[TopicID]], tbl_TOPIC[TopicID], tbl_TOPIC[Subject], "")</f>
        <v>RG</v>
      </c>
      <c r="D300" s="22" t="str">
        <f xml:space="preserve"> tbl_CONTENT[[#This Row],[TopicID]] &amp; "-" &amp; TEXT(tbl_CONTENT[[#This Row],[TopicIDCount]], "00")</f>
        <v>RG-1-05-03</v>
      </c>
      <c r="F300" s="22" t="str">
        <f>_xlfn.XLOOKUP(tbl_CONTENT[[#This Row],[Topic]], tbl_TOPIC[Topic], tbl_TOPIC[TopicID], "")</f>
        <v>RG-1-05</v>
      </c>
      <c r="G300" s="22" cm="1">
        <f t="array" ref="G300">SUM((tbl_CONTENT[[#This Row],[TopicID]]=INDEX(tbl_CONTENT[TopicID],1):tbl_CONTENT[[#This Row],[TopicID]])*1)</f>
        <v>3</v>
      </c>
      <c r="H300" s="22" t="s">
        <v>502</v>
      </c>
      <c r="I300" s="22" t="s">
        <v>548</v>
      </c>
      <c r="J300" s="22" t="s">
        <v>153</v>
      </c>
      <c r="Q300" s="35">
        <f>IFERROR(
 (1.907*EXP(1)^(-0.5*tbl_CONTENT[[#This Row],[Layer]])) *
 ((tbl_CONTENT[[#This Row],[RelInt]]-1)^(2.5)*4^(1-2.5)+1) +
 ((tbl_CONTENT[[#This Row],[Comp]]-1)^(2.5)*4^(1-2.5)+1)*(0.5*((tbl_CONTENT[[#This Row],[RelInt]]-1)/4)^(2.5)+1),
 0
)</f>
        <v>0</v>
      </c>
      <c r="R300" s="35">
        <f>IFERROR(
 (1.907*EXP(1)^(-0.5*VALUE(tbl_CONTENT[[#This Row],[Layer]]))) *
 ((VALUE(tbl_CONTENT[[#This Row],[RelId]])-1)^(2.5)*4^(1-2.5)+1) +
 ((VALUE(tbl_CONTENT[[#This Row],[Comp]])-1)^(2.5)*4^(1-2.5)+1)*(0.5*((VALUE(tbl_CONTENT[[#This Row],[RelId]])-1)/4)^(2.5)+1),
 0
)</f>
        <v>0</v>
      </c>
    </row>
    <row r="301" spans="3:20" ht="17" x14ac:dyDescent="0.2">
      <c r="C301" s="22" t="str">
        <f>_xlfn.XLOOKUP(tbl_CONTENT[[#This Row],[TopicID]], tbl_TOPIC[TopicID], tbl_TOPIC[Subject], "")</f>
        <v>RG</v>
      </c>
      <c r="D301" s="22" t="str">
        <f xml:space="preserve"> tbl_CONTENT[[#This Row],[TopicID]] &amp; "-" &amp; TEXT(tbl_CONTENT[[#This Row],[TopicIDCount]], "00")</f>
        <v>RG-1-05-04</v>
      </c>
      <c r="F301" s="22" t="str">
        <f>_xlfn.XLOOKUP(tbl_CONTENT[[#This Row],[Topic]], tbl_TOPIC[Topic], tbl_TOPIC[TopicID], "")</f>
        <v>RG-1-05</v>
      </c>
      <c r="G301" s="22" cm="1">
        <f t="array" ref="G301">SUM((tbl_CONTENT[[#This Row],[TopicID]]=INDEX(tbl_CONTENT[TopicID],1):tbl_CONTENT[[#This Row],[TopicID]])*1)</f>
        <v>4</v>
      </c>
      <c r="H301" s="22" t="s">
        <v>502</v>
      </c>
      <c r="I301" s="22" t="s">
        <v>549</v>
      </c>
      <c r="J301" s="22" t="s">
        <v>148</v>
      </c>
      <c r="Q301" s="35">
        <f>IFERROR(
 (1.907*EXP(1)^(-0.5*tbl_CONTENT[[#This Row],[Layer]])) *
 ((tbl_CONTENT[[#This Row],[RelInt]]-1)^(2.5)*4^(1-2.5)+1) +
 ((tbl_CONTENT[[#This Row],[Comp]]-1)^(2.5)*4^(1-2.5)+1)*(0.5*((tbl_CONTENT[[#This Row],[RelInt]]-1)/4)^(2.5)+1),
 0
)</f>
        <v>0</v>
      </c>
      <c r="R301" s="35">
        <f>IFERROR(
 (1.907*EXP(1)^(-0.5*VALUE(tbl_CONTENT[[#This Row],[Layer]]))) *
 ((VALUE(tbl_CONTENT[[#This Row],[RelId]])-1)^(2.5)*4^(1-2.5)+1) +
 ((VALUE(tbl_CONTENT[[#This Row],[Comp]])-1)^(2.5)*4^(1-2.5)+1)*(0.5*((VALUE(tbl_CONTENT[[#This Row],[RelId]])-1)/4)^(2.5)+1),
 0
)</f>
        <v>0</v>
      </c>
    </row>
    <row r="302" spans="3:20" ht="34" x14ac:dyDescent="0.2">
      <c r="C302" s="22" t="str">
        <f>_xlfn.XLOOKUP(tbl_CONTENT[[#This Row],[TopicID]], tbl_TOPIC[TopicID], tbl_TOPIC[Subject], "")</f>
        <v>RG</v>
      </c>
      <c r="D302" s="22" t="str">
        <f xml:space="preserve"> tbl_CONTENT[[#This Row],[TopicID]] &amp; "-" &amp; TEXT(tbl_CONTENT[[#This Row],[TopicIDCount]], "00")</f>
        <v>RG-1-05-05</v>
      </c>
      <c r="F302" s="22" t="str">
        <f>_xlfn.XLOOKUP(tbl_CONTENT[[#This Row],[Topic]], tbl_TOPIC[Topic], tbl_TOPIC[TopicID], "")</f>
        <v>RG-1-05</v>
      </c>
      <c r="G302" s="22" cm="1">
        <f t="array" ref="G302">SUM((tbl_CONTENT[[#This Row],[TopicID]]=INDEX(tbl_CONTENT[TopicID],1):tbl_CONTENT[[#This Row],[TopicID]])*1)</f>
        <v>5</v>
      </c>
      <c r="H302" s="22" t="s">
        <v>502</v>
      </c>
      <c r="I302" s="22" t="s">
        <v>550</v>
      </c>
      <c r="J302" s="22" t="s">
        <v>148</v>
      </c>
      <c r="Q302" s="35">
        <f>IFERROR(
 (1.907*EXP(1)^(-0.5*tbl_CONTENT[[#This Row],[Layer]])) *
 ((tbl_CONTENT[[#This Row],[RelInt]]-1)^(2.5)*4^(1-2.5)+1) +
 ((tbl_CONTENT[[#This Row],[Comp]]-1)^(2.5)*4^(1-2.5)+1)*(0.5*((tbl_CONTENT[[#This Row],[RelInt]]-1)/4)^(2.5)+1),
 0
)</f>
        <v>0</v>
      </c>
      <c r="R302" s="35">
        <f>IFERROR(
 (1.907*EXP(1)^(-0.5*VALUE(tbl_CONTENT[[#This Row],[Layer]]))) *
 ((VALUE(tbl_CONTENT[[#This Row],[RelId]])-1)^(2.5)*4^(1-2.5)+1) +
 ((VALUE(tbl_CONTENT[[#This Row],[Comp]])-1)^(2.5)*4^(1-2.5)+1)*(0.5*((VALUE(tbl_CONTENT[[#This Row],[RelId]])-1)/4)^(2.5)+1),
 0
)</f>
        <v>0</v>
      </c>
    </row>
    <row r="303" spans="3:20" ht="17" x14ac:dyDescent="0.2">
      <c r="C303" s="22" t="str">
        <f>_xlfn.XLOOKUP(tbl_CONTENT[[#This Row],[TopicID]], tbl_TOPIC[TopicID], tbl_TOPIC[Subject], "")</f>
        <v>RG</v>
      </c>
      <c r="D303" s="22" t="str">
        <f xml:space="preserve"> tbl_CONTENT[[#This Row],[TopicID]] &amp; "-" &amp; TEXT(tbl_CONTENT[[#This Row],[TopicIDCount]], "00")</f>
        <v>RG-1-05-06</v>
      </c>
      <c r="F303" s="22" t="str">
        <f>_xlfn.XLOOKUP(tbl_CONTENT[[#This Row],[Topic]], tbl_TOPIC[Topic], tbl_TOPIC[TopicID], "")</f>
        <v>RG-1-05</v>
      </c>
      <c r="G303" s="22" cm="1">
        <f t="array" ref="G303">SUM((tbl_CONTENT[[#This Row],[TopicID]]=INDEX(tbl_CONTENT[TopicID],1):tbl_CONTENT[[#This Row],[TopicID]])*1)</f>
        <v>6</v>
      </c>
      <c r="H303" s="22" t="s">
        <v>502</v>
      </c>
      <c r="I303" s="22" t="s">
        <v>551</v>
      </c>
      <c r="J303" s="22" t="s">
        <v>153</v>
      </c>
      <c r="Q303" s="35">
        <f>IFERROR(
 (1.907*EXP(1)^(-0.5*tbl_CONTENT[[#This Row],[Layer]])) *
 ((tbl_CONTENT[[#This Row],[RelInt]]-1)^(2.5)*4^(1-2.5)+1) +
 ((tbl_CONTENT[[#This Row],[Comp]]-1)^(2.5)*4^(1-2.5)+1)*(0.5*((tbl_CONTENT[[#This Row],[RelInt]]-1)/4)^(2.5)+1),
 0
)</f>
        <v>0</v>
      </c>
      <c r="R303" s="35">
        <f>IFERROR(
 (1.907*EXP(1)^(-0.5*VALUE(tbl_CONTENT[[#This Row],[Layer]]))) *
 ((VALUE(tbl_CONTENT[[#This Row],[RelId]])-1)^(2.5)*4^(1-2.5)+1) +
 ((VALUE(tbl_CONTENT[[#This Row],[Comp]])-1)^(2.5)*4^(1-2.5)+1)*(0.5*((VALUE(tbl_CONTENT[[#This Row],[RelId]])-1)/4)^(2.5)+1),
 0
)</f>
        <v>0</v>
      </c>
    </row>
    <row r="304" spans="3:20" ht="85" x14ac:dyDescent="0.2">
      <c r="C304" s="22" t="str">
        <f>_xlfn.XLOOKUP(tbl_CONTENT[[#This Row],[TopicID]], tbl_TOPIC[TopicID], tbl_TOPIC[Subject], "")</f>
        <v>RG</v>
      </c>
      <c r="D304" s="22" t="str">
        <f xml:space="preserve"> tbl_CONTENT[[#This Row],[TopicID]] &amp; "-" &amp; TEXT(tbl_CONTENT[[#This Row],[TopicIDCount]], "00")</f>
        <v>RG-1-05-07</v>
      </c>
      <c r="F304" s="22" t="str">
        <f>_xlfn.XLOOKUP(tbl_CONTENT[[#This Row],[Topic]], tbl_TOPIC[Topic], tbl_TOPIC[TopicID], "")</f>
        <v>RG-1-05</v>
      </c>
      <c r="G304" s="22" cm="1">
        <f t="array" ref="G304">SUM((tbl_CONTENT[[#This Row],[TopicID]]=INDEX(tbl_CONTENT[TopicID],1):tbl_CONTENT[[#This Row],[TopicID]])*1)</f>
        <v>7</v>
      </c>
      <c r="H304" s="22" t="s">
        <v>502</v>
      </c>
      <c r="I304" s="22" t="s">
        <v>552</v>
      </c>
      <c r="J304" s="22" t="s">
        <v>148</v>
      </c>
      <c r="Q304" s="35">
        <f>IFERROR(
 (1.907*EXP(1)^(-0.5*tbl_CONTENT[[#This Row],[Layer]])) *
 ((tbl_CONTENT[[#This Row],[RelInt]]-1)^(2.5)*4^(1-2.5)+1) +
 ((tbl_CONTENT[[#This Row],[Comp]]-1)^(2.5)*4^(1-2.5)+1)*(0.5*((tbl_CONTENT[[#This Row],[RelInt]]-1)/4)^(2.5)+1),
 0
)</f>
        <v>0</v>
      </c>
      <c r="R304" s="35">
        <f>IFERROR(
 (1.907*EXP(1)^(-0.5*VALUE(tbl_CONTENT[[#This Row],[Layer]]))) *
 ((VALUE(tbl_CONTENT[[#This Row],[RelId]])-1)^(2.5)*4^(1-2.5)+1) +
 ((VALUE(tbl_CONTENT[[#This Row],[Comp]])-1)^(2.5)*4^(1-2.5)+1)*(0.5*((VALUE(tbl_CONTENT[[#This Row],[RelId]])-1)/4)^(2.5)+1),
 0
)</f>
        <v>0</v>
      </c>
    </row>
    <row r="305" spans="3:18" ht="34" x14ac:dyDescent="0.2">
      <c r="C305" s="22" t="str">
        <f>_xlfn.XLOOKUP(tbl_CONTENT[[#This Row],[TopicID]], tbl_TOPIC[TopicID], tbl_TOPIC[Subject], "")</f>
        <v>RG</v>
      </c>
      <c r="D305" s="22" t="str">
        <f xml:space="preserve"> tbl_CONTENT[[#This Row],[TopicID]] &amp; "-" &amp; TEXT(tbl_CONTENT[[#This Row],[TopicIDCount]], "00")</f>
        <v>RG-1-05-08</v>
      </c>
      <c r="F305" s="22" t="str">
        <f>_xlfn.XLOOKUP(tbl_CONTENT[[#This Row],[Topic]], tbl_TOPIC[Topic], tbl_TOPIC[TopicID], "")</f>
        <v>RG-1-05</v>
      </c>
      <c r="G305" s="22" cm="1">
        <f t="array" ref="G305">SUM((tbl_CONTENT[[#This Row],[TopicID]]=INDEX(tbl_CONTENT[TopicID],1):tbl_CONTENT[[#This Row],[TopicID]])*1)</f>
        <v>8</v>
      </c>
      <c r="H305" s="22" t="s">
        <v>502</v>
      </c>
      <c r="I305" s="22" t="s">
        <v>553</v>
      </c>
      <c r="J305" s="22" t="s">
        <v>152</v>
      </c>
      <c r="Q305" s="35">
        <f>IFERROR(
 (1.907*EXP(1)^(-0.5*tbl_CONTENT[[#This Row],[Layer]])) *
 ((tbl_CONTENT[[#This Row],[RelInt]]-1)^(2.5)*4^(1-2.5)+1) +
 ((tbl_CONTENT[[#This Row],[Comp]]-1)^(2.5)*4^(1-2.5)+1)*(0.5*((tbl_CONTENT[[#This Row],[RelInt]]-1)/4)^(2.5)+1),
 0
)</f>
        <v>0</v>
      </c>
      <c r="R305" s="35">
        <f>IFERROR(
 (1.907*EXP(1)^(-0.5*VALUE(tbl_CONTENT[[#This Row],[Layer]]))) *
 ((VALUE(tbl_CONTENT[[#This Row],[RelId]])-1)^(2.5)*4^(1-2.5)+1) +
 ((VALUE(tbl_CONTENT[[#This Row],[Comp]])-1)^(2.5)*4^(1-2.5)+1)*(0.5*((VALUE(tbl_CONTENT[[#This Row],[RelId]])-1)/4)^(2.5)+1),
 0
)</f>
        <v>0</v>
      </c>
    </row>
    <row r="306" spans="3:18" ht="17" x14ac:dyDescent="0.2">
      <c r="C306" s="22" t="str">
        <f>_xlfn.XLOOKUP(tbl_CONTENT[[#This Row],[TopicID]], tbl_TOPIC[TopicID], tbl_TOPIC[Subject], "")</f>
        <v>RG</v>
      </c>
      <c r="D306" s="22" t="str">
        <f xml:space="preserve"> tbl_CONTENT[[#This Row],[TopicID]] &amp; "-" &amp; TEXT(tbl_CONTENT[[#This Row],[TopicIDCount]], "00")</f>
        <v>RG-1-05-09</v>
      </c>
      <c r="F306" s="22" t="str">
        <f>_xlfn.XLOOKUP(tbl_CONTENT[[#This Row],[Topic]], tbl_TOPIC[Topic], tbl_TOPIC[TopicID], "")</f>
        <v>RG-1-05</v>
      </c>
      <c r="G306" s="22" cm="1">
        <f t="array" ref="G306">SUM((tbl_CONTENT[[#This Row],[TopicID]]=INDEX(tbl_CONTENT[TopicID],1):tbl_CONTENT[[#This Row],[TopicID]])*1)</f>
        <v>9</v>
      </c>
      <c r="H306" s="22" t="s">
        <v>502</v>
      </c>
      <c r="I306" s="22" t="s">
        <v>1588</v>
      </c>
      <c r="J306" s="22" t="s">
        <v>181</v>
      </c>
      <c r="Q306" s="35">
        <f>IFERROR(
 (1.907*EXP(1)^(-0.5*tbl_CONTENT[[#This Row],[Layer]])) *
 ((tbl_CONTENT[[#This Row],[RelInt]]-1)^(2.5)*4^(1-2.5)+1) +
 ((tbl_CONTENT[[#This Row],[Comp]]-1)^(2.5)*4^(1-2.5)+1)*(0.5*((tbl_CONTENT[[#This Row],[RelInt]]-1)/4)^(2.5)+1),
 0
)</f>
        <v>0</v>
      </c>
      <c r="R306" s="35">
        <f>IFERROR(
 (1.907*EXP(1)^(-0.5*VALUE(tbl_CONTENT[[#This Row],[Layer]]))) *
 ((VALUE(tbl_CONTENT[[#This Row],[RelId]])-1)^(2.5)*4^(1-2.5)+1) +
 ((VALUE(tbl_CONTENT[[#This Row],[Comp]])-1)^(2.5)*4^(1-2.5)+1)*(0.5*((VALUE(tbl_CONTENT[[#This Row],[RelId]])-1)/4)^(2.5)+1),
 0
)</f>
        <v>0</v>
      </c>
    </row>
    <row r="307" spans="3:18" ht="17" x14ac:dyDescent="0.2">
      <c r="C307" s="22" t="str">
        <f>_xlfn.XLOOKUP(tbl_CONTENT[[#This Row],[TopicID]], tbl_TOPIC[TopicID], tbl_TOPIC[Subject], "")</f>
        <v>RG</v>
      </c>
      <c r="D307" s="22" t="str">
        <f xml:space="preserve"> tbl_CONTENT[[#This Row],[TopicID]] &amp; "-" &amp; TEXT(tbl_CONTENT[[#This Row],[TopicIDCount]], "00")</f>
        <v>RG-1-05-10</v>
      </c>
      <c r="F307" s="22" t="str">
        <f>_xlfn.XLOOKUP(tbl_CONTENT[[#This Row],[Topic]], tbl_TOPIC[Topic], tbl_TOPIC[TopicID], "")</f>
        <v>RG-1-05</v>
      </c>
      <c r="G307" s="22" cm="1">
        <f t="array" ref="G307">SUM((tbl_CONTENT[[#This Row],[TopicID]]=INDEX(tbl_CONTENT[TopicID],1):tbl_CONTENT[[#This Row],[TopicID]])*1)</f>
        <v>10</v>
      </c>
      <c r="H307" s="22" t="s">
        <v>502</v>
      </c>
      <c r="I307" s="22" t="s">
        <v>554</v>
      </c>
      <c r="J307" s="22" t="s">
        <v>153</v>
      </c>
      <c r="Q307" s="35">
        <f>IFERROR(
 (1.907*EXP(1)^(-0.5*tbl_CONTENT[[#This Row],[Layer]])) *
 ((tbl_CONTENT[[#This Row],[RelInt]]-1)^(2.5)*4^(1-2.5)+1) +
 ((tbl_CONTENT[[#This Row],[Comp]]-1)^(2.5)*4^(1-2.5)+1)*(0.5*((tbl_CONTENT[[#This Row],[RelInt]]-1)/4)^(2.5)+1),
 0
)</f>
        <v>0</v>
      </c>
      <c r="R307" s="35">
        <f>IFERROR(
 (1.907*EXP(1)^(-0.5*VALUE(tbl_CONTENT[[#This Row],[Layer]]))) *
 ((VALUE(tbl_CONTENT[[#This Row],[RelId]])-1)^(2.5)*4^(1-2.5)+1) +
 ((VALUE(tbl_CONTENT[[#This Row],[Comp]])-1)^(2.5)*4^(1-2.5)+1)*(0.5*((VALUE(tbl_CONTENT[[#This Row],[RelId]])-1)/4)^(2.5)+1),
 0
)</f>
        <v>0</v>
      </c>
    </row>
    <row r="308" spans="3:18" ht="17" x14ac:dyDescent="0.2">
      <c r="C308" s="22" t="str">
        <f>_xlfn.XLOOKUP(tbl_CONTENT[[#This Row],[TopicID]], tbl_TOPIC[TopicID], tbl_TOPIC[Subject], "")</f>
        <v>RG</v>
      </c>
      <c r="D308" s="22" t="str">
        <f xml:space="preserve"> tbl_CONTENT[[#This Row],[TopicID]] &amp; "-" &amp; TEXT(tbl_CONTENT[[#This Row],[TopicIDCount]], "00")</f>
        <v>RG-1-05-11</v>
      </c>
      <c r="F308" s="22" t="str">
        <f>_xlfn.XLOOKUP(tbl_CONTENT[[#This Row],[Topic]], tbl_TOPIC[Topic], tbl_TOPIC[TopicID], "")</f>
        <v>RG-1-05</v>
      </c>
      <c r="G308" s="22" cm="1">
        <f t="array" ref="G308">SUM((tbl_CONTENT[[#This Row],[TopicID]]=INDEX(tbl_CONTENT[TopicID],1):tbl_CONTENT[[#This Row],[TopicID]])*1)</f>
        <v>11</v>
      </c>
      <c r="H308" s="22" t="s">
        <v>502</v>
      </c>
      <c r="I308" s="22" t="s">
        <v>555</v>
      </c>
      <c r="J308" s="22" t="s">
        <v>153</v>
      </c>
      <c r="Q308" s="35">
        <f>IFERROR(
 (1.907*EXP(1)^(-0.5*tbl_CONTENT[[#This Row],[Layer]])) *
 ((tbl_CONTENT[[#This Row],[RelInt]]-1)^(2.5)*4^(1-2.5)+1) +
 ((tbl_CONTENT[[#This Row],[Comp]]-1)^(2.5)*4^(1-2.5)+1)*(0.5*((tbl_CONTENT[[#This Row],[RelInt]]-1)/4)^(2.5)+1),
 0
)</f>
        <v>0</v>
      </c>
      <c r="R308" s="35">
        <f>IFERROR(
 (1.907*EXP(1)^(-0.5*VALUE(tbl_CONTENT[[#This Row],[Layer]]))) *
 ((VALUE(tbl_CONTENT[[#This Row],[RelId]])-1)^(2.5)*4^(1-2.5)+1) +
 ((VALUE(tbl_CONTENT[[#This Row],[Comp]])-1)^(2.5)*4^(1-2.5)+1)*(0.5*((VALUE(tbl_CONTENT[[#This Row],[RelId]])-1)/4)^(2.5)+1),
 0
)</f>
        <v>0</v>
      </c>
    </row>
    <row r="309" spans="3:18" ht="34" x14ac:dyDescent="0.2">
      <c r="C309" s="22" t="str">
        <f>_xlfn.XLOOKUP(tbl_CONTENT[[#This Row],[TopicID]], tbl_TOPIC[TopicID], tbl_TOPIC[Subject], "")</f>
        <v>RG</v>
      </c>
      <c r="D309" s="22" t="str">
        <f xml:space="preserve"> tbl_CONTENT[[#This Row],[TopicID]] &amp; "-" &amp; TEXT(tbl_CONTENT[[#This Row],[TopicIDCount]], "00")</f>
        <v>RG-1-05-12</v>
      </c>
      <c r="F309" s="22" t="str">
        <f>_xlfn.XLOOKUP(tbl_CONTENT[[#This Row],[Topic]], tbl_TOPIC[Topic], tbl_TOPIC[TopicID], "")</f>
        <v>RG-1-05</v>
      </c>
      <c r="G309" s="22" cm="1">
        <f t="array" ref="G309">SUM((tbl_CONTENT[[#This Row],[TopicID]]=INDEX(tbl_CONTENT[TopicID],1):tbl_CONTENT[[#This Row],[TopicID]])*1)</f>
        <v>12</v>
      </c>
      <c r="H309" s="22" t="s">
        <v>502</v>
      </c>
      <c r="I309" s="22" t="s">
        <v>556</v>
      </c>
      <c r="J309" s="22" t="s">
        <v>181</v>
      </c>
      <c r="Q309" s="35">
        <f>IFERROR(
 (1.907*EXP(1)^(-0.5*tbl_CONTENT[[#This Row],[Layer]])) *
 ((tbl_CONTENT[[#This Row],[RelInt]]-1)^(2.5)*4^(1-2.5)+1) +
 ((tbl_CONTENT[[#This Row],[Comp]]-1)^(2.5)*4^(1-2.5)+1)*(0.5*((tbl_CONTENT[[#This Row],[RelInt]]-1)/4)^(2.5)+1),
 0
)</f>
        <v>0</v>
      </c>
      <c r="R309" s="35">
        <f>IFERROR(
 (1.907*EXP(1)^(-0.5*VALUE(tbl_CONTENT[[#This Row],[Layer]]))) *
 ((VALUE(tbl_CONTENT[[#This Row],[RelId]])-1)^(2.5)*4^(1-2.5)+1) +
 ((VALUE(tbl_CONTENT[[#This Row],[Comp]])-1)^(2.5)*4^(1-2.5)+1)*(0.5*((VALUE(tbl_CONTENT[[#This Row],[RelId]])-1)/4)^(2.5)+1),
 0
)</f>
        <v>0</v>
      </c>
    </row>
    <row r="310" spans="3:18" ht="34" x14ac:dyDescent="0.2">
      <c r="C310" s="22" t="str">
        <f>_xlfn.XLOOKUP(tbl_CONTENT[[#This Row],[TopicID]], tbl_TOPIC[TopicID], tbl_TOPIC[Subject], "")</f>
        <v>RG</v>
      </c>
      <c r="D310" s="22" t="str">
        <f xml:space="preserve"> tbl_CONTENT[[#This Row],[TopicID]] &amp; "-" &amp; TEXT(tbl_CONTENT[[#This Row],[TopicIDCount]], "00")</f>
        <v>RG-1-05-13</v>
      </c>
      <c r="F310" s="22" t="str">
        <f>_xlfn.XLOOKUP(tbl_CONTENT[[#This Row],[Topic]], tbl_TOPIC[Topic], tbl_TOPIC[TopicID], "")</f>
        <v>RG-1-05</v>
      </c>
      <c r="G310" s="22" cm="1">
        <f t="array" ref="G310">SUM((tbl_CONTENT[[#This Row],[TopicID]]=INDEX(tbl_CONTENT[TopicID],1):tbl_CONTENT[[#This Row],[TopicID]])*1)</f>
        <v>13</v>
      </c>
      <c r="H310" s="22" t="s">
        <v>502</v>
      </c>
      <c r="I310" s="22" t="s">
        <v>557</v>
      </c>
      <c r="J310" s="22" t="s">
        <v>148</v>
      </c>
      <c r="Q310" s="35">
        <f>IFERROR(
 (1.907*EXP(1)^(-0.5*tbl_CONTENT[[#This Row],[Layer]])) *
 ((tbl_CONTENT[[#This Row],[RelInt]]-1)^(2.5)*4^(1-2.5)+1) +
 ((tbl_CONTENT[[#This Row],[Comp]]-1)^(2.5)*4^(1-2.5)+1)*(0.5*((tbl_CONTENT[[#This Row],[RelInt]]-1)/4)^(2.5)+1),
 0
)</f>
        <v>0</v>
      </c>
      <c r="R310" s="35">
        <f>IFERROR(
 (1.907*EXP(1)^(-0.5*VALUE(tbl_CONTENT[[#This Row],[Layer]]))) *
 ((VALUE(tbl_CONTENT[[#This Row],[RelId]])-1)^(2.5)*4^(1-2.5)+1) +
 ((VALUE(tbl_CONTENT[[#This Row],[Comp]])-1)^(2.5)*4^(1-2.5)+1)*(0.5*((VALUE(tbl_CONTENT[[#This Row],[RelId]])-1)/4)^(2.5)+1),
 0
)</f>
        <v>0</v>
      </c>
    </row>
    <row r="311" spans="3:18" ht="51" x14ac:dyDescent="0.2">
      <c r="C311" s="22" t="str">
        <f>_xlfn.XLOOKUP(tbl_CONTENT[[#This Row],[TopicID]], tbl_TOPIC[TopicID], tbl_TOPIC[Subject], "")</f>
        <v>RG</v>
      </c>
      <c r="D311" s="22" t="str">
        <f xml:space="preserve"> tbl_CONTENT[[#This Row],[TopicID]] &amp; "-" &amp; TEXT(tbl_CONTENT[[#This Row],[TopicIDCount]], "00")</f>
        <v>RG-1-05-14</v>
      </c>
      <c r="F311" s="22" t="str">
        <f>_xlfn.XLOOKUP(tbl_CONTENT[[#This Row],[Topic]], tbl_TOPIC[Topic], tbl_TOPIC[TopicID], "")</f>
        <v>RG-1-05</v>
      </c>
      <c r="G311" s="22" cm="1">
        <f t="array" ref="G311">SUM((tbl_CONTENT[[#This Row],[TopicID]]=INDEX(tbl_CONTENT[TopicID],1):tbl_CONTENT[[#This Row],[TopicID]])*1)</f>
        <v>14</v>
      </c>
      <c r="H311" s="22" t="s">
        <v>502</v>
      </c>
      <c r="I311" s="22" t="s">
        <v>558</v>
      </c>
      <c r="J311" s="22" t="s">
        <v>148</v>
      </c>
      <c r="Q311" s="35">
        <f>IFERROR(
 (1.907*EXP(1)^(-0.5*tbl_CONTENT[[#This Row],[Layer]])) *
 ((tbl_CONTENT[[#This Row],[RelInt]]-1)^(2.5)*4^(1-2.5)+1) +
 ((tbl_CONTENT[[#This Row],[Comp]]-1)^(2.5)*4^(1-2.5)+1)*(0.5*((tbl_CONTENT[[#This Row],[RelInt]]-1)/4)^(2.5)+1),
 0
)</f>
        <v>0</v>
      </c>
      <c r="R311" s="35">
        <f>IFERROR(
 (1.907*EXP(1)^(-0.5*VALUE(tbl_CONTENT[[#This Row],[Layer]]))) *
 ((VALUE(tbl_CONTENT[[#This Row],[RelId]])-1)^(2.5)*4^(1-2.5)+1) +
 ((VALUE(tbl_CONTENT[[#This Row],[Comp]])-1)^(2.5)*4^(1-2.5)+1)*(0.5*((VALUE(tbl_CONTENT[[#This Row],[RelId]])-1)/4)^(2.5)+1),
 0
)</f>
        <v>0</v>
      </c>
    </row>
    <row r="312" spans="3:18" ht="17" x14ac:dyDescent="0.2">
      <c r="C312" s="22" t="str">
        <f>_xlfn.XLOOKUP(tbl_CONTENT[[#This Row],[TopicID]], tbl_TOPIC[TopicID], tbl_TOPIC[Subject], "")</f>
        <v>RG</v>
      </c>
      <c r="D312" s="22" t="str">
        <f xml:space="preserve"> tbl_CONTENT[[#This Row],[TopicID]] &amp; "-" &amp; TEXT(tbl_CONTENT[[#This Row],[TopicIDCount]], "00")</f>
        <v>RG-1-05-15</v>
      </c>
      <c r="F312" s="22" t="str">
        <f>_xlfn.XLOOKUP(tbl_CONTENT[[#This Row],[Topic]], tbl_TOPIC[Topic], tbl_TOPIC[TopicID], "")</f>
        <v>RG-1-05</v>
      </c>
      <c r="G312" s="22" cm="1">
        <f t="array" ref="G312">SUM((tbl_CONTENT[[#This Row],[TopicID]]=INDEX(tbl_CONTENT[TopicID],1):tbl_CONTENT[[#This Row],[TopicID]])*1)</f>
        <v>15</v>
      </c>
      <c r="H312" s="22" t="s">
        <v>502</v>
      </c>
      <c r="I312" s="22" t="s">
        <v>559</v>
      </c>
      <c r="J312" s="22" t="s">
        <v>181</v>
      </c>
      <c r="Q312" s="35">
        <f>IFERROR(
 (1.907*EXP(1)^(-0.5*tbl_CONTENT[[#This Row],[Layer]])) *
 ((tbl_CONTENT[[#This Row],[RelInt]]-1)^(2.5)*4^(1-2.5)+1) +
 ((tbl_CONTENT[[#This Row],[Comp]]-1)^(2.5)*4^(1-2.5)+1)*(0.5*((tbl_CONTENT[[#This Row],[RelInt]]-1)/4)^(2.5)+1),
 0
)</f>
        <v>0</v>
      </c>
      <c r="R312" s="35">
        <f>IFERROR(
 (1.907*EXP(1)^(-0.5*VALUE(tbl_CONTENT[[#This Row],[Layer]]))) *
 ((VALUE(tbl_CONTENT[[#This Row],[RelId]])-1)^(2.5)*4^(1-2.5)+1) +
 ((VALUE(tbl_CONTENT[[#This Row],[Comp]])-1)^(2.5)*4^(1-2.5)+1)*(0.5*((VALUE(tbl_CONTENT[[#This Row],[RelId]])-1)/4)^(2.5)+1),
 0
)</f>
        <v>0</v>
      </c>
    </row>
    <row r="313" spans="3:18" ht="17" x14ac:dyDescent="0.2">
      <c r="C313" s="22" t="str">
        <f>_xlfn.XLOOKUP(tbl_CONTENT[[#This Row],[TopicID]], tbl_TOPIC[TopicID], tbl_TOPIC[Subject], "")</f>
        <v>RG</v>
      </c>
      <c r="D313" s="22" t="str">
        <f xml:space="preserve"> tbl_CONTENT[[#This Row],[TopicID]] &amp; "-" &amp; TEXT(tbl_CONTENT[[#This Row],[TopicIDCount]], "00")</f>
        <v>RG-1-05-16</v>
      </c>
      <c r="F313" s="22" t="str">
        <f>_xlfn.XLOOKUP(tbl_CONTENT[[#This Row],[Topic]], tbl_TOPIC[Topic], tbl_TOPIC[TopicID], "")</f>
        <v>RG-1-05</v>
      </c>
      <c r="G313" s="22" cm="1">
        <f t="array" ref="G313">SUM((tbl_CONTENT[[#This Row],[TopicID]]=INDEX(tbl_CONTENT[TopicID],1):tbl_CONTENT[[#This Row],[TopicID]])*1)</f>
        <v>16</v>
      </c>
      <c r="H313" s="22" t="s">
        <v>502</v>
      </c>
      <c r="I313" s="22" t="s">
        <v>560</v>
      </c>
      <c r="J313" s="22" t="s">
        <v>181</v>
      </c>
      <c r="Q313" s="35">
        <f>IFERROR(
 (1.907*EXP(1)^(-0.5*tbl_CONTENT[[#This Row],[Layer]])) *
 ((tbl_CONTENT[[#This Row],[RelInt]]-1)^(2.5)*4^(1-2.5)+1) +
 ((tbl_CONTENT[[#This Row],[Comp]]-1)^(2.5)*4^(1-2.5)+1)*(0.5*((tbl_CONTENT[[#This Row],[RelInt]]-1)/4)^(2.5)+1),
 0
)</f>
        <v>0</v>
      </c>
      <c r="R313" s="35">
        <f>IFERROR(
 (1.907*EXP(1)^(-0.5*VALUE(tbl_CONTENT[[#This Row],[Layer]]))) *
 ((VALUE(tbl_CONTENT[[#This Row],[RelId]])-1)^(2.5)*4^(1-2.5)+1) +
 ((VALUE(tbl_CONTENT[[#This Row],[Comp]])-1)^(2.5)*4^(1-2.5)+1)*(0.5*((VALUE(tbl_CONTENT[[#This Row],[RelId]])-1)/4)^(2.5)+1),
 0
)</f>
        <v>0</v>
      </c>
    </row>
    <row r="314" spans="3:18" ht="34" x14ac:dyDescent="0.2">
      <c r="C314" s="22" t="str">
        <f>_xlfn.XLOOKUP(tbl_CONTENT[[#This Row],[TopicID]], tbl_TOPIC[TopicID], tbl_TOPIC[Subject], "")</f>
        <v>RG</v>
      </c>
      <c r="D314" s="22" t="str">
        <f xml:space="preserve"> tbl_CONTENT[[#This Row],[TopicID]] &amp; "-" &amp; TEXT(tbl_CONTENT[[#This Row],[TopicIDCount]], "00")</f>
        <v>RG-1-05-17</v>
      </c>
      <c r="F314" s="22" t="str">
        <f>_xlfn.XLOOKUP(tbl_CONTENT[[#This Row],[Topic]], tbl_TOPIC[Topic], tbl_TOPIC[TopicID], "")</f>
        <v>RG-1-05</v>
      </c>
      <c r="G314" s="22" cm="1">
        <f t="array" ref="G314">SUM((tbl_CONTENT[[#This Row],[TopicID]]=INDEX(tbl_CONTENT[TopicID],1):tbl_CONTENT[[#This Row],[TopicID]])*1)</f>
        <v>17</v>
      </c>
      <c r="H314" s="22" t="s">
        <v>502</v>
      </c>
      <c r="I314" s="22" t="s">
        <v>561</v>
      </c>
      <c r="J314" s="22" t="s">
        <v>181</v>
      </c>
      <c r="Q314" s="35">
        <f>IFERROR(
 (1.907*EXP(1)^(-0.5*tbl_CONTENT[[#This Row],[Layer]])) *
 ((tbl_CONTENT[[#This Row],[RelInt]]-1)^(2.5)*4^(1-2.5)+1) +
 ((tbl_CONTENT[[#This Row],[Comp]]-1)^(2.5)*4^(1-2.5)+1)*(0.5*((tbl_CONTENT[[#This Row],[RelInt]]-1)/4)^(2.5)+1),
 0
)</f>
        <v>0</v>
      </c>
      <c r="R314" s="35">
        <f>IFERROR(
 (1.907*EXP(1)^(-0.5*VALUE(tbl_CONTENT[[#This Row],[Layer]]))) *
 ((VALUE(tbl_CONTENT[[#This Row],[RelId]])-1)^(2.5)*4^(1-2.5)+1) +
 ((VALUE(tbl_CONTENT[[#This Row],[Comp]])-1)^(2.5)*4^(1-2.5)+1)*(0.5*((VALUE(tbl_CONTENT[[#This Row],[RelId]])-1)/4)^(2.5)+1),
 0
)</f>
        <v>0</v>
      </c>
    </row>
    <row r="315" spans="3:18" ht="17" x14ac:dyDescent="0.2">
      <c r="C315" s="22" t="str">
        <f>_xlfn.XLOOKUP(tbl_CONTENT[[#This Row],[TopicID]], tbl_TOPIC[TopicID], tbl_TOPIC[Subject], "")</f>
        <v>RG</v>
      </c>
      <c r="D315" s="22" t="str">
        <f xml:space="preserve"> tbl_CONTENT[[#This Row],[TopicID]] &amp; "-" &amp; TEXT(tbl_CONTENT[[#This Row],[TopicIDCount]], "00")</f>
        <v>RG-1-05-18</v>
      </c>
      <c r="F315" s="22" t="str">
        <f>_xlfn.XLOOKUP(tbl_CONTENT[[#This Row],[Topic]], tbl_TOPIC[Topic], tbl_TOPIC[TopicID], "")</f>
        <v>RG-1-05</v>
      </c>
      <c r="G315" s="22" cm="1">
        <f t="array" ref="G315">SUM((tbl_CONTENT[[#This Row],[TopicID]]=INDEX(tbl_CONTENT[TopicID],1):tbl_CONTENT[[#This Row],[TopicID]])*1)</f>
        <v>18</v>
      </c>
      <c r="H315" s="22" t="s">
        <v>502</v>
      </c>
      <c r="I315" s="22" t="s">
        <v>562</v>
      </c>
      <c r="J315" s="22" t="s">
        <v>153</v>
      </c>
      <c r="Q315" s="35">
        <f>IFERROR(
 (1.907*EXP(1)^(-0.5*tbl_CONTENT[[#This Row],[Layer]])) *
 ((tbl_CONTENT[[#This Row],[RelInt]]-1)^(2.5)*4^(1-2.5)+1) +
 ((tbl_CONTENT[[#This Row],[Comp]]-1)^(2.5)*4^(1-2.5)+1)*(0.5*((tbl_CONTENT[[#This Row],[RelInt]]-1)/4)^(2.5)+1),
 0
)</f>
        <v>0</v>
      </c>
      <c r="R315" s="35">
        <f>IFERROR(
 (1.907*EXP(1)^(-0.5*VALUE(tbl_CONTENT[[#This Row],[Layer]]))) *
 ((VALUE(tbl_CONTENT[[#This Row],[RelId]])-1)^(2.5)*4^(1-2.5)+1) +
 ((VALUE(tbl_CONTENT[[#This Row],[Comp]])-1)^(2.5)*4^(1-2.5)+1)*(0.5*((VALUE(tbl_CONTENT[[#This Row],[RelId]])-1)/4)^(2.5)+1),
 0
)</f>
        <v>0</v>
      </c>
    </row>
    <row r="316" spans="3:18" ht="17" x14ac:dyDescent="0.2">
      <c r="C316" s="22" t="str">
        <f>_xlfn.XLOOKUP(tbl_CONTENT[[#This Row],[TopicID]], tbl_TOPIC[TopicID], tbl_TOPIC[Subject], "")</f>
        <v>RG</v>
      </c>
      <c r="D316" s="22" t="str">
        <f xml:space="preserve"> tbl_CONTENT[[#This Row],[TopicID]] &amp; "-" &amp; TEXT(tbl_CONTENT[[#This Row],[TopicIDCount]], "00")</f>
        <v>RG-1-05-19</v>
      </c>
      <c r="F316" s="22" t="str">
        <f>_xlfn.XLOOKUP(tbl_CONTENT[[#This Row],[Topic]], tbl_TOPIC[Topic], tbl_TOPIC[TopicID], "")</f>
        <v>RG-1-05</v>
      </c>
      <c r="G316" s="22" cm="1">
        <f t="array" ref="G316">SUM((tbl_CONTENT[[#This Row],[TopicID]]=INDEX(tbl_CONTENT[TopicID],1):tbl_CONTENT[[#This Row],[TopicID]])*1)</f>
        <v>19</v>
      </c>
      <c r="H316" s="22" t="s">
        <v>502</v>
      </c>
      <c r="I316" s="22" t="s">
        <v>563</v>
      </c>
      <c r="J316" s="22" t="s">
        <v>181</v>
      </c>
      <c r="Q316" s="35">
        <f>IFERROR(
 (1.907*EXP(1)^(-0.5*tbl_CONTENT[[#This Row],[Layer]])) *
 ((tbl_CONTENT[[#This Row],[RelInt]]-1)^(2.5)*4^(1-2.5)+1) +
 ((tbl_CONTENT[[#This Row],[Comp]]-1)^(2.5)*4^(1-2.5)+1)*(0.5*((tbl_CONTENT[[#This Row],[RelInt]]-1)/4)^(2.5)+1),
 0
)</f>
        <v>0</v>
      </c>
      <c r="R316" s="35">
        <f>IFERROR(
 (1.907*EXP(1)^(-0.5*VALUE(tbl_CONTENT[[#This Row],[Layer]]))) *
 ((VALUE(tbl_CONTENT[[#This Row],[RelId]])-1)^(2.5)*4^(1-2.5)+1) +
 ((VALUE(tbl_CONTENT[[#This Row],[Comp]])-1)^(2.5)*4^(1-2.5)+1)*(0.5*((VALUE(tbl_CONTENT[[#This Row],[RelId]])-1)/4)^(2.5)+1),
 0
)</f>
        <v>0</v>
      </c>
    </row>
    <row r="317" spans="3:18" ht="17" x14ac:dyDescent="0.2">
      <c r="C317" s="22" t="str">
        <f>_xlfn.XLOOKUP(tbl_CONTENT[[#This Row],[TopicID]], tbl_TOPIC[TopicID], tbl_TOPIC[Subject], "")</f>
        <v>RG</v>
      </c>
      <c r="D317" s="22" t="str">
        <f xml:space="preserve"> tbl_CONTENT[[#This Row],[TopicID]] &amp; "-" &amp; TEXT(tbl_CONTENT[[#This Row],[TopicIDCount]], "00")</f>
        <v>RG-1-05-20</v>
      </c>
      <c r="F317" s="22" t="str">
        <f>_xlfn.XLOOKUP(tbl_CONTENT[[#This Row],[Topic]], tbl_TOPIC[Topic], tbl_TOPIC[TopicID], "")</f>
        <v>RG-1-05</v>
      </c>
      <c r="G317" s="22" cm="1">
        <f t="array" ref="G317">SUM((tbl_CONTENT[[#This Row],[TopicID]]=INDEX(tbl_CONTENT[TopicID],1):tbl_CONTENT[[#This Row],[TopicID]])*1)</f>
        <v>20</v>
      </c>
      <c r="H317" s="22" t="s">
        <v>502</v>
      </c>
      <c r="I317" s="22" t="s">
        <v>564</v>
      </c>
      <c r="J317" s="22" t="s">
        <v>181</v>
      </c>
      <c r="Q317" s="35">
        <f>IFERROR(
 (1.907*EXP(1)^(-0.5*tbl_CONTENT[[#This Row],[Layer]])) *
 ((tbl_CONTENT[[#This Row],[RelInt]]-1)^(2.5)*4^(1-2.5)+1) +
 ((tbl_CONTENT[[#This Row],[Comp]]-1)^(2.5)*4^(1-2.5)+1)*(0.5*((tbl_CONTENT[[#This Row],[RelInt]]-1)/4)^(2.5)+1),
 0
)</f>
        <v>0</v>
      </c>
      <c r="R317" s="35">
        <f>IFERROR(
 (1.907*EXP(1)^(-0.5*VALUE(tbl_CONTENT[[#This Row],[Layer]]))) *
 ((VALUE(tbl_CONTENT[[#This Row],[RelId]])-1)^(2.5)*4^(1-2.5)+1) +
 ((VALUE(tbl_CONTENT[[#This Row],[Comp]])-1)^(2.5)*4^(1-2.5)+1)*(0.5*((VALUE(tbl_CONTENT[[#This Row],[RelId]])-1)/4)^(2.5)+1),
 0
)</f>
        <v>0</v>
      </c>
    </row>
    <row r="318" spans="3:18" ht="34" x14ac:dyDescent="0.2">
      <c r="C318" s="22" t="str">
        <f>_xlfn.XLOOKUP(tbl_CONTENT[[#This Row],[TopicID]], tbl_TOPIC[TopicID], tbl_TOPIC[Subject], "")</f>
        <v>RG</v>
      </c>
      <c r="D318" s="22" t="str">
        <f xml:space="preserve"> tbl_CONTENT[[#This Row],[TopicID]] &amp; "-" &amp; TEXT(tbl_CONTENT[[#This Row],[TopicIDCount]], "00")</f>
        <v>RG-1-05-21</v>
      </c>
      <c r="F318" s="22" t="str">
        <f>_xlfn.XLOOKUP(tbl_CONTENT[[#This Row],[Topic]], tbl_TOPIC[Topic], tbl_TOPIC[TopicID], "")</f>
        <v>RG-1-05</v>
      </c>
      <c r="G318" s="22" cm="1">
        <f t="array" ref="G318">SUM((tbl_CONTENT[[#This Row],[TopicID]]=INDEX(tbl_CONTENT[TopicID],1):tbl_CONTENT[[#This Row],[TopicID]])*1)</f>
        <v>21</v>
      </c>
      <c r="H318" s="22" t="s">
        <v>502</v>
      </c>
      <c r="I318" s="22" t="s">
        <v>565</v>
      </c>
      <c r="J318" s="22" t="s">
        <v>152</v>
      </c>
      <c r="Q318" s="35">
        <f>IFERROR(
 (1.907*EXP(1)^(-0.5*tbl_CONTENT[[#This Row],[Layer]])) *
 ((tbl_CONTENT[[#This Row],[RelInt]]-1)^(2.5)*4^(1-2.5)+1) +
 ((tbl_CONTENT[[#This Row],[Comp]]-1)^(2.5)*4^(1-2.5)+1)*(0.5*((tbl_CONTENT[[#This Row],[RelInt]]-1)/4)^(2.5)+1),
 0
)</f>
        <v>0</v>
      </c>
      <c r="R318" s="35">
        <f>IFERROR(
 (1.907*EXP(1)^(-0.5*VALUE(tbl_CONTENT[[#This Row],[Layer]]))) *
 ((VALUE(tbl_CONTENT[[#This Row],[RelId]])-1)^(2.5)*4^(1-2.5)+1) +
 ((VALUE(tbl_CONTENT[[#This Row],[Comp]])-1)^(2.5)*4^(1-2.5)+1)*(0.5*((VALUE(tbl_CONTENT[[#This Row],[RelId]])-1)/4)^(2.5)+1),
 0
)</f>
        <v>0</v>
      </c>
    </row>
    <row r="319" spans="3:18" ht="17" x14ac:dyDescent="0.2">
      <c r="C319" s="22" t="str">
        <f>_xlfn.XLOOKUP(tbl_CONTENT[[#This Row],[TopicID]], tbl_TOPIC[TopicID], tbl_TOPIC[Subject], "")</f>
        <v>RG</v>
      </c>
      <c r="D319" s="22" t="str">
        <f xml:space="preserve"> tbl_CONTENT[[#This Row],[TopicID]] &amp; "-" &amp; TEXT(tbl_CONTENT[[#This Row],[TopicIDCount]], "00")</f>
        <v>RG-1-05-22</v>
      </c>
      <c r="F319" s="22" t="str">
        <f>_xlfn.XLOOKUP(tbl_CONTENT[[#This Row],[Topic]], tbl_TOPIC[Topic], tbl_TOPIC[TopicID], "")</f>
        <v>RG-1-05</v>
      </c>
      <c r="G319" s="22" cm="1">
        <f t="array" ref="G319">SUM((tbl_CONTENT[[#This Row],[TopicID]]=INDEX(tbl_CONTENT[TopicID],1):tbl_CONTENT[[#This Row],[TopicID]])*1)</f>
        <v>22</v>
      </c>
      <c r="H319" s="22" t="s">
        <v>502</v>
      </c>
      <c r="I319" s="22" t="s">
        <v>566</v>
      </c>
      <c r="J319" s="22" t="s">
        <v>181</v>
      </c>
      <c r="Q319" s="35">
        <f>IFERROR(
 (1.907*EXP(1)^(-0.5*tbl_CONTENT[[#This Row],[Layer]])) *
 ((tbl_CONTENT[[#This Row],[RelInt]]-1)^(2.5)*4^(1-2.5)+1) +
 ((tbl_CONTENT[[#This Row],[Comp]]-1)^(2.5)*4^(1-2.5)+1)*(0.5*((tbl_CONTENT[[#This Row],[RelInt]]-1)/4)^(2.5)+1),
 0
)</f>
        <v>0</v>
      </c>
      <c r="R319" s="35">
        <f>IFERROR(
 (1.907*EXP(1)^(-0.5*VALUE(tbl_CONTENT[[#This Row],[Layer]]))) *
 ((VALUE(tbl_CONTENT[[#This Row],[RelId]])-1)^(2.5)*4^(1-2.5)+1) +
 ((VALUE(tbl_CONTENT[[#This Row],[Comp]])-1)^(2.5)*4^(1-2.5)+1)*(0.5*((VALUE(tbl_CONTENT[[#This Row],[RelId]])-1)/4)^(2.5)+1),
 0
)</f>
        <v>0</v>
      </c>
    </row>
    <row r="320" spans="3:18" ht="34" x14ac:dyDescent="0.2">
      <c r="C320" s="22" t="str">
        <f>_xlfn.XLOOKUP(tbl_CONTENT[[#This Row],[TopicID]], tbl_TOPIC[TopicID], tbl_TOPIC[Subject], "")</f>
        <v>RG</v>
      </c>
      <c r="D320" s="22" t="str">
        <f xml:space="preserve"> tbl_CONTENT[[#This Row],[TopicID]] &amp; "-" &amp; TEXT(tbl_CONTENT[[#This Row],[TopicIDCount]], "00")</f>
        <v>RG-1-07-01</v>
      </c>
      <c r="F320" s="22" t="str">
        <f>_xlfn.XLOOKUP(tbl_CONTENT[[#This Row],[Topic]], tbl_TOPIC[Topic], tbl_TOPIC[TopicID], "")</f>
        <v>RG-1-07</v>
      </c>
      <c r="G320" s="22" cm="1">
        <f t="array" ref="G320">SUM((tbl_CONTENT[[#This Row],[TopicID]]=INDEX(tbl_CONTENT[TopicID],1):tbl_CONTENT[[#This Row],[TopicID]])*1)</f>
        <v>1</v>
      </c>
      <c r="H320" s="22" t="s">
        <v>504</v>
      </c>
      <c r="I320" s="22" t="s">
        <v>568</v>
      </c>
      <c r="J320" s="22" t="s">
        <v>567</v>
      </c>
      <c r="Q320" s="35">
        <f>IFERROR(
 (1.907*EXP(1)^(-0.5*tbl_CONTENT[[#This Row],[Layer]])) *
 ((tbl_CONTENT[[#This Row],[RelInt]]-1)^(2.5)*4^(1-2.5)+1) +
 ((tbl_CONTENT[[#This Row],[Comp]]-1)^(2.5)*4^(1-2.5)+1)*(0.5*((tbl_CONTENT[[#This Row],[RelInt]]-1)/4)^(2.5)+1),
 0
)</f>
        <v>0</v>
      </c>
      <c r="R320" s="35">
        <f>IFERROR(
 (1.907*EXP(1)^(-0.5*VALUE(tbl_CONTENT[[#This Row],[Layer]]))) *
 ((VALUE(tbl_CONTENT[[#This Row],[RelId]])-1)^(2.5)*4^(1-2.5)+1) +
 ((VALUE(tbl_CONTENT[[#This Row],[Comp]])-1)^(2.5)*4^(1-2.5)+1)*(0.5*((VALUE(tbl_CONTENT[[#This Row],[RelId]])-1)/4)^(2.5)+1),
 0
)</f>
        <v>0</v>
      </c>
    </row>
    <row r="321" spans="3:18" ht="17" x14ac:dyDescent="0.2">
      <c r="C321" s="22" t="str">
        <f>_xlfn.XLOOKUP(tbl_CONTENT[[#This Row],[TopicID]], tbl_TOPIC[TopicID], tbl_TOPIC[Subject], "")</f>
        <v>RG</v>
      </c>
      <c r="D321" s="22" t="str">
        <f xml:space="preserve"> tbl_CONTENT[[#This Row],[TopicID]] &amp; "-" &amp; TEXT(tbl_CONTENT[[#This Row],[TopicIDCount]], "00")</f>
        <v>RG-1-07-02</v>
      </c>
      <c r="F321" s="22" t="str">
        <f>_xlfn.XLOOKUP(tbl_CONTENT[[#This Row],[Topic]], tbl_TOPIC[Topic], tbl_TOPIC[TopicID], "")</f>
        <v>RG-1-07</v>
      </c>
      <c r="G321" s="22" cm="1">
        <f t="array" ref="G321">SUM((tbl_CONTENT[[#This Row],[TopicID]]=INDEX(tbl_CONTENT[TopicID],1):tbl_CONTENT[[#This Row],[TopicID]])*1)</f>
        <v>2</v>
      </c>
      <c r="H321" s="22" t="s">
        <v>504</v>
      </c>
      <c r="I321" s="22" t="s">
        <v>569</v>
      </c>
      <c r="J321" s="22" t="s">
        <v>153</v>
      </c>
      <c r="Q321" s="35">
        <f>IFERROR(
 (1.907*EXP(1)^(-0.5*tbl_CONTENT[[#This Row],[Layer]])) *
 ((tbl_CONTENT[[#This Row],[RelInt]]-1)^(2.5)*4^(1-2.5)+1) +
 ((tbl_CONTENT[[#This Row],[Comp]]-1)^(2.5)*4^(1-2.5)+1)*(0.5*((tbl_CONTENT[[#This Row],[RelInt]]-1)/4)^(2.5)+1),
 0
)</f>
        <v>0</v>
      </c>
      <c r="R321" s="35">
        <f>IFERROR(
 (1.907*EXP(1)^(-0.5*VALUE(tbl_CONTENT[[#This Row],[Layer]]))) *
 ((VALUE(tbl_CONTENT[[#This Row],[RelId]])-1)^(2.5)*4^(1-2.5)+1) +
 ((VALUE(tbl_CONTENT[[#This Row],[Comp]])-1)^(2.5)*4^(1-2.5)+1)*(0.5*((VALUE(tbl_CONTENT[[#This Row],[RelId]])-1)/4)^(2.5)+1),
 0
)</f>
        <v>0</v>
      </c>
    </row>
    <row r="322" spans="3:18" ht="34" x14ac:dyDescent="0.2">
      <c r="C322" s="22" t="str">
        <f>_xlfn.XLOOKUP(tbl_CONTENT[[#This Row],[TopicID]], tbl_TOPIC[TopicID], tbl_TOPIC[Subject], "")</f>
        <v>RG</v>
      </c>
      <c r="D322" s="22" t="str">
        <f xml:space="preserve"> tbl_CONTENT[[#This Row],[TopicID]] &amp; "-" &amp; TEXT(tbl_CONTENT[[#This Row],[TopicIDCount]], "00")</f>
        <v>RG-1-07-03</v>
      </c>
      <c r="F322" s="22" t="str">
        <f>_xlfn.XLOOKUP(tbl_CONTENT[[#This Row],[Topic]], tbl_TOPIC[Topic], tbl_TOPIC[TopicID], "")</f>
        <v>RG-1-07</v>
      </c>
      <c r="G322" s="22" cm="1">
        <f t="array" ref="G322">SUM((tbl_CONTENT[[#This Row],[TopicID]]=INDEX(tbl_CONTENT[TopicID],1):tbl_CONTENT[[#This Row],[TopicID]])*1)</f>
        <v>3</v>
      </c>
      <c r="H322" s="22" t="s">
        <v>504</v>
      </c>
      <c r="I322" s="22" t="s">
        <v>570</v>
      </c>
      <c r="J322" s="22" t="s">
        <v>151</v>
      </c>
      <c r="Q322" s="35">
        <f>IFERROR(
 (1.907*EXP(1)^(-0.5*tbl_CONTENT[[#This Row],[Layer]])) *
 ((tbl_CONTENT[[#This Row],[RelInt]]-1)^(2.5)*4^(1-2.5)+1) +
 ((tbl_CONTENT[[#This Row],[Comp]]-1)^(2.5)*4^(1-2.5)+1)*(0.5*((tbl_CONTENT[[#This Row],[RelInt]]-1)/4)^(2.5)+1),
 0
)</f>
        <v>0</v>
      </c>
      <c r="R322" s="35">
        <f>IFERROR(
 (1.907*EXP(1)^(-0.5*VALUE(tbl_CONTENT[[#This Row],[Layer]]))) *
 ((VALUE(tbl_CONTENT[[#This Row],[RelId]])-1)^(2.5)*4^(1-2.5)+1) +
 ((VALUE(tbl_CONTENT[[#This Row],[Comp]])-1)^(2.5)*4^(1-2.5)+1)*(0.5*((VALUE(tbl_CONTENT[[#This Row],[RelId]])-1)/4)^(2.5)+1),
 0
)</f>
        <v>0</v>
      </c>
    </row>
    <row r="323" spans="3:18" ht="17" x14ac:dyDescent="0.2">
      <c r="C323" s="22" t="str">
        <f>_xlfn.XLOOKUP(tbl_CONTENT[[#This Row],[TopicID]], tbl_TOPIC[TopicID], tbl_TOPIC[Subject], "")</f>
        <v>RG</v>
      </c>
      <c r="D323" s="22" t="str">
        <f xml:space="preserve"> tbl_CONTENT[[#This Row],[TopicID]] &amp; "-" &amp; TEXT(tbl_CONTENT[[#This Row],[TopicIDCount]], "00")</f>
        <v>RG-1-07-04</v>
      </c>
      <c r="F323" s="22" t="str">
        <f>_xlfn.XLOOKUP(tbl_CONTENT[[#This Row],[Topic]], tbl_TOPIC[Topic], tbl_TOPIC[TopicID], "")</f>
        <v>RG-1-07</v>
      </c>
      <c r="G323" s="22" cm="1">
        <f t="array" ref="G323">SUM((tbl_CONTENT[[#This Row],[TopicID]]=INDEX(tbl_CONTENT[TopicID],1):tbl_CONTENT[[#This Row],[TopicID]])*1)</f>
        <v>4</v>
      </c>
      <c r="H323" s="22" t="s">
        <v>504</v>
      </c>
      <c r="I323" s="22" t="s">
        <v>572</v>
      </c>
      <c r="J323" s="22" t="s">
        <v>153</v>
      </c>
      <c r="Q323" s="35">
        <f>IFERROR(
 (1.907*EXP(1)^(-0.5*tbl_CONTENT[[#This Row],[Layer]])) *
 ((tbl_CONTENT[[#This Row],[RelInt]]-1)^(2.5)*4^(1-2.5)+1) +
 ((tbl_CONTENT[[#This Row],[Comp]]-1)^(2.5)*4^(1-2.5)+1)*(0.5*((tbl_CONTENT[[#This Row],[RelInt]]-1)/4)^(2.5)+1),
 0
)</f>
        <v>0</v>
      </c>
      <c r="R323" s="35">
        <f>IFERROR(
 (1.907*EXP(1)^(-0.5*VALUE(tbl_CONTENT[[#This Row],[Layer]]))) *
 ((VALUE(tbl_CONTENT[[#This Row],[RelId]])-1)^(2.5)*4^(1-2.5)+1) +
 ((VALUE(tbl_CONTENT[[#This Row],[Comp]])-1)^(2.5)*4^(1-2.5)+1)*(0.5*((VALUE(tbl_CONTENT[[#This Row],[RelId]])-1)/4)^(2.5)+1),
 0
)</f>
        <v>0</v>
      </c>
    </row>
    <row r="324" spans="3:18" ht="34" x14ac:dyDescent="0.2">
      <c r="C324" s="22" t="str">
        <f>_xlfn.XLOOKUP(tbl_CONTENT[[#This Row],[TopicID]], tbl_TOPIC[TopicID], tbl_TOPIC[Subject], "")</f>
        <v>RG</v>
      </c>
      <c r="D324" s="22" t="str">
        <f xml:space="preserve"> tbl_CONTENT[[#This Row],[TopicID]] &amp; "-" &amp; TEXT(tbl_CONTENT[[#This Row],[TopicIDCount]], "00")</f>
        <v>RG-1-07-05</v>
      </c>
      <c r="F324" s="22" t="str">
        <f>_xlfn.XLOOKUP(tbl_CONTENT[[#This Row],[Topic]], tbl_TOPIC[Topic], tbl_TOPIC[TopicID], "")</f>
        <v>RG-1-07</v>
      </c>
      <c r="G324" s="22" cm="1">
        <f t="array" ref="G324">SUM((tbl_CONTENT[[#This Row],[TopicID]]=INDEX(tbl_CONTENT[TopicID],1):tbl_CONTENT[[#This Row],[TopicID]])*1)</f>
        <v>5</v>
      </c>
      <c r="H324" s="22" t="s">
        <v>504</v>
      </c>
      <c r="I324" s="22" t="s">
        <v>571</v>
      </c>
      <c r="J324" s="22" t="s">
        <v>153</v>
      </c>
      <c r="Q324" s="35">
        <f>IFERROR(
 (1.907*EXP(1)^(-0.5*tbl_CONTENT[[#This Row],[Layer]])) *
 ((tbl_CONTENT[[#This Row],[RelInt]]-1)^(2.5)*4^(1-2.5)+1) +
 ((tbl_CONTENT[[#This Row],[Comp]]-1)^(2.5)*4^(1-2.5)+1)*(0.5*((tbl_CONTENT[[#This Row],[RelInt]]-1)/4)^(2.5)+1),
 0
)</f>
        <v>0</v>
      </c>
      <c r="R324" s="35">
        <f>IFERROR(
 (1.907*EXP(1)^(-0.5*VALUE(tbl_CONTENT[[#This Row],[Layer]]))) *
 ((VALUE(tbl_CONTENT[[#This Row],[RelId]])-1)^(2.5)*4^(1-2.5)+1) +
 ((VALUE(tbl_CONTENT[[#This Row],[Comp]])-1)^(2.5)*4^(1-2.5)+1)*(0.5*((VALUE(tbl_CONTENT[[#This Row],[RelId]])-1)/4)^(2.5)+1),
 0
)</f>
        <v>0</v>
      </c>
    </row>
    <row r="325" spans="3:18" ht="34" x14ac:dyDescent="0.2">
      <c r="C325" s="22" t="str">
        <f>_xlfn.XLOOKUP(tbl_CONTENT[[#This Row],[TopicID]], tbl_TOPIC[TopicID], tbl_TOPIC[Subject], "")</f>
        <v>RG</v>
      </c>
      <c r="D325" s="22" t="str">
        <f xml:space="preserve"> tbl_CONTENT[[#This Row],[TopicID]] &amp; "-" &amp; TEXT(tbl_CONTENT[[#This Row],[TopicIDCount]], "00")</f>
        <v>RG-1-07-06</v>
      </c>
      <c r="F325" s="22" t="str">
        <f>_xlfn.XLOOKUP(tbl_CONTENT[[#This Row],[Topic]], tbl_TOPIC[Topic], tbl_TOPIC[TopicID], "")</f>
        <v>RG-1-07</v>
      </c>
      <c r="G325" s="22" cm="1">
        <f t="array" ref="G325">SUM((tbl_CONTENT[[#This Row],[TopicID]]=INDEX(tbl_CONTENT[TopicID],1):tbl_CONTENT[[#This Row],[TopicID]])*1)</f>
        <v>6</v>
      </c>
      <c r="H325" s="22" t="s">
        <v>504</v>
      </c>
      <c r="I325" s="22" t="s">
        <v>1589</v>
      </c>
      <c r="J325" s="22" t="s">
        <v>148</v>
      </c>
      <c r="Q325" s="35">
        <f>IFERROR(
 (1.907*EXP(1)^(-0.5*tbl_CONTENT[[#This Row],[Layer]])) *
 ((tbl_CONTENT[[#This Row],[RelInt]]-1)^(2.5)*4^(1-2.5)+1) +
 ((tbl_CONTENT[[#This Row],[Comp]]-1)^(2.5)*4^(1-2.5)+1)*(0.5*((tbl_CONTENT[[#This Row],[RelInt]]-1)/4)^(2.5)+1),
 0
)</f>
        <v>0</v>
      </c>
      <c r="R325" s="35">
        <f>IFERROR(
 (1.907*EXP(1)^(-0.5*VALUE(tbl_CONTENT[[#This Row],[Layer]]))) *
 ((VALUE(tbl_CONTENT[[#This Row],[RelId]])-1)^(2.5)*4^(1-2.5)+1) +
 ((VALUE(tbl_CONTENT[[#This Row],[Comp]])-1)^(2.5)*4^(1-2.5)+1)*(0.5*((VALUE(tbl_CONTENT[[#This Row],[RelId]])-1)/4)^(2.5)+1),
 0
)</f>
        <v>0</v>
      </c>
    </row>
    <row r="326" spans="3:18" ht="34" x14ac:dyDescent="0.2">
      <c r="C326" s="22" t="str">
        <f>_xlfn.XLOOKUP(tbl_CONTENT[[#This Row],[TopicID]], tbl_TOPIC[TopicID], tbl_TOPIC[Subject], "")</f>
        <v>RG</v>
      </c>
      <c r="D326" s="22" t="str">
        <f xml:space="preserve"> tbl_CONTENT[[#This Row],[TopicID]] &amp; "-" &amp; TEXT(tbl_CONTENT[[#This Row],[TopicIDCount]], "00")</f>
        <v>RG-1-07-07</v>
      </c>
      <c r="F326" s="22" t="str">
        <f>_xlfn.XLOOKUP(tbl_CONTENT[[#This Row],[Topic]], tbl_TOPIC[Topic], tbl_TOPIC[TopicID], "")</f>
        <v>RG-1-07</v>
      </c>
      <c r="G326" s="22" cm="1">
        <f t="array" ref="G326">SUM((tbl_CONTENT[[#This Row],[TopicID]]=INDEX(tbl_CONTENT[TopicID],1):tbl_CONTENT[[#This Row],[TopicID]])*1)</f>
        <v>7</v>
      </c>
      <c r="H326" s="22" t="s">
        <v>504</v>
      </c>
      <c r="I326" s="22" t="s">
        <v>573</v>
      </c>
      <c r="J326" s="22" t="s">
        <v>150</v>
      </c>
      <c r="Q326" s="35">
        <f>IFERROR(
 (1.907*EXP(1)^(-0.5*tbl_CONTENT[[#This Row],[Layer]])) *
 ((tbl_CONTENT[[#This Row],[RelInt]]-1)^(2.5)*4^(1-2.5)+1) +
 ((tbl_CONTENT[[#This Row],[Comp]]-1)^(2.5)*4^(1-2.5)+1)*(0.5*((tbl_CONTENT[[#This Row],[RelInt]]-1)/4)^(2.5)+1),
 0
)</f>
        <v>0</v>
      </c>
      <c r="R326" s="35">
        <f>IFERROR(
 (1.907*EXP(1)^(-0.5*VALUE(tbl_CONTENT[[#This Row],[Layer]]))) *
 ((VALUE(tbl_CONTENT[[#This Row],[RelId]])-1)^(2.5)*4^(1-2.5)+1) +
 ((VALUE(tbl_CONTENT[[#This Row],[Comp]])-1)^(2.5)*4^(1-2.5)+1)*(0.5*((VALUE(tbl_CONTENT[[#This Row],[RelId]])-1)/4)^(2.5)+1),
 0
)</f>
        <v>0</v>
      </c>
    </row>
    <row r="327" spans="3:18" ht="34" x14ac:dyDescent="0.2">
      <c r="C327" s="22" t="str">
        <f>_xlfn.XLOOKUP(tbl_CONTENT[[#This Row],[TopicID]], tbl_TOPIC[TopicID], tbl_TOPIC[Subject], "")</f>
        <v>RG</v>
      </c>
      <c r="D327" s="22" t="str">
        <f xml:space="preserve"> tbl_CONTENT[[#This Row],[TopicID]] &amp; "-" &amp; TEXT(tbl_CONTENT[[#This Row],[TopicIDCount]], "00")</f>
        <v>RG-1-07-08</v>
      </c>
      <c r="F327" s="22" t="str">
        <f>_xlfn.XLOOKUP(tbl_CONTENT[[#This Row],[Topic]], tbl_TOPIC[Topic], tbl_TOPIC[TopicID], "")</f>
        <v>RG-1-07</v>
      </c>
      <c r="G327" s="22" cm="1">
        <f t="array" ref="G327">SUM((tbl_CONTENT[[#This Row],[TopicID]]=INDEX(tbl_CONTENT[TopicID],1):tbl_CONTENT[[#This Row],[TopicID]])*1)</f>
        <v>8</v>
      </c>
      <c r="H327" s="22" t="s">
        <v>504</v>
      </c>
      <c r="I327" s="22" t="s">
        <v>574</v>
      </c>
      <c r="J327" s="22" t="s">
        <v>181</v>
      </c>
      <c r="Q327" s="35">
        <f>IFERROR(
 (1.907*EXP(1)^(-0.5*tbl_CONTENT[[#This Row],[Layer]])) *
 ((tbl_CONTENT[[#This Row],[RelInt]]-1)^(2.5)*4^(1-2.5)+1) +
 ((tbl_CONTENT[[#This Row],[Comp]]-1)^(2.5)*4^(1-2.5)+1)*(0.5*((tbl_CONTENT[[#This Row],[RelInt]]-1)/4)^(2.5)+1),
 0
)</f>
        <v>0</v>
      </c>
      <c r="R327" s="35">
        <f>IFERROR(
 (1.907*EXP(1)^(-0.5*VALUE(tbl_CONTENT[[#This Row],[Layer]]))) *
 ((VALUE(tbl_CONTENT[[#This Row],[RelId]])-1)^(2.5)*4^(1-2.5)+1) +
 ((VALUE(tbl_CONTENT[[#This Row],[Comp]])-1)^(2.5)*4^(1-2.5)+1)*(0.5*((VALUE(tbl_CONTENT[[#This Row],[RelId]])-1)/4)^(2.5)+1),
 0
)</f>
        <v>0</v>
      </c>
    </row>
    <row r="328" spans="3:18" ht="51" x14ac:dyDescent="0.2">
      <c r="C328" s="22" t="str">
        <f>_xlfn.XLOOKUP(tbl_CONTENT[[#This Row],[TopicID]], tbl_TOPIC[TopicID], tbl_TOPIC[Subject], "")</f>
        <v>RG</v>
      </c>
      <c r="D328" s="22" t="str">
        <f xml:space="preserve"> tbl_CONTENT[[#This Row],[TopicID]] &amp; "-" &amp; TEXT(tbl_CONTENT[[#This Row],[TopicIDCount]], "00")</f>
        <v>RG-1-07-09</v>
      </c>
      <c r="F328" s="22" t="str">
        <f>_xlfn.XLOOKUP(tbl_CONTENT[[#This Row],[Topic]], tbl_TOPIC[Topic], tbl_TOPIC[TopicID], "")</f>
        <v>RG-1-07</v>
      </c>
      <c r="G328" s="22" cm="1">
        <f t="array" ref="G328">SUM((tbl_CONTENT[[#This Row],[TopicID]]=INDEX(tbl_CONTENT[TopicID],1):tbl_CONTENT[[#This Row],[TopicID]])*1)</f>
        <v>9</v>
      </c>
      <c r="H328" s="22" t="s">
        <v>504</v>
      </c>
      <c r="I328" s="22" t="s">
        <v>1629</v>
      </c>
      <c r="J328" s="22" t="s">
        <v>181</v>
      </c>
      <c r="Q328" s="35">
        <f>IFERROR(
 (1.907*EXP(1)^(-0.5*tbl_CONTENT[[#This Row],[Layer]])) *
 ((tbl_CONTENT[[#This Row],[RelInt]]-1)^(2.5)*4^(1-2.5)+1) +
 ((tbl_CONTENT[[#This Row],[Comp]]-1)^(2.5)*4^(1-2.5)+1)*(0.5*((tbl_CONTENT[[#This Row],[RelInt]]-1)/4)^(2.5)+1),
 0
)</f>
        <v>0</v>
      </c>
      <c r="R328" s="35">
        <f>IFERROR(
 (1.907*EXP(1)^(-0.5*VALUE(tbl_CONTENT[[#This Row],[Layer]]))) *
 ((VALUE(tbl_CONTENT[[#This Row],[RelId]])-1)^(2.5)*4^(1-2.5)+1) +
 ((VALUE(tbl_CONTENT[[#This Row],[Comp]])-1)^(2.5)*4^(1-2.5)+1)*(0.5*((VALUE(tbl_CONTENT[[#This Row],[RelId]])-1)/4)^(2.5)+1),
 0
)</f>
        <v>0</v>
      </c>
    </row>
    <row r="329" spans="3:18" ht="34" x14ac:dyDescent="0.2">
      <c r="C329" s="22" t="str">
        <f>_xlfn.XLOOKUP(tbl_CONTENT[[#This Row],[TopicID]], tbl_TOPIC[TopicID], tbl_TOPIC[Subject], "")</f>
        <v>RG</v>
      </c>
      <c r="D329" s="22" t="str">
        <f xml:space="preserve"> tbl_CONTENT[[#This Row],[TopicID]] &amp; "-" &amp; TEXT(tbl_CONTENT[[#This Row],[TopicIDCount]], "00")</f>
        <v>RG-1-07-10</v>
      </c>
      <c r="F329" s="22" t="str">
        <f>_xlfn.XLOOKUP(tbl_CONTENT[[#This Row],[Topic]], tbl_TOPIC[Topic], tbl_TOPIC[TopicID], "")</f>
        <v>RG-1-07</v>
      </c>
      <c r="G329" s="22" cm="1">
        <f t="array" ref="G329">SUM((tbl_CONTENT[[#This Row],[TopicID]]=INDEX(tbl_CONTENT[TopicID],1):tbl_CONTENT[[#This Row],[TopicID]])*1)</f>
        <v>10</v>
      </c>
      <c r="H329" s="22" t="s">
        <v>504</v>
      </c>
      <c r="I329" s="22" t="s">
        <v>575</v>
      </c>
      <c r="J329" s="22" t="s">
        <v>152</v>
      </c>
      <c r="Q329" s="35">
        <f>IFERROR(
 (1.907*EXP(1)^(-0.5*tbl_CONTENT[[#This Row],[Layer]])) *
 ((tbl_CONTENT[[#This Row],[RelInt]]-1)^(2.5)*4^(1-2.5)+1) +
 ((tbl_CONTENT[[#This Row],[Comp]]-1)^(2.5)*4^(1-2.5)+1)*(0.5*((tbl_CONTENT[[#This Row],[RelInt]]-1)/4)^(2.5)+1),
 0
)</f>
        <v>0</v>
      </c>
      <c r="R329" s="35">
        <f>IFERROR(
 (1.907*EXP(1)^(-0.5*VALUE(tbl_CONTENT[[#This Row],[Layer]]))) *
 ((VALUE(tbl_CONTENT[[#This Row],[RelId]])-1)^(2.5)*4^(1-2.5)+1) +
 ((VALUE(tbl_CONTENT[[#This Row],[Comp]])-1)^(2.5)*4^(1-2.5)+1)*(0.5*((VALUE(tbl_CONTENT[[#This Row],[RelId]])-1)/4)^(2.5)+1),
 0
)</f>
        <v>0</v>
      </c>
    </row>
    <row r="330" spans="3:18" ht="34" x14ac:dyDescent="0.2">
      <c r="C330" s="22" t="str">
        <f>_xlfn.XLOOKUP(tbl_CONTENT[[#This Row],[TopicID]], tbl_TOPIC[TopicID], tbl_TOPIC[Subject], "")</f>
        <v>RG</v>
      </c>
      <c r="D330" s="22" t="str">
        <f xml:space="preserve"> tbl_CONTENT[[#This Row],[TopicID]] &amp; "-" &amp; TEXT(tbl_CONTENT[[#This Row],[TopicIDCount]], "00")</f>
        <v>RG-1-08-01</v>
      </c>
      <c r="F330" s="22" t="str">
        <f>_xlfn.XLOOKUP(tbl_CONTENT[[#This Row],[Topic]], tbl_TOPIC[Topic], tbl_TOPIC[TopicID], "")</f>
        <v>RG-1-08</v>
      </c>
      <c r="G330" s="22" cm="1">
        <f t="array" ref="G330">SUM((tbl_CONTENT[[#This Row],[TopicID]]=INDEX(tbl_CONTENT[TopicID],1):tbl_CONTENT[[#This Row],[TopicID]])*1)</f>
        <v>1</v>
      </c>
      <c r="H330" s="22" t="s">
        <v>505</v>
      </c>
      <c r="I330" s="22" t="s">
        <v>576</v>
      </c>
      <c r="J330" s="22" t="s">
        <v>153</v>
      </c>
      <c r="Q330" s="35">
        <f>IFERROR(
 (1.907*EXP(1)^(-0.5*tbl_CONTENT[[#This Row],[Layer]])) *
 ((tbl_CONTENT[[#This Row],[RelInt]]-1)^(2.5)*4^(1-2.5)+1) +
 ((tbl_CONTENT[[#This Row],[Comp]]-1)^(2.5)*4^(1-2.5)+1)*(0.5*((tbl_CONTENT[[#This Row],[RelInt]]-1)/4)^(2.5)+1),
 0
)</f>
        <v>0</v>
      </c>
      <c r="R330" s="35">
        <f>IFERROR(
 (1.907*EXP(1)^(-0.5*VALUE(tbl_CONTENT[[#This Row],[Layer]]))) *
 ((VALUE(tbl_CONTENT[[#This Row],[RelId]])-1)^(2.5)*4^(1-2.5)+1) +
 ((VALUE(tbl_CONTENT[[#This Row],[Comp]])-1)^(2.5)*4^(1-2.5)+1)*(0.5*((VALUE(tbl_CONTENT[[#This Row],[RelId]])-1)/4)^(2.5)+1),
 0
)</f>
        <v>0</v>
      </c>
    </row>
    <row r="331" spans="3:18" ht="51" x14ac:dyDescent="0.2">
      <c r="C331" s="22" t="str">
        <f>_xlfn.XLOOKUP(tbl_CONTENT[[#This Row],[TopicID]], tbl_TOPIC[TopicID], tbl_TOPIC[Subject], "")</f>
        <v>RG</v>
      </c>
      <c r="D331" s="22" t="str">
        <f xml:space="preserve"> tbl_CONTENT[[#This Row],[TopicID]] &amp; "-" &amp; TEXT(tbl_CONTENT[[#This Row],[TopicIDCount]], "00")</f>
        <v>RG-1-08-02</v>
      </c>
      <c r="F331" s="22" t="str">
        <f>_xlfn.XLOOKUP(tbl_CONTENT[[#This Row],[Topic]], tbl_TOPIC[Topic], tbl_TOPIC[TopicID], "")</f>
        <v>RG-1-08</v>
      </c>
      <c r="G331" s="22" cm="1">
        <f t="array" ref="G331">SUM((tbl_CONTENT[[#This Row],[TopicID]]=INDEX(tbl_CONTENT[TopicID],1):tbl_CONTENT[[#This Row],[TopicID]])*1)</f>
        <v>2</v>
      </c>
      <c r="H331" s="22" t="s">
        <v>505</v>
      </c>
      <c r="I331" s="22" t="s">
        <v>577</v>
      </c>
      <c r="J331" s="22" t="s">
        <v>152</v>
      </c>
      <c r="Q331" s="35">
        <f>IFERROR(
 (1.907*EXP(1)^(-0.5*tbl_CONTENT[[#This Row],[Layer]])) *
 ((tbl_CONTENT[[#This Row],[RelInt]]-1)^(2.5)*4^(1-2.5)+1) +
 ((tbl_CONTENT[[#This Row],[Comp]]-1)^(2.5)*4^(1-2.5)+1)*(0.5*((tbl_CONTENT[[#This Row],[RelInt]]-1)/4)^(2.5)+1),
 0
)</f>
        <v>0</v>
      </c>
      <c r="R331" s="35">
        <f>IFERROR(
 (1.907*EXP(1)^(-0.5*VALUE(tbl_CONTENT[[#This Row],[Layer]]))) *
 ((VALUE(tbl_CONTENT[[#This Row],[RelId]])-1)^(2.5)*4^(1-2.5)+1) +
 ((VALUE(tbl_CONTENT[[#This Row],[Comp]])-1)^(2.5)*4^(1-2.5)+1)*(0.5*((VALUE(tbl_CONTENT[[#This Row],[RelId]])-1)/4)^(2.5)+1),
 0
)</f>
        <v>0</v>
      </c>
    </row>
    <row r="332" spans="3:18" ht="34" x14ac:dyDescent="0.2">
      <c r="C332" s="22" t="str">
        <f>_xlfn.XLOOKUP(tbl_CONTENT[[#This Row],[TopicID]], tbl_TOPIC[TopicID], tbl_TOPIC[Subject], "")</f>
        <v>RG</v>
      </c>
      <c r="D332" s="22" t="str">
        <f xml:space="preserve"> tbl_CONTENT[[#This Row],[TopicID]] &amp; "-" &amp; TEXT(tbl_CONTENT[[#This Row],[TopicIDCount]], "00")</f>
        <v>RG-1-08-03</v>
      </c>
      <c r="F332" s="22" t="str">
        <f>_xlfn.XLOOKUP(tbl_CONTENT[[#This Row],[Topic]], tbl_TOPIC[Topic], tbl_TOPIC[TopicID], "")</f>
        <v>RG-1-08</v>
      </c>
      <c r="G332" s="22" cm="1">
        <f t="array" ref="G332">SUM((tbl_CONTENT[[#This Row],[TopicID]]=INDEX(tbl_CONTENT[TopicID],1):tbl_CONTENT[[#This Row],[TopicID]])*1)</f>
        <v>3</v>
      </c>
      <c r="H332" s="22" t="s">
        <v>505</v>
      </c>
      <c r="I332" s="22" t="s">
        <v>578</v>
      </c>
      <c r="J332" s="22" t="s">
        <v>152</v>
      </c>
      <c r="Q332" s="35">
        <f>IFERROR(
 (1.907*EXP(1)^(-0.5*tbl_CONTENT[[#This Row],[Layer]])) *
 ((tbl_CONTENT[[#This Row],[RelInt]]-1)^(2.5)*4^(1-2.5)+1) +
 ((tbl_CONTENT[[#This Row],[Comp]]-1)^(2.5)*4^(1-2.5)+1)*(0.5*((tbl_CONTENT[[#This Row],[RelInt]]-1)/4)^(2.5)+1),
 0
)</f>
        <v>0</v>
      </c>
      <c r="R332" s="35">
        <f>IFERROR(
 (1.907*EXP(1)^(-0.5*VALUE(tbl_CONTENT[[#This Row],[Layer]]))) *
 ((VALUE(tbl_CONTENT[[#This Row],[RelId]])-1)^(2.5)*4^(1-2.5)+1) +
 ((VALUE(tbl_CONTENT[[#This Row],[Comp]])-1)^(2.5)*4^(1-2.5)+1)*(0.5*((VALUE(tbl_CONTENT[[#This Row],[RelId]])-1)/4)^(2.5)+1),
 0
)</f>
        <v>0</v>
      </c>
    </row>
    <row r="333" spans="3:18" ht="17" x14ac:dyDescent="0.2">
      <c r="C333" s="22" t="str">
        <f>_xlfn.XLOOKUP(tbl_CONTENT[[#This Row],[TopicID]], tbl_TOPIC[TopicID], tbl_TOPIC[Subject], "")</f>
        <v>RG</v>
      </c>
      <c r="D333" s="22" t="str">
        <f xml:space="preserve"> tbl_CONTENT[[#This Row],[TopicID]] &amp; "-" &amp; TEXT(tbl_CONTENT[[#This Row],[TopicIDCount]], "00")</f>
        <v>RG-1-09-01</v>
      </c>
      <c r="F333" s="22" t="str">
        <f>_xlfn.XLOOKUP(tbl_CONTENT[[#This Row],[Topic]], tbl_TOPIC[Topic], tbl_TOPIC[TopicID], "")</f>
        <v>RG-1-09</v>
      </c>
      <c r="G333" s="22" cm="1">
        <f t="array" ref="G333">SUM((tbl_CONTENT[[#This Row],[TopicID]]=INDEX(tbl_CONTENT[TopicID],1):tbl_CONTENT[[#This Row],[TopicID]])*1)</f>
        <v>1</v>
      </c>
      <c r="H333" s="22" t="s">
        <v>506</v>
      </c>
      <c r="I333" s="22" t="s">
        <v>579</v>
      </c>
      <c r="J333" s="22" t="s">
        <v>153</v>
      </c>
      <c r="Q333" s="35">
        <f>IFERROR(
 (1.907*EXP(1)^(-0.5*tbl_CONTENT[[#This Row],[Layer]])) *
 ((tbl_CONTENT[[#This Row],[RelInt]]-1)^(2.5)*4^(1-2.5)+1) +
 ((tbl_CONTENT[[#This Row],[Comp]]-1)^(2.5)*4^(1-2.5)+1)*(0.5*((tbl_CONTENT[[#This Row],[RelInt]]-1)/4)^(2.5)+1),
 0
)</f>
        <v>0</v>
      </c>
      <c r="R333" s="35">
        <f>IFERROR(
 (1.907*EXP(1)^(-0.5*VALUE(tbl_CONTENT[[#This Row],[Layer]]))) *
 ((VALUE(tbl_CONTENT[[#This Row],[RelId]])-1)^(2.5)*4^(1-2.5)+1) +
 ((VALUE(tbl_CONTENT[[#This Row],[Comp]])-1)^(2.5)*4^(1-2.5)+1)*(0.5*((VALUE(tbl_CONTENT[[#This Row],[RelId]])-1)/4)^(2.5)+1),
 0
)</f>
        <v>0</v>
      </c>
    </row>
    <row r="334" spans="3:18" ht="51" x14ac:dyDescent="0.2">
      <c r="C334" s="22" t="str">
        <f>_xlfn.XLOOKUP(tbl_CONTENT[[#This Row],[TopicID]], tbl_TOPIC[TopicID], tbl_TOPIC[Subject], "")</f>
        <v>RG</v>
      </c>
      <c r="D334" s="22" t="str">
        <f xml:space="preserve"> tbl_CONTENT[[#This Row],[TopicID]] &amp; "-" &amp; TEXT(tbl_CONTENT[[#This Row],[TopicIDCount]], "00")</f>
        <v>RG-1-09-02</v>
      </c>
      <c r="F334" s="22" t="str">
        <f>_xlfn.XLOOKUP(tbl_CONTENT[[#This Row],[Topic]], tbl_TOPIC[Topic], tbl_TOPIC[TopicID], "")</f>
        <v>RG-1-09</v>
      </c>
      <c r="G334" s="22" cm="1">
        <f t="array" ref="G334">SUM((tbl_CONTENT[[#This Row],[TopicID]]=INDEX(tbl_CONTENT[TopicID],1):tbl_CONTENT[[#This Row],[TopicID]])*1)</f>
        <v>2</v>
      </c>
      <c r="H334" s="22" t="s">
        <v>506</v>
      </c>
      <c r="I334" s="22" t="s">
        <v>580</v>
      </c>
      <c r="J334" s="22" t="s">
        <v>152</v>
      </c>
      <c r="Q334" s="35">
        <f>IFERROR(
 (1.907*EXP(1)^(-0.5*tbl_CONTENT[[#This Row],[Layer]])) *
 ((tbl_CONTENT[[#This Row],[RelInt]]-1)^(2.5)*4^(1-2.5)+1) +
 ((tbl_CONTENT[[#This Row],[Comp]]-1)^(2.5)*4^(1-2.5)+1)*(0.5*((tbl_CONTENT[[#This Row],[RelInt]]-1)/4)^(2.5)+1),
 0
)</f>
        <v>0</v>
      </c>
      <c r="R334" s="35">
        <f>IFERROR(
 (1.907*EXP(1)^(-0.5*VALUE(tbl_CONTENT[[#This Row],[Layer]]))) *
 ((VALUE(tbl_CONTENT[[#This Row],[RelId]])-1)^(2.5)*4^(1-2.5)+1) +
 ((VALUE(tbl_CONTENT[[#This Row],[Comp]])-1)^(2.5)*4^(1-2.5)+1)*(0.5*((VALUE(tbl_CONTENT[[#This Row],[RelId]])-1)/4)^(2.5)+1),
 0
)</f>
        <v>0</v>
      </c>
    </row>
    <row r="335" spans="3:18" ht="51" x14ac:dyDescent="0.2">
      <c r="C335" s="22" t="str">
        <f>_xlfn.XLOOKUP(tbl_CONTENT[[#This Row],[TopicID]], tbl_TOPIC[TopicID], tbl_TOPIC[Subject], "")</f>
        <v>RG</v>
      </c>
      <c r="D335" s="22" t="str">
        <f xml:space="preserve"> tbl_CONTENT[[#This Row],[TopicID]] &amp; "-" &amp; TEXT(tbl_CONTENT[[#This Row],[TopicIDCount]], "00")</f>
        <v>RG-1-09-03</v>
      </c>
      <c r="F335" s="22" t="str">
        <f>_xlfn.XLOOKUP(tbl_CONTENT[[#This Row],[Topic]], tbl_TOPIC[Topic], tbl_TOPIC[TopicID], "")</f>
        <v>RG-1-09</v>
      </c>
      <c r="G335" s="22" cm="1">
        <f t="array" ref="G335">SUM((tbl_CONTENT[[#This Row],[TopicID]]=INDEX(tbl_CONTENT[TopicID],1):tbl_CONTENT[[#This Row],[TopicID]])*1)</f>
        <v>3</v>
      </c>
      <c r="H335" s="22" t="s">
        <v>506</v>
      </c>
      <c r="I335" s="22" t="s">
        <v>581</v>
      </c>
      <c r="J335" s="22" t="s">
        <v>153</v>
      </c>
      <c r="Q335" s="35">
        <f>IFERROR(
 (1.907*EXP(1)^(-0.5*tbl_CONTENT[[#This Row],[Layer]])) *
 ((tbl_CONTENT[[#This Row],[RelInt]]-1)^(2.5)*4^(1-2.5)+1) +
 ((tbl_CONTENT[[#This Row],[Comp]]-1)^(2.5)*4^(1-2.5)+1)*(0.5*((tbl_CONTENT[[#This Row],[RelInt]]-1)/4)^(2.5)+1),
 0
)</f>
        <v>0</v>
      </c>
      <c r="R335" s="35">
        <f>IFERROR(
 (1.907*EXP(1)^(-0.5*VALUE(tbl_CONTENT[[#This Row],[Layer]]))) *
 ((VALUE(tbl_CONTENT[[#This Row],[RelId]])-1)^(2.5)*4^(1-2.5)+1) +
 ((VALUE(tbl_CONTENT[[#This Row],[Comp]])-1)^(2.5)*4^(1-2.5)+1)*(0.5*((VALUE(tbl_CONTENT[[#This Row],[RelId]])-1)/4)^(2.5)+1),
 0
)</f>
        <v>0</v>
      </c>
    </row>
    <row r="336" spans="3:18" ht="34" x14ac:dyDescent="0.2">
      <c r="C336" s="22" t="str">
        <f>_xlfn.XLOOKUP(tbl_CONTENT[[#This Row],[TopicID]], tbl_TOPIC[TopicID], tbl_TOPIC[Subject], "")</f>
        <v>RG</v>
      </c>
      <c r="D336" s="22" t="str">
        <f xml:space="preserve"> tbl_CONTENT[[#This Row],[TopicID]] &amp; "-" &amp; TEXT(tbl_CONTENT[[#This Row],[TopicIDCount]], "00")</f>
        <v>RG-1-09-04</v>
      </c>
      <c r="F336" s="22" t="str">
        <f>_xlfn.XLOOKUP(tbl_CONTENT[[#This Row],[Topic]], tbl_TOPIC[Topic], tbl_TOPIC[TopicID], "")</f>
        <v>RG-1-09</v>
      </c>
      <c r="G336" s="22" cm="1">
        <f t="array" ref="G336">SUM((tbl_CONTENT[[#This Row],[TopicID]]=INDEX(tbl_CONTENT[TopicID],1):tbl_CONTENT[[#This Row],[TopicID]])*1)</f>
        <v>4</v>
      </c>
      <c r="H336" s="22" t="s">
        <v>506</v>
      </c>
      <c r="I336" s="22" t="s">
        <v>582</v>
      </c>
      <c r="J336" s="22" t="s">
        <v>148</v>
      </c>
      <c r="Q336" s="35">
        <f>IFERROR(
 (1.907*EXP(1)^(-0.5*tbl_CONTENT[[#This Row],[Layer]])) *
 ((tbl_CONTENT[[#This Row],[RelInt]]-1)^(2.5)*4^(1-2.5)+1) +
 ((tbl_CONTENT[[#This Row],[Comp]]-1)^(2.5)*4^(1-2.5)+1)*(0.5*((tbl_CONTENT[[#This Row],[RelInt]]-1)/4)^(2.5)+1),
 0
)</f>
        <v>0</v>
      </c>
      <c r="R336" s="35">
        <f>IFERROR(
 (1.907*EXP(1)^(-0.5*VALUE(tbl_CONTENT[[#This Row],[Layer]]))) *
 ((VALUE(tbl_CONTENT[[#This Row],[RelId]])-1)^(2.5)*4^(1-2.5)+1) +
 ((VALUE(tbl_CONTENT[[#This Row],[Comp]])-1)^(2.5)*4^(1-2.5)+1)*(0.5*((VALUE(tbl_CONTENT[[#This Row],[RelId]])-1)/4)^(2.5)+1),
 0
)</f>
        <v>0</v>
      </c>
    </row>
    <row r="337" spans="3:18" ht="34" x14ac:dyDescent="0.2">
      <c r="C337" s="22" t="str">
        <f>_xlfn.XLOOKUP(tbl_CONTENT[[#This Row],[TopicID]], tbl_TOPIC[TopicID], tbl_TOPIC[Subject], "")</f>
        <v>RG</v>
      </c>
      <c r="D337" s="22" t="str">
        <f xml:space="preserve"> tbl_CONTENT[[#This Row],[TopicID]] &amp; "-" &amp; TEXT(tbl_CONTENT[[#This Row],[TopicIDCount]], "00")</f>
        <v>RG-1-09-05</v>
      </c>
      <c r="F337" s="22" t="str">
        <f>_xlfn.XLOOKUP(tbl_CONTENT[[#This Row],[Topic]], tbl_TOPIC[Topic], tbl_TOPIC[TopicID], "")</f>
        <v>RG-1-09</v>
      </c>
      <c r="G337" s="22" cm="1">
        <f t="array" ref="G337">SUM((tbl_CONTENT[[#This Row],[TopicID]]=INDEX(tbl_CONTENT[TopicID],1):tbl_CONTENT[[#This Row],[TopicID]])*1)</f>
        <v>5</v>
      </c>
      <c r="H337" s="22" t="s">
        <v>506</v>
      </c>
      <c r="I337" s="22" t="s">
        <v>583</v>
      </c>
      <c r="J337" s="22" t="s">
        <v>152</v>
      </c>
      <c r="Q337" s="35">
        <f>IFERROR(
 (1.907*EXP(1)^(-0.5*tbl_CONTENT[[#This Row],[Layer]])) *
 ((tbl_CONTENT[[#This Row],[RelInt]]-1)^(2.5)*4^(1-2.5)+1) +
 ((tbl_CONTENT[[#This Row],[Comp]]-1)^(2.5)*4^(1-2.5)+1)*(0.5*((tbl_CONTENT[[#This Row],[RelInt]]-1)/4)^(2.5)+1),
 0
)</f>
        <v>0</v>
      </c>
      <c r="R337" s="35">
        <f>IFERROR(
 (1.907*EXP(1)^(-0.5*VALUE(tbl_CONTENT[[#This Row],[Layer]]))) *
 ((VALUE(tbl_CONTENT[[#This Row],[RelId]])-1)^(2.5)*4^(1-2.5)+1) +
 ((VALUE(tbl_CONTENT[[#This Row],[Comp]])-1)^(2.5)*4^(1-2.5)+1)*(0.5*((VALUE(tbl_CONTENT[[#This Row],[RelId]])-1)/4)^(2.5)+1),
 0
)</f>
        <v>0</v>
      </c>
    </row>
    <row r="338" spans="3:18" ht="34" x14ac:dyDescent="0.2">
      <c r="C338" s="22" t="str">
        <f>_xlfn.XLOOKUP(tbl_CONTENT[[#This Row],[TopicID]], tbl_TOPIC[TopicID], tbl_TOPIC[Subject], "")</f>
        <v>RG</v>
      </c>
      <c r="D338" s="22" t="str">
        <f xml:space="preserve"> tbl_CONTENT[[#This Row],[TopicID]] &amp; "-" &amp; TEXT(tbl_CONTENT[[#This Row],[TopicIDCount]], "00")</f>
        <v>RG-1-09-06</v>
      </c>
      <c r="F338" s="22" t="str">
        <f>_xlfn.XLOOKUP(tbl_CONTENT[[#This Row],[Topic]], tbl_TOPIC[Topic], tbl_TOPIC[TopicID], "")</f>
        <v>RG-1-09</v>
      </c>
      <c r="G338" s="22" cm="1">
        <f t="array" ref="G338">SUM((tbl_CONTENT[[#This Row],[TopicID]]=INDEX(tbl_CONTENT[TopicID],1):tbl_CONTENT[[#This Row],[TopicID]])*1)</f>
        <v>6</v>
      </c>
      <c r="H338" s="22" t="s">
        <v>506</v>
      </c>
      <c r="I338" s="22" t="s">
        <v>584</v>
      </c>
      <c r="J338" s="22" t="s">
        <v>181</v>
      </c>
      <c r="Q338" s="35">
        <f>IFERROR(
 (1.907*EXP(1)^(-0.5*tbl_CONTENT[[#This Row],[Layer]])) *
 ((tbl_CONTENT[[#This Row],[RelInt]]-1)^(2.5)*4^(1-2.5)+1) +
 ((tbl_CONTENT[[#This Row],[Comp]]-1)^(2.5)*4^(1-2.5)+1)*(0.5*((tbl_CONTENT[[#This Row],[RelInt]]-1)/4)^(2.5)+1),
 0
)</f>
        <v>0</v>
      </c>
      <c r="R338" s="35">
        <f>IFERROR(
 (1.907*EXP(1)^(-0.5*VALUE(tbl_CONTENT[[#This Row],[Layer]]))) *
 ((VALUE(tbl_CONTENT[[#This Row],[RelId]])-1)^(2.5)*4^(1-2.5)+1) +
 ((VALUE(tbl_CONTENT[[#This Row],[Comp]])-1)^(2.5)*4^(1-2.5)+1)*(0.5*((VALUE(tbl_CONTENT[[#This Row],[RelId]])-1)/4)^(2.5)+1),
 0
)</f>
        <v>0</v>
      </c>
    </row>
    <row r="339" spans="3:18" ht="17" x14ac:dyDescent="0.2">
      <c r="C339" s="22" t="str">
        <f>_xlfn.XLOOKUP(tbl_CONTENT[[#This Row],[TopicID]], tbl_TOPIC[TopicID], tbl_TOPIC[Subject], "")</f>
        <v>RG</v>
      </c>
      <c r="D339" s="22" t="str">
        <f xml:space="preserve"> tbl_CONTENT[[#This Row],[TopicID]] &amp; "-" &amp; TEXT(tbl_CONTENT[[#This Row],[TopicIDCount]], "00")</f>
        <v>RG-1-09-07</v>
      </c>
      <c r="F339" s="22" t="str">
        <f>_xlfn.XLOOKUP(tbl_CONTENT[[#This Row],[Topic]], tbl_TOPIC[Topic], tbl_TOPIC[TopicID], "")</f>
        <v>RG-1-09</v>
      </c>
      <c r="G339" s="22" cm="1">
        <f t="array" ref="G339">SUM((tbl_CONTENT[[#This Row],[TopicID]]=INDEX(tbl_CONTENT[TopicID],1):tbl_CONTENT[[#This Row],[TopicID]])*1)</f>
        <v>7</v>
      </c>
      <c r="H339" s="22" t="s">
        <v>506</v>
      </c>
      <c r="I339" s="22" t="s">
        <v>1642</v>
      </c>
      <c r="J339" s="22" t="s">
        <v>181</v>
      </c>
      <c r="Q339" s="35">
        <f>IFERROR(
 (1.907*EXP(1)^(-0.5*tbl_CONTENT[[#This Row],[Layer]])) *
 ((tbl_CONTENT[[#This Row],[RelInt]]-1)^(2.5)*4^(1-2.5)+1) +
 ((tbl_CONTENT[[#This Row],[Comp]]-1)^(2.5)*4^(1-2.5)+1)*(0.5*((tbl_CONTENT[[#This Row],[RelInt]]-1)/4)^(2.5)+1),
 0
)</f>
        <v>0</v>
      </c>
      <c r="R339" s="35">
        <f>IFERROR(
 (1.907*EXP(1)^(-0.5*VALUE(tbl_CONTENT[[#This Row],[Layer]]))) *
 ((VALUE(tbl_CONTENT[[#This Row],[RelId]])-1)^(2.5)*4^(1-2.5)+1) +
 ((VALUE(tbl_CONTENT[[#This Row],[Comp]])-1)^(2.5)*4^(1-2.5)+1)*(0.5*((VALUE(tbl_CONTENT[[#This Row],[RelId]])-1)/4)^(2.5)+1),
 0
)</f>
        <v>0</v>
      </c>
    </row>
    <row r="340" spans="3:18" ht="34" x14ac:dyDescent="0.2">
      <c r="C340" s="22" t="str">
        <f>_xlfn.XLOOKUP(tbl_CONTENT[[#This Row],[TopicID]], tbl_TOPIC[TopicID], tbl_TOPIC[Subject], "")</f>
        <v>GPDE</v>
      </c>
      <c r="D340" s="22" t="str">
        <f xml:space="preserve"> tbl_CONTENT[[#This Row],[TopicID]] &amp; "-" &amp; TEXT(tbl_CONTENT[[#This Row],[TopicIDCount]], "00")</f>
        <v>GPDE-1-08-01</v>
      </c>
      <c r="F340" s="22" t="str">
        <f>_xlfn.XLOOKUP(tbl_CONTENT[[#This Row],[Topic]], tbl_TOPIC[Topic], tbl_TOPIC[TopicID], "")</f>
        <v>GPDE-1-08</v>
      </c>
      <c r="G340" s="22" cm="1">
        <f t="array" ref="G340">SUM((tbl_CONTENT[[#This Row],[TopicID]]=INDEX(tbl_CONTENT[TopicID],1):tbl_CONTENT[[#This Row],[TopicID]])*1)</f>
        <v>1</v>
      </c>
      <c r="H340" s="22" t="s">
        <v>458</v>
      </c>
      <c r="I340" s="22" t="s">
        <v>588</v>
      </c>
      <c r="J340" s="22" t="s">
        <v>150</v>
      </c>
      <c r="K340" s="22">
        <v>1</v>
      </c>
      <c r="Q340" s="35">
        <f>IFERROR(
 (1.907*EXP(1)^(-0.5*tbl_CONTENT[[#This Row],[Layer]])) *
 ((tbl_CONTENT[[#This Row],[RelInt]]-1)^(2.5)*4^(1-2.5)+1) +
 ((tbl_CONTENT[[#This Row],[Comp]]-1)^(2.5)*4^(1-2.5)+1)*(0.5*((tbl_CONTENT[[#This Row],[RelInt]]-1)/4)^(2.5)+1),
 0
)</f>
        <v>0</v>
      </c>
      <c r="R340" s="35">
        <f>IFERROR(
 (1.907*EXP(1)^(-0.5*VALUE(tbl_CONTENT[[#This Row],[Layer]]))) *
 ((VALUE(tbl_CONTENT[[#This Row],[RelId]])-1)^(2.5)*4^(1-2.5)+1) +
 ((VALUE(tbl_CONTENT[[#This Row],[Comp]])-1)^(2.5)*4^(1-2.5)+1)*(0.5*((VALUE(tbl_CONTENT[[#This Row],[RelId]])-1)/4)^(2.5)+1),
 0
)</f>
        <v>0</v>
      </c>
    </row>
    <row r="341" spans="3:18" ht="34" x14ac:dyDescent="0.2">
      <c r="C341" s="22" t="str">
        <f>_xlfn.XLOOKUP(tbl_CONTENT[[#This Row],[TopicID]], tbl_TOPIC[TopicID], tbl_TOPIC[Subject], "")</f>
        <v>GPDE</v>
      </c>
      <c r="D341" s="22" t="str">
        <f xml:space="preserve"> tbl_CONTENT[[#This Row],[TopicID]] &amp; "-" &amp; TEXT(tbl_CONTENT[[#This Row],[TopicIDCount]], "00")</f>
        <v>GPDE-1-08-02</v>
      </c>
      <c r="F341" s="22" t="str">
        <f>_xlfn.XLOOKUP(tbl_CONTENT[[#This Row],[Topic]], tbl_TOPIC[Topic], tbl_TOPIC[TopicID], "")</f>
        <v>GPDE-1-08</v>
      </c>
      <c r="G341" s="22" cm="1">
        <f t="array" ref="G341">SUM((tbl_CONTENT[[#This Row],[TopicID]]=INDEX(tbl_CONTENT[TopicID],1):tbl_CONTENT[[#This Row],[TopicID]])*1)</f>
        <v>2</v>
      </c>
      <c r="H341" s="22" t="s">
        <v>458</v>
      </c>
      <c r="I341" s="22" t="s">
        <v>591</v>
      </c>
      <c r="J341" s="22" t="s">
        <v>150</v>
      </c>
      <c r="K341" s="22">
        <v>1</v>
      </c>
      <c r="Q341" s="35">
        <f>IFERROR(
 (1.907*EXP(1)^(-0.5*tbl_CONTENT[[#This Row],[Layer]])) *
 ((tbl_CONTENT[[#This Row],[RelInt]]-1)^(2.5)*4^(1-2.5)+1) +
 ((tbl_CONTENT[[#This Row],[Comp]]-1)^(2.5)*4^(1-2.5)+1)*(0.5*((tbl_CONTENT[[#This Row],[RelInt]]-1)/4)^(2.5)+1),
 0
)</f>
        <v>0</v>
      </c>
      <c r="R341" s="35">
        <f>IFERROR(
 (1.907*EXP(1)^(-0.5*VALUE(tbl_CONTENT[[#This Row],[Layer]]))) *
 ((VALUE(tbl_CONTENT[[#This Row],[RelId]])-1)^(2.5)*4^(1-2.5)+1) +
 ((VALUE(tbl_CONTENT[[#This Row],[Comp]])-1)^(2.5)*4^(1-2.5)+1)*(0.5*((VALUE(tbl_CONTENT[[#This Row],[RelId]])-1)/4)^(2.5)+1),
 0
)</f>
        <v>0</v>
      </c>
    </row>
    <row r="342" spans="3:18" ht="34" x14ac:dyDescent="0.2">
      <c r="C342" s="22" t="str">
        <f>_xlfn.XLOOKUP(tbl_CONTENT[[#This Row],[TopicID]], tbl_TOPIC[TopicID], tbl_TOPIC[Subject], "")</f>
        <v>GPDE</v>
      </c>
      <c r="D342" s="22" t="str">
        <f xml:space="preserve"> tbl_CONTENT[[#This Row],[TopicID]] &amp; "-" &amp; TEXT(tbl_CONTENT[[#This Row],[TopicIDCount]], "00")</f>
        <v>GPDE-1-08-03</v>
      </c>
      <c r="F342" s="22" t="str">
        <f>_xlfn.XLOOKUP(tbl_CONTENT[[#This Row],[Topic]], tbl_TOPIC[Topic], tbl_TOPIC[TopicID], "")</f>
        <v>GPDE-1-08</v>
      </c>
      <c r="G342" s="22" cm="1">
        <f t="array" ref="G342">SUM((tbl_CONTENT[[#This Row],[TopicID]]=INDEX(tbl_CONTENT[TopicID],1):tbl_CONTENT[[#This Row],[TopicID]])*1)</f>
        <v>3</v>
      </c>
      <c r="H342" s="22" t="s">
        <v>458</v>
      </c>
      <c r="I342" s="22" t="s">
        <v>589</v>
      </c>
      <c r="J342" s="22" t="s">
        <v>153</v>
      </c>
      <c r="K342" s="22">
        <v>1</v>
      </c>
      <c r="Q342" s="35">
        <f>IFERROR(
 (1.907*EXP(1)^(-0.5*tbl_CONTENT[[#This Row],[Layer]])) *
 ((tbl_CONTENT[[#This Row],[RelInt]]-1)^(2.5)*4^(1-2.5)+1) +
 ((tbl_CONTENT[[#This Row],[Comp]]-1)^(2.5)*4^(1-2.5)+1)*(0.5*((tbl_CONTENT[[#This Row],[RelInt]]-1)/4)^(2.5)+1),
 0
)</f>
        <v>0</v>
      </c>
      <c r="R342" s="35">
        <f>IFERROR(
 (1.907*EXP(1)^(-0.5*VALUE(tbl_CONTENT[[#This Row],[Layer]]))) *
 ((VALUE(tbl_CONTENT[[#This Row],[RelId]])-1)^(2.5)*4^(1-2.5)+1) +
 ((VALUE(tbl_CONTENT[[#This Row],[Comp]])-1)^(2.5)*4^(1-2.5)+1)*(0.5*((VALUE(tbl_CONTENT[[#This Row],[RelId]])-1)/4)^(2.5)+1),
 0
)</f>
        <v>0</v>
      </c>
    </row>
    <row r="343" spans="3:18" ht="51" x14ac:dyDescent="0.2">
      <c r="C343" s="22" t="str">
        <f>_xlfn.XLOOKUP(tbl_CONTENT[[#This Row],[TopicID]], tbl_TOPIC[TopicID], tbl_TOPIC[Subject], "")</f>
        <v>GPDE</v>
      </c>
      <c r="D343" s="22" t="str">
        <f xml:space="preserve"> tbl_CONTENT[[#This Row],[TopicID]] &amp; "-" &amp; TEXT(tbl_CONTENT[[#This Row],[TopicIDCount]], "00")</f>
        <v>GPDE-1-08-04</v>
      </c>
      <c r="F343" s="22" t="str">
        <f>_xlfn.XLOOKUP(tbl_CONTENT[[#This Row],[Topic]], tbl_TOPIC[Topic], tbl_TOPIC[TopicID], "")</f>
        <v>GPDE-1-08</v>
      </c>
      <c r="G343" s="22" cm="1">
        <f t="array" ref="G343">SUM((tbl_CONTENT[[#This Row],[TopicID]]=INDEX(tbl_CONTENT[TopicID],1):tbl_CONTENT[[#This Row],[TopicID]])*1)</f>
        <v>4</v>
      </c>
      <c r="H343" s="22" t="s">
        <v>458</v>
      </c>
      <c r="I343" s="22" t="s">
        <v>590</v>
      </c>
      <c r="J343" s="22" t="s">
        <v>149</v>
      </c>
      <c r="K343" s="22">
        <v>1</v>
      </c>
      <c r="Q343" s="35">
        <f>IFERROR(
 (1.907*EXP(1)^(-0.5*tbl_CONTENT[[#This Row],[Layer]])) *
 ((tbl_CONTENT[[#This Row],[RelInt]]-1)^(2.5)*4^(1-2.5)+1) +
 ((tbl_CONTENT[[#This Row],[Comp]]-1)^(2.5)*4^(1-2.5)+1)*(0.5*((tbl_CONTENT[[#This Row],[RelInt]]-1)/4)^(2.5)+1),
 0
)</f>
        <v>0</v>
      </c>
      <c r="R343" s="35">
        <f>IFERROR(
 (1.907*EXP(1)^(-0.5*VALUE(tbl_CONTENT[[#This Row],[Layer]]))) *
 ((VALUE(tbl_CONTENT[[#This Row],[RelId]])-1)^(2.5)*4^(1-2.5)+1) +
 ((VALUE(tbl_CONTENT[[#This Row],[Comp]])-1)^(2.5)*4^(1-2.5)+1)*(0.5*((VALUE(tbl_CONTENT[[#This Row],[RelId]])-1)/4)^(2.5)+1),
 0
)</f>
        <v>0</v>
      </c>
    </row>
    <row r="344" spans="3:18" ht="34" x14ac:dyDescent="0.2">
      <c r="C344" s="22" t="str">
        <f>_xlfn.XLOOKUP(tbl_CONTENT[[#This Row],[TopicID]], tbl_TOPIC[TopicID], tbl_TOPIC[Subject], "")</f>
        <v>RG</v>
      </c>
      <c r="D344" s="22" t="str">
        <f xml:space="preserve"> tbl_CONTENT[[#This Row],[TopicID]] &amp; "-" &amp; TEXT(tbl_CONTENT[[#This Row],[TopicIDCount]], "00")</f>
        <v>RG-1-16-01</v>
      </c>
      <c r="F344" s="22" t="str">
        <f>_xlfn.XLOOKUP(tbl_CONTENT[[#This Row],[Topic]], tbl_TOPIC[Topic], tbl_TOPIC[TopicID], "")</f>
        <v>RG-1-16</v>
      </c>
      <c r="G344" s="22" cm="1">
        <f t="array" ref="G344">SUM((tbl_CONTENT[[#This Row],[TopicID]]=INDEX(tbl_CONTENT[TopicID],1):tbl_CONTENT[[#This Row],[TopicID]])*1)</f>
        <v>1</v>
      </c>
      <c r="H344" s="22" t="s">
        <v>593</v>
      </c>
      <c r="I344" s="22" t="s">
        <v>594</v>
      </c>
      <c r="J344" s="22" t="s">
        <v>494</v>
      </c>
      <c r="Q344" s="35">
        <f>IFERROR(
 (1.907*EXP(1)^(-0.5*tbl_CONTENT[[#This Row],[Layer]])) *
 ((tbl_CONTENT[[#This Row],[RelInt]]-1)^(2.5)*4^(1-2.5)+1) +
 ((tbl_CONTENT[[#This Row],[Comp]]-1)^(2.5)*4^(1-2.5)+1)*(0.5*((tbl_CONTENT[[#This Row],[RelInt]]-1)/4)^(2.5)+1),
 0
)</f>
        <v>0</v>
      </c>
      <c r="R344" s="35">
        <f>IFERROR(
 (1.907*EXP(1)^(-0.5*VALUE(tbl_CONTENT[[#This Row],[Layer]]))) *
 ((VALUE(tbl_CONTENT[[#This Row],[RelId]])-1)^(2.5)*4^(1-2.5)+1) +
 ((VALUE(tbl_CONTENT[[#This Row],[Comp]])-1)^(2.5)*4^(1-2.5)+1)*(0.5*((VALUE(tbl_CONTENT[[#This Row],[RelId]])-1)/4)^(2.5)+1),
 0
)</f>
        <v>0</v>
      </c>
    </row>
    <row r="345" spans="3:18" ht="34" x14ac:dyDescent="0.2">
      <c r="C345" s="22" t="str">
        <f>_xlfn.XLOOKUP(tbl_CONTENT[[#This Row],[TopicID]], tbl_TOPIC[TopicID], tbl_TOPIC[Subject], "")</f>
        <v>RG</v>
      </c>
      <c r="D345" s="22" t="str">
        <f xml:space="preserve"> tbl_CONTENT[[#This Row],[TopicID]] &amp; "-" &amp; TEXT(tbl_CONTENT[[#This Row],[TopicIDCount]], "00")</f>
        <v>RG-1-16-02</v>
      </c>
      <c r="F345" s="22" t="str">
        <f>_xlfn.XLOOKUP(tbl_CONTENT[[#This Row],[Topic]], tbl_TOPIC[Topic], tbl_TOPIC[TopicID], "")</f>
        <v>RG-1-16</v>
      </c>
      <c r="G345" s="22" cm="1">
        <f t="array" ref="G345">SUM((tbl_CONTENT[[#This Row],[TopicID]]=INDEX(tbl_CONTENT[TopicID],1):tbl_CONTENT[[#This Row],[TopicID]])*1)</f>
        <v>2</v>
      </c>
      <c r="H345" s="22" t="s">
        <v>593</v>
      </c>
      <c r="I345" s="22" t="s">
        <v>1643</v>
      </c>
      <c r="J345" s="22" t="s">
        <v>181</v>
      </c>
      <c r="Q345" s="35">
        <f>IFERROR(
 (1.907*EXP(1)^(-0.5*tbl_CONTENT[[#This Row],[Layer]])) *
 ((tbl_CONTENT[[#This Row],[RelInt]]-1)^(2.5)*4^(1-2.5)+1) +
 ((tbl_CONTENT[[#This Row],[Comp]]-1)^(2.5)*4^(1-2.5)+1)*(0.5*((tbl_CONTENT[[#This Row],[RelInt]]-1)/4)^(2.5)+1),
 0
)</f>
        <v>0</v>
      </c>
      <c r="R345" s="35">
        <f>IFERROR(
 (1.907*EXP(1)^(-0.5*VALUE(tbl_CONTENT[[#This Row],[Layer]]))) *
 ((VALUE(tbl_CONTENT[[#This Row],[RelId]])-1)^(2.5)*4^(1-2.5)+1) +
 ((VALUE(tbl_CONTENT[[#This Row],[Comp]])-1)^(2.5)*4^(1-2.5)+1)*(0.5*((VALUE(tbl_CONTENT[[#This Row],[RelId]])-1)/4)^(2.5)+1),
 0
)</f>
        <v>0</v>
      </c>
    </row>
    <row r="346" spans="3:18" ht="34" x14ac:dyDescent="0.2">
      <c r="C346" s="22" t="str">
        <f>_xlfn.XLOOKUP(tbl_CONTENT[[#This Row],[TopicID]], tbl_TOPIC[TopicID], tbl_TOPIC[Subject], "")</f>
        <v>RG</v>
      </c>
      <c r="D346" s="22" t="str">
        <f xml:space="preserve"> tbl_CONTENT[[#This Row],[TopicID]] &amp; "-" &amp; TEXT(tbl_CONTENT[[#This Row],[TopicIDCount]], "00")</f>
        <v>RG-1-16-03</v>
      </c>
      <c r="F346" s="22" t="str">
        <f>_xlfn.XLOOKUP(tbl_CONTENT[[#This Row],[Topic]], tbl_TOPIC[Topic], tbl_TOPIC[TopicID], "")</f>
        <v>RG-1-16</v>
      </c>
      <c r="G346" s="22" cm="1">
        <f t="array" ref="G346">SUM((tbl_CONTENT[[#This Row],[TopicID]]=INDEX(tbl_CONTENT[TopicID],1):tbl_CONTENT[[#This Row],[TopicID]])*1)</f>
        <v>3</v>
      </c>
      <c r="H346" s="22" t="s">
        <v>593</v>
      </c>
      <c r="I346" s="22" t="s">
        <v>595</v>
      </c>
      <c r="J346" s="22" t="s">
        <v>181</v>
      </c>
      <c r="Q346" s="35">
        <f>IFERROR(
 (1.907*EXP(1)^(-0.5*tbl_CONTENT[[#This Row],[Layer]])) *
 ((tbl_CONTENT[[#This Row],[RelInt]]-1)^(2.5)*4^(1-2.5)+1) +
 ((tbl_CONTENT[[#This Row],[Comp]]-1)^(2.5)*4^(1-2.5)+1)*(0.5*((tbl_CONTENT[[#This Row],[RelInt]]-1)/4)^(2.5)+1),
 0
)</f>
        <v>0</v>
      </c>
      <c r="R346" s="35">
        <f>IFERROR(
 (1.907*EXP(1)^(-0.5*VALUE(tbl_CONTENT[[#This Row],[Layer]]))) *
 ((VALUE(tbl_CONTENT[[#This Row],[RelId]])-1)^(2.5)*4^(1-2.5)+1) +
 ((VALUE(tbl_CONTENT[[#This Row],[Comp]])-1)^(2.5)*4^(1-2.5)+1)*(0.5*((VALUE(tbl_CONTENT[[#This Row],[RelId]])-1)/4)^(2.5)+1),
 0
)</f>
        <v>0</v>
      </c>
    </row>
    <row r="347" spans="3:18" ht="34" x14ac:dyDescent="0.2">
      <c r="C347" s="22" t="str">
        <f>_xlfn.XLOOKUP(tbl_CONTENT[[#This Row],[TopicID]], tbl_TOPIC[TopicID], tbl_TOPIC[Subject], "")</f>
        <v>EFT1</v>
      </c>
      <c r="D347" s="22" t="str">
        <f xml:space="preserve"> tbl_CONTENT[[#This Row],[TopicID]] &amp; "-" &amp; TEXT(tbl_CONTENT[[#This Row],[TopicIDCount]], "00")</f>
        <v>EFT1-1-02-01</v>
      </c>
      <c r="F347" s="22" t="str">
        <f>_xlfn.XLOOKUP(tbl_CONTENT[[#This Row],[Topic]], tbl_TOPIC[Topic], tbl_TOPIC[TopicID], "")</f>
        <v>EFT1-1-02</v>
      </c>
      <c r="G347" s="22" cm="1">
        <f t="array" ref="G347">SUM((tbl_CONTENT[[#This Row],[TopicID]]=INDEX(tbl_CONTENT[TopicID],1):tbl_CONTENT[[#This Row],[TopicID]])*1)</f>
        <v>1</v>
      </c>
      <c r="H347" s="22" t="s">
        <v>598</v>
      </c>
      <c r="I347" s="22" t="s">
        <v>606</v>
      </c>
      <c r="J347" s="22" t="s">
        <v>153</v>
      </c>
      <c r="Q347" s="35">
        <f>IFERROR(
 (1.907*EXP(1)^(-0.5*tbl_CONTENT[[#This Row],[Layer]])) *
 ((tbl_CONTENT[[#This Row],[RelInt]]-1)^(2.5)*4^(1-2.5)+1) +
 ((tbl_CONTENT[[#This Row],[Comp]]-1)^(2.5)*4^(1-2.5)+1)*(0.5*((tbl_CONTENT[[#This Row],[RelInt]]-1)/4)^(2.5)+1),
 0
)</f>
        <v>0</v>
      </c>
      <c r="R347" s="35">
        <f>IFERROR(
 (1.907*EXP(1)^(-0.5*VALUE(tbl_CONTENT[[#This Row],[Layer]]))) *
 ((VALUE(tbl_CONTENT[[#This Row],[RelId]])-1)^(2.5)*4^(1-2.5)+1) +
 ((VALUE(tbl_CONTENT[[#This Row],[Comp]])-1)^(2.5)*4^(1-2.5)+1)*(0.5*((VALUE(tbl_CONTENT[[#This Row],[RelId]])-1)/4)^(2.5)+1),
 0
)</f>
        <v>0</v>
      </c>
    </row>
    <row r="348" spans="3:18" ht="17" x14ac:dyDescent="0.2">
      <c r="C348" s="22" t="str">
        <f>_xlfn.XLOOKUP(tbl_CONTENT[[#This Row],[TopicID]], tbl_TOPIC[TopicID], tbl_TOPIC[Subject], "")</f>
        <v>EFT1</v>
      </c>
      <c r="D348" s="22" t="str">
        <f xml:space="preserve"> tbl_CONTENT[[#This Row],[TopicID]] &amp; "-" &amp; TEXT(tbl_CONTENT[[#This Row],[TopicIDCount]], "00")</f>
        <v>EFT1-1-02-02</v>
      </c>
      <c r="F348" s="22" t="str">
        <f>_xlfn.XLOOKUP(tbl_CONTENT[[#This Row],[Topic]], tbl_TOPIC[Topic], tbl_TOPIC[TopicID], "")</f>
        <v>EFT1-1-02</v>
      </c>
      <c r="G348" s="22" cm="1">
        <f t="array" ref="G348">SUM((tbl_CONTENT[[#This Row],[TopicID]]=INDEX(tbl_CONTENT[TopicID],1):tbl_CONTENT[[#This Row],[TopicID]])*1)</f>
        <v>2</v>
      </c>
      <c r="H348" s="22" t="s">
        <v>598</v>
      </c>
      <c r="I348" s="22" t="s">
        <v>607</v>
      </c>
      <c r="J348" s="22" t="s">
        <v>153</v>
      </c>
      <c r="Q348" s="35">
        <f>IFERROR(
 (1.907*EXP(1)^(-0.5*tbl_CONTENT[[#This Row],[Layer]])) *
 ((tbl_CONTENT[[#This Row],[RelInt]]-1)^(2.5)*4^(1-2.5)+1) +
 ((tbl_CONTENT[[#This Row],[Comp]]-1)^(2.5)*4^(1-2.5)+1)*(0.5*((tbl_CONTENT[[#This Row],[RelInt]]-1)/4)^(2.5)+1),
 0
)</f>
        <v>0</v>
      </c>
      <c r="R348" s="35">
        <f>IFERROR(
 (1.907*EXP(1)^(-0.5*VALUE(tbl_CONTENT[[#This Row],[Layer]]))) *
 ((VALUE(tbl_CONTENT[[#This Row],[RelId]])-1)^(2.5)*4^(1-2.5)+1) +
 ((VALUE(tbl_CONTENT[[#This Row],[Comp]])-1)^(2.5)*4^(1-2.5)+1)*(0.5*((VALUE(tbl_CONTENT[[#This Row],[RelId]])-1)/4)^(2.5)+1),
 0
)</f>
        <v>0</v>
      </c>
    </row>
    <row r="349" spans="3:18" ht="34" x14ac:dyDescent="0.2">
      <c r="C349" s="22" t="str">
        <f>_xlfn.XLOOKUP(tbl_CONTENT[[#This Row],[TopicID]], tbl_TOPIC[TopicID], tbl_TOPIC[Subject], "")</f>
        <v>EFT1</v>
      </c>
      <c r="D349" s="22" t="str">
        <f xml:space="preserve"> tbl_CONTENT[[#This Row],[TopicID]] &amp; "-" &amp; TEXT(tbl_CONTENT[[#This Row],[TopicIDCount]], "00")</f>
        <v>EFT1-1-02-03</v>
      </c>
      <c r="F349" s="22" t="str">
        <f>_xlfn.XLOOKUP(tbl_CONTENT[[#This Row],[Topic]], tbl_TOPIC[Topic], tbl_TOPIC[TopicID], "")</f>
        <v>EFT1-1-02</v>
      </c>
      <c r="G349" s="22" cm="1">
        <f t="array" ref="G349">SUM((tbl_CONTENT[[#This Row],[TopicID]]=INDEX(tbl_CONTENT[TopicID],1):tbl_CONTENT[[#This Row],[TopicID]])*1)</f>
        <v>3</v>
      </c>
      <c r="H349" s="22" t="s">
        <v>598</v>
      </c>
      <c r="I349" s="22" t="s">
        <v>608</v>
      </c>
      <c r="J349" s="22" t="s">
        <v>181</v>
      </c>
      <c r="Q349" s="35">
        <f>IFERROR(
 (1.907*EXP(1)^(-0.5*tbl_CONTENT[[#This Row],[Layer]])) *
 ((tbl_CONTENT[[#This Row],[RelInt]]-1)^(2.5)*4^(1-2.5)+1) +
 ((tbl_CONTENT[[#This Row],[Comp]]-1)^(2.5)*4^(1-2.5)+1)*(0.5*((tbl_CONTENT[[#This Row],[RelInt]]-1)/4)^(2.5)+1),
 0
)</f>
        <v>0</v>
      </c>
      <c r="R349" s="35">
        <f>IFERROR(
 (1.907*EXP(1)^(-0.5*VALUE(tbl_CONTENT[[#This Row],[Layer]]))) *
 ((VALUE(tbl_CONTENT[[#This Row],[RelId]])-1)^(2.5)*4^(1-2.5)+1) +
 ((VALUE(tbl_CONTENT[[#This Row],[Comp]])-1)^(2.5)*4^(1-2.5)+1)*(0.5*((VALUE(tbl_CONTENT[[#This Row],[RelId]])-1)/4)^(2.5)+1),
 0
)</f>
        <v>0</v>
      </c>
    </row>
    <row r="350" spans="3:18" ht="34" x14ac:dyDescent="0.2">
      <c r="C350" s="22" t="str">
        <f>_xlfn.XLOOKUP(tbl_CONTENT[[#This Row],[TopicID]], tbl_TOPIC[TopicID], tbl_TOPIC[Subject], "")</f>
        <v>EFT1</v>
      </c>
      <c r="D350" s="22" t="str">
        <f xml:space="preserve"> tbl_CONTENT[[#This Row],[TopicID]] &amp; "-" &amp; TEXT(tbl_CONTENT[[#This Row],[TopicIDCount]], "00")</f>
        <v>EFT1-1-02-04</v>
      </c>
      <c r="F350" s="22" t="str">
        <f>_xlfn.XLOOKUP(tbl_CONTENT[[#This Row],[Topic]], tbl_TOPIC[Topic], tbl_TOPIC[TopicID], "")</f>
        <v>EFT1-1-02</v>
      </c>
      <c r="G350" s="22" cm="1">
        <f t="array" ref="G350">SUM((tbl_CONTENT[[#This Row],[TopicID]]=INDEX(tbl_CONTENT[TopicID],1):tbl_CONTENT[[#This Row],[TopicID]])*1)</f>
        <v>4</v>
      </c>
      <c r="H350" s="22" t="s">
        <v>598</v>
      </c>
      <c r="I350" s="22" t="s">
        <v>609</v>
      </c>
      <c r="J350" s="22" t="s">
        <v>181</v>
      </c>
      <c r="Q350" s="35">
        <f>IFERROR(
 (1.907*EXP(1)^(-0.5*tbl_CONTENT[[#This Row],[Layer]])) *
 ((tbl_CONTENT[[#This Row],[RelInt]]-1)^(2.5)*4^(1-2.5)+1) +
 ((tbl_CONTENT[[#This Row],[Comp]]-1)^(2.5)*4^(1-2.5)+1)*(0.5*((tbl_CONTENT[[#This Row],[RelInt]]-1)/4)^(2.5)+1),
 0
)</f>
        <v>0</v>
      </c>
      <c r="R350" s="35">
        <f>IFERROR(
 (1.907*EXP(1)^(-0.5*VALUE(tbl_CONTENT[[#This Row],[Layer]]))) *
 ((VALUE(tbl_CONTENT[[#This Row],[RelId]])-1)^(2.5)*4^(1-2.5)+1) +
 ((VALUE(tbl_CONTENT[[#This Row],[Comp]])-1)^(2.5)*4^(1-2.5)+1)*(0.5*((VALUE(tbl_CONTENT[[#This Row],[RelId]])-1)/4)^(2.5)+1),
 0
)</f>
        <v>0</v>
      </c>
    </row>
    <row r="351" spans="3:18" ht="17" x14ac:dyDescent="0.2">
      <c r="C351" s="22" t="str">
        <f>_xlfn.XLOOKUP(tbl_CONTENT[[#This Row],[TopicID]], tbl_TOPIC[TopicID], tbl_TOPIC[Subject], "")</f>
        <v>EFT1</v>
      </c>
      <c r="D351" s="22" t="str">
        <f xml:space="preserve"> tbl_CONTENT[[#This Row],[TopicID]] &amp; "-" &amp; TEXT(tbl_CONTENT[[#This Row],[TopicIDCount]], "00")</f>
        <v>EFT1-1-02-05</v>
      </c>
      <c r="F351" s="22" t="str">
        <f>_xlfn.XLOOKUP(tbl_CONTENT[[#This Row],[Topic]], tbl_TOPIC[Topic], tbl_TOPIC[TopicID], "")</f>
        <v>EFT1-1-02</v>
      </c>
      <c r="G351" s="22" cm="1">
        <f t="array" ref="G351">SUM((tbl_CONTENT[[#This Row],[TopicID]]=INDEX(tbl_CONTENT[TopicID],1):tbl_CONTENT[[#This Row],[TopicID]])*1)</f>
        <v>5</v>
      </c>
      <c r="H351" s="22" t="s">
        <v>598</v>
      </c>
      <c r="I351" s="22" t="s">
        <v>1590</v>
      </c>
      <c r="J351" s="22" t="s">
        <v>181</v>
      </c>
      <c r="Q351" s="35">
        <f>IFERROR(
 (1.907*EXP(1)^(-0.5*tbl_CONTENT[[#This Row],[Layer]])) *
 ((tbl_CONTENT[[#This Row],[RelInt]]-1)^(2.5)*4^(1-2.5)+1) +
 ((tbl_CONTENT[[#This Row],[Comp]]-1)^(2.5)*4^(1-2.5)+1)*(0.5*((tbl_CONTENT[[#This Row],[RelInt]]-1)/4)^(2.5)+1),
 0
)</f>
        <v>0</v>
      </c>
      <c r="R351" s="35">
        <f>IFERROR(
 (1.907*EXP(1)^(-0.5*VALUE(tbl_CONTENT[[#This Row],[Layer]]))) *
 ((VALUE(tbl_CONTENT[[#This Row],[RelId]])-1)^(2.5)*4^(1-2.5)+1) +
 ((VALUE(tbl_CONTENT[[#This Row],[Comp]])-1)^(2.5)*4^(1-2.5)+1)*(0.5*((VALUE(tbl_CONTENT[[#This Row],[RelId]])-1)/4)^(2.5)+1),
 0
)</f>
        <v>0</v>
      </c>
    </row>
    <row r="352" spans="3:18" ht="17" x14ac:dyDescent="0.2">
      <c r="C352" s="22" t="str">
        <f>_xlfn.XLOOKUP(tbl_CONTENT[[#This Row],[TopicID]], tbl_TOPIC[TopicID], tbl_TOPIC[Subject], "")</f>
        <v>EFT1</v>
      </c>
      <c r="D352" s="22" t="str">
        <f xml:space="preserve"> tbl_CONTENT[[#This Row],[TopicID]] &amp; "-" &amp; TEXT(tbl_CONTENT[[#This Row],[TopicIDCount]], "00")</f>
        <v>EFT1-1-02-06</v>
      </c>
      <c r="F352" s="22" t="str">
        <f>_xlfn.XLOOKUP(tbl_CONTENT[[#This Row],[Topic]], tbl_TOPIC[Topic], tbl_TOPIC[TopicID], "")</f>
        <v>EFT1-1-02</v>
      </c>
      <c r="G352" s="22" cm="1">
        <f t="array" ref="G352">SUM((tbl_CONTENT[[#This Row],[TopicID]]=INDEX(tbl_CONTENT[TopicID],1):tbl_CONTENT[[#This Row],[TopicID]])*1)</f>
        <v>6</v>
      </c>
      <c r="H352" s="22" t="s">
        <v>598</v>
      </c>
      <c r="I352" s="22" t="s">
        <v>1591</v>
      </c>
      <c r="J352" s="22" t="s">
        <v>181</v>
      </c>
      <c r="Q352" s="35">
        <f>IFERROR(
 (1.907*EXP(1)^(-0.5*tbl_CONTENT[[#This Row],[Layer]])) *
 ((tbl_CONTENT[[#This Row],[RelInt]]-1)^(2.5)*4^(1-2.5)+1) +
 ((tbl_CONTENT[[#This Row],[Comp]]-1)^(2.5)*4^(1-2.5)+1)*(0.5*((tbl_CONTENT[[#This Row],[RelInt]]-1)/4)^(2.5)+1),
 0
)</f>
        <v>0</v>
      </c>
      <c r="R352" s="35">
        <f>IFERROR(
 (1.907*EXP(1)^(-0.5*VALUE(tbl_CONTENT[[#This Row],[Layer]]))) *
 ((VALUE(tbl_CONTENT[[#This Row],[RelId]])-1)^(2.5)*4^(1-2.5)+1) +
 ((VALUE(tbl_CONTENT[[#This Row],[Comp]])-1)^(2.5)*4^(1-2.5)+1)*(0.5*((VALUE(tbl_CONTENT[[#This Row],[RelId]])-1)/4)^(2.5)+1),
 0
)</f>
        <v>0</v>
      </c>
    </row>
    <row r="353" spans="3:18" ht="51" x14ac:dyDescent="0.2">
      <c r="C353" s="22" t="str">
        <f>_xlfn.XLOOKUP(tbl_CONTENT[[#This Row],[TopicID]], tbl_TOPIC[TopicID], tbl_TOPIC[Subject], "")</f>
        <v>EFT1</v>
      </c>
      <c r="D353" s="22" t="str">
        <f xml:space="preserve"> tbl_CONTENT[[#This Row],[TopicID]] &amp; "-" &amp; TEXT(tbl_CONTENT[[#This Row],[TopicIDCount]], "00")</f>
        <v>EFT1-1-02-07</v>
      </c>
      <c r="F353" s="22" t="str">
        <f>_xlfn.XLOOKUP(tbl_CONTENT[[#This Row],[Topic]], tbl_TOPIC[Topic], tbl_TOPIC[TopicID], "")</f>
        <v>EFT1-1-02</v>
      </c>
      <c r="G353" s="22" cm="1">
        <f t="array" ref="G353">SUM((tbl_CONTENT[[#This Row],[TopicID]]=INDEX(tbl_CONTENT[TopicID],1):tbl_CONTENT[[#This Row],[TopicID]])*1)</f>
        <v>7</v>
      </c>
      <c r="H353" s="22" t="s">
        <v>598</v>
      </c>
      <c r="I353" s="22" t="s">
        <v>610</v>
      </c>
      <c r="J353" s="22" t="s">
        <v>153</v>
      </c>
      <c r="Q353" s="35">
        <f>IFERROR(
 (1.907*EXP(1)^(-0.5*tbl_CONTENT[[#This Row],[Layer]])) *
 ((tbl_CONTENT[[#This Row],[RelInt]]-1)^(2.5)*4^(1-2.5)+1) +
 ((tbl_CONTENT[[#This Row],[Comp]]-1)^(2.5)*4^(1-2.5)+1)*(0.5*((tbl_CONTENT[[#This Row],[RelInt]]-1)/4)^(2.5)+1),
 0
)</f>
        <v>0</v>
      </c>
      <c r="R353" s="35">
        <f>IFERROR(
 (1.907*EXP(1)^(-0.5*VALUE(tbl_CONTENT[[#This Row],[Layer]]))) *
 ((VALUE(tbl_CONTENT[[#This Row],[RelId]])-1)^(2.5)*4^(1-2.5)+1) +
 ((VALUE(tbl_CONTENT[[#This Row],[Comp]])-1)^(2.5)*4^(1-2.5)+1)*(0.5*((VALUE(tbl_CONTENT[[#This Row],[RelId]])-1)/4)^(2.5)+1),
 0
)</f>
        <v>0</v>
      </c>
    </row>
    <row r="354" spans="3:18" ht="34" x14ac:dyDescent="0.2">
      <c r="C354" s="22" t="str">
        <f>_xlfn.XLOOKUP(tbl_CONTENT[[#This Row],[TopicID]], tbl_TOPIC[TopicID], tbl_TOPIC[Subject], "")</f>
        <v>EFT1</v>
      </c>
      <c r="D354" s="22" t="str">
        <f xml:space="preserve"> tbl_CONTENT[[#This Row],[TopicID]] &amp; "-" &amp; TEXT(tbl_CONTENT[[#This Row],[TopicIDCount]], "00")</f>
        <v>EFT1-1-02-08</v>
      </c>
      <c r="F354" s="22" t="str">
        <f>_xlfn.XLOOKUP(tbl_CONTENT[[#This Row],[Topic]], tbl_TOPIC[Topic], tbl_TOPIC[TopicID], "")</f>
        <v>EFT1-1-02</v>
      </c>
      <c r="G354" s="22" cm="1">
        <f t="array" ref="G354">SUM((tbl_CONTENT[[#This Row],[TopicID]]=INDEX(tbl_CONTENT[TopicID],1):tbl_CONTENT[[#This Row],[TopicID]])*1)</f>
        <v>8</v>
      </c>
      <c r="H354" s="22" t="s">
        <v>598</v>
      </c>
      <c r="I354" s="22" t="s">
        <v>611</v>
      </c>
      <c r="J354" s="22" t="s">
        <v>153</v>
      </c>
      <c r="Q354" s="35">
        <f>IFERROR(
 (1.907*EXP(1)^(-0.5*tbl_CONTENT[[#This Row],[Layer]])) *
 ((tbl_CONTENT[[#This Row],[RelInt]]-1)^(2.5)*4^(1-2.5)+1) +
 ((tbl_CONTENT[[#This Row],[Comp]]-1)^(2.5)*4^(1-2.5)+1)*(0.5*((tbl_CONTENT[[#This Row],[RelInt]]-1)/4)^(2.5)+1),
 0
)</f>
        <v>0</v>
      </c>
      <c r="R354" s="35">
        <f>IFERROR(
 (1.907*EXP(1)^(-0.5*VALUE(tbl_CONTENT[[#This Row],[Layer]]))) *
 ((VALUE(tbl_CONTENT[[#This Row],[RelId]])-1)^(2.5)*4^(1-2.5)+1) +
 ((VALUE(tbl_CONTENT[[#This Row],[Comp]])-1)^(2.5)*4^(1-2.5)+1)*(0.5*((VALUE(tbl_CONTENT[[#This Row],[RelId]])-1)/4)^(2.5)+1),
 0
)</f>
        <v>0</v>
      </c>
    </row>
    <row r="355" spans="3:18" ht="34" x14ac:dyDescent="0.2">
      <c r="C355" s="22" t="str">
        <f>_xlfn.XLOOKUP(tbl_CONTENT[[#This Row],[TopicID]], tbl_TOPIC[TopicID], tbl_TOPIC[Subject], "")</f>
        <v>EFT1</v>
      </c>
      <c r="D355" s="22" t="str">
        <f xml:space="preserve"> tbl_CONTENT[[#This Row],[TopicID]] &amp; "-" &amp; TEXT(tbl_CONTENT[[#This Row],[TopicIDCount]], "00")</f>
        <v>EFT1-1-02-09</v>
      </c>
      <c r="F355" s="22" t="str">
        <f>_xlfn.XLOOKUP(tbl_CONTENT[[#This Row],[Topic]], tbl_TOPIC[Topic], tbl_TOPIC[TopicID], "")</f>
        <v>EFT1-1-02</v>
      </c>
      <c r="G355" s="22" cm="1">
        <f t="array" ref="G355">SUM((tbl_CONTENT[[#This Row],[TopicID]]=INDEX(tbl_CONTENT[TopicID],1):tbl_CONTENT[[#This Row],[TopicID]])*1)</f>
        <v>9</v>
      </c>
      <c r="H355" s="22" t="s">
        <v>598</v>
      </c>
      <c r="I355" s="22" t="s">
        <v>612</v>
      </c>
      <c r="J355" s="22" t="s">
        <v>153</v>
      </c>
      <c r="Q355" s="35">
        <f>IFERROR(
 (1.907*EXP(1)^(-0.5*tbl_CONTENT[[#This Row],[Layer]])) *
 ((tbl_CONTENT[[#This Row],[RelInt]]-1)^(2.5)*4^(1-2.5)+1) +
 ((tbl_CONTENT[[#This Row],[Comp]]-1)^(2.5)*4^(1-2.5)+1)*(0.5*((tbl_CONTENT[[#This Row],[RelInt]]-1)/4)^(2.5)+1),
 0
)</f>
        <v>0</v>
      </c>
      <c r="R355" s="35">
        <f>IFERROR(
 (1.907*EXP(1)^(-0.5*VALUE(tbl_CONTENT[[#This Row],[Layer]]))) *
 ((VALUE(tbl_CONTENT[[#This Row],[RelId]])-1)^(2.5)*4^(1-2.5)+1) +
 ((VALUE(tbl_CONTENT[[#This Row],[Comp]])-1)^(2.5)*4^(1-2.5)+1)*(0.5*((VALUE(tbl_CONTENT[[#This Row],[RelId]])-1)/4)^(2.5)+1),
 0
)</f>
        <v>0</v>
      </c>
    </row>
    <row r="356" spans="3:18" ht="34" x14ac:dyDescent="0.2">
      <c r="C356" s="22" t="str">
        <f>_xlfn.XLOOKUP(tbl_CONTENT[[#This Row],[TopicID]], tbl_TOPIC[TopicID], tbl_TOPIC[Subject], "")</f>
        <v>EFT1</v>
      </c>
      <c r="D356" s="22" t="str">
        <f xml:space="preserve"> tbl_CONTENT[[#This Row],[TopicID]] &amp; "-" &amp; TEXT(tbl_CONTENT[[#This Row],[TopicIDCount]], "00")</f>
        <v>EFT1-1-02-10</v>
      </c>
      <c r="F356" s="22" t="str">
        <f>_xlfn.XLOOKUP(tbl_CONTENT[[#This Row],[Topic]], tbl_TOPIC[Topic], tbl_TOPIC[TopicID], "")</f>
        <v>EFT1-1-02</v>
      </c>
      <c r="G356" s="22" cm="1">
        <f t="array" ref="G356">SUM((tbl_CONTENT[[#This Row],[TopicID]]=INDEX(tbl_CONTENT[TopicID],1):tbl_CONTENT[[#This Row],[TopicID]])*1)</f>
        <v>10</v>
      </c>
      <c r="H356" s="22" t="s">
        <v>598</v>
      </c>
      <c r="I356" s="22" t="s">
        <v>613</v>
      </c>
      <c r="J356" s="22" t="s">
        <v>153</v>
      </c>
      <c r="Q356" s="35">
        <f>IFERROR(
 (1.907*EXP(1)^(-0.5*tbl_CONTENT[[#This Row],[Layer]])) *
 ((tbl_CONTENT[[#This Row],[RelInt]]-1)^(2.5)*4^(1-2.5)+1) +
 ((tbl_CONTENT[[#This Row],[Comp]]-1)^(2.5)*4^(1-2.5)+1)*(0.5*((tbl_CONTENT[[#This Row],[RelInt]]-1)/4)^(2.5)+1),
 0
)</f>
        <v>0</v>
      </c>
      <c r="R356" s="35">
        <f>IFERROR(
 (1.907*EXP(1)^(-0.5*VALUE(tbl_CONTENT[[#This Row],[Layer]]))) *
 ((VALUE(tbl_CONTENT[[#This Row],[RelId]])-1)^(2.5)*4^(1-2.5)+1) +
 ((VALUE(tbl_CONTENT[[#This Row],[Comp]])-1)^(2.5)*4^(1-2.5)+1)*(0.5*((VALUE(tbl_CONTENT[[#This Row],[RelId]])-1)/4)^(2.5)+1),
 0
)</f>
        <v>0</v>
      </c>
    </row>
    <row r="357" spans="3:18" ht="17" x14ac:dyDescent="0.2">
      <c r="C357" s="22" t="str">
        <f>_xlfn.XLOOKUP(tbl_CONTENT[[#This Row],[TopicID]], tbl_TOPIC[TopicID], tbl_TOPIC[Subject], "")</f>
        <v>EFT1</v>
      </c>
      <c r="D357" s="22" t="str">
        <f xml:space="preserve"> tbl_CONTENT[[#This Row],[TopicID]] &amp; "-" &amp; TEXT(tbl_CONTENT[[#This Row],[TopicIDCount]], "00")</f>
        <v>EFT1-1-02-11</v>
      </c>
      <c r="F357" s="22" t="str">
        <f>_xlfn.XLOOKUP(tbl_CONTENT[[#This Row],[Topic]], tbl_TOPIC[Topic], tbl_TOPIC[TopicID], "")</f>
        <v>EFT1-1-02</v>
      </c>
      <c r="G357" s="22" cm="1">
        <f t="array" ref="G357">SUM((tbl_CONTENT[[#This Row],[TopicID]]=INDEX(tbl_CONTENT[TopicID],1):tbl_CONTENT[[#This Row],[TopicID]])*1)</f>
        <v>11</v>
      </c>
      <c r="H357" s="22" t="s">
        <v>598</v>
      </c>
      <c r="I357" s="22" t="s">
        <v>614</v>
      </c>
      <c r="J357" s="22" t="s">
        <v>153</v>
      </c>
      <c r="Q357" s="35">
        <f>IFERROR(
 (1.907*EXP(1)^(-0.5*tbl_CONTENT[[#This Row],[Layer]])) *
 ((tbl_CONTENT[[#This Row],[RelInt]]-1)^(2.5)*4^(1-2.5)+1) +
 ((tbl_CONTENT[[#This Row],[Comp]]-1)^(2.5)*4^(1-2.5)+1)*(0.5*((tbl_CONTENT[[#This Row],[RelInt]]-1)/4)^(2.5)+1),
 0
)</f>
        <v>0</v>
      </c>
      <c r="R357" s="35">
        <f>IFERROR(
 (1.907*EXP(1)^(-0.5*VALUE(tbl_CONTENT[[#This Row],[Layer]]))) *
 ((VALUE(tbl_CONTENT[[#This Row],[RelId]])-1)^(2.5)*4^(1-2.5)+1) +
 ((VALUE(tbl_CONTENT[[#This Row],[Comp]])-1)^(2.5)*4^(1-2.5)+1)*(0.5*((VALUE(tbl_CONTENT[[#This Row],[RelId]])-1)/4)^(2.5)+1),
 0
)</f>
        <v>0</v>
      </c>
    </row>
    <row r="358" spans="3:18" ht="34" x14ac:dyDescent="0.2">
      <c r="C358" s="22" t="str">
        <f>_xlfn.XLOOKUP(tbl_CONTENT[[#This Row],[TopicID]], tbl_TOPIC[TopicID], tbl_TOPIC[Subject], "")</f>
        <v>EFT1</v>
      </c>
      <c r="D358" s="22" t="str">
        <f xml:space="preserve"> tbl_CONTENT[[#This Row],[TopicID]] &amp; "-" &amp; TEXT(tbl_CONTENT[[#This Row],[TopicIDCount]], "00")</f>
        <v>EFT1-1-02-12</v>
      </c>
      <c r="F358" s="22" t="str">
        <f>_xlfn.XLOOKUP(tbl_CONTENT[[#This Row],[Topic]], tbl_TOPIC[Topic], tbl_TOPIC[TopicID], "")</f>
        <v>EFT1-1-02</v>
      </c>
      <c r="G358" s="22" cm="1">
        <f t="array" ref="G358">SUM((tbl_CONTENT[[#This Row],[TopicID]]=INDEX(tbl_CONTENT[TopicID],1):tbl_CONTENT[[#This Row],[TopicID]])*1)</f>
        <v>12</v>
      </c>
      <c r="H358" s="22" t="s">
        <v>598</v>
      </c>
      <c r="I358" s="22" t="s">
        <v>615</v>
      </c>
      <c r="J358" s="22" t="s">
        <v>153</v>
      </c>
      <c r="Q358" s="35">
        <f>IFERROR(
 (1.907*EXP(1)^(-0.5*tbl_CONTENT[[#This Row],[Layer]])) *
 ((tbl_CONTENT[[#This Row],[RelInt]]-1)^(2.5)*4^(1-2.5)+1) +
 ((tbl_CONTENT[[#This Row],[Comp]]-1)^(2.5)*4^(1-2.5)+1)*(0.5*((tbl_CONTENT[[#This Row],[RelInt]]-1)/4)^(2.5)+1),
 0
)</f>
        <v>0</v>
      </c>
      <c r="R358" s="35">
        <f>IFERROR(
 (1.907*EXP(1)^(-0.5*VALUE(tbl_CONTENT[[#This Row],[Layer]]))) *
 ((VALUE(tbl_CONTENT[[#This Row],[RelId]])-1)^(2.5)*4^(1-2.5)+1) +
 ((VALUE(tbl_CONTENT[[#This Row],[Comp]])-1)^(2.5)*4^(1-2.5)+1)*(0.5*((VALUE(tbl_CONTENT[[#This Row],[RelId]])-1)/4)^(2.5)+1),
 0
)</f>
        <v>0</v>
      </c>
    </row>
    <row r="359" spans="3:18" ht="34" x14ac:dyDescent="0.2">
      <c r="C359" s="22" t="str">
        <f>_xlfn.XLOOKUP(tbl_CONTENT[[#This Row],[TopicID]], tbl_TOPIC[TopicID], tbl_TOPIC[Subject], "")</f>
        <v>EFT1</v>
      </c>
      <c r="D359" s="22" t="str">
        <f xml:space="preserve"> tbl_CONTENT[[#This Row],[TopicID]] &amp; "-" &amp; TEXT(tbl_CONTENT[[#This Row],[TopicIDCount]], "00")</f>
        <v>EFT1-1-02-13</v>
      </c>
      <c r="F359" s="22" t="str">
        <f>_xlfn.XLOOKUP(tbl_CONTENT[[#This Row],[Topic]], tbl_TOPIC[Topic], tbl_TOPIC[TopicID], "")</f>
        <v>EFT1-1-02</v>
      </c>
      <c r="G359" s="22" cm="1">
        <f t="array" ref="G359">SUM((tbl_CONTENT[[#This Row],[TopicID]]=INDEX(tbl_CONTENT[TopicID],1):tbl_CONTENT[[#This Row],[TopicID]])*1)</f>
        <v>13</v>
      </c>
      <c r="H359" s="22" t="s">
        <v>598</v>
      </c>
      <c r="I359" s="22" t="s">
        <v>616</v>
      </c>
      <c r="J359" s="22" t="s">
        <v>153</v>
      </c>
      <c r="Q359" s="35">
        <f>IFERROR(
 (1.907*EXP(1)^(-0.5*tbl_CONTENT[[#This Row],[Layer]])) *
 ((tbl_CONTENT[[#This Row],[RelInt]]-1)^(2.5)*4^(1-2.5)+1) +
 ((tbl_CONTENT[[#This Row],[Comp]]-1)^(2.5)*4^(1-2.5)+1)*(0.5*((tbl_CONTENT[[#This Row],[RelInt]]-1)/4)^(2.5)+1),
 0
)</f>
        <v>0</v>
      </c>
      <c r="R359" s="35">
        <f>IFERROR(
 (1.907*EXP(1)^(-0.5*VALUE(tbl_CONTENT[[#This Row],[Layer]]))) *
 ((VALUE(tbl_CONTENT[[#This Row],[RelId]])-1)^(2.5)*4^(1-2.5)+1) +
 ((VALUE(tbl_CONTENT[[#This Row],[Comp]])-1)^(2.5)*4^(1-2.5)+1)*(0.5*((VALUE(tbl_CONTENT[[#This Row],[RelId]])-1)/4)^(2.5)+1),
 0
)</f>
        <v>0</v>
      </c>
    </row>
    <row r="360" spans="3:18" ht="17" x14ac:dyDescent="0.2">
      <c r="C360" s="22" t="str">
        <f>_xlfn.XLOOKUP(tbl_CONTENT[[#This Row],[TopicID]], tbl_TOPIC[TopicID], tbl_TOPIC[Subject], "")</f>
        <v>EFT1</v>
      </c>
      <c r="D360" s="22" t="str">
        <f xml:space="preserve"> tbl_CONTENT[[#This Row],[TopicID]] &amp; "-" &amp; TEXT(tbl_CONTENT[[#This Row],[TopicIDCount]], "00")</f>
        <v>EFT1-1-02-14</v>
      </c>
      <c r="F360" s="22" t="str">
        <f>_xlfn.XLOOKUP(tbl_CONTENT[[#This Row],[Topic]], tbl_TOPIC[Topic], tbl_TOPIC[TopicID], "")</f>
        <v>EFT1-1-02</v>
      </c>
      <c r="G360" s="22" cm="1">
        <f t="array" ref="G360">SUM((tbl_CONTENT[[#This Row],[TopicID]]=INDEX(tbl_CONTENT[TopicID],1):tbl_CONTENT[[#This Row],[TopicID]])*1)</f>
        <v>14</v>
      </c>
      <c r="H360" s="22" t="s">
        <v>598</v>
      </c>
      <c r="I360" s="22" t="s">
        <v>617</v>
      </c>
      <c r="J360" s="22" t="s">
        <v>153</v>
      </c>
      <c r="Q360" s="35">
        <f>IFERROR(
 (1.907*EXP(1)^(-0.5*tbl_CONTENT[[#This Row],[Layer]])) *
 ((tbl_CONTENT[[#This Row],[RelInt]]-1)^(2.5)*4^(1-2.5)+1) +
 ((tbl_CONTENT[[#This Row],[Comp]]-1)^(2.5)*4^(1-2.5)+1)*(0.5*((tbl_CONTENT[[#This Row],[RelInt]]-1)/4)^(2.5)+1),
 0
)</f>
        <v>0</v>
      </c>
      <c r="R360" s="35">
        <f>IFERROR(
 (1.907*EXP(1)^(-0.5*VALUE(tbl_CONTENT[[#This Row],[Layer]]))) *
 ((VALUE(tbl_CONTENT[[#This Row],[RelId]])-1)^(2.5)*4^(1-2.5)+1) +
 ((VALUE(tbl_CONTENT[[#This Row],[Comp]])-1)^(2.5)*4^(1-2.5)+1)*(0.5*((VALUE(tbl_CONTENT[[#This Row],[RelId]])-1)/4)^(2.5)+1),
 0
)</f>
        <v>0</v>
      </c>
    </row>
    <row r="361" spans="3:18" ht="51" x14ac:dyDescent="0.2">
      <c r="C361" s="22" t="str">
        <f>_xlfn.XLOOKUP(tbl_CONTENT[[#This Row],[TopicID]], tbl_TOPIC[TopicID], tbl_TOPIC[Subject], "")</f>
        <v>EFT1</v>
      </c>
      <c r="D361" s="22" t="str">
        <f xml:space="preserve"> tbl_CONTENT[[#This Row],[TopicID]] &amp; "-" &amp; TEXT(tbl_CONTENT[[#This Row],[TopicIDCount]], "00")</f>
        <v>EFT1-1-02-15</v>
      </c>
      <c r="F361" s="22" t="str">
        <f>_xlfn.XLOOKUP(tbl_CONTENT[[#This Row],[Topic]], tbl_TOPIC[Topic], tbl_TOPIC[TopicID], "")</f>
        <v>EFT1-1-02</v>
      </c>
      <c r="G361" s="22" cm="1">
        <f t="array" ref="G361">SUM((tbl_CONTENT[[#This Row],[TopicID]]=INDEX(tbl_CONTENT[TopicID],1):tbl_CONTENT[[#This Row],[TopicID]])*1)</f>
        <v>15</v>
      </c>
      <c r="H361" s="22" t="s">
        <v>598</v>
      </c>
      <c r="I361" s="22" t="s">
        <v>618</v>
      </c>
      <c r="J361" s="22" t="s">
        <v>148</v>
      </c>
      <c r="Q361" s="35">
        <f>IFERROR(
 (1.907*EXP(1)^(-0.5*tbl_CONTENT[[#This Row],[Layer]])) *
 ((tbl_CONTENT[[#This Row],[RelInt]]-1)^(2.5)*4^(1-2.5)+1) +
 ((tbl_CONTENT[[#This Row],[Comp]]-1)^(2.5)*4^(1-2.5)+1)*(0.5*((tbl_CONTENT[[#This Row],[RelInt]]-1)/4)^(2.5)+1),
 0
)</f>
        <v>0</v>
      </c>
      <c r="R361" s="35">
        <f>IFERROR(
 (1.907*EXP(1)^(-0.5*VALUE(tbl_CONTENT[[#This Row],[Layer]]))) *
 ((VALUE(tbl_CONTENT[[#This Row],[RelId]])-1)^(2.5)*4^(1-2.5)+1) +
 ((VALUE(tbl_CONTENT[[#This Row],[Comp]])-1)^(2.5)*4^(1-2.5)+1)*(0.5*((VALUE(tbl_CONTENT[[#This Row],[RelId]])-1)/4)^(2.5)+1),
 0
)</f>
        <v>0</v>
      </c>
    </row>
    <row r="362" spans="3:18" ht="34" x14ac:dyDescent="0.2">
      <c r="C362" s="22" t="str">
        <f>_xlfn.XLOOKUP(tbl_CONTENT[[#This Row],[TopicID]], tbl_TOPIC[TopicID], tbl_TOPIC[Subject], "")</f>
        <v>EFT1</v>
      </c>
      <c r="D362" s="22" t="str">
        <f xml:space="preserve"> tbl_CONTENT[[#This Row],[TopicID]] &amp; "-" &amp; TEXT(tbl_CONTENT[[#This Row],[TopicIDCount]], "00")</f>
        <v>EFT1-1-02-16</v>
      </c>
      <c r="F362" s="22" t="str">
        <f>_xlfn.XLOOKUP(tbl_CONTENT[[#This Row],[Topic]], tbl_TOPIC[Topic], tbl_TOPIC[TopicID], "")</f>
        <v>EFT1-1-02</v>
      </c>
      <c r="G362" s="22" cm="1">
        <f t="array" ref="G362">SUM((tbl_CONTENT[[#This Row],[TopicID]]=INDEX(tbl_CONTENT[TopicID],1):tbl_CONTENT[[#This Row],[TopicID]])*1)</f>
        <v>16</v>
      </c>
      <c r="H362" s="22" t="s">
        <v>598</v>
      </c>
      <c r="I362" s="22" t="s">
        <v>619</v>
      </c>
      <c r="J362" s="22" t="s">
        <v>153</v>
      </c>
      <c r="Q362" s="35">
        <f>IFERROR(
 (1.907*EXP(1)^(-0.5*tbl_CONTENT[[#This Row],[Layer]])) *
 ((tbl_CONTENT[[#This Row],[RelInt]]-1)^(2.5)*4^(1-2.5)+1) +
 ((tbl_CONTENT[[#This Row],[Comp]]-1)^(2.5)*4^(1-2.5)+1)*(0.5*((tbl_CONTENT[[#This Row],[RelInt]]-1)/4)^(2.5)+1),
 0
)</f>
        <v>0</v>
      </c>
      <c r="R362" s="35">
        <f>IFERROR(
 (1.907*EXP(1)^(-0.5*VALUE(tbl_CONTENT[[#This Row],[Layer]]))) *
 ((VALUE(tbl_CONTENT[[#This Row],[RelId]])-1)^(2.5)*4^(1-2.5)+1) +
 ((VALUE(tbl_CONTENT[[#This Row],[Comp]])-1)^(2.5)*4^(1-2.5)+1)*(0.5*((VALUE(tbl_CONTENT[[#This Row],[RelId]])-1)/4)^(2.5)+1),
 0
)</f>
        <v>0</v>
      </c>
    </row>
    <row r="363" spans="3:18" ht="34" x14ac:dyDescent="0.2">
      <c r="C363" s="22" t="str">
        <f>_xlfn.XLOOKUP(tbl_CONTENT[[#This Row],[TopicID]], tbl_TOPIC[TopicID], tbl_TOPIC[Subject], "")</f>
        <v>EFT1</v>
      </c>
      <c r="D363" s="22" t="str">
        <f xml:space="preserve"> tbl_CONTENT[[#This Row],[TopicID]] &amp; "-" &amp; TEXT(tbl_CONTENT[[#This Row],[TopicIDCount]], "00")</f>
        <v>EFT1-1-02-17</v>
      </c>
      <c r="F363" s="22" t="str">
        <f>_xlfn.XLOOKUP(tbl_CONTENT[[#This Row],[Topic]], tbl_TOPIC[Topic], tbl_TOPIC[TopicID], "")</f>
        <v>EFT1-1-02</v>
      </c>
      <c r="G363" s="22" cm="1">
        <f t="array" ref="G363">SUM((tbl_CONTENT[[#This Row],[TopicID]]=INDEX(tbl_CONTENT[TopicID],1):tbl_CONTENT[[#This Row],[TopicID]])*1)</f>
        <v>17</v>
      </c>
      <c r="H363" s="22" t="s">
        <v>598</v>
      </c>
      <c r="I363" s="22" t="s">
        <v>620</v>
      </c>
      <c r="J363" s="22" t="s">
        <v>153</v>
      </c>
      <c r="Q363" s="35">
        <f>IFERROR(
 (1.907*EXP(1)^(-0.5*tbl_CONTENT[[#This Row],[Layer]])) *
 ((tbl_CONTENT[[#This Row],[RelInt]]-1)^(2.5)*4^(1-2.5)+1) +
 ((tbl_CONTENT[[#This Row],[Comp]]-1)^(2.5)*4^(1-2.5)+1)*(0.5*((tbl_CONTENT[[#This Row],[RelInt]]-1)/4)^(2.5)+1),
 0
)</f>
        <v>0</v>
      </c>
      <c r="R363" s="35">
        <f>IFERROR(
 (1.907*EXP(1)^(-0.5*VALUE(tbl_CONTENT[[#This Row],[Layer]]))) *
 ((VALUE(tbl_CONTENT[[#This Row],[RelId]])-1)^(2.5)*4^(1-2.5)+1) +
 ((VALUE(tbl_CONTENT[[#This Row],[Comp]])-1)^(2.5)*4^(1-2.5)+1)*(0.5*((VALUE(tbl_CONTENT[[#This Row],[RelId]])-1)/4)^(2.5)+1),
 0
)</f>
        <v>0</v>
      </c>
    </row>
    <row r="364" spans="3:18" ht="34" x14ac:dyDescent="0.2">
      <c r="C364" s="22" t="str">
        <f>_xlfn.XLOOKUP(tbl_CONTENT[[#This Row],[TopicID]], tbl_TOPIC[TopicID], tbl_TOPIC[Subject], "")</f>
        <v>EFT1</v>
      </c>
      <c r="D364" s="22" t="str">
        <f xml:space="preserve"> tbl_CONTENT[[#This Row],[TopicID]] &amp; "-" &amp; TEXT(tbl_CONTENT[[#This Row],[TopicIDCount]], "00")</f>
        <v>EFT1-1-02-18</v>
      </c>
      <c r="F364" s="22" t="str">
        <f>_xlfn.XLOOKUP(tbl_CONTENT[[#This Row],[Topic]], tbl_TOPIC[Topic], tbl_TOPIC[TopicID], "")</f>
        <v>EFT1-1-02</v>
      </c>
      <c r="G364" s="22" cm="1">
        <f t="array" ref="G364">SUM((tbl_CONTENT[[#This Row],[TopicID]]=INDEX(tbl_CONTENT[TopicID],1):tbl_CONTENT[[#This Row],[TopicID]])*1)</f>
        <v>18</v>
      </c>
      <c r="H364" s="22" t="s">
        <v>598</v>
      </c>
      <c r="I364" s="22" t="s">
        <v>621</v>
      </c>
      <c r="J364" s="22" t="s">
        <v>181</v>
      </c>
      <c r="Q364" s="35">
        <f>IFERROR(
 (1.907*EXP(1)^(-0.5*tbl_CONTENT[[#This Row],[Layer]])) *
 ((tbl_CONTENT[[#This Row],[RelInt]]-1)^(2.5)*4^(1-2.5)+1) +
 ((tbl_CONTENT[[#This Row],[Comp]]-1)^(2.5)*4^(1-2.5)+1)*(0.5*((tbl_CONTENT[[#This Row],[RelInt]]-1)/4)^(2.5)+1),
 0
)</f>
        <v>0</v>
      </c>
      <c r="R364" s="35">
        <f>IFERROR(
 (1.907*EXP(1)^(-0.5*VALUE(tbl_CONTENT[[#This Row],[Layer]]))) *
 ((VALUE(tbl_CONTENT[[#This Row],[RelId]])-1)^(2.5)*4^(1-2.5)+1) +
 ((VALUE(tbl_CONTENT[[#This Row],[Comp]])-1)^(2.5)*4^(1-2.5)+1)*(0.5*((VALUE(tbl_CONTENT[[#This Row],[RelId]])-1)/4)^(2.5)+1),
 0
)</f>
        <v>0</v>
      </c>
    </row>
    <row r="365" spans="3:18" ht="34" x14ac:dyDescent="0.2">
      <c r="C365" s="22" t="str">
        <f>_xlfn.XLOOKUP(tbl_CONTENT[[#This Row],[TopicID]], tbl_TOPIC[TopicID], tbl_TOPIC[Subject], "")</f>
        <v>EFT1</v>
      </c>
      <c r="D365" s="22" t="str">
        <f xml:space="preserve"> tbl_CONTENT[[#This Row],[TopicID]] &amp; "-" &amp; TEXT(tbl_CONTENT[[#This Row],[TopicIDCount]], "00")</f>
        <v>EFT1-1-02-19</v>
      </c>
      <c r="F365" s="22" t="str">
        <f>_xlfn.XLOOKUP(tbl_CONTENT[[#This Row],[Topic]], tbl_TOPIC[Topic], tbl_TOPIC[TopicID], "")</f>
        <v>EFT1-1-02</v>
      </c>
      <c r="G365" s="22" cm="1">
        <f t="array" ref="G365">SUM((tbl_CONTENT[[#This Row],[TopicID]]=INDEX(tbl_CONTENT[TopicID],1):tbl_CONTENT[[#This Row],[TopicID]])*1)</f>
        <v>19</v>
      </c>
      <c r="H365" s="22" t="s">
        <v>598</v>
      </c>
      <c r="I365" s="22" t="s">
        <v>622</v>
      </c>
      <c r="J365" s="22" t="s">
        <v>181</v>
      </c>
      <c r="Q365" s="35">
        <f>IFERROR(
 (1.907*EXP(1)^(-0.5*tbl_CONTENT[[#This Row],[Layer]])) *
 ((tbl_CONTENT[[#This Row],[RelInt]]-1)^(2.5)*4^(1-2.5)+1) +
 ((tbl_CONTENT[[#This Row],[Comp]]-1)^(2.5)*4^(1-2.5)+1)*(0.5*((tbl_CONTENT[[#This Row],[RelInt]]-1)/4)^(2.5)+1),
 0
)</f>
        <v>0</v>
      </c>
      <c r="R365" s="35">
        <f>IFERROR(
 (1.907*EXP(1)^(-0.5*VALUE(tbl_CONTENT[[#This Row],[Layer]]))) *
 ((VALUE(tbl_CONTENT[[#This Row],[RelId]])-1)^(2.5)*4^(1-2.5)+1) +
 ((VALUE(tbl_CONTENT[[#This Row],[Comp]])-1)^(2.5)*4^(1-2.5)+1)*(0.5*((VALUE(tbl_CONTENT[[#This Row],[RelId]])-1)/4)^(2.5)+1),
 0
)</f>
        <v>0</v>
      </c>
    </row>
    <row r="366" spans="3:18" ht="34" x14ac:dyDescent="0.2">
      <c r="C366" s="22" t="str">
        <f>_xlfn.XLOOKUP(tbl_CONTENT[[#This Row],[TopicID]], tbl_TOPIC[TopicID], tbl_TOPIC[Subject], "")</f>
        <v>EFT1</v>
      </c>
      <c r="D366" s="22" t="str">
        <f xml:space="preserve"> tbl_CONTENT[[#This Row],[TopicID]] &amp; "-" &amp; TEXT(tbl_CONTENT[[#This Row],[TopicIDCount]], "00")</f>
        <v>EFT1-1-02-20</v>
      </c>
      <c r="F366" s="22" t="str">
        <f>_xlfn.XLOOKUP(tbl_CONTENT[[#This Row],[Topic]], tbl_TOPIC[Topic], tbl_TOPIC[TopicID], "")</f>
        <v>EFT1-1-02</v>
      </c>
      <c r="G366" s="22" cm="1">
        <f t="array" ref="G366">SUM((tbl_CONTENT[[#This Row],[TopicID]]=INDEX(tbl_CONTENT[TopicID],1):tbl_CONTENT[[#This Row],[TopicID]])*1)</f>
        <v>20</v>
      </c>
      <c r="H366" s="22" t="s">
        <v>598</v>
      </c>
      <c r="I366" s="22" t="s">
        <v>1592</v>
      </c>
      <c r="J366" s="22" t="s">
        <v>181</v>
      </c>
      <c r="Q366" s="35">
        <f>IFERROR(
 (1.907*EXP(1)^(-0.5*tbl_CONTENT[[#This Row],[Layer]])) *
 ((tbl_CONTENT[[#This Row],[RelInt]]-1)^(2.5)*4^(1-2.5)+1) +
 ((tbl_CONTENT[[#This Row],[Comp]]-1)^(2.5)*4^(1-2.5)+1)*(0.5*((tbl_CONTENT[[#This Row],[RelInt]]-1)/4)^(2.5)+1),
 0
)</f>
        <v>0</v>
      </c>
      <c r="R366" s="35">
        <f>IFERROR(
 (1.907*EXP(1)^(-0.5*VALUE(tbl_CONTENT[[#This Row],[Layer]]))) *
 ((VALUE(tbl_CONTENT[[#This Row],[RelId]])-1)^(2.5)*4^(1-2.5)+1) +
 ((VALUE(tbl_CONTENT[[#This Row],[Comp]])-1)^(2.5)*4^(1-2.5)+1)*(0.5*((VALUE(tbl_CONTENT[[#This Row],[RelId]])-1)/4)^(2.5)+1),
 0
)</f>
        <v>0</v>
      </c>
    </row>
    <row r="367" spans="3:18" ht="34" x14ac:dyDescent="0.2">
      <c r="C367" s="22" t="str">
        <f>_xlfn.XLOOKUP(tbl_CONTENT[[#This Row],[TopicID]], tbl_TOPIC[TopicID], tbl_TOPIC[Subject], "")</f>
        <v>EFT1</v>
      </c>
      <c r="D367" s="22" t="str">
        <f xml:space="preserve"> tbl_CONTENT[[#This Row],[TopicID]] &amp; "-" &amp; TEXT(tbl_CONTENT[[#This Row],[TopicIDCount]], "00")</f>
        <v>EFT1-1-02-21</v>
      </c>
      <c r="F367" s="22" t="str">
        <f>_xlfn.XLOOKUP(tbl_CONTENT[[#This Row],[Topic]], tbl_TOPIC[Topic], tbl_TOPIC[TopicID], "")</f>
        <v>EFT1-1-02</v>
      </c>
      <c r="G367" s="22" cm="1">
        <f t="array" ref="G367">SUM((tbl_CONTENT[[#This Row],[TopicID]]=INDEX(tbl_CONTENT[TopicID],1):tbl_CONTENT[[#This Row],[TopicID]])*1)</f>
        <v>21</v>
      </c>
      <c r="H367" s="22" t="s">
        <v>598</v>
      </c>
      <c r="I367" s="22" t="s">
        <v>623</v>
      </c>
      <c r="J367" s="22" t="s">
        <v>181</v>
      </c>
      <c r="Q367" s="35">
        <f>IFERROR(
 (1.907*EXP(1)^(-0.5*tbl_CONTENT[[#This Row],[Layer]])) *
 ((tbl_CONTENT[[#This Row],[RelInt]]-1)^(2.5)*4^(1-2.5)+1) +
 ((tbl_CONTENT[[#This Row],[Comp]]-1)^(2.5)*4^(1-2.5)+1)*(0.5*((tbl_CONTENT[[#This Row],[RelInt]]-1)/4)^(2.5)+1),
 0
)</f>
        <v>0</v>
      </c>
      <c r="R367" s="35">
        <f>IFERROR(
 (1.907*EXP(1)^(-0.5*VALUE(tbl_CONTENT[[#This Row],[Layer]]))) *
 ((VALUE(tbl_CONTENT[[#This Row],[RelId]])-1)^(2.5)*4^(1-2.5)+1) +
 ((VALUE(tbl_CONTENT[[#This Row],[Comp]])-1)^(2.5)*4^(1-2.5)+1)*(0.5*((VALUE(tbl_CONTENT[[#This Row],[RelId]])-1)/4)^(2.5)+1),
 0
)</f>
        <v>0</v>
      </c>
    </row>
    <row r="368" spans="3:18" ht="34" x14ac:dyDescent="0.2">
      <c r="C368" s="22" t="str">
        <f>_xlfn.XLOOKUP(tbl_CONTENT[[#This Row],[TopicID]], tbl_TOPIC[TopicID], tbl_TOPIC[Subject], "")</f>
        <v>EFT1</v>
      </c>
      <c r="D368" s="22" t="str">
        <f xml:space="preserve"> tbl_CONTENT[[#This Row],[TopicID]] &amp; "-" &amp; TEXT(tbl_CONTENT[[#This Row],[TopicIDCount]], "00")</f>
        <v>EFT1-1-02-22</v>
      </c>
      <c r="F368" s="22" t="str">
        <f>_xlfn.XLOOKUP(tbl_CONTENT[[#This Row],[Topic]], tbl_TOPIC[Topic], tbl_TOPIC[TopicID], "")</f>
        <v>EFT1-1-02</v>
      </c>
      <c r="G368" s="22" cm="1">
        <f t="array" ref="G368">SUM((tbl_CONTENT[[#This Row],[TopicID]]=INDEX(tbl_CONTENT[TopicID],1):tbl_CONTENT[[#This Row],[TopicID]])*1)</f>
        <v>22</v>
      </c>
      <c r="H368" s="22" t="s">
        <v>598</v>
      </c>
      <c r="I368" s="22" t="s">
        <v>1593</v>
      </c>
      <c r="J368" s="22" t="s">
        <v>181</v>
      </c>
      <c r="Q368" s="35">
        <f>IFERROR(
 (1.907*EXP(1)^(-0.5*tbl_CONTENT[[#This Row],[Layer]])) *
 ((tbl_CONTENT[[#This Row],[RelInt]]-1)^(2.5)*4^(1-2.5)+1) +
 ((tbl_CONTENT[[#This Row],[Comp]]-1)^(2.5)*4^(1-2.5)+1)*(0.5*((tbl_CONTENT[[#This Row],[RelInt]]-1)/4)^(2.5)+1),
 0
)</f>
        <v>0</v>
      </c>
      <c r="R368" s="35">
        <f>IFERROR(
 (1.907*EXP(1)^(-0.5*VALUE(tbl_CONTENT[[#This Row],[Layer]]))) *
 ((VALUE(tbl_CONTENT[[#This Row],[RelId]])-1)^(2.5)*4^(1-2.5)+1) +
 ((VALUE(tbl_CONTENT[[#This Row],[Comp]])-1)^(2.5)*4^(1-2.5)+1)*(0.5*((VALUE(tbl_CONTENT[[#This Row],[RelId]])-1)/4)^(2.5)+1),
 0
)</f>
        <v>0</v>
      </c>
    </row>
    <row r="369" spans="3:18" ht="51" x14ac:dyDescent="0.2">
      <c r="C369" s="22" t="str">
        <f>_xlfn.XLOOKUP(tbl_CONTENT[[#This Row],[TopicID]], tbl_TOPIC[TopicID], tbl_TOPIC[Subject], "")</f>
        <v>EFT1</v>
      </c>
      <c r="D369" s="22" t="str">
        <f xml:space="preserve"> tbl_CONTENT[[#This Row],[TopicID]] &amp; "-" &amp; TEXT(tbl_CONTENT[[#This Row],[TopicIDCount]], "00")</f>
        <v>EFT1-1-02-23</v>
      </c>
      <c r="F369" s="22" t="str">
        <f>_xlfn.XLOOKUP(tbl_CONTENT[[#This Row],[Topic]], tbl_TOPIC[Topic], tbl_TOPIC[TopicID], "")</f>
        <v>EFT1-1-02</v>
      </c>
      <c r="G369" s="22" cm="1">
        <f t="array" ref="G369">SUM((tbl_CONTENT[[#This Row],[TopicID]]=INDEX(tbl_CONTENT[TopicID],1):tbl_CONTENT[[#This Row],[TopicID]])*1)</f>
        <v>23</v>
      </c>
      <c r="H369" s="22" t="s">
        <v>598</v>
      </c>
      <c r="I369" s="22" t="s">
        <v>624</v>
      </c>
      <c r="J369" s="22" t="s">
        <v>148</v>
      </c>
      <c r="Q369" s="35">
        <f>IFERROR(
 (1.907*EXP(1)^(-0.5*tbl_CONTENT[[#This Row],[Layer]])) *
 ((tbl_CONTENT[[#This Row],[RelInt]]-1)^(2.5)*4^(1-2.5)+1) +
 ((tbl_CONTENT[[#This Row],[Comp]]-1)^(2.5)*4^(1-2.5)+1)*(0.5*((tbl_CONTENT[[#This Row],[RelInt]]-1)/4)^(2.5)+1),
 0
)</f>
        <v>0</v>
      </c>
      <c r="R369" s="35">
        <f>IFERROR(
 (1.907*EXP(1)^(-0.5*VALUE(tbl_CONTENT[[#This Row],[Layer]]))) *
 ((VALUE(tbl_CONTENT[[#This Row],[RelId]])-1)^(2.5)*4^(1-2.5)+1) +
 ((VALUE(tbl_CONTENT[[#This Row],[Comp]])-1)^(2.5)*4^(1-2.5)+1)*(0.5*((VALUE(tbl_CONTENT[[#This Row],[RelId]])-1)/4)^(2.5)+1),
 0
)</f>
        <v>0</v>
      </c>
    </row>
    <row r="370" spans="3:18" ht="68" x14ac:dyDescent="0.2">
      <c r="C370" s="22" t="str">
        <f>_xlfn.XLOOKUP(tbl_CONTENT[[#This Row],[TopicID]], tbl_TOPIC[TopicID], tbl_TOPIC[Subject], "")</f>
        <v>EFT1</v>
      </c>
      <c r="D370" s="22" t="str">
        <f xml:space="preserve"> tbl_CONTENT[[#This Row],[TopicID]] &amp; "-" &amp; TEXT(tbl_CONTENT[[#This Row],[TopicIDCount]], "00")</f>
        <v>EFT1-1-02-24</v>
      </c>
      <c r="F370" s="22" t="str">
        <f>_xlfn.XLOOKUP(tbl_CONTENT[[#This Row],[Topic]], tbl_TOPIC[Topic], tbl_TOPIC[TopicID], "")</f>
        <v>EFT1-1-02</v>
      </c>
      <c r="G370" s="22" cm="1">
        <f t="array" ref="G370">SUM((tbl_CONTENT[[#This Row],[TopicID]]=INDEX(tbl_CONTENT[TopicID],1):tbl_CONTENT[[#This Row],[TopicID]])*1)</f>
        <v>24</v>
      </c>
      <c r="H370" s="22" t="s">
        <v>598</v>
      </c>
      <c r="I370" s="22" t="s">
        <v>625</v>
      </c>
      <c r="J370" s="22" t="s">
        <v>148</v>
      </c>
      <c r="Q370" s="35">
        <f>IFERROR(
 (1.907*EXP(1)^(-0.5*tbl_CONTENT[[#This Row],[Layer]])) *
 ((tbl_CONTENT[[#This Row],[RelInt]]-1)^(2.5)*4^(1-2.5)+1) +
 ((tbl_CONTENT[[#This Row],[Comp]]-1)^(2.5)*4^(1-2.5)+1)*(0.5*((tbl_CONTENT[[#This Row],[RelInt]]-1)/4)^(2.5)+1),
 0
)</f>
        <v>0</v>
      </c>
      <c r="R370" s="35">
        <f>IFERROR(
 (1.907*EXP(1)^(-0.5*VALUE(tbl_CONTENT[[#This Row],[Layer]]))) *
 ((VALUE(tbl_CONTENT[[#This Row],[RelId]])-1)^(2.5)*4^(1-2.5)+1) +
 ((VALUE(tbl_CONTENT[[#This Row],[Comp]])-1)^(2.5)*4^(1-2.5)+1)*(0.5*((VALUE(tbl_CONTENT[[#This Row],[RelId]])-1)/4)^(2.5)+1),
 0
)</f>
        <v>0</v>
      </c>
    </row>
    <row r="371" spans="3:18" ht="51" x14ac:dyDescent="0.2">
      <c r="C371" s="22" t="str">
        <f>_xlfn.XLOOKUP(tbl_CONTENT[[#This Row],[TopicID]], tbl_TOPIC[TopicID], tbl_TOPIC[Subject], "")</f>
        <v>EFT1</v>
      </c>
      <c r="D371" s="22" t="str">
        <f xml:space="preserve"> tbl_CONTENT[[#This Row],[TopicID]] &amp; "-" &amp; TEXT(tbl_CONTENT[[#This Row],[TopicIDCount]], "00")</f>
        <v>EFT1-1-02-25</v>
      </c>
      <c r="F371" s="22" t="str">
        <f>_xlfn.XLOOKUP(tbl_CONTENT[[#This Row],[Topic]], tbl_TOPIC[Topic], tbl_TOPIC[TopicID], "")</f>
        <v>EFT1-1-02</v>
      </c>
      <c r="G371" s="22" cm="1">
        <f t="array" ref="G371">SUM((tbl_CONTENT[[#This Row],[TopicID]]=INDEX(tbl_CONTENT[TopicID],1):tbl_CONTENT[[#This Row],[TopicID]])*1)</f>
        <v>25</v>
      </c>
      <c r="H371" s="22" t="s">
        <v>598</v>
      </c>
      <c r="I371" s="22" t="s">
        <v>626</v>
      </c>
      <c r="J371" s="22" t="s">
        <v>148</v>
      </c>
      <c r="Q371" s="35">
        <f>IFERROR(
 (1.907*EXP(1)^(-0.5*tbl_CONTENT[[#This Row],[Layer]])) *
 ((tbl_CONTENT[[#This Row],[RelInt]]-1)^(2.5)*4^(1-2.5)+1) +
 ((tbl_CONTENT[[#This Row],[Comp]]-1)^(2.5)*4^(1-2.5)+1)*(0.5*((tbl_CONTENT[[#This Row],[RelInt]]-1)/4)^(2.5)+1),
 0
)</f>
        <v>0</v>
      </c>
      <c r="R371" s="35">
        <f>IFERROR(
 (1.907*EXP(1)^(-0.5*VALUE(tbl_CONTENT[[#This Row],[Layer]]))) *
 ((VALUE(tbl_CONTENT[[#This Row],[RelId]])-1)^(2.5)*4^(1-2.5)+1) +
 ((VALUE(tbl_CONTENT[[#This Row],[Comp]])-1)^(2.5)*4^(1-2.5)+1)*(0.5*((VALUE(tbl_CONTENT[[#This Row],[RelId]])-1)/4)^(2.5)+1),
 0
)</f>
        <v>0</v>
      </c>
    </row>
    <row r="372" spans="3:18" ht="34" x14ac:dyDescent="0.2">
      <c r="C372" s="22" t="str">
        <f>_xlfn.XLOOKUP(tbl_CONTENT[[#This Row],[TopicID]], tbl_TOPIC[TopicID], tbl_TOPIC[Subject], "")</f>
        <v>EFT1</v>
      </c>
      <c r="D372" s="22" t="str">
        <f xml:space="preserve"> tbl_CONTENT[[#This Row],[TopicID]] &amp; "-" &amp; TEXT(tbl_CONTENT[[#This Row],[TopicIDCount]], "00")</f>
        <v>EFT1-1-02-26</v>
      </c>
      <c r="F372" s="22" t="str">
        <f>_xlfn.XLOOKUP(tbl_CONTENT[[#This Row],[Topic]], tbl_TOPIC[Topic], tbl_TOPIC[TopicID], "")</f>
        <v>EFT1-1-02</v>
      </c>
      <c r="G372" s="22" cm="1">
        <f t="array" ref="G372">SUM((tbl_CONTENT[[#This Row],[TopicID]]=INDEX(tbl_CONTENT[TopicID],1):tbl_CONTENT[[#This Row],[TopicID]])*1)</f>
        <v>26</v>
      </c>
      <c r="H372" s="22" t="s">
        <v>598</v>
      </c>
      <c r="I372" s="22" t="s">
        <v>627</v>
      </c>
      <c r="J372" s="22" t="s">
        <v>148</v>
      </c>
      <c r="Q372" s="35">
        <f>IFERROR(
 (1.907*EXP(1)^(-0.5*tbl_CONTENT[[#This Row],[Layer]])) *
 ((tbl_CONTENT[[#This Row],[RelInt]]-1)^(2.5)*4^(1-2.5)+1) +
 ((tbl_CONTENT[[#This Row],[Comp]]-1)^(2.5)*4^(1-2.5)+1)*(0.5*((tbl_CONTENT[[#This Row],[RelInt]]-1)/4)^(2.5)+1),
 0
)</f>
        <v>0</v>
      </c>
      <c r="R372" s="35">
        <f>IFERROR(
 (1.907*EXP(1)^(-0.5*VALUE(tbl_CONTENT[[#This Row],[Layer]]))) *
 ((VALUE(tbl_CONTENT[[#This Row],[RelId]])-1)^(2.5)*4^(1-2.5)+1) +
 ((VALUE(tbl_CONTENT[[#This Row],[Comp]])-1)^(2.5)*4^(1-2.5)+1)*(0.5*((VALUE(tbl_CONTENT[[#This Row],[RelId]])-1)/4)^(2.5)+1),
 0
)</f>
        <v>0</v>
      </c>
    </row>
    <row r="373" spans="3:18" ht="51" x14ac:dyDescent="0.2">
      <c r="C373" s="22" t="str">
        <f>_xlfn.XLOOKUP(tbl_CONTENT[[#This Row],[TopicID]], tbl_TOPIC[TopicID], tbl_TOPIC[Subject], "")</f>
        <v>EFT1</v>
      </c>
      <c r="D373" s="22" t="str">
        <f xml:space="preserve"> tbl_CONTENT[[#This Row],[TopicID]] &amp; "-" &amp; TEXT(tbl_CONTENT[[#This Row],[TopicIDCount]], "00")</f>
        <v>EFT1-1-02-27</v>
      </c>
      <c r="F373" s="22" t="str">
        <f>_xlfn.XLOOKUP(tbl_CONTENT[[#This Row],[Topic]], tbl_TOPIC[Topic], tbl_TOPIC[TopicID], "")</f>
        <v>EFT1-1-02</v>
      </c>
      <c r="G373" s="22" cm="1">
        <f t="array" ref="G373">SUM((tbl_CONTENT[[#This Row],[TopicID]]=INDEX(tbl_CONTENT[TopicID],1):tbl_CONTENT[[#This Row],[TopicID]])*1)</f>
        <v>27</v>
      </c>
      <c r="H373" s="22" t="s">
        <v>598</v>
      </c>
      <c r="I373" s="22" t="s">
        <v>628</v>
      </c>
      <c r="J373" s="22" t="s">
        <v>148</v>
      </c>
      <c r="Q373" s="35">
        <f>IFERROR(
 (1.907*EXP(1)^(-0.5*tbl_CONTENT[[#This Row],[Layer]])) *
 ((tbl_CONTENT[[#This Row],[RelInt]]-1)^(2.5)*4^(1-2.5)+1) +
 ((tbl_CONTENT[[#This Row],[Comp]]-1)^(2.5)*4^(1-2.5)+1)*(0.5*((tbl_CONTENT[[#This Row],[RelInt]]-1)/4)^(2.5)+1),
 0
)</f>
        <v>0</v>
      </c>
      <c r="R373" s="35">
        <f>IFERROR(
 (1.907*EXP(1)^(-0.5*VALUE(tbl_CONTENT[[#This Row],[Layer]]))) *
 ((VALUE(tbl_CONTENT[[#This Row],[RelId]])-1)^(2.5)*4^(1-2.5)+1) +
 ((VALUE(tbl_CONTENT[[#This Row],[Comp]])-1)^(2.5)*4^(1-2.5)+1)*(0.5*((VALUE(tbl_CONTENT[[#This Row],[RelId]])-1)/4)^(2.5)+1),
 0
)</f>
        <v>0</v>
      </c>
    </row>
    <row r="374" spans="3:18" ht="102" x14ac:dyDescent="0.2">
      <c r="C374" s="22" t="str">
        <f>_xlfn.XLOOKUP(tbl_CONTENT[[#This Row],[TopicID]], tbl_TOPIC[TopicID], tbl_TOPIC[Subject], "")</f>
        <v>EFT1</v>
      </c>
      <c r="D374" s="22" t="str">
        <f xml:space="preserve"> tbl_CONTENT[[#This Row],[TopicID]] &amp; "-" &amp; TEXT(tbl_CONTENT[[#This Row],[TopicIDCount]], "00")</f>
        <v>EFT1-1-02-28</v>
      </c>
      <c r="F374" s="22" t="str">
        <f>_xlfn.XLOOKUP(tbl_CONTENT[[#This Row],[Topic]], tbl_TOPIC[Topic], tbl_TOPIC[TopicID], "")</f>
        <v>EFT1-1-02</v>
      </c>
      <c r="G374" s="22" cm="1">
        <f t="array" ref="G374">SUM((tbl_CONTENT[[#This Row],[TopicID]]=INDEX(tbl_CONTENT[TopicID],1):tbl_CONTENT[[#This Row],[TopicID]])*1)</f>
        <v>28</v>
      </c>
      <c r="H374" s="22" t="s">
        <v>598</v>
      </c>
      <c r="I374" s="22" t="s">
        <v>1594</v>
      </c>
      <c r="J374" s="22" t="s">
        <v>152</v>
      </c>
      <c r="Q374" s="35">
        <f>IFERROR(
 (1.907*EXP(1)^(-0.5*tbl_CONTENT[[#This Row],[Layer]])) *
 ((tbl_CONTENT[[#This Row],[RelInt]]-1)^(2.5)*4^(1-2.5)+1) +
 ((tbl_CONTENT[[#This Row],[Comp]]-1)^(2.5)*4^(1-2.5)+1)*(0.5*((tbl_CONTENT[[#This Row],[RelInt]]-1)/4)^(2.5)+1),
 0
)</f>
        <v>0</v>
      </c>
      <c r="R374" s="35">
        <f>IFERROR(
 (1.907*EXP(1)^(-0.5*VALUE(tbl_CONTENT[[#This Row],[Layer]]))) *
 ((VALUE(tbl_CONTENT[[#This Row],[RelId]])-1)^(2.5)*4^(1-2.5)+1) +
 ((VALUE(tbl_CONTENT[[#This Row],[Comp]])-1)^(2.5)*4^(1-2.5)+1)*(0.5*((VALUE(tbl_CONTENT[[#This Row],[RelId]])-1)/4)^(2.5)+1),
 0
)</f>
        <v>0</v>
      </c>
    </row>
    <row r="375" spans="3:18" ht="51" x14ac:dyDescent="0.2">
      <c r="C375" s="22" t="str">
        <f>_xlfn.XLOOKUP(tbl_CONTENT[[#This Row],[TopicID]], tbl_TOPIC[TopicID], tbl_TOPIC[Subject], "")</f>
        <v>EFT1</v>
      </c>
      <c r="D375" s="22" t="str">
        <f xml:space="preserve"> tbl_CONTENT[[#This Row],[TopicID]] &amp; "-" &amp; TEXT(tbl_CONTENT[[#This Row],[TopicIDCount]], "00")</f>
        <v>EFT1-1-02-29</v>
      </c>
      <c r="F375" s="22" t="str">
        <f>_xlfn.XLOOKUP(tbl_CONTENT[[#This Row],[Topic]], tbl_TOPIC[Topic], tbl_TOPIC[TopicID], "")</f>
        <v>EFT1-1-02</v>
      </c>
      <c r="G375" s="22" cm="1">
        <f t="array" ref="G375">SUM((tbl_CONTENT[[#This Row],[TopicID]]=INDEX(tbl_CONTENT[TopicID],1):tbl_CONTENT[[#This Row],[TopicID]])*1)</f>
        <v>29</v>
      </c>
      <c r="H375" s="22" t="s">
        <v>598</v>
      </c>
      <c r="I375" s="22" t="s">
        <v>629</v>
      </c>
      <c r="J375" s="22" t="s">
        <v>181</v>
      </c>
      <c r="Q375" s="35">
        <f>IFERROR(
 (1.907*EXP(1)^(-0.5*tbl_CONTENT[[#This Row],[Layer]])) *
 ((tbl_CONTENT[[#This Row],[RelInt]]-1)^(2.5)*4^(1-2.5)+1) +
 ((tbl_CONTENT[[#This Row],[Comp]]-1)^(2.5)*4^(1-2.5)+1)*(0.5*((tbl_CONTENT[[#This Row],[RelInt]]-1)/4)^(2.5)+1),
 0
)</f>
        <v>0</v>
      </c>
      <c r="R375" s="35">
        <f>IFERROR(
 (1.907*EXP(1)^(-0.5*VALUE(tbl_CONTENT[[#This Row],[Layer]]))) *
 ((VALUE(tbl_CONTENT[[#This Row],[RelId]])-1)^(2.5)*4^(1-2.5)+1) +
 ((VALUE(tbl_CONTENT[[#This Row],[Comp]])-1)^(2.5)*4^(1-2.5)+1)*(0.5*((VALUE(tbl_CONTENT[[#This Row],[RelId]])-1)/4)^(2.5)+1),
 0
)</f>
        <v>0</v>
      </c>
    </row>
    <row r="376" spans="3:18" ht="17" x14ac:dyDescent="0.2">
      <c r="C376" s="22" t="str">
        <f>_xlfn.XLOOKUP(tbl_CONTENT[[#This Row],[TopicID]], tbl_TOPIC[TopicID], tbl_TOPIC[Subject], "")</f>
        <v>EFT1</v>
      </c>
      <c r="D376" s="22" t="str">
        <f xml:space="preserve"> tbl_CONTENT[[#This Row],[TopicID]] &amp; "-" &amp; TEXT(tbl_CONTENT[[#This Row],[TopicIDCount]], "00")</f>
        <v>EFT1-1-02-30</v>
      </c>
      <c r="F376" s="22" t="str">
        <f>_xlfn.XLOOKUP(tbl_CONTENT[[#This Row],[Topic]], tbl_TOPIC[Topic], tbl_TOPIC[TopicID], "")</f>
        <v>EFT1-1-02</v>
      </c>
      <c r="G376" s="22" cm="1">
        <f t="array" ref="G376">SUM((tbl_CONTENT[[#This Row],[TopicID]]=INDEX(tbl_CONTENT[TopicID],1):tbl_CONTENT[[#This Row],[TopicID]])*1)</f>
        <v>30</v>
      </c>
      <c r="H376" s="22" t="s">
        <v>598</v>
      </c>
      <c r="I376" s="22" t="s">
        <v>630</v>
      </c>
      <c r="J376" s="22" t="s">
        <v>181</v>
      </c>
      <c r="Q376" s="35">
        <f>IFERROR(
 (1.907*EXP(1)^(-0.5*tbl_CONTENT[[#This Row],[Layer]])) *
 ((tbl_CONTENT[[#This Row],[RelInt]]-1)^(2.5)*4^(1-2.5)+1) +
 ((tbl_CONTENT[[#This Row],[Comp]]-1)^(2.5)*4^(1-2.5)+1)*(0.5*((tbl_CONTENT[[#This Row],[RelInt]]-1)/4)^(2.5)+1),
 0
)</f>
        <v>0</v>
      </c>
      <c r="R376" s="35">
        <f>IFERROR(
 (1.907*EXP(1)^(-0.5*VALUE(tbl_CONTENT[[#This Row],[Layer]]))) *
 ((VALUE(tbl_CONTENT[[#This Row],[RelId]])-1)^(2.5)*4^(1-2.5)+1) +
 ((VALUE(tbl_CONTENT[[#This Row],[Comp]])-1)^(2.5)*4^(1-2.5)+1)*(0.5*((VALUE(tbl_CONTENT[[#This Row],[RelId]])-1)/4)^(2.5)+1),
 0
)</f>
        <v>0</v>
      </c>
    </row>
    <row r="377" spans="3:18" ht="34" x14ac:dyDescent="0.2">
      <c r="C377" s="22" t="str">
        <f>_xlfn.XLOOKUP(tbl_CONTENT[[#This Row],[TopicID]], tbl_TOPIC[TopicID], tbl_TOPIC[Subject], "")</f>
        <v>EFT1</v>
      </c>
      <c r="D377" s="22" t="str">
        <f xml:space="preserve"> tbl_CONTENT[[#This Row],[TopicID]] &amp; "-" &amp; TEXT(tbl_CONTENT[[#This Row],[TopicIDCount]], "00")</f>
        <v>EFT1-1-02-31</v>
      </c>
      <c r="F377" s="22" t="str">
        <f>_xlfn.XLOOKUP(tbl_CONTENT[[#This Row],[Topic]], tbl_TOPIC[Topic], tbl_TOPIC[TopicID], "")</f>
        <v>EFT1-1-02</v>
      </c>
      <c r="G377" s="22" cm="1">
        <f t="array" ref="G377">SUM((tbl_CONTENT[[#This Row],[TopicID]]=INDEX(tbl_CONTENT[TopicID],1):tbl_CONTENT[[#This Row],[TopicID]])*1)</f>
        <v>31</v>
      </c>
      <c r="H377" s="22" t="s">
        <v>598</v>
      </c>
      <c r="I377" s="22" t="s">
        <v>1595</v>
      </c>
      <c r="J377" s="22" t="s">
        <v>181</v>
      </c>
      <c r="Q377" s="35">
        <f>IFERROR(
 (1.907*EXP(1)^(-0.5*tbl_CONTENT[[#This Row],[Layer]])) *
 ((tbl_CONTENT[[#This Row],[RelInt]]-1)^(2.5)*4^(1-2.5)+1) +
 ((tbl_CONTENT[[#This Row],[Comp]]-1)^(2.5)*4^(1-2.5)+1)*(0.5*((tbl_CONTENT[[#This Row],[RelInt]]-1)/4)^(2.5)+1),
 0
)</f>
        <v>0</v>
      </c>
      <c r="R377" s="35">
        <f>IFERROR(
 (1.907*EXP(1)^(-0.5*VALUE(tbl_CONTENT[[#This Row],[Layer]]))) *
 ((VALUE(tbl_CONTENT[[#This Row],[RelId]])-1)^(2.5)*4^(1-2.5)+1) +
 ((VALUE(tbl_CONTENT[[#This Row],[Comp]])-1)^(2.5)*4^(1-2.5)+1)*(0.5*((VALUE(tbl_CONTENT[[#This Row],[RelId]])-1)/4)^(2.5)+1),
 0
)</f>
        <v>0</v>
      </c>
    </row>
    <row r="378" spans="3:18" ht="51" x14ac:dyDescent="0.2">
      <c r="C378" s="22" t="str">
        <f>_xlfn.XLOOKUP(tbl_CONTENT[[#This Row],[TopicID]], tbl_TOPIC[TopicID], tbl_TOPIC[Subject], "")</f>
        <v>EFT1</v>
      </c>
      <c r="D378" s="22" t="str">
        <f xml:space="preserve"> tbl_CONTENT[[#This Row],[TopicID]] &amp; "-" &amp; TEXT(tbl_CONTENT[[#This Row],[TopicIDCount]], "00")</f>
        <v>EFT1-1-02-32</v>
      </c>
      <c r="F378" s="22" t="str">
        <f>_xlfn.XLOOKUP(tbl_CONTENT[[#This Row],[Topic]], tbl_TOPIC[Topic], tbl_TOPIC[TopicID], "")</f>
        <v>EFT1-1-02</v>
      </c>
      <c r="G378" s="22" cm="1">
        <f t="array" ref="G378">SUM((tbl_CONTENT[[#This Row],[TopicID]]=INDEX(tbl_CONTENT[TopicID],1):tbl_CONTENT[[#This Row],[TopicID]])*1)</f>
        <v>32</v>
      </c>
      <c r="H378" s="22" t="s">
        <v>598</v>
      </c>
      <c r="I378" s="22" t="s">
        <v>631</v>
      </c>
      <c r="J378" s="22" t="s">
        <v>149</v>
      </c>
      <c r="Q378" s="35">
        <f>IFERROR(
 (1.907*EXP(1)^(-0.5*tbl_CONTENT[[#This Row],[Layer]])) *
 ((tbl_CONTENT[[#This Row],[RelInt]]-1)^(2.5)*4^(1-2.5)+1) +
 ((tbl_CONTENT[[#This Row],[Comp]]-1)^(2.5)*4^(1-2.5)+1)*(0.5*((tbl_CONTENT[[#This Row],[RelInt]]-1)/4)^(2.5)+1),
 0
)</f>
        <v>0</v>
      </c>
      <c r="R378" s="35">
        <f>IFERROR(
 (1.907*EXP(1)^(-0.5*VALUE(tbl_CONTENT[[#This Row],[Layer]]))) *
 ((VALUE(tbl_CONTENT[[#This Row],[RelId]])-1)^(2.5)*4^(1-2.5)+1) +
 ((VALUE(tbl_CONTENT[[#This Row],[Comp]])-1)^(2.5)*4^(1-2.5)+1)*(0.5*((VALUE(tbl_CONTENT[[#This Row],[RelId]])-1)/4)^(2.5)+1),
 0
)</f>
        <v>0</v>
      </c>
    </row>
    <row r="379" spans="3:18" ht="51" x14ac:dyDescent="0.2">
      <c r="C379" s="22" t="str">
        <f>_xlfn.XLOOKUP(tbl_CONTENT[[#This Row],[TopicID]], tbl_TOPIC[TopicID], tbl_TOPIC[Subject], "")</f>
        <v>EFT1</v>
      </c>
      <c r="D379" s="22" t="str">
        <f xml:space="preserve"> tbl_CONTENT[[#This Row],[TopicID]] &amp; "-" &amp; TEXT(tbl_CONTENT[[#This Row],[TopicIDCount]], "00")</f>
        <v>EFT1-1-02-33</v>
      </c>
      <c r="F379" s="22" t="str">
        <f>_xlfn.XLOOKUP(tbl_CONTENT[[#This Row],[Topic]], tbl_TOPIC[Topic], tbl_TOPIC[TopicID], "")</f>
        <v>EFT1-1-02</v>
      </c>
      <c r="G379" s="22" cm="1">
        <f t="array" ref="G379">SUM((tbl_CONTENT[[#This Row],[TopicID]]=INDEX(tbl_CONTENT[TopicID],1):tbl_CONTENT[[#This Row],[TopicID]])*1)</f>
        <v>33</v>
      </c>
      <c r="H379" s="22" t="s">
        <v>598</v>
      </c>
      <c r="I379" s="22" t="s">
        <v>632</v>
      </c>
      <c r="J379" s="22" t="s">
        <v>181</v>
      </c>
      <c r="Q379" s="35">
        <f>IFERROR(
 (1.907*EXP(1)^(-0.5*tbl_CONTENT[[#This Row],[Layer]])) *
 ((tbl_CONTENT[[#This Row],[RelInt]]-1)^(2.5)*4^(1-2.5)+1) +
 ((tbl_CONTENT[[#This Row],[Comp]]-1)^(2.5)*4^(1-2.5)+1)*(0.5*((tbl_CONTENT[[#This Row],[RelInt]]-1)/4)^(2.5)+1),
 0
)</f>
        <v>0</v>
      </c>
      <c r="R379" s="35">
        <f>IFERROR(
 (1.907*EXP(1)^(-0.5*VALUE(tbl_CONTENT[[#This Row],[Layer]]))) *
 ((VALUE(tbl_CONTENT[[#This Row],[RelId]])-1)^(2.5)*4^(1-2.5)+1) +
 ((VALUE(tbl_CONTENT[[#This Row],[Comp]])-1)^(2.5)*4^(1-2.5)+1)*(0.5*((VALUE(tbl_CONTENT[[#This Row],[RelId]])-1)/4)^(2.5)+1),
 0
)</f>
        <v>0</v>
      </c>
    </row>
    <row r="380" spans="3:18" ht="17" x14ac:dyDescent="0.2">
      <c r="C380" s="22" t="str">
        <f>_xlfn.XLOOKUP(tbl_CONTENT[[#This Row],[TopicID]], tbl_TOPIC[TopicID], tbl_TOPIC[Subject], "")</f>
        <v>EFT1</v>
      </c>
      <c r="D380" s="22" t="str">
        <f xml:space="preserve"> tbl_CONTENT[[#This Row],[TopicID]] &amp; "-" &amp; TEXT(tbl_CONTENT[[#This Row],[TopicIDCount]], "00")</f>
        <v>EFT1-1-02-34</v>
      </c>
      <c r="F380" s="22" t="str">
        <f>_xlfn.XLOOKUP(tbl_CONTENT[[#This Row],[Topic]], tbl_TOPIC[Topic], tbl_TOPIC[TopicID], "")</f>
        <v>EFT1-1-02</v>
      </c>
      <c r="G380" s="22" cm="1">
        <f t="array" ref="G380">SUM((tbl_CONTENT[[#This Row],[TopicID]]=INDEX(tbl_CONTENT[TopicID],1):tbl_CONTENT[[#This Row],[TopicID]])*1)</f>
        <v>34</v>
      </c>
      <c r="H380" s="22" t="s">
        <v>598</v>
      </c>
      <c r="I380" s="22" t="s">
        <v>633</v>
      </c>
      <c r="J380" s="22" t="s">
        <v>181</v>
      </c>
      <c r="Q380" s="35">
        <f>IFERROR(
 (1.907*EXP(1)^(-0.5*tbl_CONTENT[[#This Row],[Layer]])) *
 ((tbl_CONTENT[[#This Row],[RelInt]]-1)^(2.5)*4^(1-2.5)+1) +
 ((tbl_CONTENT[[#This Row],[Comp]]-1)^(2.5)*4^(1-2.5)+1)*(0.5*((tbl_CONTENT[[#This Row],[RelInt]]-1)/4)^(2.5)+1),
 0
)</f>
        <v>0</v>
      </c>
      <c r="R380" s="35">
        <f>IFERROR(
 (1.907*EXP(1)^(-0.5*VALUE(tbl_CONTENT[[#This Row],[Layer]]))) *
 ((VALUE(tbl_CONTENT[[#This Row],[RelId]])-1)^(2.5)*4^(1-2.5)+1) +
 ((VALUE(tbl_CONTENT[[#This Row],[Comp]])-1)^(2.5)*4^(1-2.5)+1)*(0.5*((VALUE(tbl_CONTENT[[#This Row],[RelId]])-1)/4)^(2.5)+1),
 0
)</f>
        <v>0</v>
      </c>
    </row>
    <row r="381" spans="3:18" ht="17" x14ac:dyDescent="0.2">
      <c r="C381" s="22" t="str">
        <f>_xlfn.XLOOKUP(tbl_CONTENT[[#This Row],[TopicID]], tbl_TOPIC[TopicID], tbl_TOPIC[Subject], "")</f>
        <v>EFT1</v>
      </c>
      <c r="D381" s="22" t="str">
        <f xml:space="preserve"> tbl_CONTENT[[#This Row],[TopicID]] &amp; "-" &amp; TEXT(tbl_CONTENT[[#This Row],[TopicIDCount]], "00")</f>
        <v>EFT1-1-02-35</v>
      </c>
      <c r="F381" s="22" t="str">
        <f>_xlfn.XLOOKUP(tbl_CONTENT[[#This Row],[Topic]], tbl_TOPIC[Topic], tbl_TOPIC[TopicID], "")</f>
        <v>EFT1-1-02</v>
      </c>
      <c r="G381" s="22" cm="1">
        <f t="array" ref="G381">SUM((tbl_CONTENT[[#This Row],[TopicID]]=INDEX(tbl_CONTENT[TopicID],1):tbl_CONTENT[[#This Row],[TopicID]])*1)</f>
        <v>35</v>
      </c>
      <c r="H381" s="22" t="s">
        <v>598</v>
      </c>
      <c r="I381" s="22" t="s">
        <v>634</v>
      </c>
      <c r="J381" s="22" t="s">
        <v>181</v>
      </c>
      <c r="Q381" s="35">
        <f>IFERROR(
 (1.907*EXP(1)^(-0.5*tbl_CONTENT[[#This Row],[Layer]])) *
 ((tbl_CONTENT[[#This Row],[RelInt]]-1)^(2.5)*4^(1-2.5)+1) +
 ((tbl_CONTENT[[#This Row],[Comp]]-1)^(2.5)*4^(1-2.5)+1)*(0.5*((tbl_CONTENT[[#This Row],[RelInt]]-1)/4)^(2.5)+1),
 0
)</f>
        <v>0</v>
      </c>
      <c r="R381" s="35">
        <f>IFERROR(
 (1.907*EXP(1)^(-0.5*VALUE(tbl_CONTENT[[#This Row],[Layer]]))) *
 ((VALUE(tbl_CONTENT[[#This Row],[RelId]])-1)^(2.5)*4^(1-2.5)+1) +
 ((VALUE(tbl_CONTENT[[#This Row],[Comp]])-1)^(2.5)*4^(1-2.5)+1)*(0.5*((VALUE(tbl_CONTENT[[#This Row],[RelId]])-1)/4)^(2.5)+1),
 0
)</f>
        <v>0</v>
      </c>
    </row>
    <row r="382" spans="3:18" ht="17" x14ac:dyDescent="0.2">
      <c r="C382" s="22" t="str">
        <f>_xlfn.XLOOKUP(tbl_CONTENT[[#This Row],[TopicID]], tbl_TOPIC[TopicID], tbl_TOPIC[Subject], "")</f>
        <v>EFT1</v>
      </c>
      <c r="D382" s="22" t="str">
        <f xml:space="preserve"> tbl_CONTENT[[#This Row],[TopicID]] &amp; "-" &amp; TEXT(tbl_CONTENT[[#This Row],[TopicIDCount]], "00")</f>
        <v>EFT1-1-02-36</v>
      </c>
      <c r="F382" s="22" t="str">
        <f>_xlfn.XLOOKUP(tbl_CONTENT[[#This Row],[Topic]], tbl_TOPIC[Topic], tbl_TOPIC[TopicID], "")</f>
        <v>EFT1-1-02</v>
      </c>
      <c r="G382" s="22" cm="1">
        <f t="array" ref="G382">SUM((tbl_CONTENT[[#This Row],[TopicID]]=INDEX(tbl_CONTENT[TopicID],1):tbl_CONTENT[[#This Row],[TopicID]])*1)</f>
        <v>36</v>
      </c>
      <c r="H382" s="22" t="s">
        <v>598</v>
      </c>
      <c r="I382" s="22" t="s">
        <v>635</v>
      </c>
      <c r="J382" s="22" t="s">
        <v>181</v>
      </c>
      <c r="Q382" s="35">
        <f>IFERROR(
 (1.907*EXP(1)^(-0.5*tbl_CONTENT[[#This Row],[Layer]])) *
 ((tbl_CONTENT[[#This Row],[RelInt]]-1)^(2.5)*4^(1-2.5)+1) +
 ((tbl_CONTENT[[#This Row],[Comp]]-1)^(2.5)*4^(1-2.5)+1)*(0.5*((tbl_CONTENT[[#This Row],[RelInt]]-1)/4)^(2.5)+1),
 0
)</f>
        <v>0</v>
      </c>
      <c r="R382" s="35">
        <f>IFERROR(
 (1.907*EXP(1)^(-0.5*VALUE(tbl_CONTENT[[#This Row],[Layer]]))) *
 ((VALUE(tbl_CONTENT[[#This Row],[RelId]])-1)^(2.5)*4^(1-2.5)+1) +
 ((VALUE(tbl_CONTENT[[#This Row],[Comp]])-1)^(2.5)*4^(1-2.5)+1)*(0.5*((VALUE(tbl_CONTENT[[#This Row],[RelId]])-1)/4)^(2.5)+1),
 0
)</f>
        <v>0</v>
      </c>
    </row>
    <row r="383" spans="3:18" ht="51" x14ac:dyDescent="0.2">
      <c r="C383" s="22" t="str">
        <f>_xlfn.XLOOKUP(tbl_CONTENT[[#This Row],[TopicID]], tbl_TOPIC[TopicID], tbl_TOPIC[Subject], "")</f>
        <v>EFT1</v>
      </c>
      <c r="D383" s="22" t="str">
        <f xml:space="preserve"> tbl_CONTENT[[#This Row],[TopicID]] &amp; "-" &amp; TEXT(tbl_CONTENT[[#This Row],[TopicIDCount]], "00")</f>
        <v>EFT1-1-02-37</v>
      </c>
      <c r="F383" s="22" t="str">
        <f>_xlfn.XLOOKUP(tbl_CONTENT[[#This Row],[Topic]], tbl_TOPIC[Topic], tbl_TOPIC[TopicID], "")</f>
        <v>EFT1-1-02</v>
      </c>
      <c r="G383" s="22" cm="1">
        <f t="array" ref="G383">SUM((tbl_CONTENT[[#This Row],[TopicID]]=INDEX(tbl_CONTENT[TopicID],1):tbl_CONTENT[[#This Row],[TopicID]])*1)</f>
        <v>37</v>
      </c>
      <c r="H383" s="22" t="s">
        <v>598</v>
      </c>
      <c r="I383" s="22" t="s">
        <v>1596</v>
      </c>
      <c r="J383" s="22" t="s">
        <v>153</v>
      </c>
      <c r="Q383" s="35">
        <f>IFERROR(
 (1.907*EXP(1)^(-0.5*tbl_CONTENT[[#This Row],[Layer]])) *
 ((tbl_CONTENT[[#This Row],[RelInt]]-1)^(2.5)*4^(1-2.5)+1) +
 ((tbl_CONTENT[[#This Row],[Comp]]-1)^(2.5)*4^(1-2.5)+1)*(0.5*((tbl_CONTENT[[#This Row],[RelInt]]-1)/4)^(2.5)+1),
 0
)</f>
        <v>0</v>
      </c>
      <c r="R383" s="35">
        <f>IFERROR(
 (1.907*EXP(1)^(-0.5*VALUE(tbl_CONTENT[[#This Row],[Layer]]))) *
 ((VALUE(tbl_CONTENT[[#This Row],[RelId]])-1)^(2.5)*4^(1-2.5)+1) +
 ((VALUE(tbl_CONTENT[[#This Row],[Comp]])-1)^(2.5)*4^(1-2.5)+1)*(0.5*((VALUE(tbl_CONTENT[[#This Row],[RelId]])-1)/4)^(2.5)+1),
 0
)</f>
        <v>0</v>
      </c>
    </row>
    <row r="384" spans="3:18" ht="34" x14ac:dyDescent="0.2">
      <c r="C384" s="22" t="str">
        <f>_xlfn.XLOOKUP(tbl_CONTENT[[#This Row],[TopicID]], tbl_TOPIC[TopicID], tbl_TOPIC[Subject], "")</f>
        <v>EFT1</v>
      </c>
      <c r="D384" s="22" t="str">
        <f xml:space="preserve"> tbl_CONTENT[[#This Row],[TopicID]] &amp; "-" &amp; TEXT(tbl_CONTENT[[#This Row],[TopicIDCount]], "00")</f>
        <v>EFT1-1-02-38</v>
      </c>
      <c r="F384" s="22" t="str">
        <f>_xlfn.XLOOKUP(tbl_CONTENT[[#This Row],[Topic]], tbl_TOPIC[Topic], tbl_TOPIC[TopicID], "")</f>
        <v>EFT1-1-02</v>
      </c>
      <c r="G384" s="22" cm="1">
        <f t="array" ref="G384">SUM((tbl_CONTENT[[#This Row],[TopicID]]=INDEX(tbl_CONTENT[TopicID],1):tbl_CONTENT[[#This Row],[TopicID]])*1)</f>
        <v>38</v>
      </c>
      <c r="H384" s="22" t="s">
        <v>598</v>
      </c>
      <c r="I384" s="22" t="s">
        <v>636</v>
      </c>
      <c r="J384" s="22" t="s">
        <v>181</v>
      </c>
      <c r="Q384" s="35">
        <f>IFERROR(
 (1.907*EXP(1)^(-0.5*tbl_CONTENT[[#This Row],[Layer]])) *
 ((tbl_CONTENT[[#This Row],[RelInt]]-1)^(2.5)*4^(1-2.5)+1) +
 ((tbl_CONTENT[[#This Row],[Comp]]-1)^(2.5)*4^(1-2.5)+1)*(0.5*((tbl_CONTENT[[#This Row],[RelInt]]-1)/4)^(2.5)+1),
 0
)</f>
        <v>0</v>
      </c>
      <c r="R384" s="35">
        <f>IFERROR(
 (1.907*EXP(1)^(-0.5*VALUE(tbl_CONTENT[[#This Row],[Layer]]))) *
 ((VALUE(tbl_CONTENT[[#This Row],[RelId]])-1)^(2.5)*4^(1-2.5)+1) +
 ((VALUE(tbl_CONTENT[[#This Row],[Comp]])-1)^(2.5)*4^(1-2.5)+1)*(0.5*((VALUE(tbl_CONTENT[[#This Row],[RelId]])-1)/4)^(2.5)+1),
 0
)</f>
        <v>0</v>
      </c>
    </row>
    <row r="385" spans="3:18" ht="17" x14ac:dyDescent="0.2">
      <c r="C385" s="22" t="str">
        <f>_xlfn.XLOOKUP(tbl_CONTENT[[#This Row],[TopicID]], tbl_TOPIC[TopicID], tbl_TOPIC[Subject], "")</f>
        <v>EFT1</v>
      </c>
      <c r="D385" s="22" t="str">
        <f xml:space="preserve"> tbl_CONTENT[[#This Row],[TopicID]] &amp; "-" &amp; TEXT(tbl_CONTENT[[#This Row],[TopicIDCount]], "00")</f>
        <v>EFT1-1-02-39</v>
      </c>
      <c r="F385" s="22" t="str">
        <f>_xlfn.XLOOKUP(tbl_CONTENT[[#This Row],[Topic]], tbl_TOPIC[Topic], tbl_TOPIC[TopicID], "")</f>
        <v>EFT1-1-02</v>
      </c>
      <c r="G385" s="22" cm="1">
        <f t="array" ref="G385">SUM((tbl_CONTENT[[#This Row],[TopicID]]=INDEX(tbl_CONTENT[TopicID],1):tbl_CONTENT[[#This Row],[TopicID]])*1)</f>
        <v>39</v>
      </c>
      <c r="H385" s="22" t="s">
        <v>598</v>
      </c>
      <c r="I385" s="22" t="s">
        <v>1597</v>
      </c>
      <c r="J385" s="22" t="s">
        <v>181</v>
      </c>
      <c r="Q385" s="35">
        <f>IFERROR(
 (1.907*EXP(1)^(-0.5*tbl_CONTENT[[#This Row],[Layer]])) *
 ((tbl_CONTENT[[#This Row],[RelInt]]-1)^(2.5)*4^(1-2.5)+1) +
 ((tbl_CONTENT[[#This Row],[Comp]]-1)^(2.5)*4^(1-2.5)+1)*(0.5*((tbl_CONTENT[[#This Row],[RelInt]]-1)/4)^(2.5)+1),
 0
)</f>
        <v>0</v>
      </c>
      <c r="R385" s="35">
        <f>IFERROR(
 (1.907*EXP(1)^(-0.5*VALUE(tbl_CONTENT[[#This Row],[Layer]]))) *
 ((VALUE(tbl_CONTENT[[#This Row],[RelId]])-1)^(2.5)*4^(1-2.5)+1) +
 ((VALUE(tbl_CONTENT[[#This Row],[Comp]])-1)^(2.5)*4^(1-2.5)+1)*(0.5*((VALUE(tbl_CONTENT[[#This Row],[RelId]])-1)/4)^(2.5)+1),
 0
)</f>
        <v>0</v>
      </c>
    </row>
    <row r="386" spans="3:18" ht="17" x14ac:dyDescent="0.2">
      <c r="C386" s="22" t="str">
        <f>_xlfn.XLOOKUP(tbl_CONTENT[[#This Row],[TopicID]], tbl_TOPIC[TopicID], tbl_TOPIC[Subject], "")</f>
        <v>EFT1</v>
      </c>
      <c r="D386" s="22" t="str">
        <f xml:space="preserve"> tbl_CONTENT[[#This Row],[TopicID]] &amp; "-" &amp; TEXT(tbl_CONTENT[[#This Row],[TopicIDCount]], "00")</f>
        <v>EFT1-1-02-40</v>
      </c>
      <c r="F386" s="22" t="str">
        <f>_xlfn.XLOOKUP(tbl_CONTENT[[#This Row],[Topic]], tbl_TOPIC[Topic], tbl_TOPIC[TopicID], "")</f>
        <v>EFT1-1-02</v>
      </c>
      <c r="G386" s="22" cm="1">
        <f t="array" ref="G386">SUM((tbl_CONTENT[[#This Row],[TopicID]]=INDEX(tbl_CONTENT[TopicID],1):tbl_CONTENT[[#This Row],[TopicID]])*1)</f>
        <v>40</v>
      </c>
      <c r="H386" s="22" t="s">
        <v>598</v>
      </c>
      <c r="I386" s="22" t="s">
        <v>637</v>
      </c>
      <c r="J386" s="22" t="s">
        <v>153</v>
      </c>
      <c r="Q386" s="35">
        <f>IFERROR(
 (1.907*EXP(1)^(-0.5*tbl_CONTENT[[#This Row],[Layer]])) *
 ((tbl_CONTENT[[#This Row],[RelInt]]-1)^(2.5)*4^(1-2.5)+1) +
 ((tbl_CONTENT[[#This Row],[Comp]]-1)^(2.5)*4^(1-2.5)+1)*(0.5*((tbl_CONTENT[[#This Row],[RelInt]]-1)/4)^(2.5)+1),
 0
)</f>
        <v>0</v>
      </c>
      <c r="R386" s="35">
        <f>IFERROR(
 (1.907*EXP(1)^(-0.5*VALUE(tbl_CONTENT[[#This Row],[Layer]]))) *
 ((VALUE(tbl_CONTENT[[#This Row],[RelId]])-1)^(2.5)*4^(1-2.5)+1) +
 ((VALUE(tbl_CONTENT[[#This Row],[Comp]])-1)^(2.5)*4^(1-2.5)+1)*(0.5*((VALUE(tbl_CONTENT[[#This Row],[RelId]])-1)/4)^(2.5)+1),
 0
)</f>
        <v>0</v>
      </c>
    </row>
    <row r="387" spans="3:18" ht="34" x14ac:dyDescent="0.2">
      <c r="C387" s="22" t="str">
        <f>_xlfn.XLOOKUP(tbl_CONTENT[[#This Row],[TopicID]], tbl_TOPIC[TopicID], tbl_TOPIC[Subject], "")</f>
        <v>EFT1</v>
      </c>
      <c r="D387" s="22" t="str">
        <f xml:space="preserve"> tbl_CONTENT[[#This Row],[TopicID]] &amp; "-" &amp; TEXT(tbl_CONTENT[[#This Row],[TopicIDCount]], "00")</f>
        <v>EFT1-1-02-41</v>
      </c>
      <c r="F387" s="22" t="str">
        <f>_xlfn.XLOOKUP(tbl_CONTENT[[#This Row],[Topic]], tbl_TOPIC[Topic], tbl_TOPIC[TopicID], "")</f>
        <v>EFT1-1-02</v>
      </c>
      <c r="G387" s="22" cm="1">
        <f t="array" ref="G387">SUM((tbl_CONTENT[[#This Row],[TopicID]]=INDEX(tbl_CONTENT[TopicID],1):tbl_CONTENT[[#This Row],[TopicID]])*1)</f>
        <v>41</v>
      </c>
      <c r="H387" s="22" t="s">
        <v>598</v>
      </c>
      <c r="I387" s="22" t="s">
        <v>1598</v>
      </c>
      <c r="J387" s="22" t="s">
        <v>181</v>
      </c>
      <c r="Q387" s="35">
        <f>IFERROR(
 (1.907*EXP(1)^(-0.5*tbl_CONTENT[[#This Row],[Layer]])) *
 ((tbl_CONTENT[[#This Row],[RelInt]]-1)^(2.5)*4^(1-2.5)+1) +
 ((tbl_CONTENT[[#This Row],[Comp]]-1)^(2.5)*4^(1-2.5)+1)*(0.5*((tbl_CONTENT[[#This Row],[RelInt]]-1)/4)^(2.5)+1),
 0
)</f>
        <v>0</v>
      </c>
      <c r="R387" s="35">
        <f>IFERROR(
 (1.907*EXP(1)^(-0.5*VALUE(tbl_CONTENT[[#This Row],[Layer]]))) *
 ((VALUE(tbl_CONTENT[[#This Row],[RelId]])-1)^(2.5)*4^(1-2.5)+1) +
 ((VALUE(tbl_CONTENT[[#This Row],[Comp]])-1)^(2.5)*4^(1-2.5)+1)*(0.5*((VALUE(tbl_CONTENT[[#This Row],[RelId]])-1)/4)^(2.5)+1),
 0
)</f>
        <v>0</v>
      </c>
    </row>
    <row r="388" spans="3:18" ht="34" x14ac:dyDescent="0.2">
      <c r="C388" s="22" t="str">
        <f>_xlfn.XLOOKUP(tbl_CONTENT[[#This Row],[TopicID]], tbl_TOPIC[TopicID], tbl_TOPIC[Subject], "")</f>
        <v>EFT1</v>
      </c>
      <c r="D388" s="22" t="str">
        <f xml:space="preserve"> tbl_CONTENT[[#This Row],[TopicID]] &amp; "-" &amp; TEXT(tbl_CONTENT[[#This Row],[TopicIDCount]], "00")</f>
        <v>EFT1-1-02-42</v>
      </c>
      <c r="F388" s="22" t="str">
        <f>_xlfn.XLOOKUP(tbl_CONTENT[[#This Row],[Topic]], tbl_TOPIC[Topic], tbl_TOPIC[TopicID], "")</f>
        <v>EFT1-1-02</v>
      </c>
      <c r="G388" s="22" cm="1">
        <f t="array" ref="G388">SUM((tbl_CONTENT[[#This Row],[TopicID]]=INDEX(tbl_CONTENT[TopicID],1):tbl_CONTENT[[#This Row],[TopicID]])*1)</f>
        <v>42</v>
      </c>
      <c r="H388" s="22" t="s">
        <v>598</v>
      </c>
      <c r="I388" s="22" t="s">
        <v>638</v>
      </c>
      <c r="Q388" s="35">
        <f>IFERROR(
 (1.907*EXP(1)^(-0.5*tbl_CONTENT[[#This Row],[Layer]])) *
 ((tbl_CONTENT[[#This Row],[RelInt]]-1)^(2.5)*4^(1-2.5)+1) +
 ((tbl_CONTENT[[#This Row],[Comp]]-1)^(2.5)*4^(1-2.5)+1)*(0.5*((tbl_CONTENT[[#This Row],[RelInt]]-1)/4)^(2.5)+1),
 0
)</f>
        <v>0</v>
      </c>
      <c r="R388" s="35">
        <f>IFERROR(
 (1.907*EXP(1)^(-0.5*VALUE(tbl_CONTENT[[#This Row],[Layer]]))) *
 ((VALUE(tbl_CONTENT[[#This Row],[RelId]])-1)^(2.5)*4^(1-2.5)+1) +
 ((VALUE(tbl_CONTENT[[#This Row],[Comp]])-1)^(2.5)*4^(1-2.5)+1)*(0.5*((VALUE(tbl_CONTENT[[#This Row],[RelId]])-1)/4)^(2.5)+1),
 0
)</f>
        <v>0</v>
      </c>
    </row>
    <row r="389" spans="3:18" ht="17" x14ac:dyDescent="0.2">
      <c r="C389" s="22" t="str">
        <f>_xlfn.XLOOKUP(tbl_CONTENT[[#This Row],[TopicID]], tbl_TOPIC[TopicID], tbl_TOPIC[Subject], "")</f>
        <v>EFT1</v>
      </c>
      <c r="D389" s="22" t="str">
        <f xml:space="preserve"> tbl_CONTENT[[#This Row],[TopicID]] &amp; "-" &amp; TEXT(tbl_CONTENT[[#This Row],[TopicIDCount]], "00")</f>
        <v>EFT1-1-02-43</v>
      </c>
      <c r="F389" s="22" t="str">
        <f>_xlfn.XLOOKUP(tbl_CONTENT[[#This Row],[Topic]], tbl_TOPIC[Topic], tbl_TOPIC[TopicID], "")</f>
        <v>EFT1-1-02</v>
      </c>
      <c r="G389" s="22" cm="1">
        <f t="array" ref="G389">SUM((tbl_CONTENT[[#This Row],[TopicID]]=INDEX(tbl_CONTENT[TopicID],1):tbl_CONTENT[[#This Row],[TopicID]])*1)</f>
        <v>43</v>
      </c>
      <c r="H389" s="22" t="s">
        <v>598</v>
      </c>
      <c r="I389" s="22" t="s">
        <v>639</v>
      </c>
      <c r="J389" s="22" t="s">
        <v>153</v>
      </c>
      <c r="Q389" s="35">
        <f>IFERROR(
 (1.907*EXP(1)^(-0.5*tbl_CONTENT[[#This Row],[Layer]])) *
 ((tbl_CONTENT[[#This Row],[RelInt]]-1)^(2.5)*4^(1-2.5)+1) +
 ((tbl_CONTENT[[#This Row],[Comp]]-1)^(2.5)*4^(1-2.5)+1)*(0.5*((tbl_CONTENT[[#This Row],[RelInt]]-1)/4)^(2.5)+1),
 0
)</f>
        <v>0</v>
      </c>
      <c r="R389" s="35">
        <f>IFERROR(
 (1.907*EXP(1)^(-0.5*VALUE(tbl_CONTENT[[#This Row],[Layer]]))) *
 ((VALUE(tbl_CONTENT[[#This Row],[RelId]])-1)^(2.5)*4^(1-2.5)+1) +
 ((VALUE(tbl_CONTENT[[#This Row],[Comp]])-1)^(2.5)*4^(1-2.5)+1)*(0.5*((VALUE(tbl_CONTENT[[#This Row],[RelId]])-1)/4)^(2.5)+1),
 0
)</f>
        <v>0</v>
      </c>
    </row>
    <row r="390" spans="3:18" ht="17" x14ac:dyDescent="0.2">
      <c r="C390" s="22" t="str">
        <f>_xlfn.XLOOKUP(tbl_CONTENT[[#This Row],[TopicID]], tbl_TOPIC[TopicID], tbl_TOPIC[Subject], "")</f>
        <v>EFT1</v>
      </c>
      <c r="D390" s="22" t="str">
        <f xml:space="preserve"> tbl_CONTENT[[#This Row],[TopicID]] &amp; "-" &amp; TEXT(tbl_CONTENT[[#This Row],[TopicIDCount]], "00")</f>
        <v>EFT1-1-02-44</v>
      </c>
      <c r="F390" s="22" t="str">
        <f>_xlfn.XLOOKUP(tbl_CONTENT[[#This Row],[Topic]], tbl_TOPIC[Topic], tbl_TOPIC[TopicID], "")</f>
        <v>EFT1-1-02</v>
      </c>
      <c r="G390" s="22" cm="1">
        <f t="array" ref="G390">SUM((tbl_CONTENT[[#This Row],[TopicID]]=INDEX(tbl_CONTENT[TopicID],1):tbl_CONTENT[[#This Row],[TopicID]])*1)</f>
        <v>44</v>
      </c>
      <c r="H390" s="22" t="s">
        <v>598</v>
      </c>
      <c r="I390" s="22" t="s">
        <v>640</v>
      </c>
      <c r="J390" s="22" t="s">
        <v>153</v>
      </c>
      <c r="Q390" s="35">
        <f>IFERROR(
 (1.907*EXP(1)^(-0.5*tbl_CONTENT[[#This Row],[Layer]])) *
 ((tbl_CONTENT[[#This Row],[RelInt]]-1)^(2.5)*4^(1-2.5)+1) +
 ((tbl_CONTENT[[#This Row],[Comp]]-1)^(2.5)*4^(1-2.5)+1)*(0.5*((tbl_CONTENT[[#This Row],[RelInt]]-1)/4)^(2.5)+1),
 0
)</f>
        <v>0</v>
      </c>
      <c r="R390" s="35">
        <f>IFERROR(
 (1.907*EXP(1)^(-0.5*VALUE(tbl_CONTENT[[#This Row],[Layer]]))) *
 ((VALUE(tbl_CONTENT[[#This Row],[RelId]])-1)^(2.5)*4^(1-2.5)+1) +
 ((VALUE(tbl_CONTENT[[#This Row],[Comp]])-1)^(2.5)*4^(1-2.5)+1)*(0.5*((VALUE(tbl_CONTENT[[#This Row],[RelId]])-1)/4)^(2.5)+1),
 0
)</f>
        <v>0</v>
      </c>
    </row>
    <row r="391" spans="3:18" ht="51" x14ac:dyDescent="0.2">
      <c r="C391" s="22" t="str">
        <f>_xlfn.XLOOKUP(tbl_CONTENT[[#This Row],[TopicID]], tbl_TOPIC[TopicID], tbl_TOPIC[Subject], "")</f>
        <v>EFT1</v>
      </c>
      <c r="D391" s="22" t="str">
        <f xml:space="preserve"> tbl_CONTENT[[#This Row],[TopicID]] &amp; "-" &amp; TEXT(tbl_CONTENT[[#This Row],[TopicIDCount]], "00")</f>
        <v>EFT1-1-02-45</v>
      </c>
      <c r="F391" s="22" t="str">
        <f>_xlfn.XLOOKUP(tbl_CONTENT[[#This Row],[Topic]], tbl_TOPIC[Topic], tbl_TOPIC[TopicID], "")</f>
        <v>EFT1-1-02</v>
      </c>
      <c r="G391" s="22" cm="1">
        <f t="array" ref="G391">SUM((tbl_CONTENT[[#This Row],[TopicID]]=INDEX(tbl_CONTENT[TopicID],1):tbl_CONTENT[[#This Row],[TopicID]])*1)</f>
        <v>45</v>
      </c>
      <c r="H391" s="22" t="s">
        <v>598</v>
      </c>
      <c r="I391" s="22" t="s">
        <v>642</v>
      </c>
      <c r="J391" s="22" t="s">
        <v>153</v>
      </c>
      <c r="Q391" s="35">
        <f>IFERROR(
 (1.907*EXP(1)^(-0.5*tbl_CONTENT[[#This Row],[Layer]])) *
 ((tbl_CONTENT[[#This Row],[RelInt]]-1)^(2.5)*4^(1-2.5)+1) +
 ((tbl_CONTENT[[#This Row],[Comp]]-1)^(2.5)*4^(1-2.5)+1)*(0.5*((tbl_CONTENT[[#This Row],[RelInt]]-1)/4)^(2.5)+1),
 0
)</f>
        <v>0</v>
      </c>
      <c r="R391" s="35">
        <f>IFERROR(
 (1.907*EXP(1)^(-0.5*VALUE(tbl_CONTENT[[#This Row],[Layer]]))) *
 ((VALUE(tbl_CONTENT[[#This Row],[RelId]])-1)^(2.5)*4^(1-2.5)+1) +
 ((VALUE(tbl_CONTENT[[#This Row],[Comp]])-1)^(2.5)*4^(1-2.5)+1)*(0.5*((VALUE(tbl_CONTENT[[#This Row],[RelId]])-1)/4)^(2.5)+1),
 0
)</f>
        <v>0</v>
      </c>
    </row>
    <row r="392" spans="3:18" ht="17" x14ac:dyDescent="0.2">
      <c r="C392" s="22" t="str">
        <f>_xlfn.XLOOKUP(tbl_CONTENT[[#This Row],[TopicID]], tbl_TOPIC[TopicID], tbl_TOPIC[Subject], "")</f>
        <v>EFT1</v>
      </c>
      <c r="D392" s="22" t="str">
        <f xml:space="preserve"> tbl_CONTENT[[#This Row],[TopicID]] &amp; "-" &amp; TEXT(tbl_CONTENT[[#This Row],[TopicIDCount]], "00")</f>
        <v>EFT1-1-02-46</v>
      </c>
      <c r="F392" s="22" t="str">
        <f>_xlfn.XLOOKUP(tbl_CONTENT[[#This Row],[Topic]], tbl_TOPIC[Topic], tbl_TOPIC[TopicID], "")</f>
        <v>EFT1-1-02</v>
      </c>
      <c r="G392" s="22" cm="1">
        <f t="array" ref="G392">SUM((tbl_CONTENT[[#This Row],[TopicID]]=INDEX(tbl_CONTENT[TopicID],1):tbl_CONTENT[[#This Row],[TopicID]])*1)</f>
        <v>46</v>
      </c>
      <c r="H392" s="22" t="s">
        <v>598</v>
      </c>
      <c r="I392" s="22" t="s">
        <v>641</v>
      </c>
      <c r="J392" s="22" t="s">
        <v>153</v>
      </c>
      <c r="Q392" s="35">
        <f>IFERROR(
 (1.907*EXP(1)^(-0.5*tbl_CONTENT[[#This Row],[Layer]])) *
 ((tbl_CONTENT[[#This Row],[RelInt]]-1)^(2.5)*4^(1-2.5)+1) +
 ((tbl_CONTENT[[#This Row],[Comp]]-1)^(2.5)*4^(1-2.5)+1)*(0.5*((tbl_CONTENT[[#This Row],[RelInt]]-1)/4)^(2.5)+1),
 0
)</f>
        <v>0</v>
      </c>
      <c r="R392" s="35">
        <f>IFERROR(
 (1.907*EXP(1)^(-0.5*VALUE(tbl_CONTENT[[#This Row],[Layer]]))) *
 ((VALUE(tbl_CONTENT[[#This Row],[RelId]])-1)^(2.5)*4^(1-2.5)+1) +
 ((VALUE(tbl_CONTENT[[#This Row],[Comp]])-1)^(2.5)*4^(1-2.5)+1)*(0.5*((VALUE(tbl_CONTENT[[#This Row],[RelId]])-1)/4)^(2.5)+1),
 0
)</f>
        <v>0</v>
      </c>
    </row>
    <row r="393" spans="3:18" ht="68" x14ac:dyDescent="0.2">
      <c r="C393" s="22" t="str">
        <f>_xlfn.XLOOKUP(tbl_CONTENT[[#This Row],[TopicID]], tbl_TOPIC[TopicID], tbl_TOPIC[Subject], "")</f>
        <v>EFT1</v>
      </c>
      <c r="D393" s="22" t="str">
        <f xml:space="preserve"> tbl_CONTENT[[#This Row],[TopicID]] &amp; "-" &amp; TEXT(tbl_CONTENT[[#This Row],[TopicIDCount]], "00")</f>
        <v>EFT1-1-02-47</v>
      </c>
      <c r="F393" s="22" t="str">
        <f>_xlfn.XLOOKUP(tbl_CONTENT[[#This Row],[Topic]], tbl_TOPIC[Topic], tbl_TOPIC[TopicID], "")</f>
        <v>EFT1-1-02</v>
      </c>
      <c r="G393" s="22" cm="1">
        <f t="array" ref="G393">SUM((tbl_CONTENT[[#This Row],[TopicID]]=INDEX(tbl_CONTENT[TopicID],1):tbl_CONTENT[[#This Row],[TopicID]])*1)</f>
        <v>47</v>
      </c>
      <c r="H393" s="22" t="s">
        <v>598</v>
      </c>
      <c r="I393" s="22" t="s">
        <v>1644</v>
      </c>
      <c r="J393" s="22" t="s">
        <v>181</v>
      </c>
      <c r="Q393" s="35">
        <f>IFERROR(
 (1.907*EXP(1)^(-0.5*tbl_CONTENT[[#This Row],[Layer]])) *
 ((tbl_CONTENT[[#This Row],[RelInt]]-1)^(2.5)*4^(1-2.5)+1) +
 ((tbl_CONTENT[[#This Row],[Comp]]-1)^(2.5)*4^(1-2.5)+1)*(0.5*((tbl_CONTENT[[#This Row],[RelInt]]-1)/4)^(2.5)+1),
 0
)</f>
        <v>0</v>
      </c>
      <c r="R393" s="35">
        <f>IFERROR(
 (1.907*EXP(1)^(-0.5*VALUE(tbl_CONTENT[[#This Row],[Layer]]))) *
 ((VALUE(tbl_CONTENT[[#This Row],[RelId]])-1)^(2.5)*4^(1-2.5)+1) +
 ((VALUE(tbl_CONTENT[[#This Row],[Comp]])-1)^(2.5)*4^(1-2.5)+1)*(0.5*((VALUE(tbl_CONTENT[[#This Row],[RelId]])-1)/4)^(2.5)+1),
 0
)</f>
        <v>0</v>
      </c>
    </row>
    <row r="394" spans="3:18" ht="17" x14ac:dyDescent="0.2">
      <c r="C394" s="22" t="str">
        <f>_xlfn.XLOOKUP(tbl_CONTENT[[#This Row],[TopicID]], tbl_TOPIC[TopicID], tbl_TOPIC[Subject], "")</f>
        <v>EFT1</v>
      </c>
      <c r="D394" s="22" t="str">
        <f xml:space="preserve"> tbl_CONTENT[[#This Row],[TopicID]] &amp; "-" &amp; TEXT(tbl_CONTENT[[#This Row],[TopicIDCount]], "00")</f>
        <v>EFT1-1-02-48</v>
      </c>
      <c r="F394" s="22" t="str">
        <f>_xlfn.XLOOKUP(tbl_CONTENT[[#This Row],[Topic]], tbl_TOPIC[Topic], tbl_TOPIC[TopicID], "")</f>
        <v>EFT1-1-02</v>
      </c>
      <c r="G394" s="22" cm="1">
        <f t="array" ref="G394">SUM((tbl_CONTENT[[#This Row],[TopicID]]=INDEX(tbl_CONTENT[TopicID],1):tbl_CONTENT[[#This Row],[TopicID]])*1)</f>
        <v>48</v>
      </c>
      <c r="H394" s="22" t="s">
        <v>598</v>
      </c>
      <c r="I394" s="22" t="s">
        <v>643</v>
      </c>
      <c r="J394" s="22" t="s">
        <v>153</v>
      </c>
      <c r="Q394" s="35">
        <f>IFERROR(
 (1.907*EXP(1)^(-0.5*tbl_CONTENT[[#This Row],[Layer]])) *
 ((tbl_CONTENT[[#This Row],[RelInt]]-1)^(2.5)*4^(1-2.5)+1) +
 ((tbl_CONTENT[[#This Row],[Comp]]-1)^(2.5)*4^(1-2.5)+1)*(0.5*((tbl_CONTENT[[#This Row],[RelInt]]-1)/4)^(2.5)+1),
 0
)</f>
        <v>0</v>
      </c>
      <c r="R394" s="35">
        <f>IFERROR(
 (1.907*EXP(1)^(-0.5*VALUE(tbl_CONTENT[[#This Row],[Layer]]))) *
 ((VALUE(tbl_CONTENT[[#This Row],[RelId]])-1)^(2.5)*4^(1-2.5)+1) +
 ((VALUE(tbl_CONTENT[[#This Row],[Comp]])-1)^(2.5)*4^(1-2.5)+1)*(0.5*((VALUE(tbl_CONTENT[[#This Row],[RelId]])-1)/4)^(2.5)+1),
 0
)</f>
        <v>0</v>
      </c>
    </row>
    <row r="395" spans="3:18" ht="34" x14ac:dyDescent="0.2">
      <c r="C395" s="22" t="str">
        <f>_xlfn.XLOOKUP(tbl_CONTENT[[#This Row],[TopicID]], tbl_TOPIC[TopicID], tbl_TOPIC[Subject], "")</f>
        <v>EFT1</v>
      </c>
      <c r="D395" s="22" t="str">
        <f xml:space="preserve"> tbl_CONTENT[[#This Row],[TopicID]] &amp; "-" &amp; TEXT(tbl_CONTENT[[#This Row],[TopicIDCount]], "00")</f>
        <v>EFT1-1-02-49</v>
      </c>
      <c r="F395" s="22" t="str">
        <f>_xlfn.XLOOKUP(tbl_CONTENT[[#This Row],[Topic]], tbl_TOPIC[Topic], tbl_TOPIC[TopicID], "")</f>
        <v>EFT1-1-02</v>
      </c>
      <c r="G395" s="22" cm="1">
        <f t="array" ref="G395">SUM((tbl_CONTENT[[#This Row],[TopicID]]=INDEX(tbl_CONTENT[TopicID],1):tbl_CONTENT[[#This Row],[TopicID]])*1)</f>
        <v>49</v>
      </c>
      <c r="H395" s="22" t="s">
        <v>598</v>
      </c>
      <c r="I395" s="22" t="s">
        <v>1645</v>
      </c>
      <c r="J395" s="22" t="s">
        <v>152</v>
      </c>
      <c r="Q395" s="35">
        <f>IFERROR(
 (1.907*EXP(1)^(-0.5*tbl_CONTENT[[#This Row],[Layer]])) *
 ((tbl_CONTENT[[#This Row],[RelInt]]-1)^(2.5)*4^(1-2.5)+1) +
 ((tbl_CONTENT[[#This Row],[Comp]]-1)^(2.5)*4^(1-2.5)+1)*(0.5*((tbl_CONTENT[[#This Row],[RelInt]]-1)/4)^(2.5)+1),
 0
)</f>
        <v>0</v>
      </c>
      <c r="R395" s="35">
        <f>IFERROR(
 (1.907*EXP(1)^(-0.5*VALUE(tbl_CONTENT[[#This Row],[Layer]]))) *
 ((VALUE(tbl_CONTENT[[#This Row],[RelId]])-1)^(2.5)*4^(1-2.5)+1) +
 ((VALUE(tbl_CONTENT[[#This Row],[Comp]])-1)^(2.5)*4^(1-2.5)+1)*(0.5*((VALUE(tbl_CONTENT[[#This Row],[RelId]])-1)/4)^(2.5)+1),
 0
)</f>
        <v>0</v>
      </c>
    </row>
    <row r="396" spans="3:18" ht="17" x14ac:dyDescent="0.2">
      <c r="C396" s="22" t="str">
        <f>_xlfn.XLOOKUP(tbl_CONTENT[[#This Row],[TopicID]], tbl_TOPIC[TopicID], tbl_TOPIC[Subject], "")</f>
        <v>EFT1</v>
      </c>
      <c r="D396" s="22" t="str">
        <f xml:space="preserve"> tbl_CONTENT[[#This Row],[TopicID]] &amp; "-" &amp; TEXT(tbl_CONTENT[[#This Row],[TopicIDCount]], "00")</f>
        <v>EFT1-1-02-50</v>
      </c>
      <c r="F396" s="22" t="str">
        <f>_xlfn.XLOOKUP(tbl_CONTENT[[#This Row],[Topic]], tbl_TOPIC[Topic], tbl_TOPIC[TopicID], "")</f>
        <v>EFT1-1-02</v>
      </c>
      <c r="G396" s="22" cm="1">
        <f t="array" ref="G396">SUM((tbl_CONTENT[[#This Row],[TopicID]]=INDEX(tbl_CONTENT[TopicID],1):tbl_CONTENT[[#This Row],[TopicID]])*1)</f>
        <v>50</v>
      </c>
      <c r="H396" s="22" t="s">
        <v>598</v>
      </c>
      <c r="I396" s="22" t="s">
        <v>644</v>
      </c>
      <c r="J396" s="22" t="s">
        <v>181</v>
      </c>
      <c r="Q396" s="35">
        <f>IFERROR(
 (1.907*EXP(1)^(-0.5*tbl_CONTENT[[#This Row],[Layer]])) *
 ((tbl_CONTENT[[#This Row],[RelInt]]-1)^(2.5)*4^(1-2.5)+1) +
 ((tbl_CONTENT[[#This Row],[Comp]]-1)^(2.5)*4^(1-2.5)+1)*(0.5*((tbl_CONTENT[[#This Row],[RelInt]]-1)/4)^(2.5)+1),
 0
)</f>
        <v>0</v>
      </c>
      <c r="R396" s="35">
        <f>IFERROR(
 (1.907*EXP(1)^(-0.5*VALUE(tbl_CONTENT[[#This Row],[Layer]]))) *
 ((VALUE(tbl_CONTENT[[#This Row],[RelId]])-1)^(2.5)*4^(1-2.5)+1) +
 ((VALUE(tbl_CONTENT[[#This Row],[Comp]])-1)^(2.5)*4^(1-2.5)+1)*(0.5*((VALUE(tbl_CONTENT[[#This Row],[RelId]])-1)/4)^(2.5)+1),
 0
)</f>
        <v>0</v>
      </c>
    </row>
    <row r="397" spans="3:18" ht="17" x14ac:dyDescent="0.2">
      <c r="C397" s="22" t="str">
        <f>_xlfn.XLOOKUP(tbl_CONTENT[[#This Row],[TopicID]], tbl_TOPIC[TopicID], tbl_TOPIC[Subject], "")</f>
        <v>EFT1</v>
      </c>
      <c r="D397" s="22" t="str">
        <f xml:space="preserve"> tbl_CONTENT[[#This Row],[TopicID]] &amp; "-" &amp; TEXT(tbl_CONTENT[[#This Row],[TopicIDCount]], "00")</f>
        <v>EFT1-1-02-51</v>
      </c>
      <c r="F397" s="22" t="str">
        <f>_xlfn.XLOOKUP(tbl_CONTENT[[#This Row],[Topic]], tbl_TOPIC[Topic], tbl_TOPIC[TopicID], "")</f>
        <v>EFT1-1-02</v>
      </c>
      <c r="G397" s="22" cm="1">
        <f t="array" ref="G397">SUM((tbl_CONTENT[[#This Row],[TopicID]]=INDEX(tbl_CONTENT[TopicID],1):tbl_CONTENT[[#This Row],[TopicID]])*1)</f>
        <v>51</v>
      </c>
      <c r="H397" s="22" t="s">
        <v>598</v>
      </c>
      <c r="I397" s="22" t="s">
        <v>645</v>
      </c>
      <c r="J397" s="22" t="s">
        <v>181</v>
      </c>
      <c r="Q397" s="35">
        <f>IFERROR(
 (1.907*EXP(1)^(-0.5*tbl_CONTENT[[#This Row],[Layer]])) *
 ((tbl_CONTENT[[#This Row],[RelInt]]-1)^(2.5)*4^(1-2.5)+1) +
 ((tbl_CONTENT[[#This Row],[Comp]]-1)^(2.5)*4^(1-2.5)+1)*(0.5*((tbl_CONTENT[[#This Row],[RelInt]]-1)/4)^(2.5)+1),
 0
)</f>
        <v>0</v>
      </c>
      <c r="R397" s="35">
        <f>IFERROR(
 (1.907*EXP(1)^(-0.5*VALUE(tbl_CONTENT[[#This Row],[Layer]]))) *
 ((VALUE(tbl_CONTENT[[#This Row],[RelId]])-1)^(2.5)*4^(1-2.5)+1) +
 ((VALUE(tbl_CONTENT[[#This Row],[Comp]])-1)^(2.5)*4^(1-2.5)+1)*(0.5*((VALUE(tbl_CONTENT[[#This Row],[RelId]])-1)/4)^(2.5)+1),
 0
)</f>
        <v>0</v>
      </c>
    </row>
    <row r="398" spans="3:18" ht="34" x14ac:dyDescent="0.2">
      <c r="C398" s="22" t="str">
        <f>_xlfn.XLOOKUP(tbl_CONTENT[[#This Row],[TopicID]], tbl_TOPIC[TopicID], tbl_TOPIC[Subject], "")</f>
        <v>EFT1</v>
      </c>
      <c r="D398" s="22" t="str">
        <f xml:space="preserve"> tbl_CONTENT[[#This Row],[TopicID]] &amp; "-" &amp; TEXT(tbl_CONTENT[[#This Row],[TopicIDCount]], "00")</f>
        <v>EFT1-1-02-52</v>
      </c>
      <c r="F398" s="22" t="str">
        <f>_xlfn.XLOOKUP(tbl_CONTENT[[#This Row],[Topic]], tbl_TOPIC[Topic], tbl_TOPIC[TopicID], "")</f>
        <v>EFT1-1-02</v>
      </c>
      <c r="G398" s="22" cm="1">
        <f t="array" ref="G398">SUM((tbl_CONTENT[[#This Row],[TopicID]]=INDEX(tbl_CONTENT[TopicID],1):tbl_CONTENT[[#This Row],[TopicID]])*1)</f>
        <v>52</v>
      </c>
      <c r="H398" s="22" t="s">
        <v>598</v>
      </c>
      <c r="I398" s="22" t="s">
        <v>646</v>
      </c>
      <c r="J398" s="22" t="s">
        <v>148</v>
      </c>
      <c r="Q398" s="35">
        <f>IFERROR(
 (1.907*EXP(1)^(-0.5*tbl_CONTENT[[#This Row],[Layer]])) *
 ((tbl_CONTENT[[#This Row],[RelInt]]-1)^(2.5)*4^(1-2.5)+1) +
 ((tbl_CONTENT[[#This Row],[Comp]]-1)^(2.5)*4^(1-2.5)+1)*(0.5*((tbl_CONTENT[[#This Row],[RelInt]]-1)/4)^(2.5)+1),
 0
)</f>
        <v>0</v>
      </c>
      <c r="R398" s="35">
        <f>IFERROR(
 (1.907*EXP(1)^(-0.5*VALUE(tbl_CONTENT[[#This Row],[Layer]]))) *
 ((VALUE(tbl_CONTENT[[#This Row],[RelId]])-1)^(2.5)*4^(1-2.5)+1) +
 ((VALUE(tbl_CONTENT[[#This Row],[Comp]])-1)^(2.5)*4^(1-2.5)+1)*(0.5*((VALUE(tbl_CONTENT[[#This Row],[RelId]])-1)/4)^(2.5)+1),
 0
)</f>
        <v>0</v>
      </c>
    </row>
    <row r="399" spans="3:18" ht="34" x14ac:dyDescent="0.2">
      <c r="C399" s="22" t="str">
        <f>_xlfn.XLOOKUP(tbl_CONTENT[[#This Row],[TopicID]], tbl_TOPIC[TopicID], tbl_TOPIC[Subject], "")</f>
        <v>EFT1</v>
      </c>
      <c r="D399" s="22" t="str">
        <f xml:space="preserve"> tbl_CONTENT[[#This Row],[TopicID]] &amp; "-" &amp; TEXT(tbl_CONTENT[[#This Row],[TopicIDCount]], "00")</f>
        <v>EFT1-1-02-53</v>
      </c>
      <c r="F399" s="22" t="str">
        <f>_xlfn.XLOOKUP(tbl_CONTENT[[#This Row],[Topic]], tbl_TOPIC[Topic], tbl_TOPIC[TopicID], "")</f>
        <v>EFT1-1-02</v>
      </c>
      <c r="G399" s="22" cm="1">
        <f t="array" ref="G399">SUM((tbl_CONTENT[[#This Row],[TopicID]]=INDEX(tbl_CONTENT[TopicID],1):tbl_CONTENT[[#This Row],[TopicID]])*1)</f>
        <v>53</v>
      </c>
      <c r="H399" s="22" t="s">
        <v>598</v>
      </c>
      <c r="I399" s="22" t="s">
        <v>647</v>
      </c>
      <c r="J399" s="22" t="s">
        <v>149</v>
      </c>
      <c r="Q399" s="35">
        <f>IFERROR(
 (1.907*EXP(1)^(-0.5*tbl_CONTENT[[#This Row],[Layer]])) *
 ((tbl_CONTENT[[#This Row],[RelInt]]-1)^(2.5)*4^(1-2.5)+1) +
 ((tbl_CONTENT[[#This Row],[Comp]]-1)^(2.5)*4^(1-2.5)+1)*(0.5*((tbl_CONTENT[[#This Row],[RelInt]]-1)/4)^(2.5)+1),
 0
)</f>
        <v>0</v>
      </c>
      <c r="R399" s="35">
        <f>IFERROR(
 (1.907*EXP(1)^(-0.5*VALUE(tbl_CONTENT[[#This Row],[Layer]]))) *
 ((VALUE(tbl_CONTENT[[#This Row],[RelId]])-1)^(2.5)*4^(1-2.5)+1) +
 ((VALUE(tbl_CONTENT[[#This Row],[Comp]])-1)^(2.5)*4^(1-2.5)+1)*(0.5*((VALUE(tbl_CONTENT[[#This Row],[RelId]])-1)/4)^(2.5)+1),
 0
)</f>
        <v>0</v>
      </c>
    </row>
    <row r="400" spans="3:18" ht="34" x14ac:dyDescent="0.2">
      <c r="C400" s="22" t="str">
        <f>_xlfn.XLOOKUP(tbl_CONTENT[[#This Row],[TopicID]], tbl_TOPIC[TopicID], tbl_TOPIC[Subject], "")</f>
        <v>EFT1</v>
      </c>
      <c r="D400" s="22" t="str">
        <f xml:space="preserve"> tbl_CONTENT[[#This Row],[TopicID]] &amp; "-" &amp; TEXT(tbl_CONTENT[[#This Row],[TopicIDCount]], "00")</f>
        <v>EFT1-1-02-54</v>
      </c>
      <c r="F400" s="22" t="str">
        <f>_xlfn.XLOOKUP(tbl_CONTENT[[#This Row],[Topic]], tbl_TOPIC[Topic], tbl_TOPIC[TopicID], "")</f>
        <v>EFT1-1-02</v>
      </c>
      <c r="G400" s="22" cm="1">
        <f t="array" ref="G400">SUM((tbl_CONTENT[[#This Row],[TopicID]]=INDEX(tbl_CONTENT[TopicID],1):tbl_CONTENT[[#This Row],[TopicID]])*1)</f>
        <v>54</v>
      </c>
      <c r="H400" s="22" t="s">
        <v>598</v>
      </c>
      <c r="I400" s="22" t="s">
        <v>648</v>
      </c>
      <c r="J400" s="22" t="s">
        <v>153</v>
      </c>
      <c r="Q400" s="35">
        <f>IFERROR(
 (1.907*EXP(1)^(-0.5*tbl_CONTENT[[#This Row],[Layer]])) *
 ((tbl_CONTENT[[#This Row],[RelInt]]-1)^(2.5)*4^(1-2.5)+1) +
 ((tbl_CONTENT[[#This Row],[Comp]]-1)^(2.5)*4^(1-2.5)+1)*(0.5*((tbl_CONTENT[[#This Row],[RelInt]]-1)/4)^(2.5)+1),
 0
)</f>
        <v>0</v>
      </c>
      <c r="R400" s="35">
        <f>IFERROR(
 (1.907*EXP(1)^(-0.5*VALUE(tbl_CONTENT[[#This Row],[Layer]]))) *
 ((VALUE(tbl_CONTENT[[#This Row],[RelId]])-1)^(2.5)*4^(1-2.5)+1) +
 ((VALUE(tbl_CONTENT[[#This Row],[Comp]])-1)^(2.5)*4^(1-2.5)+1)*(0.5*((VALUE(tbl_CONTENT[[#This Row],[RelId]])-1)/4)^(2.5)+1),
 0
)</f>
        <v>0</v>
      </c>
    </row>
    <row r="401" spans="3:18" ht="17" x14ac:dyDescent="0.2">
      <c r="C401" s="22" t="str">
        <f>_xlfn.XLOOKUP(tbl_CONTENT[[#This Row],[TopicID]], tbl_TOPIC[TopicID], tbl_TOPIC[Subject], "")</f>
        <v>EFT1</v>
      </c>
      <c r="D401" s="22" t="str">
        <f xml:space="preserve"> tbl_CONTENT[[#This Row],[TopicID]] &amp; "-" &amp; TEXT(tbl_CONTENT[[#This Row],[TopicIDCount]], "00")</f>
        <v>EFT1-1-02-55</v>
      </c>
      <c r="F401" s="22" t="str">
        <f>_xlfn.XLOOKUP(tbl_CONTENT[[#This Row],[Topic]], tbl_TOPIC[Topic], tbl_TOPIC[TopicID], "")</f>
        <v>EFT1-1-02</v>
      </c>
      <c r="G401" s="22" cm="1">
        <f t="array" ref="G401">SUM((tbl_CONTENT[[#This Row],[TopicID]]=INDEX(tbl_CONTENT[TopicID],1):tbl_CONTENT[[#This Row],[TopicID]])*1)</f>
        <v>55</v>
      </c>
      <c r="H401" s="22" t="s">
        <v>598</v>
      </c>
      <c r="I401" s="22" t="s">
        <v>649</v>
      </c>
      <c r="J401" s="22" t="s">
        <v>153</v>
      </c>
      <c r="Q401" s="35">
        <f>IFERROR(
 (1.907*EXP(1)^(-0.5*tbl_CONTENT[[#This Row],[Layer]])) *
 ((tbl_CONTENT[[#This Row],[RelInt]]-1)^(2.5)*4^(1-2.5)+1) +
 ((tbl_CONTENT[[#This Row],[Comp]]-1)^(2.5)*4^(1-2.5)+1)*(0.5*((tbl_CONTENT[[#This Row],[RelInt]]-1)/4)^(2.5)+1),
 0
)</f>
        <v>0</v>
      </c>
      <c r="R401" s="35">
        <f>IFERROR(
 (1.907*EXP(1)^(-0.5*VALUE(tbl_CONTENT[[#This Row],[Layer]]))) *
 ((VALUE(tbl_CONTENT[[#This Row],[RelId]])-1)^(2.5)*4^(1-2.5)+1) +
 ((VALUE(tbl_CONTENT[[#This Row],[Comp]])-1)^(2.5)*4^(1-2.5)+1)*(0.5*((VALUE(tbl_CONTENT[[#This Row],[RelId]])-1)/4)^(2.5)+1),
 0
)</f>
        <v>0</v>
      </c>
    </row>
    <row r="402" spans="3:18" ht="34" x14ac:dyDescent="0.2">
      <c r="C402" s="22" t="str">
        <f>_xlfn.XLOOKUP(tbl_CONTENT[[#This Row],[TopicID]], tbl_TOPIC[TopicID], tbl_TOPIC[Subject], "")</f>
        <v>EFT1</v>
      </c>
      <c r="D402" s="22" t="str">
        <f xml:space="preserve"> tbl_CONTENT[[#This Row],[TopicID]] &amp; "-" &amp; TEXT(tbl_CONTENT[[#This Row],[TopicIDCount]], "00")</f>
        <v>EFT1-1-02-56</v>
      </c>
      <c r="F402" s="22" t="str">
        <f>_xlfn.XLOOKUP(tbl_CONTENT[[#This Row],[Topic]], tbl_TOPIC[Topic], tbl_TOPIC[TopicID], "")</f>
        <v>EFT1-1-02</v>
      </c>
      <c r="G402" s="22" cm="1">
        <f t="array" ref="G402">SUM((tbl_CONTENT[[#This Row],[TopicID]]=INDEX(tbl_CONTENT[TopicID],1):tbl_CONTENT[[#This Row],[TopicID]])*1)</f>
        <v>56</v>
      </c>
      <c r="H402" s="22" t="s">
        <v>598</v>
      </c>
      <c r="I402" s="22" t="s">
        <v>650</v>
      </c>
      <c r="J402" s="22" t="s">
        <v>148</v>
      </c>
      <c r="Q402" s="35">
        <f>IFERROR(
 (1.907*EXP(1)^(-0.5*tbl_CONTENT[[#This Row],[Layer]])) *
 ((tbl_CONTENT[[#This Row],[RelInt]]-1)^(2.5)*4^(1-2.5)+1) +
 ((tbl_CONTENT[[#This Row],[Comp]]-1)^(2.5)*4^(1-2.5)+1)*(0.5*((tbl_CONTENT[[#This Row],[RelInt]]-1)/4)^(2.5)+1),
 0
)</f>
        <v>0</v>
      </c>
      <c r="R402" s="35">
        <f>IFERROR(
 (1.907*EXP(1)^(-0.5*VALUE(tbl_CONTENT[[#This Row],[Layer]]))) *
 ((VALUE(tbl_CONTENT[[#This Row],[RelId]])-1)^(2.5)*4^(1-2.5)+1) +
 ((VALUE(tbl_CONTENT[[#This Row],[Comp]])-1)^(2.5)*4^(1-2.5)+1)*(0.5*((VALUE(tbl_CONTENT[[#This Row],[RelId]])-1)/4)^(2.5)+1),
 0
)</f>
        <v>0</v>
      </c>
    </row>
    <row r="403" spans="3:18" ht="51" x14ac:dyDescent="0.2">
      <c r="C403" s="22" t="str">
        <f>_xlfn.XLOOKUP(tbl_CONTENT[[#This Row],[TopicID]], tbl_TOPIC[TopicID], tbl_TOPIC[Subject], "")</f>
        <v>EFT1</v>
      </c>
      <c r="D403" s="22" t="str">
        <f xml:space="preserve"> tbl_CONTENT[[#This Row],[TopicID]] &amp; "-" &amp; TEXT(tbl_CONTENT[[#This Row],[TopicIDCount]], "00")</f>
        <v>EFT1-1-02-57</v>
      </c>
      <c r="F403" s="22" t="str">
        <f>_xlfn.XLOOKUP(tbl_CONTENT[[#This Row],[Topic]], tbl_TOPIC[Topic], tbl_TOPIC[TopicID], "")</f>
        <v>EFT1-1-02</v>
      </c>
      <c r="G403" s="22" cm="1">
        <f t="array" ref="G403">SUM((tbl_CONTENT[[#This Row],[TopicID]]=INDEX(tbl_CONTENT[TopicID],1):tbl_CONTENT[[#This Row],[TopicID]])*1)</f>
        <v>57</v>
      </c>
      <c r="H403" s="22" t="s">
        <v>598</v>
      </c>
      <c r="I403" s="22" t="s">
        <v>651</v>
      </c>
      <c r="J403" s="22" t="s">
        <v>148</v>
      </c>
      <c r="Q403" s="35">
        <f>IFERROR(
 (1.907*EXP(1)^(-0.5*tbl_CONTENT[[#This Row],[Layer]])) *
 ((tbl_CONTENT[[#This Row],[RelInt]]-1)^(2.5)*4^(1-2.5)+1) +
 ((tbl_CONTENT[[#This Row],[Comp]]-1)^(2.5)*4^(1-2.5)+1)*(0.5*((tbl_CONTENT[[#This Row],[RelInt]]-1)/4)^(2.5)+1),
 0
)</f>
        <v>0</v>
      </c>
      <c r="R403" s="35">
        <f>IFERROR(
 (1.907*EXP(1)^(-0.5*VALUE(tbl_CONTENT[[#This Row],[Layer]]))) *
 ((VALUE(tbl_CONTENT[[#This Row],[RelId]])-1)^(2.5)*4^(1-2.5)+1) +
 ((VALUE(tbl_CONTENT[[#This Row],[Comp]])-1)^(2.5)*4^(1-2.5)+1)*(0.5*((VALUE(tbl_CONTENT[[#This Row],[RelId]])-1)/4)^(2.5)+1),
 0
)</f>
        <v>0</v>
      </c>
    </row>
    <row r="404" spans="3:18" ht="34" x14ac:dyDescent="0.2">
      <c r="C404" s="22" t="str">
        <f>_xlfn.XLOOKUP(tbl_CONTENT[[#This Row],[TopicID]], tbl_TOPIC[TopicID], tbl_TOPIC[Subject], "")</f>
        <v>EFT1</v>
      </c>
      <c r="D404" s="22" t="str">
        <f xml:space="preserve"> tbl_CONTENT[[#This Row],[TopicID]] &amp; "-" &amp; TEXT(tbl_CONTENT[[#This Row],[TopicIDCount]], "00")</f>
        <v>EFT1-1-02-58</v>
      </c>
      <c r="F404" s="22" t="str">
        <f>_xlfn.XLOOKUP(tbl_CONTENT[[#This Row],[Topic]], tbl_TOPIC[Topic], tbl_TOPIC[TopicID], "")</f>
        <v>EFT1-1-02</v>
      </c>
      <c r="G404" s="22" cm="1">
        <f t="array" ref="G404">SUM((tbl_CONTENT[[#This Row],[TopicID]]=INDEX(tbl_CONTENT[TopicID],1):tbl_CONTENT[[#This Row],[TopicID]])*1)</f>
        <v>58</v>
      </c>
      <c r="H404" s="22" t="s">
        <v>598</v>
      </c>
      <c r="I404" s="22" t="s">
        <v>652</v>
      </c>
      <c r="J404" s="22" t="s">
        <v>148</v>
      </c>
      <c r="Q404" s="35">
        <f>IFERROR(
 (1.907*EXP(1)^(-0.5*tbl_CONTENT[[#This Row],[Layer]])) *
 ((tbl_CONTENT[[#This Row],[RelInt]]-1)^(2.5)*4^(1-2.5)+1) +
 ((tbl_CONTENT[[#This Row],[Comp]]-1)^(2.5)*4^(1-2.5)+1)*(0.5*((tbl_CONTENT[[#This Row],[RelInt]]-1)/4)^(2.5)+1),
 0
)</f>
        <v>0</v>
      </c>
      <c r="R404" s="35">
        <f>IFERROR(
 (1.907*EXP(1)^(-0.5*VALUE(tbl_CONTENT[[#This Row],[Layer]]))) *
 ((VALUE(tbl_CONTENT[[#This Row],[RelId]])-1)^(2.5)*4^(1-2.5)+1) +
 ((VALUE(tbl_CONTENT[[#This Row],[Comp]])-1)^(2.5)*4^(1-2.5)+1)*(0.5*((VALUE(tbl_CONTENT[[#This Row],[RelId]])-1)/4)^(2.5)+1),
 0
)</f>
        <v>0</v>
      </c>
    </row>
    <row r="405" spans="3:18" ht="34" x14ac:dyDescent="0.2">
      <c r="C405" s="22" t="str">
        <f>_xlfn.XLOOKUP(tbl_CONTENT[[#This Row],[TopicID]], tbl_TOPIC[TopicID], tbl_TOPIC[Subject], "")</f>
        <v>EFT1</v>
      </c>
      <c r="D405" s="22" t="str">
        <f xml:space="preserve"> tbl_CONTENT[[#This Row],[TopicID]] &amp; "-" &amp; TEXT(tbl_CONTENT[[#This Row],[TopicIDCount]], "00")</f>
        <v>EFT1-1-02-59</v>
      </c>
      <c r="F405" s="22" t="str">
        <f>_xlfn.XLOOKUP(tbl_CONTENT[[#This Row],[Topic]], tbl_TOPIC[Topic], tbl_TOPIC[TopicID], "")</f>
        <v>EFT1-1-02</v>
      </c>
      <c r="G405" s="22" cm="1">
        <f t="array" ref="G405">SUM((tbl_CONTENT[[#This Row],[TopicID]]=INDEX(tbl_CONTENT[TopicID],1):tbl_CONTENT[[#This Row],[TopicID]])*1)</f>
        <v>59</v>
      </c>
      <c r="H405" s="22" t="s">
        <v>598</v>
      </c>
      <c r="I405" s="22" t="s">
        <v>653</v>
      </c>
      <c r="J405" s="22" t="s">
        <v>148</v>
      </c>
      <c r="Q405" s="35">
        <f>IFERROR(
 (1.907*EXP(1)^(-0.5*tbl_CONTENT[[#This Row],[Layer]])) *
 ((tbl_CONTENT[[#This Row],[RelInt]]-1)^(2.5)*4^(1-2.5)+1) +
 ((tbl_CONTENT[[#This Row],[Comp]]-1)^(2.5)*4^(1-2.5)+1)*(0.5*((tbl_CONTENT[[#This Row],[RelInt]]-1)/4)^(2.5)+1),
 0
)</f>
        <v>0</v>
      </c>
      <c r="R405" s="35">
        <f>IFERROR(
 (1.907*EXP(1)^(-0.5*VALUE(tbl_CONTENT[[#This Row],[Layer]]))) *
 ((VALUE(tbl_CONTENT[[#This Row],[RelId]])-1)^(2.5)*4^(1-2.5)+1) +
 ((VALUE(tbl_CONTENT[[#This Row],[Comp]])-1)^(2.5)*4^(1-2.5)+1)*(0.5*((VALUE(tbl_CONTENT[[#This Row],[RelId]])-1)/4)^(2.5)+1),
 0
)</f>
        <v>0</v>
      </c>
    </row>
    <row r="406" spans="3:18" ht="17" x14ac:dyDescent="0.2">
      <c r="C406" s="22" t="str">
        <f>_xlfn.XLOOKUP(tbl_CONTENT[[#This Row],[TopicID]], tbl_TOPIC[TopicID], tbl_TOPIC[Subject], "")</f>
        <v>EFT1</v>
      </c>
      <c r="D406" s="22" t="str">
        <f xml:space="preserve"> tbl_CONTENT[[#This Row],[TopicID]] &amp; "-" &amp; TEXT(tbl_CONTENT[[#This Row],[TopicIDCount]], "00")</f>
        <v>EFT1-1-02-60</v>
      </c>
      <c r="F406" s="22" t="str">
        <f>_xlfn.XLOOKUP(tbl_CONTENT[[#This Row],[Topic]], tbl_TOPIC[Topic], tbl_TOPIC[TopicID], "")</f>
        <v>EFT1-1-02</v>
      </c>
      <c r="G406" s="22" cm="1">
        <f t="array" ref="G406">SUM((tbl_CONTENT[[#This Row],[TopicID]]=INDEX(tbl_CONTENT[TopicID],1):tbl_CONTENT[[#This Row],[TopicID]])*1)</f>
        <v>60</v>
      </c>
      <c r="H406" s="22" t="s">
        <v>598</v>
      </c>
      <c r="I406" s="22" t="s">
        <v>654</v>
      </c>
      <c r="J406" s="22" t="s">
        <v>148</v>
      </c>
      <c r="Q406" s="35">
        <f>IFERROR(
 (1.907*EXP(1)^(-0.5*tbl_CONTENT[[#This Row],[Layer]])) *
 ((tbl_CONTENT[[#This Row],[RelInt]]-1)^(2.5)*4^(1-2.5)+1) +
 ((tbl_CONTENT[[#This Row],[Comp]]-1)^(2.5)*4^(1-2.5)+1)*(0.5*((tbl_CONTENT[[#This Row],[RelInt]]-1)/4)^(2.5)+1),
 0
)</f>
        <v>0</v>
      </c>
      <c r="R406" s="35">
        <f>IFERROR(
 (1.907*EXP(1)^(-0.5*VALUE(tbl_CONTENT[[#This Row],[Layer]]))) *
 ((VALUE(tbl_CONTENT[[#This Row],[RelId]])-1)^(2.5)*4^(1-2.5)+1) +
 ((VALUE(tbl_CONTENT[[#This Row],[Comp]])-1)^(2.5)*4^(1-2.5)+1)*(0.5*((VALUE(tbl_CONTENT[[#This Row],[RelId]])-1)/4)^(2.5)+1),
 0
)</f>
        <v>0</v>
      </c>
    </row>
    <row r="407" spans="3:18" ht="68" x14ac:dyDescent="0.2">
      <c r="C407" s="22" t="str">
        <f>_xlfn.XLOOKUP(tbl_CONTENT[[#This Row],[TopicID]], tbl_TOPIC[TopicID], tbl_TOPIC[Subject], "")</f>
        <v>EFT1</v>
      </c>
      <c r="D407" s="22" t="str">
        <f xml:space="preserve"> tbl_CONTENT[[#This Row],[TopicID]] &amp; "-" &amp; TEXT(tbl_CONTENT[[#This Row],[TopicIDCount]], "00")</f>
        <v>EFT1-1-02-61</v>
      </c>
      <c r="F407" s="22" t="str">
        <f>_xlfn.XLOOKUP(tbl_CONTENT[[#This Row],[Topic]], tbl_TOPIC[Topic], tbl_TOPIC[TopicID], "")</f>
        <v>EFT1-1-02</v>
      </c>
      <c r="G407" s="22" cm="1">
        <f t="array" ref="G407">SUM((tbl_CONTENT[[#This Row],[TopicID]]=INDEX(tbl_CONTENT[TopicID],1):tbl_CONTENT[[#This Row],[TopicID]])*1)</f>
        <v>61</v>
      </c>
      <c r="H407" s="22" t="s">
        <v>598</v>
      </c>
      <c r="I407" s="22" t="s">
        <v>655</v>
      </c>
      <c r="J407" s="22" t="s">
        <v>152</v>
      </c>
      <c r="Q407" s="35">
        <f>IFERROR(
 (1.907*EXP(1)^(-0.5*tbl_CONTENT[[#This Row],[Layer]])) *
 ((tbl_CONTENT[[#This Row],[RelInt]]-1)^(2.5)*4^(1-2.5)+1) +
 ((tbl_CONTENT[[#This Row],[Comp]]-1)^(2.5)*4^(1-2.5)+1)*(0.5*((tbl_CONTENT[[#This Row],[RelInt]]-1)/4)^(2.5)+1),
 0
)</f>
        <v>0</v>
      </c>
      <c r="R407" s="35">
        <f>IFERROR(
 (1.907*EXP(1)^(-0.5*VALUE(tbl_CONTENT[[#This Row],[Layer]]))) *
 ((VALUE(tbl_CONTENT[[#This Row],[RelId]])-1)^(2.5)*4^(1-2.5)+1) +
 ((VALUE(tbl_CONTENT[[#This Row],[Comp]])-1)^(2.5)*4^(1-2.5)+1)*(0.5*((VALUE(tbl_CONTENT[[#This Row],[RelId]])-1)/4)^(2.5)+1),
 0
)</f>
        <v>0</v>
      </c>
    </row>
    <row r="408" spans="3:18" ht="34" x14ac:dyDescent="0.2">
      <c r="C408" s="22" t="str">
        <f>_xlfn.XLOOKUP(tbl_CONTENT[[#This Row],[TopicID]], tbl_TOPIC[TopicID], tbl_TOPIC[Subject], "")</f>
        <v>EFT1</v>
      </c>
      <c r="D408" s="22" t="str">
        <f xml:space="preserve"> tbl_CONTENT[[#This Row],[TopicID]] &amp; "-" &amp; TEXT(tbl_CONTENT[[#This Row],[TopicIDCount]], "00")</f>
        <v>EFT1-1-02-62</v>
      </c>
      <c r="F408" s="22" t="str">
        <f>_xlfn.XLOOKUP(tbl_CONTENT[[#This Row],[Topic]], tbl_TOPIC[Topic], tbl_TOPIC[TopicID], "")</f>
        <v>EFT1-1-02</v>
      </c>
      <c r="G408" s="22" cm="1">
        <f t="array" ref="G408">SUM((tbl_CONTENT[[#This Row],[TopicID]]=INDEX(tbl_CONTENT[TopicID],1):tbl_CONTENT[[#This Row],[TopicID]])*1)</f>
        <v>62</v>
      </c>
      <c r="H408" s="22" t="s">
        <v>598</v>
      </c>
      <c r="I408" s="22" t="s">
        <v>656</v>
      </c>
      <c r="J408" s="22" t="s">
        <v>149</v>
      </c>
      <c r="Q408" s="35">
        <f>IFERROR(
 (1.907*EXP(1)^(-0.5*tbl_CONTENT[[#This Row],[Layer]])) *
 ((tbl_CONTENT[[#This Row],[RelInt]]-1)^(2.5)*4^(1-2.5)+1) +
 ((tbl_CONTENT[[#This Row],[Comp]]-1)^(2.5)*4^(1-2.5)+1)*(0.5*((tbl_CONTENT[[#This Row],[RelInt]]-1)/4)^(2.5)+1),
 0
)</f>
        <v>0</v>
      </c>
      <c r="R408" s="35">
        <f>IFERROR(
 (1.907*EXP(1)^(-0.5*VALUE(tbl_CONTENT[[#This Row],[Layer]]))) *
 ((VALUE(tbl_CONTENT[[#This Row],[RelId]])-1)^(2.5)*4^(1-2.5)+1) +
 ((VALUE(tbl_CONTENT[[#This Row],[Comp]])-1)^(2.5)*4^(1-2.5)+1)*(0.5*((VALUE(tbl_CONTENT[[#This Row],[RelId]])-1)/4)^(2.5)+1),
 0
)</f>
        <v>0</v>
      </c>
    </row>
    <row r="409" spans="3:18" ht="51" x14ac:dyDescent="0.2">
      <c r="C409" s="22" t="str">
        <f>_xlfn.XLOOKUP(tbl_CONTENT[[#This Row],[TopicID]], tbl_TOPIC[TopicID], tbl_TOPIC[Subject], "")</f>
        <v>EFT1</v>
      </c>
      <c r="D409" s="22" t="str">
        <f xml:space="preserve"> tbl_CONTENT[[#This Row],[TopicID]] &amp; "-" &amp; TEXT(tbl_CONTENT[[#This Row],[TopicIDCount]], "00")</f>
        <v>EFT1-1-02-63</v>
      </c>
      <c r="F409" s="22" t="str">
        <f>_xlfn.XLOOKUP(tbl_CONTENT[[#This Row],[Topic]], tbl_TOPIC[Topic], tbl_TOPIC[TopicID], "")</f>
        <v>EFT1-1-02</v>
      </c>
      <c r="G409" s="22" cm="1">
        <f t="array" ref="G409">SUM((tbl_CONTENT[[#This Row],[TopicID]]=INDEX(tbl_CONTENT[TopicID],1):tbl_CONTENT[[#This Row],[TopicID]])*1)</f>
        <v>63</v>
      </c>
      <c r="H409" s="22" t="s">
        <v>598</v>
      </c>
      <c r="I409" s="22" t="s">
        <v>657</v>
      </c>
      <c r="J409" s="22" t="s">
        <v>153</v>
      </c>
      <c r="Q409" s="35">
        <f>IFERROR(
 (1.907*EXP(1)^(-0.5*tbl_CONTENT[[#This Row],[Layer]])) *
 ((tbl_CONTENT[[#This Row],[RelInt]]-1)^(2.5)*4^(1-2.5)+1) +
 ((tbl_CONTENT[[#This Row],[Comp]]-1)^(2.5)*4^(1-2.5)+1)*(0.5*((tbl_CONTENT[[#This Row],[RelInt]]-1)/4)^(2.5)+1),
 0
)</f>
        <v>0</v>
      </c>
      <c r="R409" s="35">
        <f>IFERROR(
 (1.907*EXP(1)^(-0.5*VALUE(tbl_CONTENT[[#This Row],[Layer]]))) *
 ((VALUE(tbl_CONTENT[[#This Row],[RelId]])-1)^(2.5)*4^(1-2.5)+1) +
 ((VALUE(tbl_CONTENT[[#This Row],[Comp]])-1)^(2.5)*4^(1-2.5)+1)*(0.5*((VALUE(tbl_CONTENT[[#This Row],[RelId]])-1)/4)^(2.5)+1),
 0
)</f>
        <v>0</v>
      </c>
    </row>
    <row r="410" spans="3:18" ht="17" x14ac:dyDescent="0.2">
      <c r="C410" s="22" t="str">
        <f>_xlfn.XLOOKUP(tbl_CONTENT[[#This Row],[TopicID]], tbl_TOPIC[TopicID], tbl_TOPIC[Subject], "")</f>
        <v>EFT1</v>
      </c>
      <c r="D410" s="22" t="str">
        <f xml:space="preserve"> tbl_CONTENT[[#This Row],[TopicID]] &amp; "-" &amp; TEXT(tbl_CONTENT[[#This Row],[TopicIDCount]], "00")</f>
        <v>EFT1-1-02-64</v>
      </c>
      <c r="F410" s="22" t="str">
        <f>_xlfn.XLOOKUP(tbl_CONTENT[[#This Row],[Topic]], tbl_TOPIC[Topic], tbl_TOPIC[TopicID], "")</f>
        <v>EFT1-1-02</v>
      </c>
      <c r="G410" s="22" cm="1">
        <f t="array" ref="G410">SUM((tbl_CONTENT[[#This Row],[TopicID]]=INDEX(tbl_CONTENT[TopicID],1):tbl_CONTENT[[#This Row],[TopicID]])*1)</f>
        <v>64</v>
      </c>
      <c r="H410" s="22" t="s">
        <v>598</v>
      </c>
      <c r="I410" s="22" t="s">
        <v>658</v>
      </c>
      <c r="J410" s="22" t="s">
        <v>181</v>
      </c>
      <c r="Q410" s="35">
        <f>IFERROR(
 (1.907*EXP(1)^(-0.5*tbl_CONTENT[[#This Row],[Layer]])) *
 ((tbl_CONTENT[[#This Row],[RelInt]]-1)^(2.5)*4^(1-2.5)+1) +
 ((tbl_CONTENT[[#This Row],[Comp]]-1)^(2.5)*4^(1-2.5)+1)*(0.5*((tbl_CONTENT[[#This Row],[RelInt]]-1)/4)^(2.5)+1),
 0
)</f>
        <v>0</v>
      </c>
      <c r="R410" s="35">
        <f>IFERROR(
 (1.907*EXP(1)^(-0.5*VALUE(tbl_CONTENT[[#This Row],[Layer]]))) *
 ((VALUE(tbl_CONTENT[[#This Row],[RelId]])-1)^(2.5)*4^(1-2.5)+1) +
 ((VALUE(tbl_CONTENT[[#This Row],[Comp]])-1)^(2.5)*4^(1-2.5)+1)*(0.5*((VALUE(tbl_CONTENT[[#This Row],[RelId]])-1)/4)^(2.5)+1),
 0
)</f>
        <v>0</v>
      </c>
    </row>
    <row r="411" spans="3:18" ht="85" x14ac:dyDescent="0.2">
      <c r="C411" s="22" t="str">
        <f>_xlfn.XLOOKUP(tbl_CONTENT[[#This Row],[TopicID]], tbl_TOPIC[TopicID], tbl_TOPIC[Subject], "")</f>
        <v>EFT1</v>
      </c>
      <c r="D411" s="22" t="str">
        <f xml:space="preserve"> tbl_CONTENT[[#This Row],[TopicID]] &amp; "-" &amp; TEXT(tbl_CONTENT[[#This Row],[TopicIDCount]], "00")</f>
        <v>EFT1-1-02-65</v>
      </c>
      <c r="F411" s="22" t="str">
        <f>_xlfn.XLOOKUP(tbl_CONTENT[[#This Row],[Topic]], tbl_TOPIC[Topic], tbl_TOPIC[TopicID], "")</f>
        <v>EFT1-1-02</v>
      </c>
      <c r="G411" s="22" cm="1">
        <f t="array" ref="G411">SUM((tbl_CONTENT[[#This Row],[TopicID]]=INDEX(tbl_CONTENT[TopicID],1):tbl_CONTENT[[#This Row],[TopicID]])*1)</f>
        <v>65</v>
      </c>
      <c r="H411" s="22" t="s">
        <v>598</v>
      </c>
      <c r="I411" s="22" t="s">
        <v>659</v>
      </c>
      <c r="J411" s="22" t="s">
        <v>152</v>
      </c>
      <c r="Q411" s="35">
        <f>IFERROR(
 (1.907*EXP(1)^(-0.5*tbl_CONTENT[[#This Row],[Layer]])) *
 ((tbl_CONTENT[[#This Row],[RelInt]]-1)^(2.5)*4^(1-2.5)+1) +
 ((tbl_CONTENT[[#This Row],[Comp]]-1)^(2.5)*4^(1-2.5)+1)*(0.5*((tbl_CONTENT[[#This Row],[RelInt]]-1)/4)^(2.5)+1),
 0
)</f>
        <v>0</v>
      </c>
      <c r="R411" s="35">
        <f>IFERROR(
 (1.907*EXP(1)^(-0.5*VALUE(tbl_CONTENT[[#This Row],[Layer]]))) *
 ((VALUE(tbl_CONTENT[[#This Row],[RelId]])-1)^(2.5)*4^(1-2.5)+1) +
 ((VALUE(tbl_CONTENT[[#This Row],[Comp]])-1)^(2.5)*4^(1-2.5)+1)*(0.5*((VALUE(tbl_CONTENT[[#This Row],[RelId]])-1)/4)^(2.5)+1),
 0
)</f>
        <v>0</v>
      </c>
    </row>
    <row r="412" spans="3:18" ht="17" x14ac:dyDescent="0.2">
      <c r="C412" s="22" t="str">
        <f>_xlfn.XLOOKUP(tbl_CONTENT[[#This Row],[TopicID]], tbl_TOPIC[TopicID], tbl_TOPIC[Subject], "")</f>
        <v>QM</v>
      </c>
      <c r="D412" s="22" t="str">
        <f xml:space="preserve"> tbl_CONTENT[[#This Row],[TopicID]] &amp; "-" &amp; TEXT(tbl_CONTENT[[#This Row],[TopicIDCount]], "00")</f>
        <v>QM-1-13-01</v>
      </c>
      <c r="F412" s="22" t="str">
        <f>_xlfn.XLOOKUP(tbl_CONTENT[[#This Row],[Topic]], tbl_TOPIC[Topic], tbl_TOPIC[TopicID], "")</f>
        <v>QM-1-13</v>
      </c>
      <c r="G412" s="22" cm="1">
        <f t="array" ref="G412">SUM((tbl_CONTENT[[#This Row],[TopicID]]=INDEX(tbl_CONTENT[TopicID],1):tbl_CONTENT[[#This Row],[TopicID]])*1)</f>
        <v>1</v>
      </c>
      <c r="H412" s="22" t="s">
        <v>376</v>
      </c>
      <c r="I412" s="22" t="s">
        <v>660</v>
      </c>
      <c r="J412" s="22" t="s">
        <v>153</v>
      </c>
      <c r="Q412" s="35">
        <f>IFERROR(
 (1.907*EXP(1)^(-0.5*tbl_CONTENT[[#This Row],[Layer]])) *
 ((tbl_CONTENT[[#This Row],[RelInt]]-1)^(2.5)*4^(1-2.5)+1) +
 ((tbl_CONTENT[[#This Row],[Comp]]-1)^(2.5)*4^(1-2.5)+1)*(0.5*((tbl_CONTENT[[#This Row],[RelInt]]-1)/4)^(2.5)+1),
 0
)</f>
        <v>0</v>
      </c>
      <c r="R412" s="35">
        <f>IFERROR(
 (1.907*EXP(1)^(-0.5*VALUE(tbl_CONTENT[[#This Row],[Layer]]))) *
 ((VALUE(tbl_CONTENT[[#This Row],[RelId]])-1)^(2.5)*4^(1-2.5)+1) +
 ((VALUE(tbl_CONTENT[[#This Row],[Comp]])-1)^(2.5)*4^(1-2.5)+1)*(0.5*((VALUE(tbl_CONTENT[[#This Row],[RelId]])-1)/4)^(2.5)+1),
 0
)</f>
        <v>0</v>
      </c>
    </row>
    <row r="413" spans="3:18" ht="17" x14ac:dyDescent="0.2">
      <c r="C413" s="22" t="str">
        <f>_xlfn.XLOOKUP(tbl_CONTENT[[#This Row],[TopicID]], tbl_TOPIC[TopicID], tbl_TOPIC[Subject], "")</f>
        <v>QM</v>
      </c>
      <c r="D413" s="22" t="str">
        <f xml:space="preserve"> tbl_CONTENT[[#This Row],[TopicID]] &amp; "-" &amp; TEXT(tbl_CONTENT[[#This Row],[TopicIDCount]], "00")</f>
        <v>QM-1-13-02</v>
      </c>
      <c r="F413" s="22" t="str">
        <f>_xlfn.XLOOKUP(tbl_CONTENT[[#This Row],[Topic]], tbl_TOPIC[Topic], tbl_TOPIC[TopicID], "")</f>
        <v>QM-1-13</v>
      </c>
      <c r="G413" s="22" cm="1">
        <f t="array" ref="G413">SUM((tbl_CONTENT[[#This Row],[TopicID]]=INDEX(tbl_CONTENT[TopicID],1):tbl_CONTENT[[#This Row],[TopicID]])*1)</f>
        <v>2</v>
      </c>
      <c r="H413" s="22" t="s">
        <v>376</v>
      </c>
      <c r="I413" s="22" t="s">
        <v>906</v>
      </c>
      <c r="J413" s="22" t="s">
        <v>382</v>
      </c>
      <c r="K413" s="22">
        <v>1</v>
      </c>
      <c r="Q413" s="35">
        <f>IFERROR(
 (1.907*EXP(1)^(-0.5*tbl_CONTENT[[#This Row],[Layer]])) *
 ((tbl_CONTENT[[#This Row],[RelInt]]-1)^(2.5)*4^(1-2.5)+1) +
 ((tbl_CONTENT[[#This Row],[Comp]]-1)^(2.5)*4^(1-2.5)+1)*(0.5*((tbl_CONTENT[[#This Row],[RelInt]]-1)/4)^(2.5)+1),
 0
)</f>
        <v>0</v>
      </c>
      <c r="R413" s="35">
        <f>IFERROR(
 (1.907*EXP(1)^(-0.5*VALUE(tbl_CONTENT[[#This Row],[Layer]]))) *
 ((VALUE(tbl_CONTENT[[#This Row],[RelId]])-1)^(2.5)*4^(1-2.5)+1) +
 ((VALUE(tbl_CONTENT[[#This Row],[Comp]])-1)^(2.5)*4^(1-2.5)+1)*(0.5*((VALUE(tbl_CONTENT[[#This Row],[RelId]])-1)/4)^(2.5)+1),
 0
)</f>
        <v>0</v>
      </c>
    </row>
    <row r="414" spans="3:18" ht="34" x14ac:dyDescent="0.2">
      <c r="C414" s="22" t="str">
        <f>_xlfn.XLOOKUP(tbl_CONTENT[[#This Row],[TopicID]], tbl_TOPIC[TopicID], tbl_TOPIC[Subject], "")</f>
        <v>QM</v>
      </c>
      <c r="D414" s="22" t="str">
        <f xml:space="preserve"> tbl_CONTENT[[#This Row],[TopicID]] &amp; "-" &amp; TEXT(tbl_CONTENT[[#This Row],[TopicIDCount]], "00")</f>
        <v>QM-1-13-03</v>
      </c>
      <c r="F414" s="22" t="str">
        <f>_xlfn.XLOOKUP(tbl_CONTENT[[#This Row],[Topic]], tbl_TOPIC[Topic], tbl_TOPIC[TopicID], "")</f>
        <v>QM-1-13</v>
      </c>
      <c r="G414" s="22" cm="1">
        <f t="array" ref="G414">SUM((tbl_CONTENT[[#This Row],[TopicID]]=INDEX(tbl_CONTENT[TopicID],1):tbl_CONTENT[[#This Row],[TopicID]])*1)</f>
        <v>3</v>
      </c>
      <c r="H414" s="22" t="s">
        <v>376</v>
      </c>
      <c r="I414" s="22" t="s">
        <v>662</v>
      </c>
      <c r="J414" s="22" t="s">
        <v>382</v>
      </c>
      <c r="K414" s="22">
        <v>1</v>
      </c>
      <c r="Q414" s="35">
        <f>IFERROR(
 (1.907*EXP(1)^(-0.5*tbl_CONTENT[[#This Row],[Layer]])) *
 ((tbl_CONTENT[[#This Row],[RelInt]]-1)^(2.5)*4^(1-2.5)+1) +
 ((tbl_CONTENT[[#This Row],[Comp]]-1)^(2.5)*4^(1-2.5)+1)*(0.5*((tbl_CONTENT[[#This Row],[RelInt]]-1)/4)^(2.5)+1),
 0
)</f>
        <v>0</v>
      </c>
      <c r="R414" s="35">
        <f>IFERROR(
 (1.907*EXP(1)^(-0.5*VALUE(tbl_CONTENT[[#This Row],[Layer]]))) *
 ((VALUE(tbl_CONTENT[[#This Row],[RelId]])-1)^(2.5)*4^(1-2.5)+1) +
 ((VALUE(tbl_CONTENT[[#This Row],[Comp]])-1)^(2.5)*4^(1-2.5)+1)*(0.5*((VALUE(tbl_CONTENT[[#This Row],[RelId]])-1)/4)^(2.5)+1),
 0
)</f>
        <v>0</v>
      </c>
    </row>
    <row r="415" spans="3:18" ht="34" x14ac:dyDescent="0.2">
      <c r="C415" s="22" t="str">
        <f>_xlfn.XLOOKUP(tbl_CONTENT[[#This Row],[TopicID]], tbl_TOPIC[TopicID], tbl_TOPIC[Subject], "")</f>
        <v>QM</v>
      </c>
      <c r="D415" s="22" t="str">
        <f xml:space="preserve"> tbl_CONTENT[[#This Row],[TopicID]] &amp; "-" &amp; TEXT(tbl_CONTENT[[#This Row],[TopicIDCount]], "00")</f>
        <v>QM-1-13-04</v>
      </c>
      <c r="F415" s="22" t="str">
        <f>_xlfn.XLOOKUP(tbl_CONTENT[[#This Row],[Topic]], tbl_TOPIC[Topic], tbl_TOPIC[TopicID], "")</f>
        <v>QM-1-13</v>
      </c>
      <c r="G415" s="22" cm="1">
        <f t="array" ref="G415">SUM((tbl_CONTENT[[#This Row],[TopicID]]=INDEX(tbl_CONTENT[TopicID],1):tbl_CONTENT[[#This Row],[TopicID]])*1)</f>
        <v>4</v>
      </c>
      <c r="H415" s="22" t="s">
        <v>376</v>
      </c>
      <c r="I415" s="22" t="s">
        <v>661</v>
      </c>
      <c r="J415" s="22" t="s">
        <v>382</v>
      </c>
      <c r="K415" s="22">
        <v>1</v>
      </c>
      <c r="Q415" s="35">
        <f>IFERROR(
 (1.907*EXP(1)^(-0.5*tbl_CONTENT[[#This Row],[Layer]])) *
 ((tbl_CONTENT[[#This Row],[RelInt]]-1)^(2.5)*4^(1-2.5)+1) +
 ((tbl_CONTENT[[#This Row],[Comp]]-1)^(2.5)*4^(1-2.5)+1)*(0.5*((tbl_CONTENT[[#This Row],[RelInt]]-1)/4)^(2.5)+1),
 0
)</f>
        <v>0</v>
      </c>
      <c r="R415" s="35">
        <f>IFERROR(
 (1.907*EXP(1)^(-0.5*VALUE(tbl_CONTENT[[#This Row],[Layer]]))) *
 ((VALUE(tbl_CONTENT[[#This Row],[RelId]])-1)^(2.5)*4^(1-2.5)+1) +
 ((VALUE(tbl_CONTENT[[#This Row],[Comp]])-1)^(2.5)*4^(1-2.5)+1)*(0.5*((VALUE(tbl_CONTENT[[#This Row],[RelId]])-1)/4)^(2.5)+1),
 0
)</f>
        <v>0</v>
      </c>
    </row>
    <row r="416" spans="3:18" ht="17" x14ac:dyDescent="0.2">
      <c r="C416" s="22" t="str">
        <f>_xlfn.XLOOKUP(tbl_CONTENT[[#This Row],[TopicID]], tbl_TOPIC[TopicID], tbl_TOPIC[Subject], "")</f>
        <v>QM</v>
      </c>
      <c r="D416" s="22" t="str">
        <f xml:space="preserve"> tbl_CONTENT[[#This Row],[TopicID]] &amp; "-" &amp; TEXT(tbl_CONTENT[[#This Row],[TopicIDCount]], "00")</f>
        <v>QM-1-13-05</v>
      </c>
      <c r="F416" s="22" t="str">
        <f>_xlfn.XLOOKUP(tbl_CONTENT[[#This Row],[Topic]], tbl_TOPIC[Topic], tbl_TOPIC[TopicID], "")</f>
        <v>QM-1-13</v>
      </c>
      <c r="G416" s="22" cm="1">
        <f t="array" ref="G416">SUM((tbl_CONTENT[[#This Row],[TopicID]]=INDEX(tbl_CONTENT[TopicID],1):tbl_CONTENT[[#This Row],[TopicID]])*1)</f>
        <v>5</v>
      </c>
      <c r="H416" s="22" t="s">
        <v>376</v>
      </c>
      <c r="I416" s="22" t="s">
        <v>663</v>
      </c>
      <c r="J416" s="22" t="s">
        <v>148</v>
      </c>
      <c r="K416" s="22">
        <v>1</v>
      </c>
      <c r="Q416" s="35">
        <f>IFERROR(
 (1.907*EXP(1)^(-0.5*tbl_CONTENT[[#This Row],[Layer]])) *
 ((tbl_CONTENT[[#This Row],[RelInt]]-1)^(2.5)*4^(1-2.5)+1) +
 ((tbl_CONTENT[[#This Row],[Comp]]-1)^(2.5)*4^(1-2.5)+1)*(0.5*((tbl_CONTENT[[#This Row],[RelInt]]-1)/4)^(2.5)+1),
 0
)</f>
        <v>0</v>
      </c>
      <c r="R416" s="35">
        <f>IFERROR(
 (1.907*EXP(1)^(-0.5*VALUE(tbl_CONTENT[[#This Row],[Layer]]))) *
 ((VALUE(tbl_CONTENT[[#This Row],[RelId]])-1)^(2.5)*4^(1-2.5)+1) +
 ((VALUE(tbl_CONTENT[[#This Row],[Comp]])-1)^(2.5)*4^(1-2.5)+1)*(0.5*((VALUE(tbl_CONTENT[[#This Row],[RelId]])-1)/4)^(2.5)+1),
 0
)</f>
        <v>0</v>
      </c>
    </row>
    <row r="417" spans="3:20" ht="34" x14ac:dyDescent="0.2">
      <c r="C417" s="22" t="str">
        <f>_xlfn.XLOOKUP(tbl_CONTENT[[#This Row],[TopicID]], tbl_TOPIC[TopicID], tbl_TOPIC[Subject], "")</f>
        <v>QM</v>
      </c>
      <c r="D417" s="22" t="str">
        <f xml:space="preserve"> tbl_CONTENT[[#This Row],[TopicID]] &amp; "-" &amp; TEXT(tbl_CONTENT[[#This Row],[TopicIDCount]], "00")</f>
        <v>QM-1-13-06</v>
      </c>
      <c r="F417" s="22" t="str">
        <f>_xlfn.XLOOKUP(tbl_CONTENT[[#This Row],[Topic]], tbl_TOPIC[Topic], tbl_TOPIC[TopicID], "")</f>
        <v>QM-1-13</v>
      </c>
      <c r="G417" s="22" cm="1">
        <f t="array" ref="G417">SUM((tbl_CONTENT[[#This Row],[TopicID]]=INDEX(tbl_CONTENT[TopicID],1):tbl_CONTENT[[#This Row],[TopicID]])*1)</f>
        <v>6</v>
      </c>
      <c r="H417" s="22" t="s">
        <v>376</v>
      </c>
      <c r="I417" s="22" t="s">
        <v>664</v>
      </c>
      <c r="J417" s="22" t="s">
        <v>153</v>
      </c>
      <c r="K417" s="22">
        <v>1</v>
      </c>
      <c r="Q417" s="35">
        <f>IFERROR(
 (1.907*EXP(1)^(-0.5*tbl_CONTENT[[#This Row],[Layer]])) *
 ((tbl_CONTENT[[#This Row],[RelInt]]-1)^(2.5)*4^(1-2.5)+1) +
 ((tbl_CONTENT[[#This Row],[Comp]]-1)^(2.5)*4^(1-2.5)+1)*(0.5*((tbl_CONTENT[[#This Row],[RelInt]]-1)/4)^(2.5)+1),
 0
)</f>
        <v>0</v>
      </c>
      <c r="R417" s="35">
        <f>IFERROR(
 (1.907*EXP(1)^(-0.5*VALUE(tbl_CONTENT[[#This Row],[Layer]]))) *
 ((VALUE(tbl_CONTENT[[#This Row],[RelId]])-1)^(2.5)*4^(1-2.5)+1) +
 ((VALUE(tbl_CONTENT[[#This Row],[Comp]])-1)^(2.5)*4^(1-2.5)+1)*(0.5*((VALUE(tbl_CONTENT[[#This Row],[RelId]])-1)/4)^(2.5)+1),
 0
)</f>
        <v>0</v>
      </c>
    </row>
    <row r="418" spans="3:20" ht="17" x14ac:dyDescent="0.2">
      <c r="C418" s="22" t="str">
        <f>_xlfn.XLOOKUP(tbl_CONTENT[[#This Row],[TopicID]], tbl_TOPIC[TopicID], tbl_TOPIC[Subject], "")</f>
        <v>QM</v>
      </c>
      <c r="D418" s="22" t="str">
        <f xml:space="preserve"> tbl_CONTENT[[#This Row],[TopicID]] &amp; "-" &amp; TEXT(tbl_CONTENT[[#This Row],[TopicIDCount]], "00")</f>
        <v>QM-1-13-07</v>
      </c>
      <c r="F418" s="22" t="str">
        <f>_xlfn.XLOOKUP(tbl_CONTENT[[#This Row],[Topic]], tbl_TOPIC[Topic], tbl_TOPIC[TopicID], "")</f>
        <v>QM-1-13</v>
      </c>
      <c r="G418" s="22" cm="1">
        <f t="array" ref="G418">SUM((tbl_CONTENT[[#This Row],[TopicID]]=INDEX(tbl_CONTENT[TopicID],1):tbl_CONTENT[[#This Row],[TopicID]])*1)</f>
        <v>7</v>
      </c>
      <c r="H418" s="22" t="s">
        <v>376</v>
      </c>
      <c r="I418" s="22" t="s">
        <v>665</v>
      </c>
      <c r="J418" s="22" t="s">
        <v>382</v>
      </c>
      <c r="K418" s="22">
        <v>1</v>
      </c>
      <c r="Q418" s="35">
        <f>IFERROR(
 (1.907*EXP(1)^(-0.5*tbl_CONTENT[[#This Row],[Layer]])) *
 ((tbl_CONTENT[[#This Row],[RelInt]]-1)^(2.5)*4^(1-2.5)+1) +
 ((tbl_CONTENT[[#This Row],[Comp]]-1)^(2.5)*4^(1-2.5)+1)*(0.5*((tbl_CONTENT[[#This Row],[RelInt]]-1)/4)^(2.5)+1),
 0
)</f>
        <v>0</v>
      </c>
      <c r="R418" s="35">
        <f>IFERROR(
 (1.907*EXP(1)^(-0.5*VALUE(tbl_CONTENT[[#This Row],[Layer]]))) *
 ((VALUE(tbl_CONTENT[[#This Row],[RelId]])-1)^(2.5)*4^(1-2.5)+1) +
 ((VALUE(tbl_CONTENT[[#This Row],[Comp]])-1)^(2.5)*4^(1-2.5)+1)*(0.5*((VALUE(tbl_CONTENT[[#This Row],[RelId]])-1)/4)^(2.5)+1),
 0
)</f>
        <v>0</v>
      </c>
    </row>
    <row r="419" spans="3:20" ht="17" x14ac:dyDescent="0.2">
      <c r="C419" s="22" t="str">
        <f>_xlfn.XLOOKUP(tbl_CONTENT[[#This Row],[TopicID]], tbl_TOPIC[TopicID], tbl_TOPIC[Subject], "")</f>
        <v>QM</v>
      </c>
      <c r="D419" s="22" t="str">
        <f xml:space="preserve"> tbl_CONTENT[[#This Row],[TopicID]] &amp; "-" &amp; TEXT(tbl_CONTENT[[#This Row],[TopicIDCount]], "00")</f>
        <v>QM-1-14-01</v>
      </c>
      <c r="F419" s="22" t="str">
        <f>_xlfn.XLOOKUP(tbl_CONTENT[[#This Row],[Topic]], tbl_TOPIC[Topic], tbl_TOPIC[TopicID], "")</f>
        <v>QM-1-14</v>
      </c>
      <c r="G419" s="22" cm="1">
        <f t="array" ref="G419">SUM((tbl_CONTENT[[#This Row],[TopicID]]=INDEX(tbl_CONTENT[TopicID],1):tbl_CONTENT[[#This Row],[TopicID]])*1)</f>
        <v>1</v>
      </c>
      <c r="H419" s="22" t="s">
        <v>377</v>
      </c>
      <c r="I419" s="22" t="s">
        <v>666</v>
      </c>
      <c r="J419" s="22" t="s">
        <v>382</v>
      </c>
      <c r="K419" s="22">
        <v>1</v>
      </c>
      <c r="Q419" s="35">
        <f>IFERROR(
 (1.907*EXP(1)^(-0.5*tbl_CONTENT[[#This Row],[Layer]])) *
 ((tbl_CONTENT[[#This Row],[RelInt]]-1)^(2.5)*4^(1-2.5)+1) +
 ((tbl_CONTENT[[#This Row],[Comp]]-1)^(2.5)*4^(1-2.5)+1)*(0.5*((tbl_CONTENT[[#This Row],[RelInt]]-1)/4)^(2.5)+1),
 0
)</f>
        <v>0</v>
      </c>
      <c r="R419" s="35">
        <f>IFERROR(
 (1.907*EXP(1)^(-0.5*VALUE(tbl_CONTENT[[#This Row],[Layer]]))) *
 ((VALUE(tbl_CONTENT[[#This Row],[RelId]])-1)^(2.5)*4^(1-2.5)+1) +
 ((VALUE(tbl_CONTENT[[#This Row],[Comp]])-1)^(2.5)*4^(1-2.5)+1)*(0.5*((VALUE(tbl_CONTENT[[#This Row],[RelId]])-1)/4)^(2.5)+1),
 0
)</f>
        <v>0</v>
      </c>
      <c r="T419" s="22" t="s">
        <v>667</v>
      </c>
    </row>
    <row r="420" spans="3:20" ht="34" x14ac:dyDescent="0.2">
      <c r="C420" s="22" t="str">
        <f>_xlfn.XLOOKUP(tbl_CONTENT[[#This Row],[TopicID]], tbl_TOPIC[TopicID], tbl_TOPIC[Subject], "")</f>
        <v>QM</v>
      </c>
      <c r="D420" s="22" t="str">
        <f xml:space="preserve"> tbl_CONTENT[[#This Row],[TopicID]] &amp; "-" &amp; TEXT(tbl_CONTENT[[#This Row],[TopicIDCount]], "00")</f>
        <v>QM-1-14-02</v>
      </c>
      <c r="F420" s="22" t="str">
        <f>_xlfn.XLOOKUP(tbl_CONTENT[[#This Row],[Topic]], tbl_TOPIC[Topic], tbl_TOPIC[TopicID], "")</f>
        <v>QM-1-14</v>
      </c>
      <c r="G420" s="22" cm="1">
        <f t="array" ref="G420">SUM((tbl_CONTENT[[#This Row],[TopicID]]=INDEX(tbl_CONTENT[TopicID],1):tbl_CONTENT[[#This Row],[TopicID]])*1)</f>
        <v>2</v>
      </c>
      <c r="H420" s="22" t="s">
        <v>377</v>
      </c>
      <c r="I420" s="22" t="s">
        <v>668</v>
      </c>
      <c r="J420" s="22" t="s">
        <v>382</v>
      </c>
      <c r="K420" s="22">
        <v>1</v>
      </c>
      <c r="Q420" s="35">
        <f>IFERROR(
 (1.907*EXP(1)^(-0.5*tbl_CONTENT[[#This Row],[Layer]])) *
 ((tbl_CONTENT[[#This Row],[RelInt]]-1)^(2.5)*4^(1-2.5)+1) +
 ((tbl_CONTENT[[#This Row],[Comp]]-1)^(2.5)*4^(1-2.5)+1)*(0.5*((tbl_CONTENT[[#This Row],[RelInt]]-1)/4)^(2.5)+1),
 0
)</f>
        <v>0</v>
      </c>
      <c r="R420" s="35">
        <f>IFERROR(
 (1.907*EXP(1)^(-0.5*VALUE(tbl_CONTENT[[#This Row],[Layer]]))) *
 ((VALUE(tbl_CONTENT[[#This Row],[RelId]])-1)^(2.5)*4^(1-2.5)+1) +
 ((VALUE(tbl_CONTENT[[#This Row],[Comp]])-1)^(2.5)*4^(1-2.5)+1)*(0.5*((VALUE(tbl_CONTENT[[#This Row],[RelId]])-1)/4)^(2.5)+1),
 0
)</f>
        <v>0</v>
      </c>
    </row>
    <row r="421" spans="3:20" ht="17" x14ac:dyDescent="0.2">
      <c r="C421" s="22" t="str">
        <f>_xlfn.XLOOKUP(tbl_CONTENT[[#This Row],[TopicID]], tbl_TOPIC[TopicID], tbl_TOPIC[Subject], "")</f>
        <v>QM</v>
      </c>
      <c r="D421" s="22" t="str">
        <f xml:space="preserve"> tbl_CONTENT[[#This Row],[TopicID]] &amp; "-" &amp; TEXT(tbl_CONTENT[[#This Row],[TopicIDCount]], "00")</f>
        <v>QM-1-14-03</v>
      </c>
      <c r="F421" s="22" t="str">
        <f>_xlfn.XLOOKUP(tbl_CONTENT[[#This Row],[Topic]], tbl_TOPIC[Topic], tbl_TOPIC[TopicID], "")</f>
        <v>QM-1-14</v>
      </c>
      <c r="G421" s="22" cm="1">
        <f t="array" ref="G421">SUM((tbl_CONTENT[[#This Row],[TopicID]]=INDEX(tbl_CONTENT[TopicID],1):tbl_CONTENT[[#This Row],[TopicID]])*1)</f>
        <v>3</v>
      </c>
      <c r="H421" s="22" t="s">
        <v>377</v>
      </c>
      <c r="I421" s="22" t="s">
        <v>669</v>
      </c>
      <c r="J421" s="22" t="s">
        <v>382</v>
      </c>
      <c r="K421" s="22">
        <v>1</v>
      </c>
      <c r="Q421" s="35">
        <f>IFERROR(
 (1.907*EXP(1)^(-0.5*tbl_CONTENT[[#This Row],[Layer]])) *
 ((tbl_CONTENT[[#This Row],[RelInt]]-1)^(2.5)*4^(1-2.5)+1) +
 ((tbl_CONTENT[[#This Row],[Comp]]-1)^(2.5)*4^(1-2.5)+1)*(0.5*((tbl_CONTENT[[#This Row],[RelInt]]-1)/4)^(2.5)+1),
 0
)</f>
        <v>0</v>
      </c>
      <c r="R421" s="35">
        <f>IFERROR(
 (1.907*EXP(1)^(-0.5*VALUE(tbl_CONTENT[[#This Row],[Layer]]))) *
 ((VALUE(tbl_CONTENT[[#This Row],[RelId]])-1)^(2.5)*4^(1-2.5)+1) +
 ((VALUE(tbl_CONTENT[[#This Row],[Comp]])-1)^(2.5)*4^(1-2.5)+1)*(0.5*((VALUE(tbl_CONTENT[[#This Row],[RelId]])-1)/4)^(2.5)+1),
 0
)</f>
        <v>0</v>
      </c>
    </row>
    <row r="422" spans="3:20" ht="34" x14ac:dyDescent="0.2">
      <c r="C422" s="22" t="str">
        <f>_xlfn.XLOOKUP(tbl_CONTENT[[#This Row],[TopicID]], tbl_TOPIC[TopicID], tbl_TOPIC[Subject], "")</f>
        <v>QM</v>
      </c>
      <c r="D422" s="22" t="str">
        <f xml:space="preserve"> tbl_CONTENT[[#This Row],[TopicID]] &amp; "-" &amp; TEXT(tbl_CONTENT[[#This Row],[TopicIDCount]], "00")</f>
        <v>QM-1-16-01</v>
      </c>
      <c r="F422" s="22" t="str">
        <f>_xlfn.XLOOKUP(tbl_CONTENT[[#This Row],[Topic]], tbl_TOPIC[Topic], tbl_TOPIC[TopicID], "")</f>
        <v>QM-1-16</v>
      </c>
      <c r="G422" s="22" cm="1">
        <f t="array" ref="G422">SUM((tbl_CONTENT[[#This Row],[TopicID]]=INDEX(tbl_CONTENT[TopicID],1):tbl_CONTENT[[#This Row],[TopicID]])*1)</f>
        <v>1</v>
      </c>
      <c r="H422" s="22" t="s">
        <v>379</v>
      </c>
      <c r="I422" s="22" t="s">
        <v>670</v>
      </c>
      <c r="J422" s="22" t="s">
        <v>153</v>
      </c>
      <c r="K422" s="22">
        <v>1</v>
      </c>
      <c r="Q422" s="35">
        <f>IFERROR(
 (1.907*EXP(1)^(-0.5*tbl_CONTENT[[#This Row],[Layer]])) *
 ((tbl_CONTENT[[#This Row],[RelInt]]-1)^(2.5)*4^(1-2.5)+1) +
 ((tbl_CONTENT[[#This Row],[Comp]]-1)^(2.5)*4^(1-2.5)+1)*(0.5*((tbl_CONTENT[[#This Row],[RelInt]]-1)/4)^(2.5)+1),
 0
)</f>
        <v>0</v>
      </c>
      <c r="R422" s="35">
        <f>IFERROR(
 (1.907*EXP(1)^(-0.5*VALUE(tbl_CONTENT[[#This Row],[Layer]]))) *
 ((VALUE(tbl_CONTENT[[#This Row],[RelId]])-1)^(2.5)*4^(1-2.5)+1) +
 ((VALUE(tbl_CONTENT[[#This Row],[Comp]])-1)^(2.5)*4^(1-2.5)+1)*(0.5*((VALUE(tbl_CONTENT[[#This Row],[RelId]])-1)/4)^(2.5)+1),
 0
)</f>
        <v>0</v>
      </c>
    </row>
    <row r="423" spans="3:20" ht="34" x14ac:dyDescent="0.2">
      <c r="C423" s="22" t="str">
        <f>_xlfn.XLOOKUP(tbl_CONTENT[[#This Row],[TopicID]], tbl_TOPIC[TopicID], tbl_TOPIC[Subject], "")</f>
        <v>QM</v>
      </c>
      <c r="D423" s="22" t="str">
        <f xml:space="preserve"> tbl_CONTENT[[#This Row],[TopicID]] &amp; "-" &amp; TEXT(tbl_CONTENT[[#This Row],[TopicIDCount]], "00")</f>
        <v>QM-1-16-02</v>
      </c>
      <c r="F423" s="22" t="str">
        <f>_xlfn.XLOOKUP(tbl_CONTENT[[#This Row],[Topic]], tbl_TOPIC[Topic], tbl_TOPIC[TopicID], "")</f>
        <v>QM-1-16</v>
      </c>
      <c r="G423" s="22" cm="1">
        <f t="array" ref="G423">SUM((tbl_CONTENT[[#This Row],[TopicID]]=INDEX(tbl_CONTENT[TopicID],1):tbl_CONTENT[[#This Row],[TopicID]])*1)</f>
        <v>2</v>
      </c>
      <c r="H423" s="22" t="s">
        <v>379</v>
      </c>
      <c r="I423" s="22" t="s">
        <v>1599</v>
      </c>
      <c r="J423" s="22" t="s">
        <v>152</v>
      </c>
      <c r="K423" s="22">
        <v>1</v>
      </c>
      <c r="Q423" s="35">
        <f>IFERROR(
 (1.907*EXP(1)^(-0.5*tbl_CONTENT[[#This Row],[Layer]])) *
 ((tbl_CONTENT[[#This Row],[RelInt]]-1)^(2.5)*4^(1-2.5)+1) +
 ((tbl_CONTENT[[#This Row],[Comp]]-1)^(2.5)*4^(1-2.5)+1)*(0.5*((tbl_CONTENT[[#This Row],[RelInt]]-1)/4)^(2.5)+1),
 0
)</f>
        <v>0</v>
      </c>
      <c r="R423" s="35">
        <f>IFERROR(
 (1.907*EXP(1)^(-0.5*VALUE(tbl_CONTENT[[#This Row],[Layer]]))) *
 ((VALUE(tbl_CONTENT[[#This Row],[RelId]])-1)^(2.5)*4^(1-2.5)+1) +
 ((VALUE(tbl_CONTENT[[#This Row],[Comp]])-1)^(2.5)*4^(1-2.5)+1)*(0.5*((VALUE(tbl_CONTENT[[#This Row],[RelId]])-1)/4)^(2.5)+1),
 0
)</f>
        <v>0</v>
      </c>
    </row>
    <row r="424" spans="3:20" ht="34" x14ac:dyDescent="0.2">
      <c r="C424" s="22" t="str">
        <f>_xlfn.XLOOKUP(tbl_CONTENT[[#This Row],[TopicID]], tbl_TOPIC[TopicID], tbl_TOPIC[Subject], "")</f>
        <v>QM</v>
      </c>
      <c r="D424" s="22" t="str">
        <f xml:space="preserve"> tbl_CONTENT[[#This Row],[TopicID]] &amp; "-" &amp; TEXT(tbl_CONTENT[[#This Row],[TopicIDCount]], "00")</f>
        <v>QM-1-16-03</v>
      </c>
      <c r="F424" s="22" t="str">
        <f>_xlfn.XLOOKUP(tbl_CONTENT[[#This Row],[Topic]], tbl_TOPIC[Topic], tbl_TOPIC[TopicID], "")</f>
        <v>QM-1-16</v>
      </c>
      <c r="G424" s="22" cm="1">
        <f t="array" ref="G424">SUM((tbl_CONTENT[[#This Row],[TopicID]]=INDEX(tbl_CONTENT[TopicID],1):tbl_CONTENT[[#This Row],[TopicID]])*1)</f>
        <v>3</v>
      </c>
      <c r="H424" s="22" t="s">
        <v>379</v>
      </c>
      <c r="I424" s="22" t="s">
        <v>672</v>
      </c>
      <c r="J424" s="22" t="s">
        <v>382</v>
      </c>
      <c r="Q424" s="35">
        <f>IFERROR(
 (1.907*EXP(1)^(-0.5*tbl_CONTENT[[#This Row],[Layer]])) *
 ((tbl_CONTENT[[#This Row],[RelInt]]-1)^(2.5)*4^(1-2.5)+1) +
 ((tbl_CONTENT[[#This Row],[Comp]]-1)^(2.5)*4^(1-2.5)+1)*(0.5*((tbl_CONTENT[[#This Row],[RelInt]]-1)/4)^(2.5)+1),
 0
)</f>
        <v>0</v>
      </c>
      <c r="R424" s="35">
        <f>IFERROR(
 (1.907*EXP(1)^(-0.5*VALUE(tbl_CONTENT[[#This Row],[Layer]]))) *
 ((VALUE(tbl_CONTENT[[#This Row],[RelId]])-1)^(2.5)*4^(1-2.5)+1) +
 ((VALUE(tbl_CONTENT[[#This Row],[Comp]])-1)^(2.5)*4^(1-2.5)+1)*(0.5*((VALUE(tbl_CONTENT[[#This Row],[RelId]])-1)/4)^(2.5)+1),
 0
)</f>
        <v>0</v>
      </c>
    </row>
    <row r="425" spans="3:20" ht="34" x14ac:dyDescent="0.2">
      <c r="C425" s="22" t="str">
        <f>_xlfn.XLOOKUP(tbl_CONTENT[[#This Row],[TopicID]], tbl_TOPIC[TopicID], tbl_TOPIC[Subject], "")</f>
        <v>QM</v>
      </c>
      <c r="D425" s="22" t="str">
        <f xml:space="preserve"> tbl_CONTENT[[#This Row],[TopicID]] &amp; "-" &amp; TEXT(tbl_CONTENT[[#This Row],[TopicIDCount]], "00")</f>
        <v>QM-1-16-04</v>
      </c>
      <c r="F425" s="22" t="str">
        <f>_xlfn.XLOOKUP(tbl_CONTENT[[#This Row],[Topic]], tbl_TOPIC[Topic], tbl_TOPIC[TopicID], "")</f>
        <v>QM-1-16</v>
      </c>
      <c r="G425" s="22" cm="1">
        <f t="array" ref="G425">SUM((tbl_CONTENT[[#This Row],[TopicID]]=INDEX(tbl_CONTENT[TopicID],1):tbl_CONTENT[[#This Row],[TopicID]])*1)</f>
        <v>4</v>
      </c>
      <c r="H425" s="22" t="s">
        <v>379</v>
      </c>
      <c r="I425" s="22" t="s">
        <v>673</v>
      </c>
      <c r="J425" s="22" t="s">
        <v>153</v>
      </c>
      <c r="Q425" s="35">
        <f>IFERROR(
 (1.907*EXP(1)^(-0.5*tbl_CONTENT[[#This Row],[Layer]])) *
 ((tbl_CONTENT[[#This Row],[RelInt]]-1)^(2.5)*4^(1-2.5)+1) +
 ((tbl_CONTENT[[#This Row],[Comp]]-1)^(2.5)*4^(1-2.5)+1)*(0.5*((tbl_CONTENT[[#This Row],[RelInt]]-1)/4)^(2.5)+1),
 0
)</f>
        <v>0</v>
      </c>
      <c r="R425" s="35">
        <f>IFERROR(
 (1.907*EXP(1)^(-0.5*VALUE(tbl_CONTENT[[#This Row],[Layer]]))) *
 ((VALUE(tbl_CONTENT[[#This Row],[RelId]])-1)^(2.5)*4^(1-2.5)+1) +
 ((VALUE(tbl_CONTENT[[#This Row],[Comp]])-1)^(2.5)*4^(1-2.5)+1)*(0.5*((VALUE(tbl_CONTENT[[#This Row],[RelId]])-1)/4)^(2.5)+1),
 0
)</f>
        <v>0</v>
      </c>
    </row>
    <row r="426" spans="3:20" ht="34" x14ac:dyDescent="0.2">
      <c r="C426" s="62" t="str">
        <f>_xlfn.XLOOKUP(tbl_CONTENT[[#This Row],[TopicID]], tbl_TOPIC[TopicID], tbl_TOPIC[Subject], "")</f>
        <v>QM</v>
      </c>
      <c r="D426" s="62" t="str">
        <f xml:space="preserve"> tbl_CONTENT[[#This Row],[TopicID]] &amp; "-" &amp; TEXT(tbl_CONTENT[[#This Row],[TopicIDCount]], "00")</f>
        <v>QM-1-16-05</v>
      </c>
      <c r="F426" s="22" t="str">
        <f>_xlfn.XLOOKUP(tbl_CONTENT[[#This Row],[Topic]], tbl_TOPIC[Topic], tbl_TOPIC[TopicID], "")</f>
        <v>QM-1-16</v>
      </c>
      <c r="G426" s="62" cm="1">
        <f t="array" ref="G426">SUM((tbl_CONTENT[[#This Row],[TopicID]]=INDEX(tbl_CONTENT[TopicID],1):tbl_CONTENT[[#This Row],[TopicID]])*1)</f>
        <v>5</v>
      </c>
      <c r="H426" s="22" t="s">
        <v>379</v>
      </c>
      <c r="I426" s="22" t="s">
        <v>907</v>
      </c>
      <c r="J426" s="22" t="s">
        <v>382</v>
      </c>
      <c r="K426" s="22">
        <v>1</v>
      </c>
      <c r="P426" s="62"/>
      <c r="Q426" s="35">
        <f>IFERROR(
 (1.907*EXP(1)^(-0.5*tbl_CONTENT[[#This Row],[Layer]])) *
 ((tbl_CONTENT[[#This Row],[RelInt]]-1)^(2.5)*4^(1-2.5)+1) +
 ((tbl_CONTENT[[#This Row],[Comp]]-1)^(2.5)*4^(1-2.5)+1)*(0.5*((tbl_CONTENT[[#This Row],[RelInt]]-1)/4)^(2.5)+1),
 0
)</f>
        <v>0</v>
      </c>
      <c r="R426" s="35">
        <f>IFERROR(
 (1.907*EXP(1)^(-0.5*VALUE(tbl_CONTENT[[#This Row],[Layer]]))) *
 ((VALUE(tbl_CONTENT[[#This Row],[RelId]])-1)^(2.5)*4^(1-2.5)+1) +
 ((VALUE(tbl_CONTENT[[#This Row],[Comp]])-1)^(2.5)*4^(1-2.5)+1)*(0.5*((VALUE(tbl_CONTENT[[#This Row],[RelId]])-1)/4)^(2.5)+1),
 0
)</f>
        <v>0</v>
      </c>
      <c r="T426" s="62"/>
    </row>
    <row r="427" spans="3:20" ht="34" x14ac:dyDescent="0.2">
      <c r="C427" s="22" t="str">
        <f>_xlfn.XLOOKUP(tbl_CONTENT[[#This Row],[TopicID]], tbl_TOPIC[TopicID], tbl_TOPIC[Subject], "")</f>
        <v>QM</v>
      </c>
      <c r="D427" s="22" t="str">
        <f xml:space="preserve"> tbl_CONTENT[[#This Row],[TopicID]] &amp; "-" &amp; TEXT(tbl_CONTENT[[#This Row],[TopicIDCount]], "00")</f>
        <v>QM-1-17-01</v>
      </c>
      <c r="F427" s="22" t="str">
        <f>_xlfn.XLOOKUP(tbl_CONTENT[[#This Row],[Topic]], tbl_TOPIC[Topic], tbl_TOPIC[TopicID], "")</f>
        <v>QM-1-17</v>
      </c>
      <c r="G427" s="22" cm="1">
        <f t="array" ref="G427">SUM((tbl_CONTENT[[#This Row],[TopicID]]=INDEX(tbl_CONTENT[TopicID],1):tbl_CONTENT[[#This Row],[TopicID]])*1)</f>
        <v>1</v>
      </c>
      <c r="H427" s="22" t="s">
        <v>380</v>
      </c>
      <c r="I427" s="22" t="s">
        <v>674</v>
      </c>
      <c r="J427" s="22" t="s">
        <v>382</v>
      </c>
      <c r="K427" s="22">
        <v>1</v>
      </c>
      <c r="Q427" s="35">
        <f>IFERROR(
 (1.907*EXP(1)^(-0.5*tbl_CONTENT[[#This Row],[Layer]])) *
 ((tbl_CONTENT[[#This Row],[RelInt]]-1)^(2.5)*4^(1-2.5)+1) +
 ((tbl_CONTENT[[#This Row],[Comp]]-1)^(2.5)*4^(1-2.5)+1)*(0.5*((tbl_CONTENT[[#This Row],[RelInt]]-1)/4)^(2.5)+1),
 0
)</f>
        <v>0</v>
      </c>
      <c r="R427" s="35">
        <f>IFERROR(
 (1.907*EXP(1)^(-0.5*VALUE(tbl_CONTENT[[#This Row],[Layer]]))) *
 ((VALUE(tbl_CONTENT[[#This Row],[RelId]])-1)^(2.5)*4^(1-2.5)+1) +
 ((VALUE(tbl_CONTENT[[#This Row],[Comp]])-1)^(2.5)*4^(1-2.5)+1)*(0.5*((VALUE(tbl_CONTENT[[#This Row],[RelId]])-1)/4)^(2.5)+1),
 0
)</f>
        <v>0</v>
      </c>
    </row>
    <row r="428" spans="3:20" ht="34" x14ac:dyDescent="0.2">
      <c r="C428" s="22" t="str">
        <f>_xlfn.XLOOKUP(tbl_CONTENT[[#This Row],[TopicID]], tbl_TOPIC[TopicID], tbl_TOPIC[Subject], "")</f>
        <v>QM</v>
      </c>
      <c r="D428" s="22" t="str">
        <f xml:space="preserve"> tbl_CONTENT[[#This Row],[TopicID]] &amp; "-" &amp; TEXT(tbl_CONTENT[[#This Row],[TopicIDCount]], "00")</f>
        <v>QM-1-17-02</v>
      </c>
      <c r="F428" s="22" t="str">
        <f>_xlfn.XLOOKUP(tbl_CONTENT[[#This Row],[Topic]], tbl_TOPIC[Topic], tbl_TOPIC[TopicID], "")</f>
        <v>QM-1-17</v>
      </c>
      <c r="G428" s="22" cm="1">
        <f t="array" ref="G428">SUM((tbl_CONTENT[[#This Row],[TopicID]]=INDEX(tbl_CONTENT[TopicID],1):tbl_CONTENT[[#This Row],[TopicID]])*1)</f>
        <v>2</v>
      </c>
      <c r="H428" s="22" t="s">
        <v>380</v>
      </c>
      <c r="I428" s="22" t="s">
        <v>675</v>
      </c>
      <c r="J428" s="22" t="s">
        <v>382</v>
      </c>
      <c r="K428" s="22">
        <v>1</v>
      </c>
      <c r="Q428" s="35">
        <f>IFERROR(
 (1.907*EXP(1)^(-0.5*tbl_CONTENT[[#This Row],[Layer]])) *
 ((tbl_CONTENT[[#This Row],[RelInt]]-1)^(2.5)*4^(1-2.5)+1) +
 ((tbl_CONTENT[[#This Row],[Comp]]-1)^(2.5)*4^(1-2.5)+1)*(0.5*((tbl_CONTENT[[#This Row],[RelInt]]-1)/4)^(2.5)+1),
 0
)</f>
        <v>0</v>
      </c>
      <c r="R428" s="35">
        <f>IFERROR(
 (1.907*EXP(1)^(-0.5*VALUE(tbl_CONTENT[[#This Row],[Layer]]))) *
 ((VALUE(tbl_CONTENT[[#This Row],[RelId]])-1)^(2.5)*4^(1-2.5)+1) +
 ((VALUE(tbl_CONTENT[[#This Row],[Comp]])-1)^(2.5)*4^(1-2.5)+1)*(0.5*((VALUE(tbl_CONTENT[[#This Row],[RelId]])-1)/4)^(2.5)+1),
 0
)</f>
        <v>0</v>
      </c>
    </row>
    <row r="429" spans="3:20" ht="51" x14ac:dyDescent="0.2">
      <c r="C429" s="22" t="str">
        <f>_xlfn.XLOOKUP(tbl_CONTENT[[#This Row],[TopicID]], tbl_TOPIC[TopicID], tbl_TOPIC[Subject], "")</f>
        <v>QM</v>
      </c>
      <c r="D429" s="22" t="str">
        <f xml:space="preserve"> tbl_CONTENT[[#This Row],[TopicID]] &amp; "-" &amp; TEXT(tbl_CONTENT[[#This Row],[TopicIDCount]], "00")</f>
        <v>QM-1-18-01</v>
      </c>
      <c r="F429" s="22" t="str">
        <f>_xlfn.XLOOKUP(tbl_CONTENT[[#This Row],[Topic]], tbl_TOPIC[Topic], tbl_TOPIC[TopicID], "")</f>
        <v>QM-1-18</v>
      </c>
      <c r="G429" s="22" cm="1">
        <f t="array" ref="G429">SUM((tbl_CONTENT[[#This Row],[TopicID]]=INDEX(tbl_CONTENT[TopicID],1):tbl_CONTENT[[#This Row],[TopicID]])*1)</f>
        <v>1</v>
      </c>
      <c r="H429" s="22" t="s">
        <v>381</v>
      </c>
      <c r="I429" s="22" t="s">
        <v>676</v>
      </c>
      <c r="J429" s="22" t="s">
        <v>382</v>
      </c>
      <c r="K429" s="22">
        <v>1</v>
      </c>
      <c r="Q429" s="35">
        <f>IFERROR(
 (1.907*EXP(1)^(-0.5*tbl_CONTENT[[#This Row],[Layer]])) *
 ((tbl_CONTENT[[#This Row],[RelInt]]-1)^(2.5)*4^(1-2.5)+1) +
 ((tbl_CONTENT[[#This Row],[Comp]]-1)^(2.5)*4^(1-2.5)+1)*(0.5*((tbl_CONTENT[[#This Row],[RelInt]]-1)/4)^(2.5)+1),
 0
)</f>
        <v>0</v>
      </c>
      <c r="R429" s="35">
        <f>IFERROR(
 (1.907*EXP(1)^(-0.5*VALUE(tbl_CONTENT[[#This Row],[Layer]]))) *
 ((VALUE(tbl_CONTENT[[#This Row],[RelId]])-1)^(2.5)*4^(1-2.5)+1) +
 ((VALUE(tbl_CONTENT[[#This Row],[Comp]])-1)^(2.5)*4^(1-2.5)+1)*(0.5*((VALUE(tbl_CONTENT[[#This Row],[RelId]])-1)/4)^(2.5)+1),
 0
)</f>
        <v>0</v>
      </c>
    </row>
    <row r="430" spans="3:20" ht="68" x14ac:dyDescent="0.2">
      <c r="C430" s="22" t="str">
        <f>_xlfn.XLOOKUP(tbl_CONTENT[[#This Row],[TopicID]], tbl_TOPIC[TopicID], tbl_TOPIC[Subject], "")</f>
        <v>QM</v>
      </c>
      <c r="D430" s="22" t="str">
        <f xml:space="preserve"> tbl_CONTENT[[#This Row],[TopicID]] &amp; "-" &amp; TEXT(tbl_CONTENT[[#This Row],[TopicIDCount]], "00")</f>
        <v>QM-1-18-02</v>
      </c>
      <c r="F430" s="22" t="str">
        <f>_xlfn.XLOOKUP(tbl_CONTENT[[#This Row],[Topic]], tbl_TOPIC[Topic], tbl_TOPIC[TopicID], "")</f>
        <v>QM-1-18</v>
      </c>
      <c r="G430" s="22" cm="1">
        <f t="array" ref="G430">SUM((tbl_CONTENT[[#This Row],[TopicID]]=INDEX(tbl_CONTENT[TopicID],1):tbl_CONTENT[[#This Row],[TopicID]])*1)</f>
        <v>2</v>
      </c>
      <c r="H430" s="22" t="s">
        <v>381</v>
      </c>
      <c r="I430" s="22" t="s">
        <v>677</v>
      </c>
      <c r="J430" s="22" t="s">
        <v>382</v>
      </c>
      <c r="K430" s="22">
        <v>1</v>
      </c>
      <c r="Q430" s="35">
        <f>IFERROR(
 (1.907*EXP(1)^(-0.5*tbl_CONTENT[[#This Row],[Layer]])) *
 ((tbl_CONTENT[[#This Row],[RelInt]]-1)^(2.5)*4^(1-2.5)+1) +
 ((tbl_CONTENT[[#This Row],[Comp]]-1)^(2.5)*4^(1-2.5)+1)*(0.5*((tbl_CONTENT[[#This Row],[RelInt]]-1)/4)^(2.5)+1),
 0
)</f>
        <v>0</v>
      </c>
      <c r="R430" s="35">
        <f>IFERROR(
 (1.907*EXP(1)^(-0.5*VALUE(tbl_CONTENT[[#This Row],[Layer]]))) *
 ((VALUE(tbl_CONTENT[[#This Row],[RelId]])-1)^(2.5)*4^(1-2.5)+1) +
 ((VALUE(tbl_CONTENT[[#This Row],[Comp]])-1)^(2.5)*4^(1-2.5)+1)*(0.5*((VALUE(tbl_CONTENT[[#This Row],[RelId]])-1)/4)^(2.5)+1),
 0
)</f>
        <v>0</v>
      </c>
    </row>
    <row r="431" spans="3:20" ht="34" x14ac:dyDescent="0.2">
      <c r="C431" s="22" t="str">
        <f>_xlfn.XLOOKUP(tbl_CONTENT[[#This Row],[TopicID]], tbl_TOPIC[TopicID], tbl_TOPIC[Subject], "")</f>
        <v>QM</v>
      </c>
      <c r="D431" s="22" t="str">
        <f xml:space="preserve"> tbl_CONTENT[[#This Row],[TopicID]] &amp; "-" &amp; TEXT(tbl_CONTENT[[#This Row],[TopicIDCount]], "00")</f>
        <v>QM-1-06-01</v>
      </c>
      <c r="F431" s="22" t="str">
        <f>_xlfn.XLOOKUP(tbl_CONTENT[[#This Row],[Topic]], tbl_TOPIC[Topic], tbl_TOPIC[TopicID], "")</f>
        <v>QM-1-06</v>
      </c>
      <c r="G431" s="22" cm="1">
        <f t="array" ref="G431">SUM((tbl_CONTENT[[#This Row],[TopicID]]=INDEX(tbl_CONTENT[TopicID],1):tbl_CONTENT[[#This Row],[TopicID]])*1)</f>
        <v>1</v>
      </c>
      <c r="H431" s="22" t="s">
        <v>369</v>
      </c>
      <c r="I431" s="22" t="s">
        <v>689</v>
      </c>
      <c r="J431" s="22" t="s">
        <v>382</v>
      </c>
      <c r="K431" s="22">
        <v>1</v>
      </c>
      <c r="Q431" s="35">
        <f>IFERROR(
 (1.907*EXP(1)^(-0.5*tbl_CONTENT[[#This Row],[Layer]])) *
 ((tbl_CONTENT[[#This Row],[RelInt]]-1)^(2.5)*4^(1-2.5)+1) +
 ((tbl_CONTENT[[#This Row],[Comp]]-1)^(2.5)*4^(1-2.5)+1)*(0.5*((tbl_CONTENT[[#This Row],[RelInt]]-1)/4)^(2.5)+1),
 0
)</f>
        <v>0</v>
      </c>
      <c r="R431" s="35">
        <f>IFERROR(
 (1.907*EXP(1)^(-0.5*VALUE(tbl_CONTENT[[#This Row],[Layer]]))) *
 ((VALUE(tbl_CONTENT[[#This Row],[RelId]])-1)^(2.5)*4^(1-2.5)+1) +
 ((VALUE(tbl_CONTENT[[#This Row],[Comp]])-1)^(2.5)*4^(1-2.5)+1)*(0.5*((VALUE(tbl_CONTENT[[#This Row],[RelId]])-1)/4)^(2.5)+1),
 0
)</f>
        <v>0</v>
      </c>
    </row>
    <row r="432" spans="3:20" ht="34" x14ac:dyDescent="0.2">
      <c r="C432" s="22" t="str">
        <f>_xlfn.XLOOKUP(tbl_CONTENT[[#This Row],[TopicID]], tbl_TOPIC[TopicID], tbl_TOPIC[Subject], "")</f>
        <v>QM</v>
      </c>
      <c r="D432" s="22" t="str">
        <f xml:space="preserve"> tbl_CONTENT[[#This Row],[TopicID]] &amp; "-" &amp; TEXT(tbl_CONTENT[[#This Row],[TopicIDCount]], "00")</f>
        <v>QM-1-06-02</v>
      </c>
      <c r="F432" s="22" t="str">
        <f>_xlfn.XLOOKUP(tbl_CONTENT[[#This Row],[Topic]], tbl_TOPIC[Topic], tbl_TOPIC[TopicID], "")</f>
        <v>QM-1-06</v>
      </c>
      <c r="G432" s="22" cm="1">
        <f t="array" ref="G432">SUM((tbl_CONTENT[[#This Row],[TopicID]]=INDEX(tbl_CONTENT[TopicID],1):tbl_CONTENT[[#This Row],[TopicID]])*1)</f>
        <v>2</v>
      </c>
      <c r="H432" s="22" t="s">
        <v>369</v>
      </c>
      <c r="I432" s="22" t="s">
        <v>690</v>
      </c>
      <c r="J432" s="22" t="s">
        <v>382</v>
      </c>
      <c r="K432" s="22">
        <v>1</v>
      </c>
      <c r="Q432" s="35">
        <f>IFERROR(
 (1.907*EXP(1)^(-0.5*tbl_CONTENT[[#This Row],[Layer]])) *
 ((tbl_CONTENT[[#This Row],[RelInt]]-1)^(2.5)*4^(1-2.5)+1) +
 ((tbl_CONTENT[[#This Row],[Comp]]-1)^(2.5)*4^(1-2.5)+1)*(0.5*((tbl_CONTENT[[#This Row],[RelInt]]-1)/4)^(2.5)+1),
 0
)</f>
        <v>0</v>
      </c>
      <c r="R432" s="35">
        <f>IFERROR(
 (1.907*EXP(1)^(-0.5*VALUE(tbl_CONTENT[[#This Row],[Layer]]))) *
 ((VALUE(tbl_CONTENT[[#This Row],[RelId]])-1)^(2.5)*4^(1-2.5)+1) +
 ((VALUE(tbl_CONTENT[[#This Row],[Comp]])-1)^(2.5)*4^(1-2.5)+1)*(0.5*((VALUE(tbl_CONTENT[[#This Row],[RelId]])-1)/4)^(2.5)+1),
 0
)</f>
        <v>0</v>
      </c>
    </row>
    <row r="433" spans="3:20" ht="34" x14ac:dyDescent="0.2">
      <c r="C433" s="22" t="str">
        <f>_xlfn.XLOOKUP(tbl_CONTENT[[#This Row],[TopicID]], tbl_TOPIC[TopicID], tbl_TOPIC[Subject], "")</f>
        <v>QM</v>
      </c>
      <c r="D433" s="22" t="str">
        <f xml:space="preserve"> tbl_CONTENT[[#This Row],[TopicID]] &amp; "-" &amp; TEXT(tbl_CONTENT[[#This Row],[TopicIDCount]], "00")</f>
        <v>QM-1-06-03</v>
      </c>
      <c r="F433" s="22" t="str">
        <f>_xlfn.XLOOKUP(tbl_CONTENT[[#This Row],[Topic]], tbl_TOPIC[Topic], tbl_TOPIC[TopicID], "")</f>
        <v>QM-1-06</v>
      </c>
      <c r="G433" s="22" cm="1">
        <f t="array" ref="G433">SUM((tbl_CONTENT[[#This Row],[TopicID]]=INDEX(tbl_CONTENT[TopicID],1):tbl_CONTENT[[#This Row],[TopicID]])*1)</f>
        <v>3</v>
      </c>
      <c r="H433" s="22" t="s">
        <v>369</v>
      </c>
      <c r="I433" s="22" t="s">
        <v>691</v>
      </c>
      <c r="J433" s="22" t="s">
        <v>148</v>
      </c>
      <c r="K433" s="22">
        <v>1</v>
      </c>
      <c r="Q433" s="35">
        <f>IFERROR(
 (1.907*EXP(1)^(-0.5*tbl_CONTENT[[#This Row],[Layer]])) *
 ((tbl_CONTENT[[#This Row],[RelInt]]-1)^(2.5)*4^(1-2.5)+1) +
 ((tbl_CONTENT[[#This Row],[Comp]]-1)^(2.5)*4^(1-2.5)+1)*(0.5*((tbl_CONTENT[[#This Row],[RelInt]]-1)/4)^(2.5)+1),
 0
)</f>
        <v>0</v>
      </c>
      <c r="R433" s="35">
        <f>IFERROR(
 (1.907*EXP(1)^(-0.5*VALUE(tbl_CONTENT[[#This Row],[Layer]]))) *
 ((VALUE(tbl_CONTENT[[#This Row],[RelId]])-1)^(2.5)*4^(1-2.5)+1) +
 ((VALUE(tbl_CONTENT[[#This Row],[Comp]])-1)^(2.5)*4^(1-2.5)+1)*(0.5*((VALUE(tbl_CONTENT[[#This Row],[RelId]])-1)/4)^(2.5)+1),
 0
)</f>
        <v>0</v>
      </c>
    </row>
    <row r="434" spans="3:20" ht="34" x14ac:dyDescent="0.2">
      <c r="C434" s="62" t="str">
        <f>_xlfn.XLOOKUP(tbl_CONTENT[[#This Row],[TopicID]], tbl_TOPIC[TopicID], tbl_TOPIC[Subject], "")</f>
        <v>QM</v>
      </c>
      <c r="D434" s="62" t="str">
        <f xml:space="preserve"> tbl_CONTENT[[#This Row],[TopicID]] &amp; "-" &amp; TEXT(tbl_CONTENT[[#This Row],[TopicIDCount]], "00")</f>
        <v>QM-1-31-01</v>
      </c>
      <c r="F434" s="22" t="str">
        <f>_xlfn.XLOOKUP(tbl_CONTENT[[#This Row],[Topic]], tbl_TOPIC[Topic], tbl_TOPIC[TopicID], "")</f>
        <v>QM-1-31</v>
      </c>
      <c r="G434" s="62" cm="1">
        <f t="array" ref="G434">SUM((tbl_CONTENT[[#This Row],[TopicID]]=INDEX(tbl_CONTENT[TopicID],1):tbl_CONTENT[[#This Row],[TopicID]])*1)</f>
        <v>1</v>
      </c>
      <c r="H434" s="22" t="s">
        <v>693</v>
      </c>
      <c r="I434" s="22" t="s">
        <v>760</v>
      </c>
      <c r="J434" s="22" t="s">
        <v>494</v>
      </c>
      <c r="K434" s="22">
        <v>1</v>
      </c>
      <c r="P434" s="62"/>
      <c r="Q434" s="35">
        <f>IFERROR(
 (1.907*EXP(1)^(-0.5*tbl_CONTENT[[#This Row],[Layer]])) *
 ((tbl_CONTENT[[#This Row],[RelInt]]-1)^(2.5)*4^(1-2.5)+1) +
 ((tbl_CONTENT[[#This Row],[Comp]]-1)^(2.5)*4^(1-2.5)+1)*(0.5*((tbl_CONTENT[[#This Row],[RelInt]]-1)/4)^(2.5)+1),
 0
)</f>
        <v>0</v>
      </c>
      <c r="R434" s="35">
        <f>IFERROR(
 (1.907*EXP(1)^(-0.5*VALUE(tbl_CONTENT[[#This Row],[Layer]]))) *
 ((VALUE(tbl_CONTENT[[#This Row],[RelId]])-1)^(2.5)*4^(1-2.5)+1) +
 ((VALUE(tbl_CONTENT[[#This Row],[Comp]])-1)^(2.5)*4^(1-2.5)+1)*(0.5*((VALUE(tbl_CONTENT[[#This Row],[RelId]])-1)/4)^(2.5)+1),
 0
)</f>
        <v>0</v>
      </c>
      <c r="T434" s="62"/>
    </row>
    <row r="435" spans="3:20" ht="34" x14ac:dyDescent="0.2">
      <c r="C435" s="62" t="str">
        <f>_xlfn.XLOOKUP(tbl_CONTENT[[#This Row],[TopicID]], tbl_TOPIC[TopicID], tbl_TOPIC[Subject], "")</f>
        <v>QM</v>
      </c>
      <c r="D435" s="62" t="str">
        <f xml:space="preserve"> tbl_CONTENT[[#This Row],[TopicID]] &amp; "-" &amp; TEXT(tbl_CONTENT[[#This Row],[TopicIDCount]], "00")</f>
        <v>QM-1-31-02</v>
      </c>
      <c r="F435" s="22" t="str">
        <f>_xlfn.XLOOKUP(tbl_CONTENT[[#This Row],[Topic]], tbl_TOPIC[Topic], tbl_TOPIC[TopicID], "")</f>
        <v>QM-1-31</v>
      </c>
      <c r="G435" s="62" cm="1">
        <f t="array" ref="G435">SUM((tbl_CONTENT[[#This Row],[TopicID]]=INDEX(tbl_CONTENT[TopicID],1):tbl_CONTENT[[#This Row],[TopicID]])*1)</f>
        <v>2</v>
      </c>
      <c r="H435" s="22" t="s">
        <v>693</v>
      </c>
      <c r="I435" s="22" t="s">
        <v>761</v>
      </c>
      <c r="J435" s="22" t="s">
        <v>494</v>
      </c>
      <c r="K435" s="22">
        <v>1</v>
      </c>
      <c r="P435" s="62"/>
      <c r="Q435" s="35">
        <f>IFERROR(
 (1.907*EXP(1)^(-0.5*tbl_CONTENT[[#This Row],[Layer]])) *
 ((tbl_CONTENT[[#This Row],[RelInt]]-1)^(2.5)*4^(1-2.5)+1) +
 ((tbl_CONTENT[[#This Row],[Comp]]-1)^(2.5)*4^(1-2.5)+1)*(0.5*((tbl_CONTENT[[#This Row],[RelInt]]-1)/4)^(2.5)+1),
 0
)</f>
        <v>0</v>
      </c>
      <c r="R435" s="35">
        <f>IFERROR(
 (1.907*EXP(1)^(-0.5*VALUE(tbl_CONTENT[[#This Row],[Layer]]))) *
 ((VALUE(tbl_CONTENT[[#This Row],[RelId]])-1)^(2.5)*4^(1-2.5)+1) +
 ((VALUE(tbl_CONTENT[[#This Row],[Comp]])-1)^(2.5)*4^(1-2.5)+1)*(0.5*((VALUE(tbl_CONTENT[[#This Row],[RelId]])-1)/4)^(2.5)+1),
 0
)</f>
        <v>0</v>
      </c>
      <c r="T435" s="62"/>
    </row>
    <row r="436" spans="3:20" ht="34" x14ac:dyDescent="0.2">
      <c r="C436" s="62" t="str">
        <f>_xlfn.XLOOKUP(tbl_CONTENT[[#This Row],[TopicID]], tbl_TOPIC[TopicID], tbl_TOPIC[Subject], "")</f>
        <v>QM</v>
      </c>
      <c r="D436" s="62" t="str">
        <f xml:space="preserve"> tbl_CONTENT[[#This Row],[TopicID]] &amp; "-" &amp; TEXT(tbl_CONTENT[[#This Row],[TopicIDCount]], "00")</f>
        <v>QM-1-31-03</v>
      </c>
      <c r="F436" s="22" t="str">
        <f>_xlfn.XLOOKUP(tbl_CONTENT[[#This Row],[Topic]], tbl_TOPIC[Topic], tbl_TOPIC[TopicID], "")</f>
        <v>QM-1-31</v>
      </c>
      <c r="G436" s="62" cm="1">
        <f t="array" ref="G436">SUM((tbl_CONTENT[[#This Row],[TopicID]]=INDEX(tbl_CONTENT[TopicID],1):tbl_CONTENT[[#This Row],[TopicID]])*1)</f>
        <v>3</v>
      </c>
      <c r="H436" s="22" t="s">
        <v>693</v>
      </c>
      <c r="I436" s="22" t="s">
        <v>762</v>
      </c>
      <c r="J436" s="22" t="s">
        <v>494</v>
      </c>
      <c r="K436" s="22">
        <v>1</v>
      </c>
      <c r="P436" s="62"/>
      <c r="Q436" s="35">
        <f>IFERROR(
 (1.907*EXP(1)^(-0.5*tbl_CONTENT[[#This Row],[Layer]])) *
 ((tbl_CONTENT[[#This Row],[RelInt]]-1)^(2.5)*4^(1-2.5)+1) +
 ((tbl_CONTENT[[#This Row],[Comp]]-1)^(2.5)*4^(1-2.5)+1)*(0.5*((tbl_CONTENT[[#This Row],[RelInt]]-1)/4)^(2.5)+1),
 0
)</f>
        <v>0</v>
      </c>
      <c r="R436" s="35">
        <f>IFERROR(
 (1.907*EXP(1)^(-0.5*VALUE(tbl_CONTENT[[#This Row],[Layer]]))) *
 ((VALUE(tbl_CONTENT[[#This Row],[RelId]])-1)^(2.5)*4^(1-2.5)+1) +
 ((VALUE(tbl_CONTENT[[#This Row],[Comp]])-1)^(2.5)*4^(1-2.5)+1)*(0.5*((VALUE(tbl_CONTENT[[#This Row],[RelId]])-1)/4)^(2.5)+1),
 0
)</f>
        <v>0</v>
      </c>
      <c r="T436" s="62"/>
    </row>
    <row r="437" spans="3:20" ht="34" x14ac:dyDescent="0.2">
      <c r="C437" s="62" t="str">
        <f>_xlfn.XLOOKUP(tbl_CONTENT[[#This Row],[TopicID]], tbl_TOPIC[TopicID], tbl_TOPIC[Subject], "")</f>
        <v>QM</v>
      </c>
      <c r="D437" s="62" t="str">
        <f xml:space="preserve"> tbl_CONTENT[[#This Row],[TopicID]] &amp; "-" &amp; TEXT(tbl_CONTENT[[#This Row],[TopicIDCount]], "00")</f>
        <v>QM-1-31-04</v>
      </c>
      <c r="F437" s="22" t="str">
        <f>_xlfn.XLOOKUP(tbl_CONTENT[[#This Row],[Topic]], tbl_TOPIC[Topic], tbl_TOPIC[TopicID], "")</f>
        <v>QM-1-31</v>
      </c>
      <c r="G437" s="62" cm="1">
        <f t="array" ref="G437">SUM((tbl_CONTENT[[#This Row],[TopicID]]=INDEX(tbl_CONTENT[TopicID],1):tbl_CONTENT[[#This Row],[TopicID]])*1)</f>
        <v>4</v>
      </c>
      <c r="H437" s="22" t="s">
        <v>693</v>
      </c>
      <c r="I437" s="22" t="s">
        <v>763</v>
      </c>
      <c r="J437" s="22" t="s">
        <v>494</v>
      </c>
      <c r="K437" s="22">
        <v>1</v>
      </c>
      <c r="P437" s="62"/>
      <c r="Q437" s="35">
        <f>IFERROR(
 (1.907*EXP(1)^(-0.5*tbl_CONTENT[[#This Row],[Layer]])) *
 ((tbl_CONTENT[[#This Row],[RelInt]]-1)^(2.5)*4^(1-2.5)+1) +
 ((tbl_CONTENT[[#This Row],[Comp]]-1)^(2.5)*4^(1-2.5)+1)*(0.5*((tbl_CONTENT[[#This Row],[RelInt]]-1)/4)^(2.5)+1),
 0
)</f>
        <v>0</v>
      </c>
      <c r="R437" s="35">
        <f>IFERROR(
 (1.907*EXP(1)^(-0.5*VALUE(tbl_CONTENT[[#This Row],[Layer]]))) *
 ((VALUE(tbl_CONTENT[[#This Row],[RelId]])-1)^(2.5)*4^(1-2.5)+1) +
 ((VALUE(tbl_CONTENT[[#This Row],[Comp]])-1)^(2.5)*4^(1-2.5)+1)*(0.5*((VALUE(tbl_CONTENT[[#This Row],[RelId]])-1)/4)^(2.5)+1),
 0
)</f>
        <v>0</v>
      </c>
      <c r="T437" s="62"/>
    </row>
    <row r="438" spans="3:20" ht="136" x14ac:dyDescent="0.2">
      <c r="C438" s="62" t="str">
        <f>_xlfn.XLOOKUP(tbl_CONTENT[[#This Row],[TopicID]], tbl_TOPIC[TopicID], tbl_TOPIC[Subject], "")</f>
        <v>QM</v>
      </c>
      <c r="D438" s="62" t="str">
        <f xml:space="preserve"> tbl_CONTENT[[#This Row],[TopicID]] &amp; "-" &amp; TEXT(tbl_CONTENT[[#This Row],[TopicIDCount]], "00")</f>
        <v>QM-1-31-05</v>
      </c>
      <c r="F438" s="22" t="str">
        <f>_xlfn.XLOOKUP(tbl_CONTENT[[#This Row],[Topic]], tbl_TOPIC[Topic], tbl_TOPIC[TopicID], "")</f>
        <v>QM-1-31</v>
      </c>
      <c r="G438" s="62" cm="1">
        <f t="array" ref="G438">SUM((tbl_CONTENT[[#This Row],[TopicID]]=INDEX(tbl_CONTENT[TopicID],1):tbl_CONTENT[[#This Row],[TopicID]])*1)</f>
        <v>5</v>
      </c>
      <c r="H438" s="22" t="s">
        <v>693</v>
      </c>
      <c r="I438" s="22" t="s">
        <v>1600</v>
      </c>
      <c r="J438" s="22" t="s">
        <v>494</v>
      </c>
      <c r="K438" s="22">
        <v>1</v>
      </c>
      <c r="P438" s="62"/>
      <c r="Q438" s="35">
        <f>IFERROR(
 (1.907*EXP(1)^(-0.5*tbl_CONTENT[[#This Row],[Layer]])) *
 ((tbl_CONTENT[[#This Row],[RelInt]]-1)^(2.5)*4^(1-2.5)+1) +
 ((tbl_CONTENT[[#This Row],[Comp]]-1)^(2.5)*4^(1-2.5)+1)*(0.5*((tbl_CONTENT[[#This Row],[RelInt]]-1)/4)^(2.5)+1),
 0
)</f>
        <v>0</v>
      </c>
      <c r="R438" s="35">
        <f>IFERROR(
 (1.907*EXP(1)^(-0.5*VALUE(tbl_CONTENT[[#This Row],[Layer]]))) *
 ((VALUE(tbl_CONTENT[[#This Row],[RelId]])-1)^(2.5)*4^(1-2.5)+1) +
 ((VALUE(tbl_CONTENT[[#This Row],[Comp]])-1)^(2.5)*4^(1-2.5)+1)*(0.5*((VALUE(tbl_CONTENT[[#This Row],[RelId]])-1)/4)^(2.5)+1),
 0
)</f>
        <v>0</v>
      </c>
      <c r="T438" s="62"/>
    </row>
    <row r="439" spans="3:20" ht="170" x14ac:dyDescent="0.2">
      <c r="C439" s="62" t="str">
        <f>_xlfn.XLOOKUP(tbl_CONTENT[[#This Row],[TopicID]], tbl_TOPIC[TopicID], tbl_TOPIC[Subject], "")</f>
        <v>QM</v>
      </c>
      <c r="D439" s="62" t="str">
        <f xml:space="preserve"> tbl_CONTENT[[#This Row],[TopicID]] &amp; "-" &amp; TEXT(tbl_CONTENT[[#This Row],[TopicIDCount]], "00")</f>
        <v>QM-1-31-06</v>
      </c>
      <c r="F439" s="22" t="str">
        <f>_xlfn.XLOOKUP(tbl_CONTENT[[#This Row],[Topic]], tbl_TOPIC[Topic], tbl_TOPIC[TopicID], "")</f>
        <v>QM-1-31</v>
      </c>
      <c r="G439" s="62" cm="1">
        <f t="array" ref="G439">SUM((tbl_CONTENT[[#This Row],[TopicID]]=INDEX(tbl_CONTENT[TopicID],1):tbl_CONTENT[[#This Row],[TopicID]])*1)</f>
        <v>6</v>
      </c>
      <c r="H439" s="22" t="s">
        <v>693</v>
      </c>
      <c r="I439" s="22" t="s">
        <v>1601</v>
      </c>
      <c r="J439" s="22" t="s">
        <v>494</v>
      </c>
      <c r="K439" s="22">
        <v>1</v>
      </c>
      <c r="P439" s="62"/>
      <c r="Q439" s="35">
        <f>IFERROR(
 (1.907*EXP(1)^(-0.5*tbl_CONTENT[[#This Row],[Layer]])) *
 ((tbl_CONTENT[[#This Row],[RelInt]]-1)^(2.5)*4^(1-2.5)+1) +
 ((tbl_CONTENT[[#This Row],[Comp]]-1)^(2.5)*4^(1-2.5)+1)*(0.5*((tbl_CONTENT[[#This Row],[RelInt]]-1)/4)^(2.5)+1),
 0
)</f>
        <v>0</v>
      </c>
      <c r="R439" s="35">
        <f>IFERROR(
 (1.907*EXP(1)^(-0.5*VALUE(tbl_CONTENT[[#This Row],[Layer]]))) *
 ((VALUE(tbl_CONTENT[[#This Row],[RelId]])-1)^(2.5)*4^(1-2.5)+1) +
 ((VALUE(tbl_CONTENT[[#This Row],[Comp]])-1)^(2.5)*4^(1-2.5)+1)*(0.5*((VALUE(tbl_CONTENT[[#This Row],[RelId]])-1)/4)^(2.5)+1),
 0
)</f>
        <v>0</v>
      </c>
      <c r="T439" s="62"/>
    </row>
    <row r="440" spans="3:20" ht="34" x14ac:dyDescent="0.2">
      <c r="C440" s="62" t="str">
        <f>_xlfn.XLOOKUP(tbl_CONTENT[[#This Row],[TopicID]], tbl_TOPIC[TopicID], tbl_TOPIC[Subject], "")</f>
        <v>QM</v>
      </c>
      <c r="D440" s="62" t="str">
        <f xml:space="preserve"> tbl_CONTENT[[#This Row],[TopicID]] &amp; "-" &amp; TEXT(tbl_CONTENT[[#This Row],[TopicIDCount]], "00")</f>
        <v>QM-1-20-01</v>
      </c>
      <c r="F440" s="22" t="str">
        <f>_xlfn.XLOOKUP(tbl_CONTENT[[#This Row],[Topic]], tbl_TOPIC[Topic], tbl_TOPIC[TopicID], "")</f>
        <v>QM-1-20</v>
      </c>
      <c r="G440" s="62" cm="1">
        <f t="array" ref="G440">SUM((tbl_CONTENT[[#This Row],[TopicID]]=INDEX(tbl_CONTENT[TopicID],1):tbl_CONTENT[[#This Row],[TopicID]])*1)</f>
        <v>1</v>
      </c>
      <c r="H440" s="22" t="s">
        <v>456</v>
      </c>
      <c r="J440" s="22" t="s">
        <v>494</v>
      </c>
      <c r="K440" s="22">
        <v>1</v>
      </c>
      <c r="P440" s="62"/>
      <c r="Q440" s="35">
        <f>IFERROR(
 (1.907*EXP(1)^(-0.5*tbl_CONTENT[[#This Row],[Layer]])) *
 ((tbl_CONTENT[[#This Row],[RelInt]]-1)^(2.5)*4^(1-2.5)+1) +
 ((tbl_CONTENT[[#This Row],[Comp]]-1)^(2.5)*4^(1-2.5)+1)*(0.5*((tbl_CONTENT[[#This Row],[RelInt]]-1)/4)^(2.5)+1),
 0
)</f>
        <v>0</v>
      </c>
      <c r="R440" s="35">
        <f>IFERROR(
 (1.907*EXP(1)^(-0.5*VALUE(tbl_CONTENT[[#This Row],[Layer]]))) *
 ((VALUE(tbl_CONTENT[[#This Row],[RelId]])-1)^(2.5)*4^(1-2.5)+1) +
 ((VALUE(tbl_CONTENT[[#This Row],[Comp]])-1)^(2.5)*4^(1-2.5)+1)*(0.5*((VALUE(tbl_CONTENT[[#This Row],[RelId]])-1)/4)^(2.5)+1),
 0
)</f>
        <v>0</v>
      </c>
      <c r="T440" s="62"/>
    </row>
    <row r="441" spans="3:20" ht="51" x14ac:dyDescent="0.2">
      <c r="C441" s="62" t="str">
        <f>_xlfn.XLOOKUP(tbl_CONTENT[[#This Row],[TopicID]], tbl_TOPIC[TopicID], tbl_TOPIC[Subject], "")</f>
        <v>CM</v>
      </c>
      <c r="D441" s="62" t="str">
        <f xml:space="preserve"> tbl_CONTENT[[#This Row],[TopicID]] &amp; "-" &amp; TEXT(tbl_CONTENT[[#This Row],[TopicIDCount]], "00")</f>
        <v>CM-1-04-02</v>
      </c>
      <c r="F441" s="22" t="str">
        <f>_xlfn.XLOOKUP(tbl_CONTENT[[#This Row],[Topic]], tbl_TOPIC[Topic], tbl_TOPIC[TopicID], "")</f>
        <v>CM-1-04</v>
      </c>
      <c r="G441" s="62" cm="1">
        <f t="array" ref="G441">SUM((tbl_CONTENT[[#This Row],[TopicID]]=INDEX(tbl_CONTENT[TopicID],1):tbl_CONTENT[[#This Row],[TopicID]])*1)</f>
        <v>2</v>
      </c>
      <c r="H441" s="22" t="s">
        <v>465</v>
      </c>
      <c r="I441" s="22" t="s">
        <v>801</v>
      </c>
      <c r="J441" s="22" t="s">
        <v>382</v>
      </c>
      <c r="P441" s="62"/>
      <c r="Q441" s="35">
        <f>IFERROR(
 (1.907*EXP(1)^(-0.5*tbl_CONTENT[[#This Row],[Layer]])) *
 ((tbl_CONTENT[[#This Row],[RelInt]]-1)^(2.5)*4^(1-2.5)+1) +
 ((tbl_CONTENT[[#This Row],[Comp]]-1)^(2.5)*4^(1-2.5)+1)*(0.5*((tbl_CONTENT[[#This Row],[RelInt]]-1)/4)^(2.5)+1),
 0
)</f>
        <v>0</v>
      </c>
      <c r="R441" s="35">
        <f>IFERROR(
 (1.907*EXP(1)^(-0.5*VALUE(tbl_CONTENT[[#This Row],[Layer]]))) *
 ((VALUE(tbl_CONTENT[[#This Row],[RelId]])-1)^(2.5)*4^(1-2.5)+1) +
 ((VALUE(tbl_CONTENT[[#This Row],[Comp]])-1)^(2.5)*4^(1-2.5)+1)*(0.5*((VALUE(tbl_CONTENT[[#This Row],[RelId]])-1)/4)^(2.5)+1),
 0
)</f>
        <v>0</v>
      </c>
      <c r="T441" s="62"/>
    </row>
    <row r="442" spans="3:20" ht="51" x14ac:dyDescent="0.2">
      <c r="C442" s="62" t="str">
        <f>_xlfn.XLOOKUP(tbl_CONTENT[[#This Row],[TopicID]], tbl_TOPIC[TopicID], tbl_TOPIC[Subject], "")</f>
        <v>CM</v>
      </c>
      <c r="D442" s="62" t="str">
        <f xml:space="preserve"> tbl_CONTENT[[#This Row],[TopicID]] &amp; "-" &amp; TEXT(tbl_CONTENT[[#This Row],[TopicIDCount]], "00")</f>
        <v>CM-1-04-03</v>
      </c>
      <c r="F442" s="22" t="str">
        <f>_xlfn.XLOOKUP(tbl_CONTENT[[#This Row],[Topic]], tbl_TOPIC[Topic], tbl_TOPIC[TopicID], "")</f>
        <v>CM-1-04</v>
      </c>
      <c r="G442" s="62" cm="1">
        <f t="array" ref="G442">SUM((tbl_CONTENT[[#This Row],[TopicID]]=INDEX(tbl_CONTENT[TopicID],1):tbl_CONTENT[[#This Row],[TopicID]])*1)</f>
        <v>3</v>
      </c>
      <c r="H442" s="22" t="s">
        <v>465</v>
      </c>
      <c r="I442" s="22" t="s">
        <v>802</v>
      </c>
      <c r="J442" s="22" t="s">
        <v>382</v>
      </c>
      <c r="P442" s="62"/>
      <c r="Q442" s="35">
        <f>IFERROR(
 (1.907*EXP(1)^(-0.5*tbl_CONTENT[[#This Row],[Layer]])) *
 ((tbl_CONTENT[[#This Row],[RelInt]]-1)^(2.5)*4^(1-2.5)+1) +
 ((tbl_CONTENT[[#This Row],[Comp]]-1)^(2.5)*4^(1-2.5)+1)*(0.5*((tbl_CONTENT[[#This Row],[RelInt]]-1)/4)^(2.5)+1),
 0
)</f>
        <v>0</v>
      </c>
      <c r="R442" s="35">
        <f>IFERROR(
 (1.907*EXP(1)^(-0.5*VALUE(tbl_CONTENT[[#This Row],[Layer]]))) *
 ((VALUE(tbl_CONTENT[[#This Row],[RelId]])-1)^(2.5)*4^(1-2.5)+1) +
 ((VALUE(tbl_CONTENT[[#This Row],[Comp]])-1)^(2.5)*4^(1-2.5)+1)*(0.5*((VALUE(tbl_CONTENT[[#This Row],[RelId]])-1)/4)^(2.5)+1),
 0
)</f>
        <v>0</v>
      </c>
      <c r="T442" s="62"/>
    </row>
    <row r="443" spans="3:20" ht="51" x14ac:dyDescent="0.2">
      <c r="C443" s="62" t="str">
        <f>_xlfn.XLOOKUP(tbl_CONTENT[[#This Row],[TopicID]], tbl_TOPIC[TopicID], tbl_TOPIC[Subject], "")</f>
        <v>CM</v>
      </c>
      <c r="D443" s="62" t="str">
        <f xml:space="preserve"> tbl_CONTENT[[#This Row],[TopicID]] &amp; "-" &amp; TEXT(tbl_CONTENT[[#This Row],[TopicIDCount]], "00")</f>
        <v>CM-1-04-04</v>
      </c>
      <c r="F443" s="22" t="str">
        <f>_xlfn.XLOOKUP(tbl_CONTENT[[#This Row],[Topic]], tbl_TOPIC[Topic], tbl_TOPIC[TopicID], "")</f>
        <v>CM-1-04</v>
      </c>
      <c r="G443" s="62" cm="1">
        <f t="array" ref="G443">SUM((tbl_CONTENT[[#This Row],[TopicID]]=INDEX(tbl_CONTENT[TopicID],1):tbl_CONTENT[[#This Row],[TopicID]])*1)</f>
        <v>4</v>
      </c>
      <c r="H443" s="22" t="s">
        <v>465</v>
      </c>
      <c r="I443" s="22" t="s">
        <v>803</v>
      </c>
      <c r="J443" s="22" t="s">
        <v>382</v>
      </c>
      <c r="P443" s="62"/>
      <c r="Q443" s="35">
        <f>IFERROR(
 (1.907*EXP(1)^(-0.5*tbl_CONTENT[[#This Row],[Layer]])) *
 ((tbl_CONTENT[[#This Row],[RelInt]]-1)^(2.5)*4^(1-2.5)+1) +
 ((tbl_CONTENT[[#This Row],[Comp]]-1)^(2.5)*4^(1-2.5)+1)*(0.5*((tbl_CONTENT[[#This Row],[RelInt]]-1)/4)^(2.5)+1),
 0
)</f>
        <v>0</v>
      </c>
      <c r="R443" s="35">
        <f>IFERROR(
 (1.907*EXP(1)^(-0.5*VALUE(tbl_CONTENT[[#This Row],[Layer]]))) *
 ((VALUE(tbl_CONTENT[[#This Row],[RelId]])-1)^(2.5)*4^(1-2.5)+1) +
 ((VALUE(tbl_CONTENT[[#This Row],[Comp]])-1)^(2.5)*4^(1-2.5)+1)*(0.5*((VALUE(tbl_CONTENT[[#This Row],[RelId]])-1)/4)^(2.5)+1),
 0
)</f>
        <v>0</v>
      </c>
      <c r="T443" s="62" t="s">
        <v>805</v>
      </c>
    </row>
    <row r="444" spans="3:20" ht="68" x14ac:dyDescent="0.2">
      <c r="C444" s="62" t="str">
        <f>_xlfn.XLOOKUP(tbl_CONTENT[[#This Row],[TopicID]], tbl_TOPIC[TopicID], tbl_TOPIC[Subject], "")</f>
        <v>CM</v>
      </c>
      <c r="D444" s="62" t="str">
        <f xml:space="preserve"> tbl_CONTENT[[#This Row],[TopicID]] &amp; "-" &amp; TEXT(tbl_CONTENT[[#This Row],[TopicIDCount]], "00")</f>
        <v>CM-1-04-05</v>
      </c>
      <c r="F444" s="22" t="str">
        <f>_xlfn.XLOOKUP(tbl_CONTENT[[#This Row],[Topic]], tbl_TOPIC[Topic], tbl_TOPIC[TopicID], "")</f>
        <v>CM-1-04</v>
      </c>
      <c r="G444" s="62" cm="1">
        <f t="array" ref="G444">SUM((tbl_CONTENT[[#This Row],[TopicID]]=INDEX(tbl_CONTENT[TopicID],1):tbl_CONTENT[[#This Row],[TopicID]])*1)</f>
        <v>5</v>
      </c>
      <c r="H444" s="22" t="s">
        <v>465</v>
      </c>
      <c r="I444" s="22" t="s">
        <v>804</v>
      </c>
      <c r="J444" s="22" t="s">
        <v>152</v>
      </c>
      <c r="P444" s="62"/>
      <c r="Q444" s="35">
        <f>IFERROR(
 (1.907*EXP(1)^(-0.5*tbl_CONTENT[[#This Row],[Layer]])) *
 ((tbl_CONTENT[[#This Row],[RelInt]]-1)^(2.5)*4^(1-2.5)+1) +
 ((tbl_CONTENT[[#This Row],[Comp]]-1)^(2.5)*4^(1-2.5)+1)*(0.5*((tbl_CONTENT[[#This Row],[RelInt]]-1)/4)^(2.5)+1),
 0
)</f>
        <v>0</v>
      </c>
      <c r="R444" s="35">
        <f>IFERROR(
 (1.907*EXP(1)^(-0.5*VALUE(tbl_CONTENT[[#This Row],[Layer]]))) *
 ((VALUE(tbl_CONTENT[[#This Row],[RelId]])-1)^(2.5)*4^(1-2.5)+1) +
 ((VALUE(tbl_CONTENT[[#This Row],[Comp]])-1)^(2.5)*4^(1-2.5)+1)*(0.5*((VALUE(tbl_CONTENT[[#This Row],[RelId]])-1)/4)^(2.5)+1),
 0
)</f>
        <v>0</v>
      </c>
      <c r="T444" s="62"/>
    </row>
    <row r="445" spans="3:20" ht="51" x14ac:dyDescent="0.2">
      <c r="C445" s="62" t="str">
        <f>_xlfn.XLOOKUP(tbl_CONTENT[[#This Row],[TopicID]], tbl_TOPIC[TopicID], tbl_TOPIC[Subject], "")</f>
        <v>CM</v>
      </c>
      <c r="D445" s="62" t="str">
        <f xml:space="preserve"> tbl_CONTENT[[#This Row],[TopicID]] &amp; "-" &amp; TEXT(tbl_CONTENT[[#This Row],[TopicIDCount]], "00")</f>
        <v>CM-1-04-06</v>
      </c>
      <c r="F445" s="22" t="str">
        <f>_xlfn.XLOOKUP(tbl_CONTENT[[#This Row],[Topic]], tbl_TOPIC[Topic], tbl_TOPIC[TopicID], "")</f>
        <v>CM-1-04</v>
      </c>
      <c r="G445" s="62" cm="1">
        <f t="array" ref="G445">SUM((tbl_CONTENT[[#This Row],[TopicID]]=INDEX(tbl_CONTENT[TopicID],1):tbl_CONTENT[[#This Row],[TopicID]])*1)</f>
        <v>6</v>
      </c>
      <c r="H445" s="22" t="s">
        <v>465</v>
      </c>
      <c r="I445" s="22" t="s">
        <v>806</v>
      </c>
      <c r="J445" s="22" t="s">
        <v>382</v>
      </c>
      <c r="P445" s="62"/>
      <c r="Q445" s="35">
        <f>IFERROR(
 (1.907*EXP(1)^(-0.5*tbl_CONTENT[[#This Row],[Layer]])) *
 ((tbl_CONTENT[[#This Row],[RelInt]]-1)^(2.5)*4^(1-2.5)+1) +
 ((tbl_CONTENT[[#This Row],[Comp]]-1)^(2.5)*4^(1-2.5)+1)*(0.5*((tbl_CONTENT[[#This Row],[RelInt]]-1)/4)^(2.5)+1),
 0
)</f>
        <v>0</v>
      </c>
      <c r="R445" s="35">
        <f>IFERROR(
 (1.907*EXP(1)^(-0.5*VALUE(tbl_CONTENT[[#This Row],[Layer]]))) *
 ((VALUE(tbl_CONTENT[[#This Row],[RelId]])-1)^(2.5)*4^(1-2.5)+1) +
 ((VALUE(tbl_CONTENT[[#This Row],[Comp]])-1)^(2.5)*4^(1-2.5)+1)*(0.5*((VALUE(tbl_CONTENT[[#This Row],[RelId]])-1)/4)^(2.5)+1),
 0
)</f>
        <v>0</v>
      </c>
      <c r="T445" s="62"/>
    </row>
    <row r="446" spans="3:20" ht="34" x14ac:dyDescent="0.2">
      <c r="C446" s="62" t="str">
        <f>_xlfn.XLOOKUP(tbl_CONTENT[[#This Row],[TopicID]], tbl_TOPIC[TopicID], tbl_TOPIC[Subject], "")</f>
        <v>CM</v>
      </c>
      <c r="D446" s="62" t="str">
        <f xml:space="preserve"> tbl_CONTENT[[#This Row],[TopicID]] &amp; "-" &amp; TEXT(tbl_CONTENT[[#This Row],[TopicIDCount]], "00")</f>
        <v>CM-1-04-07</v>
      </c>
      <c r="F446" s="22" t="str">
        <f>_xlfn.XLOOKUP(tbl_CONTENT[[#This Row],[Topic]], tbl_TOPIC[Topic], tbl_TOPIC[TopicID], "")</f>
        <v>CM-1-04</v>
      </c>
      <c r="G446" s="62" cm="1">
        <f t="array" ref="G446">SUM((tbl_CONTENT[[#This Row],[TopicID]]=INDEX(tbl_CONTENT[TopicID],1):tbl_CONTENT[[#This Row],[TopicID]])*1)</f>
        <v>7</v>
      </c>
      <c r="H446" s="22" t="s">
        <v>465</v>
      </c>
      <c r="I446" s="22" t="s">
        <v>807</v>
      </c>
      <c r="J446" s="22" t="s">
        <v>382</v>
      </c>
      <c r="P446" s="62"/>
      <c r="Q446" s="35">
        <f>IFERROR(
 (1.907*EXP(1)^(-0.5*tbl_CONTENT[[#This Row],[Layer]])) *
 ((tbl_CONTENT[[#This Row],[RelInt]]-1)^(2.5)*4^(1-2.5)+1) +
 ((tbl_CONTENT[[#This Row],[Comp]]-1)^(2.5)*4^(1-2.5)+1)*(0.5*((tbl_CONTENT[[#This Row],[RelInt]]-1)/4)^(2.5)+1),
 0
)</f>
        <v>0</v>
      </c>
      <c r="R446" s="35">
        <f>IFERROR(
 (1.907*EXP(1)^(-0.5*VALUE(tbl_CONTENT[[#This Row],[Layer]]))) *
 ((VALUE(tbl_CONTENT[[#This Row],[RelId]])-1)^(2.5)*4^(1-2.5)+1) +
 ((VALUE(tbl_CONTENT[[#This Row],[Comp]])-1)^(2.5)*4^(1-2.5)+1)*(0.5*((VALUE(tbl_CONTENT[[#This Row],[RelId]])-1)/4)^(2.5)+1),
 0
)</f>
        <v>0</v>
      </c>
      <c r="T446" s="62"/>
    </row>
    <row r="447" spans="3:20" ht="51" x14ac:dyDescent="0.2">
      <c r="C447" s="62" t="str">
        <f>_xlfn.XLOOKUP(tbl_CONTENT[[#This Row],[TopicID]], tbl_TOPIC[TopicID], tbl_TOPIC[Subject], "")</f>
        <v>CM</v>
      </c>
      <c r="D447" s="62" t="str">
        <f xml:space="preserve"> tbl_CONTENT[[#This Row],[TopicID]] &amp; "-" &amp; TEXT(tbl_CONTENT[[#This Row],[TopicIDCount]], "00")</f>
        <v>CM-1-04-08</v>
      </c>
      <c r="F447" s="22" t="str">
        <f>_xlfn.XLOOKUP(tbl_CONTENT[[#This Row],[Topic]], tbl_TOPIC[Topic], tbl_TOPIC[TopicID], "")</f>
        <v>CM-1-04</v>
      </c>
      <c r="G447" s="62" cm="1">
        <f t="array" ref="G447">SUM((tbl_CONTENT[[#This Row],[TopicID]]=INDEX(tbl_CONTENT[TopicID],1):tbl_CONTENT[[#This Row],[TopicID]])*1)</f>
        <v>8</v>
      </c>
      <c r="H447" s="22" t="s">
        <v>465</v>
      </c>
      <c r="I447" s="22" t="s">
        <v>808</v>
      </c>
      <c r="J447" s="22" t="s">
        <v>152</v>
      </c>
      <c r="P447" s="62"/>
      <c r="Q447" s="35">
        <f>IFERROR(
 (1.907*EXP(1)^(-0.5*tbl_CONTENT[[#This Row],[Layer]])) *
 ((tbl_CONTENT[[#This Row],[RelInt]]-1)^(2.5)*4^(1-2.5)+1) +
 ((tbl_CONTENT[[#This Row],[Comp]]-1)^(2.5)*4^(1-2.5)+1)*(0.5*((tbl_CONTENT[[#This Row],[RelInt]]-1)/4)^(2.5)+1),
 0
)</f>
        <v>0</v>
      </c>
      <c r="R447" s="35">
        <f>IFERROR(
 (1.907*EXP(1)^(-0.5*VALUE(tbl_CONTENT[[#This Row],[Layer]]))) *
 ((VALUE(tbl_CONTENT[[#This Row],[RelId]])-1)^(2.5)*4^(1-2.5)+1) +
 ((VALUE(tbl_CONTENT[[#This Row],[Comp]])-1)^(2.5)*4^(1-2.5)+1)*(0.5*((VALUE(tbl_CONTENT[[#This Row],[RelId]])-1)/4)^(2.5)+1),
 0
)</f>
        <v>0</v>
      </c>
      <c r="T447" s="62"/>
    </row>
    <row r="448" spans="3:20" ht="34" x14ac:dyDescent="0.2">
      <c r="C448" s="62" t="str">
        <f>_xlfn.XLOOKUP(tbl_CONTENT[[#This Row],[TopicID]], tbl_TOPIC[TopicID], tbl_TOPIC[Subject], "")</f>
        <v>CM</v>
      </c>
      <c r="D448" s="62" t="str">
        <f xml:space="preserve"> tbl_CONTENT[[#This Row],[TopicID]] &amp; "-" &amp; TEXT(tbl_CONTENT[[#This Row],[TopicIDCount]], "00")</f>
        <v>CM-1-04-09</v>
      </c>
      <c r="F448" s="22" t="str">
        <f>_xlfn.XLOOKUP(tbl_CONTENT[[#This Row],[Topic]], tbl_TOPIC[Topic], tbl_TOPIC[TopicID], "")</f>
        <v>CM-1-04</v>
      </c>
      <c r="G448" s="62" cm="1">
        <f t="array" ref="G448">SUM((tbl_CONTENT[[#This Row],[TopicID]]=INDEX(tbl_CONTENT[TopicID],1):tbl_CONTENT[[#This Row],[TopicID]])*1)</f>
        <v>9</v>
      </c>
      <c r="H448" s="22" t="s">
        <v>465</v>
      </c>
      <c r="I448" s="22" t="s">
        <v>809</v>
      </c>
      <c r="J448" s="22" t="s">
        <v>382</v>
      </c>
      <c r="P448" s="62"/>
      <c r="Q448" s="35">
        <f>IFERROR(
 (1.907*EXP(1)^(-0.5*tbl_CONTENT[[#This Row],[Layer]])) *
 ((tbl_CONTENT[[#This Row],[RelInt]]-1)^(2.5)*4^(1-2.5)+1) +
 ((tbl_CONTENT[[#This Row],[Comp]]-1)^(2.5)*4^(1-2.5)+1)*(0.5*((tbl_CONTENT[[#This Row],[RelInt]]-1)/4)^(2.5)+1),
 0
)</f>
        <v>0</v>
      </c>
      <c r="R448" s="35">
        <f>IFERROR(
 (1.907*EXP(1)^(-0.5*VALUE(tbl_CONTENT[[#This Row],[Layer]]))) *
 ((VALUE(tbl_CONTENT[[#This Row],[RelId]])-1)^(2.5)*4^(1-2.5)+1) +
 ((VALUE(tbl_CONTENT[[#This Row],[Comp]])-1)^(2.5)*4^(1-2.5)+1)*(0.5*((VALUE(tbl_CONTENT[[#This Row],[RelId]])-1)/4)^(2.5)+1),
 0
)</f>
        <v>0</v>
      </c>
      <c r="T448" s="62"/>
    </row>
    <row r="449" spans="3:20" ht="34" x14ac:dyDescent="0.2">
      <c r="C449" s="62" t="str">
        <f>_xlfn.XLOOKUP(tbl_CONTENT[[#This Row],[TopicID]], tbl_TOPIC[TopicID], tbl_TOPIC[Subject], "")</f>
        <v>CM</v>
      </c>
      <c r="D449" s="62" t="str">
        <f xml:space="preserve"> tbl_CONTENT[[#This Row],[TopicID]] &amp; "-" &amp; TEXT(tbl_CONTENT[[#This Row],[TopicIDCount]], "00")</f>
        <v>CM-1-04-10</v>
      </c>
      <c r="F449" s="22" t="str">
        <f>_xlfn.XLOOKUP(tbl_CONTENT[[#This Row],[Topic]], tbl_TOPIC[Topic], tbl_TOPIC[TopicID], "")</f>
        <v>CM-1-04</v>
      </c>
      <c r="G449" s="62" cm="1">
        <f t="array" ref="G449">SUM((tbl_CONTENT[[#This Row],[TopicID]]=INDEX(tbl_CONTENT[TopicID],1):tbl_CONTENT[[#This Row],[TopicID]])*1)</f>
        <v>10</v>
      </c>
      <c r="H449" s="22" t="s">
        <v>465</v>
      </c>
      <c r="I449" s="22" t="s">
        <v>810</v>
      </c>
      <c r="J449" s="22" t="s">
        <v>382</v>
      </c>
      <c r="P449" s="62"/>
      <c r="Q449" s="35">
        <f>IFERROR(
 (1.907*EXP(1)^(-0.5*tbl_CONTENT[[#This Row],[Layer]])) *
 ((tbl_CONTENT[[#This Row],[RelInt]]-1)^(2.5)*4^(1-2.5)+1) +
 ((tbl_CONTENT[[#This Row],[Comp]]-1)^(2.5)*4^(1-2.5)+1)*(0.5*((tbl_CONTENT[[#This Row],[RelInt]]-1)/4)^(2.5)+1),
 0
)</f>
        <v>0</v>
      </c>
      <c r="R449" s="35">
        <f>IFERROR(
 (1.907*EXP(1)^(-0.5*VALUE(tbl_CONTENT[[#This Row],[Layer]]))) *
 ((VALUE(tbl_CONTENT[[#This Row],[RelId]])-1)^(2.5)*4^(1-2.5)+1) +
 ((VALUE(tbl_CONTENT[[#This Row],[Comp]])-1)^(2.5)*4^(1-2.5)+1)*(0.5*((VALUE(tbl_CONTENT[[#This Row],[RelId]])-1)/4)^(2.5)+1),
 0
)</f>
        <v>0</v>
      </c>
      <c r="T449" s="62"/>
    </row>
    <row r="450" spans="3:20" ht="34" x14ac:dyDescent="0.2">
      <c r="C450" s="62" t="str">
        <f>_xlfn.XLOOKUP(tbl_CONTENT[[#This Row],[TopicID]], tbl_TOPIC[TopicID], tbl_TOPIC[Subject], "")</f>
        <v>GPDE</v>
      </c>
      <c r="D450" s="62" t="str">
        <f xml:space="preserve"> tbl_CONTENT[[#This Row],[TopicID]] &amp; "-" &amp; TEXT(tbl_CONTENT[[#This Row],[TopicIDCount]], "00")</f>
        <v>GPDE-1-02-12</v>
      </c>
      <c r="F450" s="22" t="str">
        <f>_xlfn.XLOOKUP(tbl_CONTENT[[#This Row],[Topic]], tbl_TOPIC[Topic], tbl_TOPIC[TopicID], "")</f>
        <v>GPDE-1-02</v>
      </c>
      <c r="G450" s="62" cm="1">
        <f t="array" ref="G450">SUM((tbl_CONTENT[[#This Row],[TopicID]]=INDEX(tbl_CONTENT[TopicID],1):tbl_CONTENT[[#This Row],[TopicID]])*1)</f>
        <v>12</v>
      </c>
      <c r="H450" s="22" t="s">
        <v>333</v>
      </c>
      <c r="I450" s="22" t="s">
        <v>812</v>
      </c>
      <c r="J450" s="22" t="s">
        <v>153</v>
      </c>
      <c r="K450" s="22">
        <v>1</v>
      </c>
      <c r="P450" s="62"/>
      <c r="Q450" s="35">
        <f>IFERROR(
 (1.907*EXP(1)^(-0.5*tbl_CONTENT[[#This Row],[Layer]])) *
 ((tbl_CONTENT[[#This Row],[RelInt]]-1)^(2.5)*4^(1-2.5)+1) +
 ((tbl_CONTENT[[#This Row],[Comp]]-1)^(2.5)*4^(1-2.5)+1)*(0.5*((tbl_CONTENT[[#This Row],[RelInt]]-1)/4)^(2.5)+1),
 0
)</f>
        <v>0</v>
      </c>
      <c r="R450" s="35">
        <f>IFERROR(
 (1.907*EXP(1)^(-0.5*VALUE(tbl_CONTENT[[#This Row],[Layer]]))) *
 ((VALUE(tbl_CONTENT[[#This Row],[RelId]])-1)^(2.5)*4^(1-2.5)+1) +
 ((VALUE(tbl_CONTENT[[#This Row],[Comp]])-1)^(2.5)*4^(1-2.5)+1)*(0.5*((VALUE(tbl_CONTENT[[#This Row],[RelId]])-1)/4)^(2.5)+1),
 0
)</f>
        <v>0</v>
      </c>
      <c r="T450" s="62"/>
    </row>
    <row r="451" spans="3:20" ht="34" x14ac:dyDescent="0.2">
      <c r="C451" s="62" t="str">
        <f>_xlfn.XLOOKUP(tbl_CONTENT[[#This Row],[TopicID]], tbl_TOPIC[TopicID], tbl_TOPIC[Subject], "")</f>
        <v>GPDE</v>
      </c>
      <c r="D451" s="62" t="str">
        <f xml:space="preserve"> tbl_CONTENT[[#This Row],[TopicID]] &amp; "-" &amp; TEXT(tbl_CONTENT[[#This Row],[TopicIDCount]], "00")</f>
        <v>GPDE-1-02-13</v>
      </c>
      <c r="F451" s="22" t="str">
        <f>_xlfn.XLOOKUP(tbl_CONTENT[[#This Row],[Topic]], tbl_TOPIC[Topic], tbl_TOPIC[TopicID], "")</f>
        <v>GPDE-1-02</v>
      </c>
      <c r="G451" s="62" cm="1">
        <f t="array" ref="G451">SUM((tbl_CONTENT[[#This Row],[TopicID]]=INDEX(tbl_CONTENT[TopicID],1):tbl_CONTENT[[#This Row],[TopicID]])*1)</f>
        <v>13</v>
      </c>
      <c r="H451" s="22" t="s">
        <v>333</v>
      </c>
      <c r="I451" s="22" t="s">
        <v>813</v>
      </c>
      <c r="J451" s="22" t="s">
        <v>153</v>
      </c>
      <c r="K451" s="22">
        <v>1</v>
      </c>
      <c r="P451" s="62"/>
      <c r="Q451" s="35">
        <f>IFERROR(
 (1.907*EXP(1)^(-0.5*tbl_CONTENT[[#This Row],[Layer]])) *
 ((tbl_CONTENT[[#This Row],[RelInt]]-1)^(2.5)*4^(1-2.5)+1) +
 ((tbl_CONTENT[[#This Row],[Comp]]-1)^(2.5)*4^(1-2.5)+1)*(0.5*((tbl_CONTENT[[#This Row],[RelInt]]-1)/4)^(2.5)+1),
 0
)</f>
        <v>0</v>
      </c>
      <c r="R451" s="35">
        <f>IFERROR(
 (1.907*EXP(1)^(-0.5*VALUE(tbl_CONTENT[[#This Row],[Layer]]))) *
 ((VALUE(tbl_CONTENT[[#This Row],[RelId]])-1)^(2.5)*4^(1-2.5)+1) +
 ((VALUE(tbl_CONTENT[[#This Row],[Comp]])-1)^(2.5)*4^(1-2.5)+1)*(0.5*((VALUE(tbl_CONTENT[[#This Row],[RelId]])-1)/4)^(2.5)+1),
 0
)</f>
        <v>0</v>
      </c>
      <c r="T451" s="62"/>
    </row>
    <row r="452" spans="3:20" ht="34" x14ac:dyDescent="0.2">
      <c r="C452" s="62" t="str">
        <f>_xlfn.XLOOKUP(tbl_CONTENT[[#This Row],[TopicID]], tbl_TOPIC[TopicID], tbl_TOPIC[Subject], "")</f>
        <v>GPDE</v>
      </c>
      <c r="D452" s="62" t="str">
        <f xml:space="preserve"> tbl_CONTENT[[#This Row],[TopicID]] &amp; "-" &amp; TEXT(tbl_CONTENT[[#This Row],[TopicIDCount]], "00")</f>
        <v>GPDE-1-02-14</v>
      </c>
      <c r="F452" s="22" t="str">
        <f>_xlfn.XLOOKUP(tbl_CONTENT[[#This Row],[Topic]], tbl_TOPIC[Topic], tbl_TOPIC[TopicID], "")</f>
        <v>GPDE-1-02</v>
      </c>
      <c r="G452" s="62" cm="1">
        <f t="array" ref="G452">SUM((tbl_CONTENT[[#This Row],[TopicID]]=INDEX(tbl_CONTENT[TopicID],1):tbl_CONTENT[[#This Row],[TopicID]])*1)</f>
        <v>14</v>
      </c>
      <c r="H452" s="22" t="s">
        <v>333</v>
      </c>
      <c r="I452" s="22" t="s">
        <v>814</v>
      </c>
      <c r="J452" s="22" t="s">
        <v>153</v>
      </c>
      <c r="K452" s="22">
        <v>1</v>
      </c>
      <c r="P452" s="62"/>
      <c r="Q452" s="35">
        <f>IFERROR(
 (1.907*EXP(1)^(-0.5*tbl_CONTENT[[#This Row],[Layer]])) *
 ((tbl_CONTENT[[#This Row],[RelInt]]-1)^(2.5)*4^(1-2.5)+1) +
 ((tbl_CONTENT[[#This Row],[Comp]]-1)^(2.5)*4^(1-2.5)+1)*(0.5*((tbl_CONTENT[[#This Row],[RelInt]]-1)/4)^(2.5)+1),
 0
)</f>
        <v>0</v>
      </c>
      <c r="R452" s="35">
        <f>IFERROR(
 (1.907*EXP(1)^(-0.5*VALUE(tbl_CONTENT[[#This Row],[Layer]]))) *
 ((VALUE(tbl_CONTENT[[#This Row],[RelId]])-1)^(2.5)*4^(1-2.5)+1) +
 ((VALUE(tbl_CONTENT[[#This Row],[Comp]])-1)^(2.5)*4^(1-2.5)+1)*(0.5*((VALUE(tbl_CONTENT[[#This Row],[RelId]])-1)/4)^(2.5)+1),
 0
)</f>
        <v>0</v>
      </c>
      <c r="T452" s="62"/>
    </row>
    <row r="453" spans="3:20" ht="34" x14ac:dyDescent="0.2">
      <c r="C453" s="62" t="str">
        <f>_xlfn.XLOOKUP(tbl_CONTENT[[#This Row],[TopicID]], tbl_TOPIC[TopicID], tbl_TOPIC[Subject], "")</f>
        <v>GPDE</v>
      </c>
      <c r="D453" s="62" t="str">
        <f xml:space="preserve"> tbl_CONTENT[[#This Row],[TopicID]] &amp; "-" &amp; TEXT(tbl_CONTENT[[#This Row],[TopicIDCount]], "00")</f>
        <v>GPDE-1-02-15</v>
      </c>
      <c r="F453" s="22" t="str">
        <f>_xlfn.XLOOKUP(tbl_CONTENT[[#This Row],[Topic]], tbl_TOPIC[Topic], tbl_TOPIC[TopicID], "")</f>
        <v>GPDE-1-02</v>
      </c>
      <c r="G453" s="62" cm="1">
        <f t="array" ref="G453">SUM((tbl_CONTENT[[#This Row],[TopicID]]=INDEX(tbl_CONTENT[TopicID],1):tbl_CONTENT[[#This Row],[TopicID]])*1)</f>
        <v>15</v>
      </c>
      <c r="H453" s="22" t="s">
        <v>333</v>
      </c>
      <c r="I453" s="22" t="s">
        <v>815</v>
      </c>
      <c r="J453" s="22" t="s">
        <v>153</v>
      </c>
      <c r="K453" s="22">
        <v>1</v>
      </c>
      <c r="P453" s="62"/>
      <c r="Q453" s="35">
        <f>IFERROR(
 (1.907*EXP(1)^(-0.5*tbl_CONTENT[[#This Row],[Layer]])) *
 ((tbl_CONTENT[[#This Row],[RelInt]]-1)^(2.5)*4^(1-2.5)+1) +
 ((tbl_CONTENT[[#This Row],[Comp]]-1)^(2.5)*4^(1-2.5)+1)*(0.5*((tbl_CONTENT[[#This Row],[RelInt]]-1)/4)^(2.5)+1),
 0
)</f>
        <v>0</v>
      </c>
      <c r="R453" s="35">
        <f>IFERROR(
 (1.907*EXP(1)^(-0.5*VALUE(tbl_CONTENT[[#This Row],[Layer]]))) *
 ((VALUE(tbl_CONTENT[[#This Row],[RelId]])-1)^(2.5)*4^(1-2.5)+1) +
 ((VALUE(tbl_CONTENT[[#This Row],[Comp]])-1)^(2.5)*4^(1-2.5)+1)*(0.5*((VALUE(tbl_CONTENT[[#This Row],[RelId]])-1)/4)^(2.5)+1),
 0
)</f>
        <v>0</v>
      </c>
      <c r="T453" s="62"/>
    </row>
    <row r="454" spans="3:20" ht="34" x14ac:dyDescent="0.2">
      <c r="C454" s="62" t="str">
        <f>_xlfn.XLOOKUP(tbl_CONTENT[[#This Row],[TopicID]], tbl_TOPIC[TopicID], tbl_TOPIC[Subject], "")</f>
        <v>GPDE</v>
      </c>
      <c r="D454" s="62" t="str">
        <f xml:space="preserve"> tbl_CONTENT[[#This Row],[TopicID]] &amp; "-" &amp; TEXT(tbl_CONTENT[[#This Row],[TopicIDCount]], "00")</f>
        <v>GPDE-1-02-16</v>
      </c>
      <c r="F454" s="22" t="str">
        <f>_xlfn.XLOOKUP(tbl_CONTENT[[#This Row],[Topic]], tbl_TOPIC[Topic], tbl_TOPIC[TopicID], "")</f>
        <v>GPDE-1-02</v>
      </c>
      <c r="G454" s="62" cm="1">
        <f t="array" ref="G454">SUM((tbl_CONTENT[[#This Row],[TopicID]]=INDEX(tbl_CONTENT[TopicID],1):tbl_CONTENT[[#This Row],[TopicID]])*1)</f>
        <v>16</v>
      </c>
      <c r="H454" s="22" t="s">
        <v>333</v>
      </c>
      <c r="I454" s="22" t="s">
        <v>816</v>
      </c>
      <c r="J454" s="22" t="s">
        <v>181</v>
      </c>
      <c r="K454" s="22">
        <v>1</v>
      </c>
      <c r="P454" s="62"/>
      <c r="Q454" s="35">
        <f>IFERROR(
 (1.907*EXP(1)^(-0.5*tbl_CONTENT[[#This Row],[Layer]])) *
 ((tbl_CONTENT[[#This Row],[RelInt]]-1)^(2.5)*4^(1-2.5)+1) +
 ((tbl_CONTENT[[#This Row],[Comp]]-1)^(2.5)*4^(1-2.5)+1)*(0.5*((tbl_CONTENT[[#This Row],[RelInt]]-1)/4)^(2.5)+1),
 0
)</f>
        <v>0</v>
      </c>
      <c r="R454" s="35">
        <f>IFERROR(
 (1.907*EXP(1)^(-0.5*VALUE(tbl_CONTENT[[#This Row],[Layer]]))) *
 ((VALUE(tbl_CONTENT[[#This Row],[RelId]])-1)^(2.5)*4^(1-2.5)+1) +
 ((VALUE(tbl_CONTENT[[#This Row],[Comp]])-1)^(2.5)*4^(1-2.5)+1)*(0.5*((VALUE(tbl_CONTENT[[#This Row],[RelId]])-1)/4)^(2.5)+1),
 0
)</f>
        <v>0</v>
      </c>
      <c r="T454" s="62"/>
    </row>
    <row r="455" spans="3:20" ht="51" x14ac:dyDescent="0.2">
      <c r="C455" s="62" t="str">
        <f>_xlfn.XLOOKUP(tbl_CONTENT[[#This Row],[TopicID]], tbl_TOPIC[TopicID], tbl_TOPIC[Subject], "")</f>
        <v>GPDE</v>
      </c>
      <c r="D455" s="62" t="str">
        <f xml:space="preserve"> tbl_CONTENT[[#This Row],[TopicID]] &amp; "-" &amp; TEXT(tbl_CONTENT[[#This Row],[TopicIDCount]], "00")</f>
        <v>GPDE-1-02-17</v>
      </c>
      <c r="F455" s="22" t="str">
        <f>_xlfn.XLOOKUP(tbl_CONTENT[[#This Row],[Topic]], tbl_TOPIC[Topic], tbl_TOPIC[TopicID], "")</f>
        <v>GPDE-1-02</v>
      </c>
      <c r="G455" s="62" cm="1">
        <f t="array" ref="G455">SUM((tbl_CONTENT[[#This Row],[TopicID]]=INDEX(tbl_CONTENT[TopicID],1):tbl_CONTENT[[#This Row],[TopicID]])*1)</f>
        <v>17</v>
      </c>
      <c r="H455" s="22" t="s">
        <v>333</v>
      </c>
      <c r="I455" s="22" t="s">
        <v>818</v>
      </c>
      <c r="J455" s="22" t="s">
        <v>181</v>
      </c>
      <c r="K455" s="22">
        <v>1</v>
      </c>
      <c r="P455" s="62"/>
      <c r="Q455" s="35">
        <f>IFERROR(
 (1.907*EXP(1)^(-0.5*tbl_CONTENT[[#This Row],[Layer]])) *
 ((tbl_CONTENT[[#This Row],[RelInt]]-1)^(2.5)*4^(1-2.5)+1) +
 ((tbl_CONTENT[[#This Row],[Comp]]-1)^(2.5)*4^(1-2.5)+1)*(0.5*((tbl_CONTENT[[#This Row],[RelInt]]-1)/4)^(2.5)+1),
 0
)</f>
        <v>0</v>
      </c>
      <c r="R455" s="35">
        <f>IFERROR(
 (1.907*EXP(1)^(-0.5*VALUE(tbl_CONTENT[[#This Row],[Layer]]))) *
 ((VALUE(tbl_CONTENT[[#This Row],[RelId]])-1)^(2.5)*4^(1-2.5)+1) +
 ((VALUE(tbl_CONTENT[[#This Row],[Comp]])-1)^(2.5)*4^(1-2.5)+1)*(0.5*((VALUE(tbl_CONTENT[[#This Row],[RelId]])-1)/4)^(2.5)+1),
 0
)</f>
        <v>0</v>
      </c>
      <c r="T455" s="62"/>
    </row>
    <row r="456" spans="3:20" ht="51" x14ac:dyDescent="0.2">
      <c r="C456" s="62" t="str">
        <f>_xlfn.XLOOKUP(tbl_CONTENT[[#This Row],[TopicID]], tbl_TOPIC[TopicID], tbl_TOPIC[Subject], "")</f>
        <v>GPDE</v>
      </c>
      <c r="D456" s="62" t="str">
        <f xml:space="preserve"> tbl_CONTENT[[#This Row],[TopicID]] &amp; "-" &amp; TEXT(tbl_CONTENT[[#This Row],[TopicIDCount]], "00")</f>
        <v>GPDE-1-02-18</v>
      </c>
      <c r="F456" s="22" t="str">
        <f>_xlfn.XLOOKUP(tbl_CONTENT[[#This Row],[Topic]], tbl_TOPIC[Topic], tbl_TOPIC[TopicID], "")</f>
        <v>GPDE-1-02</v>
      </c>
      <c r="G456" s="62" cm="1">
        <f t="array" ref="G456">SUM((tbl_CONTENT[[#This Row],[TopicID]]=INDEX(tbl_CONTENT[TopicID],1):tbl_CONTENT[[#This Row],[TopicID]])*1)</f>
        <v>18</v>
      </c>
      <c r="H456" s="22" t="s">
        <v>333</v>
      </c>
      <c r="I456" s="22" t="s">
        <v>817</v>
      </c>
      <c r="J456" s="22" t="s">
        <v>181</v>
      </c>
      <c r="K456" s="22">
        <v>1</v>
      </c>
      <c r="P456" s="62"/>
      <c r="Q456" s="35">
        <f>IFERROR(
 (1.907*EXP(1)^(-0.5*tbl_CONTENT[[#This Row],[Layer]])) *
 ((tbl_CONTENT[[#This Row],[RelInt]]-1)^(2.5)*4^(1-2.5)+1) +
 ((tbl_CONTENT[[#This Row],[Comp]]-1)^(2.5)*4^(1-2.5)+1)*(0.5*((tbl_CONTENT[[#This Row],[RelInt]]-1)/4)^(2.5)+1),
 0
)</f>
        <v>0</v>
      </c>
      <c r="R456" s="35">
        <f>IFERROR(
 (1.907*EXP(1)^(-0.5*VALUE(tbl_CONTENT[[#This Row],[Layer]]))) *
 ((VALUE(tbl_CONTENT[[#This Row],[RelId]])-1)^(2.5)*4^(1-2.5)+1) +
 ((VALUE(tbl_CONTENT[[#This Row],[Comp]])-1)^(2.5)*4^(1-2.5)+1)*(0.5*((VALUE(tbl_CONTENT[[#This Row],[RelId]])-1)/4)^(2.5)+1),
 0
)</f>
        <v>0</v>
      </c>
      <c r="T456" s="62"/>
    </row>
    <row r="457" spans="3:20" ht="34" x14ac:dyDescent="0.2">
      <c r="C457" s="62" t="str">
        <f>_xlfn.XLOOKUP(tbl_CONTENT[[#This Row],[TopicID]], tbl_TOPIC[TopicID], tbl_TOPIC[Subject], "")</f>
        <v>GPDE</v>
      </c>
      <c r="D457" s="62" t="str">
        <f xml:space="preserve"> tbl_CONTENT[[#This Row],[TopicID]] &amp; "-" &amp; TEXT(tbl_CONTENT[[#This Row],[TopicIDCount]], "00")</f>
        <v>GPDE-1-02-19</v>
      </c>
      <c r="F457" s="22" t="str">
        <f>_xlfn.XLOOKUP(tbl_CONTENT[[#This Row],[Topic]], tbl_TOPIC[Topic], tbl_TOPIC[TopicID], "")</f>
        <v>GPDE-1-02</v>
      </c>
      <c r="G457" s="62" cm="1">
        <f t="array" ref="G457">SUM((tbl_CONTENT[[#This Row],[TopicID]]=INDEX(tbl_CONTENT[TopicID],1):tbl_CONTENT[[#This Row],[TopicID]])*1)</f>
        <v>19</v>
      </c>
      <c r="H457" s="22" t="s">
        <v>333</v>
      </c>
      <c r="I457" s="22" t="s">
        <v>819</v>
      </c>
      <c r="J457" s="22" t="s">
        <v>153</v>
      </c>
      <c r="K457" s="22">
        <v>1</v>
      </c>
      <c r="P457" s="62"/>
      <c r="Q457" s="35">
        <f>IFERROR(
 (1.907*EXP(1)^(-0.5*tbl_CONTENT[[#This Row],[Layer]])) *
 ((tbl_CONTENT[[#This Row],[RelInt]]-1)^(2.5)*4^(1-2.5)+1) +
 ((tbl_CONTENT[[#This Row],[Comp]]-1)^(2.5)*4^(1-2.5)+1)*(0.5*((tbl_CONTENT[[#This Row],[RelInt]]-1)/4)^(2.5)+1),
 0
)</f>
        <v>0</v>
      </c>
      <c r="R457" s="35">
        <f>IFERROR(
 (1.907*EXP(1)^(-0.5*VALUE(tbl_CONTENT[[#This Row],[Layer]]))) *
 ((VALUE(tbl_CONTENT[[#This Row],[RelId]])-1)^(2.5)*4^(1-2.5)+1) +
 ((VALUE(tbl_CONTENT[[#This Row],[Comp]])-1)^(2.5)*4^(1-2.5)+1)*(0.5*((VALUE(tbl_CONTENT[[#This Row],[RelId]])-1)/4)^(2.5)+1),
 0
)</f>
        <v>0</v>
      </c>
      <c r="T457" s="62"/>
    </row>
    <row r="458" spans="3:20" ht="34" x14ac:dyDescent="0.2">
      <c r="C458" s="62" t="str">
        <f>_xlfn.XLOOKUP(tbl_CONTENT[[#This Row],[TopicID]], tbl_TOPIC[TopicID], tbl_TOPIC[Subject], "")</f>
        <v>GPDE</v>
      </c>
      <c r="D458" s="62" t="str">
        <f xml:space="preserve"> tbl_CONTENT[[#This Row],[TopicID]] &amp; "-" &amp; TEXT(tbl_CONTENT[[#This Row],[TopicIDCount]], "00")</f>
        <v>GPDE-1-02-20</v>
      </c>
      <c r="F458" s="22" t="str">
        <f>_xlfn.XLOOKUP(tbl_CONTENT[[#This Row],[Topic]], tbl_TOPIC[Topic], tbl_TOPIC[TopicID], "")</f>
        <v>GPDE-1-02</v>
      </c>
      <c r="G458" s="62" cm="1">
        <f t="array" ref="G458">SUM((tbl_CONTENT[[#This Row],[TopicID]]=INDEX(tbl_CONTENT[TopicID],1):tbl_CONTENT[[#This Row],[TopicID]])*1)</f>
        <v>20</v>
      </c>
      <c r="H458" s="22" t="s">
        <v>333</v>
      </c>
      <c r="I458" s="22" t="s">
        <v>821</v>
      </c>
      <c r="J458" s="22" t="s">
        <v>153</v>
      </c>
      <c r="K458" s="22">
        <v>1</v>
      </c>
      <c r="P458" s="62"/>
      <c r="Q458" s="35">
        <f>IFERROR(
 (1.907*EXP(1)^(-0.5*tbl_CONTENT[[#This Row],[Layer]])) *
 ((tbl_CONTENT[[#This Row],[RelInt]]-1)^(2.5)*4^(1-2.5)+1) +
 ((tbl_CONTENT[[#This Row],[Comp]]-1)^(2.5)*4^(1-2.5)+1)*(0.5*((tbl_CONTENT[[#This Row],[RelInt]]-1)/4)^(2.5)+1),
 0
)</f>
        <v>0</v>
      </c>
      <c r="R458" s="35">
        <f>IFERROR(
 (1.907*EXP(1)^(-0.5*VALUE(tbl_CONTENT[[#This Row],[Layer]]))) *
 ((VALUE(tbl_CONTENT[[#This Row],[RelId]])-1)^(2.5)*4^(1-2.5)+1) +
 ((VALUE(tbl_CONTENT[[#This Row],[Comp]])-1)^(2.5)*4^(1-2.5)+1)*(0.5*((VALUE(tbl_CONTENT[[#This Row],[RelId]])-1)/4)^(2.5)+1),
 0
)</f>
        <v>0</v>
      </c>
      <c r="T458" s="62"/>
    </row>
    <row r="459" spans="3:20" ht="34" x14ac:dyDescent="0.2">
      <c r="C459" s="62" t="str">
        <f>_xlfn.XLOOKUP(tbl_CONTENT[[#This Row],[TopicID]], tbl_TOPIC[TopicID], tbl_TOPIC[Subject], "")</f>
        <v>GPDE</v>
      </c>
      <c r="D459" s="62" t="str">
        <f xml:space="preserve"> tbl_CONTENT[[#This Row],[TopicID]] &amp; "-" &amp; TEXT(tbl_CONTENT[[#This Row],[TopicIDCount]], "00")</f>
        <v>GPDE-1-02-21</v>
      </c>
      <c r="F459" s="22" t="str">
        <f>_xlfn.XLOOKUP(tbl_CONTENT[[#This Row],[Topic]], tbl_TOPIC[Topic], tbl_TOPIC[TopicID], "")</f>
        <v>GPDE-1-02</v>
      </c>
      <c r="G459" s="62" cm="1">
        <f t="array" ref="G459">SUM((tbl_CONTENT[[#This Row],[TopicID]]=INDEX(tbl_CONTENT[TopicID],1):tbl_CONTENT[[#This Row],[TopicID]])*1)</f>
        <v>21</v>
      </c>
      <c r="H459" s="22" t="s">
        <v>333</v>
      </c>
      <c r="I459" s="36" t="s">
        <v>820</v>
      </c>
      <c r="J459" s="22" t="s">
        <v>153</v>
      </c>
      <c r="K459" s="22">
        <v>1</v>
      </c>
      <c r="P459" s="62"/>
      <c r="Q459" s="35">
        <f>IFERROR(
 (1.907*EXP(1)^(-0.5*tbl_CONTENT[[#This Row],[Layer]])) *
 ((tbl_CONTENT[[#This Row],[RelInt]]-1)^(2.5)*4^(1-2.5)+1) +
 ((tbl_CONTENT[[#This Row],[Comp]]-1)^(2.5)*4^(1-2.5)+1)*(0.5*((tbl_CONTENT[[#This Row],[RelInt]]-1)/4)^(2.5)+1),
 0
)</f>
        <v>0</v>
      </c>
      <c r="R459" s="35">
        <f>IFERROR(
 (1.907*EXP(1)^(-0.5*VALUE(tbl_CONTENT[[#This Row],[Layer]]))) *
 ((VALUE(tbl_CONTENT[[#This Row],[RelId]])-1)^(2.5)*4^(1-2.5)+1) +
 ((VALUE(tbl_CONTENT[[#This Row],[Comp]])-1)^(2.5)*4^(1-2.5)+1)*(0.5*((VALUE(tbl_CONTENT[[#This Row],[RelId]])-1)/4)^(2.5)+1),
 0
)</f>
        <v>0</v>
      </c>
      <c r="T459" s="62"/>
    </row>
    <row r="460" spans="3:20" ht="51" x14ac:dyDescent="0.2">
      <c r="C460" s="62" t="str">
        <f>_xlfn.XLOOKUP(tbl_CONTENT[[#This Row],[TopicID]], tbl_TOPIC[TopicID], tbl_TOPIC[Subject], "")</f>
        <v>GPDE</v>
      </c>
      <c r="D460" s="62" t="str">
        <f xml:space="preserve"> tbl_CONTENT[[#This Row],[TopicID]] &amp; "-" &amp; TEXT(tbl_CONTENT[[#This Row],[TopicIDCount]], "00")</f>
        <v>GPDE-1-02-22</v>
      </c>
      <c r="F460" s="22" t="str">
        <f>_xlfn.XLOOKUP(tbl_CONTENT[[#This Row],[Topic]], tbl_TOPIC[Topic], tbl_TOPIC[TopicID], "")</f>
        <v>GPDE-1-02</v>
      </c>
      <c r="G460" s="62" cm="1">
        <f t="array" ref="G460">SUM((tbl_CONTENT[[#This Row],[TopicID]]=INDEX(tbl_CONTENT[TopicID],1):tbl_CONTENT[[#This Row],[TopicID]])*1)</f>
        <v>22</v>
      </c>
      <c r="H460" s="22" t="s">
        <v>333</v>
      </c>
      <c r="I460" s="22" t="s">
        <v>822</v>
      </c>
      <c r="J460" s="22" t="s">
        <v>181</v>
      </c>
      <c r="K460" s="22">
        <v>1</v>
      </c>
      <c r="P460" s="62"/>
      <c r="Q460" s="35">
        <f>IFERROR(
 (1.907*EXP(1)^(-0.5*tbl_CONTENT[[#This Row],[Layer]])) *
 ((tbl_CONTENT[[#This Row],[RelInt]]-1)^(2.5)*4^(1-2.5)+1) +
 ((tbl_CONTENT[[#This Row],[Comp]]-1)^(2.5)*4^(1-2.5)+1)*(0.5*((tbl_CONTENT[[#This Row],[RelInt]]-1)/4)^(2.5)+1),
 0
)</f>
        <v>0</v>
      </c>
      <c r="R460" s="35">
        <f>IFERROR(
 (1.907*EXP(1)^(-0.5*VALUE(tbl_CONTENT[[#This Row],[Layer]]))) *
 ((VALUE(tbl_CONTENT[[#This Row],[RelId]])-1)^(2.5)*4^(1-2.5)+1) +
 ((VALUE(tbl_CONTENT[[#This Row],[Comp]])-1)^(2.5)*4^(1-2.5)+1)*(0.5*((VALUE(tbl_CONTENT[[#This Row],[RelId]])-1)/4)^(2.5)+1),
 0
)</f>
        <v>0</v>
      </c>
      <c r="T460" s="62"/>
    </row>
    <row r="461" spans="3:20" ht="34" x14ac:dyDescent="0.2">
      <c r="C461" s="62" t="str">
        <f>_xlfn.XLOOKUP(tbl_CONTENT[[#This Row],[TopicID]], tbl_TOPIC[TopicID], tbl_TOPIC[Subject], "")</f>
        <v>GPDE</v>
      </c>
      <c r="D461" s="62" t="str">
        <f xml:space="preserve"> tbl_CONTENT[[#This Row],[TopicID]] &amp; "-" &amp; TEXT(tbl_CONTENT[[#This Row],[TopicIDCount]], "00")</f>
        <v>GPDE-1-02-23</v>
      </c>
      <c r="F461" s="22" t="str">
        <f>_xlfn.XLOOKUP(tbl_CONTENT[[#This Row],[Topic]], tbl_TOPIC[Topic], tbl_TOPIC[TopicID], "")</f>
        <v>GPDE-1-02</v>
      </c>
      <c r="G461" s="62" cm="1">
        <f t="array" ref="G461">SUM((tbl_CONTENT[[#This Row],[TopicID]]=INDEX(tbl_CONTENT[TopicID],1):tbl_CONTENT[[#This Row],[TopicID]])*1)</f>
        <v>23</v>
      </c>
      <c r="H461" s="22" t="s">
        <v>333</v>
      </c>
      <c r="I461" s="22" t="s">
        <v>825</v>
      </c>
      <c r="J461" s="22" t="s">
        <v>382</v>
      </c>
      <c r="K461" s="22">
        <v>1</v>
      </c>
      <c r="P461" s="62"/>
      <c r="Q461" s="35">
        <f>IFERROR(
 (1.907*EXP(1)^(-0.5*tbl_CONTENT[[#This Row],[Layer]])) *
 ((tbl_CONTENT[[#This Row],[RelInt]]-1)^(2.5)*4^(1-2.5)+1) +
 ((tbl_CONTENT[[#This Row],[Comp]]-1)^(2.5)*4^(1-2.5)+1)*(0.5*((tbl_CONTENT[[#This Row],[RelInt]]-1)/4)^(2.5)+1),
 0
)</f>
        <v>0</v>
      </c>
      <c r="R461" s="35">
        <f>IFERROR(
 (1.907*EXP(1)^(-0.5*VALUE(tbl_CONTENT[[#This Row],[Layer]]))) *
 ((VALUE(tbl_CONTENT[[#This Row],[RelId]])-1)^(2.5)*4^(1-2.5)+1) +
 ((VALUE(tbl_CONTENT[[#This Row],[Comp]])-1)^(2.5)*4^(1-2.5)+1)*(0.5*((VALUE(tbl_CONTENT[[#This Row],[RelId]])-1)/4)^(2.5)+1),
 0
)</f>
        <v>0</v>
      </c>
      <c r="T461" s="62"/>
    </row>
    <row r="462" spans="3:20" ht="34" x14ac:dyDescent="0.2">
      <c r="C462" s="62" t="str">
        <f>_xlfn.XLOOKUP(tbl_CONTENT[[#This Row],[TopicID]], tbl_TOPIC[TopicID], tbl_TOPIC[Subject], "")</f>
        <v>GPDE</v>
      </c>
      <c r="D462" s="62" t="str">
        <f xml:space="preserve"> tbl_CONTENT[[#This Row],[TopicID]] &amp; "-" &amp; TEXT(tbl_CONTENT[[#This Row],[TopicIDCount]], "00")</f>
        <v>GPDE-1-09-01</v>
      </c>
      <c r="F462" s="22" t="str">
        <f>_xlfn.XLOOKUP(tbl_CONTENT[[#This Row],[Topic]], tbl_TOPIC[Topic], tbl_TOPIC[TopicID], "")</f>
        <v>GPDE-1-09</v>
      </c>
      <c r="G462" s="62" cm="1">
        <f t="array" ref="G462">SUM((tbl_CONTENT[[#This Row],[TopicID]]=INDEX(tbl_CONTENT[TopicID],1):tbl_CONTENT[[#This Row],[TopicID]])*1)</f>
        <v>1</v>
      </c>
      <c r="H462" s="22" t="s">
        <v>459</v>
      </c>
      <c r="I462" s="22" t="s">
        <v>823</v>
      </c>
      <c r="J462" s="22" t="s">
        <v>151</v>
      </c>
      <c r="K462" s="22">
        <v>1</v>
      </c>
      <c r="P462" s="62"/>
      <c r="Q462" s="35">
        <f>IFERROR(
 (1.907*EXP(1)^(-0.5*tbl_CONTENT[[#This Row],[Layer]])) *
 ((tbl_CONTENT[[#This Row],[RelInt]]-1)^(2.5)*4^(1-2.5)+1) +
 ((tbl_CONTENT[[#This Row],[Comp]]-1)^(2.5)*4^(1-2.5)+1)*(0.5*((tbl_CONTENT[[#This Row],[RelInt]]-1)/4)^(2.5)+1),
 0
)</f>
        <v>0</v>
      </c>
      <c r="R462" s="35">
        <f>IFERROR(
 (1.907*EXP(1)^(-0.5*VALUE(tbl_CONTENT[[#This Row],[Layer]]))) *
 ((VALUE(tbl_CONTENT[[#This Row],[RelId]])-1)^(2.5)*4^(1-2.5)+1) +
 ((VALUE(tbl_CONTENT[[#This Row],[Comp]])-1)^(2.5)*4^(1-2.5)+1)*(0.5*((VALUE(tbl_CONTENT[[#This Row],[RelId]])-1)/4)^(2.5)+1),
 0
)</f>
        <v>0</v>
      </c>
      <c r="T462" s="62"/>
    </row>
    <row r="463" spans="3:20" ht="34" x14ac:dyDescent="0.2">
      <c r="C463" s="62" t="str">
        <f>_xlfn.XLOOKUP(tbl_CONTENT[[#This Row],[TopicID]], tbl_TOPIC[TopicID], tbl_TOPIC[Subject], "")</f>
        <v>GPDE</v>
      </c>
      <c r="D463" s="62" t="str">
        <f xml:space="preserve"> tbl_CONTENT[[#This Row],[TopicID]] &amp; "-" &amp; TEXT(tbl_CONTENT[[#This Row],[TopicIDCount]], "00")</f>
        <v>GPDE-1-09-02</v>
      </c>
      <c r="F463" s="22" t="str">
        <f>_xlfn.XLOOKUP(tbl_CONTENT[[#This Row],[Topic]], tbl_TOPIC[Topic], tbl_TOPIC[TopicID], "")</f>
        <v>GPDE-1-09</v>
      </c>
      <c r="G463" s="62" cm="1">
        <f t="array" ref="G463">SUM((tbl_CONTENT[[#This Row],[TopicID]]=INDEX(tbl_CONTENT[TopicID],1):tbl_CONTENT[[#This Row],[TopicID]])*1)</f>
        <v>2</v>
      </c>
      <c r="H463" s="22" t="s">
        <v>459</v>
      </c>
      <c r="I463" s="22" t="s">
        <v>824</v>
      </c>
      <c r="J463" s="22" t="s">
        <v>151</v>
      </c>
      <c r="K463" s="22">
        <v>1</v>
      </c>
      <c r="P463" s="62"/>
      <c r="Q463" s="35">
        <f>IFERROR(
 (1.907*EXP(1)^(-0.5*tbl_CONTENT[[#This Row],[Layer]])) *
 ((tbl_CONTENT[[#This Row],[RelInt]]-1)^(2.5)*4^(1-2.5)+1) +
 ((tbl_CONTENT[[#This Row],[Comp]]-1)^(2.5)*4^(1-2.5)+1)*(0.5*((tbl_CONTENT[[#This Row],[RelInt]]-1)/4)^(2.5)+1),
 0
)</f>
        <v>0</v>
      </c>
      <c r="R463" s="35">
        <f>IFERROR(
 (1.907*EXP(1)^(-0.5*VALUE(tbl_CONTENT[[#This Row],[Layer]]))) *
 ((VALUE(tbl_CONTENT[[#This Row],[RelId]])-1)^(2.5)*4^(1-2.5)+1) +
 ((VALUE(tbl_CONTENT[[#This Row],[Comp]])-1)^(2.5)*4^(1-2.5)+1)*(0.5*((VALUE(tbl_CONTENT[[#This Row],[RelId]])-1)/4)^(2.5)+1),
 0
)</f>
        <v>0</v>
      </c>
      <c r="T463" s="62"/>
    </row>
    <row r="464" spans="3:20" ht="34" x14ac:dyDescent="0.2">
      <c r="C464" s="62" t="str">
        <f>_xlfn.XLOOKUP(tbl_CONTENT[[#This Row],[TopicID]], tbl_TOPIC[TopicID], tbl_TOPIC[Subject], "")</f>
        <v>RG</v>
      </c>
      <c r="D464" s="62" t="str">
        <f xml:space="preserve"> tbl_CONTENT[[#This Row],[TopicID]] &amp; "-" &amp; TEXT(tbl_CONTENT[[#This Row],[TopicIDCount]], "00")</f>
        <v>RG-1-17-01</v>
      </c>
      <c r="F464" s="22" t="str">
        <f>_xlfn.XLOOKUP(tbl_CONTENT[[#This Row],[Topic]], tbl_TOPIC[Topic], tbl_TOPIC[TopicID], "")</f>
        <v>RG-1-17</v>
      </c>
      <c r="G464" s="62" cm="1">
        <f t="array" ref="G464">SUM((tbl_CONTENT[[#This Row],[TopicID]]=INDEX(tbl_CONTENT[TopicID],1):tbl_CONTENT[[#This Row],[TopicID]])*1)</f>
        <v>1</v>
      </c>
      <c r="H464" s="22" t="s">
        <v>827</v>
      </c>
      <c r="I464" s="22" t="s">
        <v>828</v>
      </c>
      <c r="J464" s="22" t="s">
        <v>494</v>
      </c>
      <c r="P464" s="62"/>
      <c r="Q464" s="35">
        <f>IFERROR(
 (1.907*EXP(1)^(-0.5*tbl_CONTENT[[#This Row],[Layer]])) *
 ((tbl_CONTENT[[#This Row],[RelInt]]-1)^(2.5)*4^(1-2.5)+1) +
 ((tbl_CONTENT[[#This Row],[Comp]]-1)^(2.5)*4^(1-2.5)+1)*(0.5*((tbl_CONTENT[[#This Row],[RelInt]]-1)/4)^(2.5)+1),
 0
)</f>
        <v>0</v>
      </c>
      <c r="R464" s="35">
        <f>IFERROR(
 (1.907*EXP(1)^(-0.5*VALUE(tbl_CONTENT[[#This Row],[Layer]]))) *
 ((VALUE(tbl_CONTENT[[#This Row],[RelId]])-1)^(2.5)*4^(1-2.5)+1) +
 ((VALUE(tbl_CONTENT[[#This Row],[Comp]])-1)^(2.5)*4^(1-2.5)+1)*(0.5*((VALUE(tbl_CONTENT[[#This Row],[RelId]])-1)/4)^(2.5)+1),
 0
)</f>
        <v>0</v>
      </c>
      <c r="T464" s="62"/>
    </row>
    <row r="465" spans="3:20" ht="34" x14ac:dyDescent="0.2">
      <c r="C465" s="62" t="str">
        <f>_xlfn.XLOOKUP(tbl_CONTENT[[#This Row],[TopicID]], tbl_TOPIC[TopicID], tbl_TOPIC[Subject], "")</f>
        <v>RG</v>
      </c>
      <c r="D465" s="62" t="str">
        <f xml:space="preserve"> tbl_CONTENT[[#This Row],[TopicID]] &amp; "-" &amp; TEXT(tbl_CONTENT[[#This Row],[TopicIDCount]], "00")</f>
        <v>RG-1-17-02</v>
      </c>
      <c r="F465" s="22" t="str">
        <f>_xlfn.XLOOKUP(tbl_CONTENT[[#This Row],[Topic]], tbl_TOPIC[Topic], tbl_TOPIC[TopicID], "")</f>
        <v>RG-1-17</v>
      </c>
      <c r="G465" s="62" cm="1">
        <f t="array" ref="G465">SUM((tbl_CONTENT[[#This Row],[TopicID]]=INDEX(tbl_CONTENT[TopicID],1):tbl_CONTENT[[#This Row],[TopicID]])*1)</f>
        <v>2</v>
      </c>
      <c r="H465" s="22" t="s">
        <v>827</v>
      </c>
      <c r="I465" s="22" t="s">
        <v>829</v>
      </c>
      <c r="J465" s="22" t="s">
        <v>494</v>
      </c>
      <c r="P465" s="62"/>
      <c r="Q465" s="35">
        <f>IFERROR(
 (1.907*EXP(1)^(-0.5*tbl_CONTENT[[#This Row],[Layer]])) *
 ((tbl_CONTENT[[#This Row],[RelInt]]-1)^(2.5)*4^(1-2.5)+1) +
 ((tbl_CONTENT[[#This Row],[Comp]]-1)^(2.5)*4^(1-2.5)+1)*(0.5*((tbl_CONTENT[[#This Row],[RelInt]]-1)/4)^(2.5)+1),
 0
)</f>
        <v>0</v>
      </c>
      <c r="R465" s="35">
        <f>IFERROR(
 (1.907*EXP(1)^(-0.5*VALUE(tbl_CONTENT[[#This Row],[Layer]]))) *
 ((VALUE(tbl_CONTENT[[#This Row],[RelId]])-1)^(2.5)*4^(1-2.5)+1) +
 ((VALUE(tbl_CONTENT[[#This Row],[Comp]])-1)^(2.5)*4^(1-2.5)+1)*(0.5*((VALUE(tbl_CONTENT[[#This Row],[RelId]])-1)/4)^(2.5)+1),
 0
)</f>
        <v>0</v>
      </c>
      <c r="T465" s="62"/>
    </row>
    <row r="466" spans="3:20" ht="34" x14ac:dyDescent="0.2">
      <c r="C466" s="62" t="str">
        <f>_xlfn.XLOOKUP(tbl_CONTENT[[#This Row],[TopicID]], tbl_TOPIC[TopicID], tbl_TOPIC[Subject], "")</f>
        <v>RG</v>
      </c>
      <c r="D466" s="62" t="str">
        <f xml:space="preserve"> tbl_CONTENT[[#This Row],[TopicID]] &amp; "-" &amp; TEXT(tbl_CONTENT[[#This Row],[TopicIDCount]], "00")</f>
        <v>RG-1-17-03</v>
      </c>
      <c r="F466" s="22" t="str">
        <f>_xlfn.XLOOKUP(tbl_CONTENT[[#This Row],[Topic]], tbl_TOPIC[Topic], tbl_TOPIC[TopicID], "")</f>
        <v>RG-1-17</v>
      </c>
      <c r="G466" s="62" cm="1">
        <f t="array" ref="G466">SUM((tbl_CONTENT[[#This Row],[TopicID]]=INDEX(tbl_CONTENT[TopicID],1):tbl_CONTENT[[#This Row],[TopicID]])*1)</f>
        <v>3</v>
      </c>
      <c r="H466" s="22" t="s">
        <v>827</v>
      </c>
      <c r="I466" s="22" t="s">
        <v>830</v>
      </c>
      <c r="J466" s="22" t="s">
        <v>494</v>
      </c>
      <c r="P466" s="62"/>
      <c r="Q466" s="35">
        <f>IFERROR(
 (1.907*EXP(1)^(-0.5*tbl_CONTENT[[#This Row],[Layer]])) *
 ((tbl_CONTENT[[#This Row],[RelInt]]-1)^(2.5)*4^(1-2.5)+1) +
 ((tbl_CONTENT[[#This Row],[Comp]]-1)^(2.5)*4^(1-2.5)+1)*(0.5*((tbl_CONTENT[[#This Row],[RelInt]]-1)/4)^(2.5)+1),
 0
)</f>
        <v>0</v>
      </c>
      <c r="R466" s="35">
        <f>IFERROR(
 (1.907*EXP(1)^(-0.5*VALUE(tbl_CONTENT[[#This Row],[Layer]]))) *
 ((VALUE(tbl_CONTENT[[#This Row],[RelId]])-1)^(2.5)*4^(1-2.5)+1) +
 ((VALUE(tbl_CONTENT[[#This Row],[Comp]])-1)^(2.5)*4^(1-2.5)+1)*(0.5*((VALUE(tbl_CONTENT[[#This Row],[RelId]])-1)/4)^(2.5)+1),
 0
)</f>
        <v>0</v>
      </c>
      <c r="T466" s="62"/>
    </row>
    <row r="467" spans="3:20" ht="34" x14ac:dyDescent="0.2">
      <c r="C467" s="62" t="str">
        <f>_xlfn.XLOOKUP(tbl_CONTENT[[#This Row],[TopicID]], tbl_TOPIC[TopicID], tbl_TOPIC[Subject], "")</f>
        <v>RG</v>
      </c>
      <c r="D467" s="62" t="str">
        <f xml:space="preserve"> tbl_CONTENT[[#This Row],[TopicID]] &amp; "-" &amp; TEXT(tbl_CONTENT[[#This Row],[TopicIDCount]], "00")</f>
        <v>RG-1-17-04</v>
      </c>
      <c r="F467" s="22" t="str">
        <f>_xlfn.XLOOKUP(tbl_CONTENT[[#This Row],[Topic]], tbl_TOPIC[Topic], tbl_TOPIC[TopicID], "")</f>
        <v>RG-1-17</v>
      </c>
      <c r="G467" s="62" cm="1">
        <f t="array" ref="G467">SUM((tbl_CONTENT[[#This Row],[TopicID]]=INDEX(tbl_CONTENT[TopicID],1):tbl_CONTENT[[#This Row],[TopicID]])*1)</f>
        <v>4</v>
      </c>
      <c r="H467" s="22" t="s">
        <v>827</v>
      </c>
      <c r="I467" s="22" t="s">
        <v>831</v>
      </c>
      <c r="J467" s="22" t="s">
        <v>494</v>
      </c>
      <c r="P467" s="62"/>
      <c r="Q467" s="35">
        <f>IFERROR(
 (1.907*EXP(1)^(-0.5*tbl_CONTENT[[#This Row],[Layer]])) *
 ((tbl_CONTENT[[#This Row],[RelInt]]-1)^(2.5)*4^(1-2.5)+1) +
 ((tbl_CONTENT[[#This Row],[Comp]]-1)^(2.5)*4^(1-2.5)+1)*(0.5*((tbl_CONTENT[[#This Row],[RelInt]]-1)/4)^(2.5)+1),
 0
)</f>
        <v>0</v>
      </c>
      <c r="R467" s="35">
        <f>IFERROR(
 (1.907*EXP(1)^(-0.5*VALUE(tbl_CONTENT[[#This Row],[Layer]]))) *
 ((VALUE(tbl_CONTENT[[#This Row],[RelId]])-1)^(2.5)*4^(1-2.5)+1) +
 ((VALUE(tbl_CONTENT[[#This Row],[Comp]])-1)^(2.5)*4^(1-2.5)+1)*(0.5*((VALUE(tbl_CONTENT[[#This Row],[RelId]])-1)/4)^(2.5)+1),
 0
)</f>
        <v>0</v>
      </c>
      <c r="T467" s="62"/>
    </row>
    <row r="468" spans="3:20" ht="17" x14ac:dyDescent="0.2">
      <c r="C468" s="62" t="str">
        <f>_xlfn.XLOOKUP(tbl_CONTENT[[#This Row],[TopicID]], tbl_TOPIC[TopicID], tbl_TOPIC[Subject], "")</f>
        <v>A</v>
      </c>
      <c r="D468" s="62" t="str">
        <f xml:space="preserve"> tbl_CONTENT[[#This Row],[TopicID]] &amp; "-" &amp; TEXT(tbl_CONTENT[[#This Row],[TopicIDCount]], "00")</f>
        <v>A-1-03-01</v>
      </c>
      <c r="F468" s="22" t="str">
        <f>_xlfn.XLOOKUP(tbl_CONTENT[[#This Row],[Topic]], tbl_TOPIC[Topic], tbl_TOPIC[TopicID], "")</f>
        <v>A-1-03</v>
      </c>
      <c r="G468" s="62" cm="1">
        <f t="array" ref="G468">SUM((tbl_CONTENT[[#This Row],[TopicID]]=INDEX(tbl_CONTENT[TopicID],1):tbl_CONTENT[[#This Row],[TopicID]])*1)</f>
        <v>1</v>
      </c>
      <c r="H468" s="22" t="s">
        <v>834</v>
      </c>
      <c r="I468" s="22" t="s">
        <v>835</v>
      </c>
      <c r="J468" s="22" t="s">
        <v>153</v>
      </c>
      <c r="K468" s="22">
        <v>1</v>
      </c>
      <c r="P468" s="62"/>
      <c r="Q468" s="35">
        <f>IFERROR(
 (1.907*EXP(1)^(-0.5*tbl_CONTENT[[#This Row],[Layer]])) *
 ((tbl_CONTENT[[#This Row],[RelInt]]-1)^(2.5)*4^(1-2.5)+1) +
 ((tbl_CONTENT[[#This Row],[Comp]]-1)^(2.5)*4^(1-2.5)+1)*(0.5*((tbl_CONTENT[[#This Row],[RelInt]]-1)/4)^(2.5)+1),
 0
)</f>
        <v>0</v>
      </c>
      <c r="R468" s="35">
        <f>IFERROR(
 (1.907*EXP(1)^(-0.5*VALUE(tbl_CONTENT[[#This Row],[Layer]]))) *
 ((VALUE(tbl_CONTENT[[#This Row],[RelId]])-1)^(2.5)*4^(1-2.5)+1) +
 ((VALUE(tbl_CONTENT[[#This Row],[Comp]])-1)^(2.5)*4^(1-2.5)+1)*(0.5*((VALUE(tbl_CONTENT[[#This Row],[RelId]])-1)/4)^(2.5)+1),
 0
)</f>
        <v>0</v>
      </c>
      <c r="T468" s="62"/>
    </row>
    <row r="469" spans="3:20" ht="17" x14ac:dyDescent="0.2">
      <c r="C469" s="62" t="str">
        <f>_xlfn.XLOOKUP(tbl_CONTENT[[#This Row],[TopicID]], tbl_TOPIC[TopicID], tbl_TOPIC[Subject], "")</f>
        <v>A</v>
      </c>
      <c r="D469" s="62" t="str">
        <f xml:space="preserve"> tbl_CONTENT[[#This Row],[TopicID]] &amp; "-" &amp; TEXT(tbl_CONTENT[[#This Row],[TopicIDCount]], "00")</f>
        <v>A-1-03-02</v>
      </c>
      <c r="F469" s="22" t="str">
        <f>_xlfn.XLOOKUP(tbl_CONTENT[[#This Row],[Topic]], tbl_TOPIC[Topic], tbl_TOPIC[TopicID], "")</f>
        <v>A-1-03</v>
      </c>
      <c r="G469" s="62" cm="1">
        <f t="array" ref="G469">SUM((tbl_CONTENT[[#This Row],[TopicID]]=INDEX(tbl_CONTENT[TopicID],1):tbl_CONTENT[[#This Row],[TopicID]])*1)</f>
        <v>2</v>
      </c>
      <c r="H469" s="22" t="s">
        <v>834</v>
      </c>
      <c r="I469" s="22" t="s">
        <v>845</v>
      </c>
      <c r="J469" s="22" t="s">
        <v>153</v>
      </c>
      <c r="P469" s="62"/>
      <c r="Q469" s="35">
        <f>IFERROR(
 (1.907*EXP(1)^(-0.5*tbl_CONTENT[[#This Row],[Layer]])) *
 ((tbl_CONTENT[[#This Row],[RelInt]]-1)^(2.5)*4^(1-2.5)+1) +
 ((tbl_CONTENT[[#This Row],[Comp]]-1)^(2.5)*4^(1-2.5)+1)*(0.5*((tbl_CONTENT[[#This Row],[RelInt]]-1)/4)^(2.5)+1),
 0
)</f>
        <v>0</v>
      </c>
      <c r="R469" s="35">
        <f>IFERROR(
 (1.907*EXP(1)^(-0.5*VALUE(tbl_CONTENT[[#This Row],[Layer]]))) *
 ((VALUE(tbl_CONTENT[[#This Row],[RelId]])-1)^(2.5)*4^(1-2.5)+1) +
 ((VALUE(tbl_CONTENT[[#This Row],[Comp]])-1)^(2.5)*4^(1-2.5)+1)*(0.5*((VALUE(tbl_CONTENT[[#This Row],[RelId]])-1)/4)^(2.5)+1),
 0
)</f>
        <v>0</v>
      </c>
      <c r="T469" s="62"/>
    </row>
    <row r="470" spans="3:20" ht="17" x14ac:dyDescent="0.2">
      <c r="C470" s="62" t="str">
        <f>_xlfn.XLOOKUP(tbl_CONTENT[[#This Row],[TopicID]], tbl_TOPIC[TopicID], tbl_TOPIC[Subject], "")</f>
        <v>A</v>
      </c>
      <c r="D470" s="62" t="str">
        <f xml:space="preserve"> tbl_CONTENT[[#This Row],[TopicID]] &amp; "-" &amp; TEXT(tbl_CONTENT[[#This Row],[TopicIDCount]], "00")</f>
        <v>A-1-03-03</v>
      </c>
      <c r="F470" s="22" t="str">
        <f>_xlfn.XLOOKUP(tbl_CONTENT[[#This Row],[Topic]], tbl_TOPIC[Topic], tbl_TOPIC[TopicID], "")</f>
        <v>A-1-03</v>
      </c>
      <c r="G470" s="62" cm="1">
        <f t="array" ref="G470">SUM((tbl_CONTENT[[#This Row],[TopicID]]=INDEX(tbl_CONTENT[TopicID],1):tbl_CONTENT[[#This Row],[TopicID]])*1)</f>
        <v>3</v>
      </c>
      <c r="H470" s="22" t="s">
        <v>834</v>
      </c>
      <c r="I470" s="22" t="s">
        <v>836</v>
      </c>
      <c r="J470" s="22" t="s">
        <v>153</v>
      </c>
      <c r="K470" s="22">
        <v>1</v>
      </c>
      <c r="P470" s="62"/>
      <c r="Q470" s="35">
        <f>IFERROR(
 (1.907*EXP(1)^(-0.5*tbl_CONTENT[[#This Row],[Layer]])) *
 ((tbl_CONTENT[[#This Row],[RelInt]]-1)^(2.5)*4^(1-2.5)+1) +
 ((tbl_CONTENT[[#This Row],[Comp]]-1)^(2.5)*4^(1-2.5)+1)*(0.5*((tbl_CONTENT[[#This Row],[RelInt]]-1)/4)^(2.5)+1),
 0
)</f>
        <v>0</v>
      </c>
      <c r="R470" s="35">
        <f>IFERROR(
 (1.907*EXP(1)^(-0.5*VALUE(tbl_CONTENT[[#This Row],[Layer]]))) *
 ((VALUE(tbl_CONTENT[[#This Row],[RelId]])-1)^(2.5)*4^(1-2.5)+1) +
 ((VALUE(tbl_CONTENT[[#This Row],[Comp]])-1)^(2.5)*4^(1-2.5)+1)*(0.5*((VALUE(tbl_CONTENT[[#This Row],[RelId]])-1)/4)^(2.5)+1),
 0
)</f>
        <v>0</v>
      </c>
      <c r="T470" s="62"/>
    </row>
    <row r="471" spans="3:20" ht="17" x14ac:dyDescent="0.2">
      <c r="C471" s="62" t="str">
        <f>_xlfn.XLOOKUP(tbl_CONTENT[[#This Row],[TopicID]], tbl_TOPIC[TopicID], tbl_TOPIC[Subject], "")</f>
        <v>A</v>
      </c>
      <c r="D471" s="62" t="str">
        <f xml:space="preserve"> tbl_CONTENT[[#This Row],[TopicID]] &amp; "-" &amp; TEXT(tbl_CONTENT[[#This Row],[TopicIDCount]], "00")</f>
        <v>A-1-03-04</v>
      </c>
      <c r="F471" s="22" t="str">
        <f>_xlfn.XLOOKUP(tbl_CONTENT[[#This Row],[Topic]], tbl_TOPIC[Topic], tbl_TOPIC[TopicID], "")</f>
        <v>A-1-03</v>
      </c>
      <c r="G471" s="62" cm="1">
        <f t="array" ref="G471">SUM((tbl_CONTENT[[#This Row],[TopicID]]=INDEX(tbl_CONTENT[TopicID],1):tbl_CONTENT[[#This Row],[TopicID]])*1)</f>
        <v>4</v>
      </c>
      <c r="H471" s="22" t="s">
        <v>834</v>
      </c>
      <c r="I471" s="22" t="s">
        <v>837</v>
      </c>
      <c r="J471" s="22" t="s">
        <v>181</v>
      </c>
      <c r="P471" s="62"/>
      <c r="Q471" s="35">
        <f>IFERROR(
 (1.907*EXP(1)^(-0.5*tbl_CONTENT[[#This Row],[Layer]])) *
 ((tbl_CONTENT[[#This Row],[RelInt]]-1)^(2.5)*4^(1-2.5)+1) +
 ((tbl_CONTENT[[#This Row],[Comp]]-1)^(2.5)*4^(1-2.5)+1)*(0.5*((tbl_CONTENT[[#This Row],[RelInt]]-1)/4)^(2.5)+1),
 0
)</f>
        <v>0</v>
      </c>
      <c r="R471" s="35">
        <f>IFERROR(
 (1.907*EXP(1)^(-0.5*VALUE(tbl_CONTENT[[#This Row],[Layer]]))) *
 ((VALUE(tbl_CONTENT[[#This Row],[RelId]])-1)^(2.5)*4^(1-2.5)+1) +
 ((VALUE(tbl_CONTENT[[#This Row],[Comp]])-1)^(2.5)*4^(1-2.5)+1)*(0.5*((VALUE(tbl_CONTENT[[#This Row],[RelId]])-1)/4)^(2.5)+1),
 0
)</f>
        <v>0</v>
      </c>
      <c r="T471" s="62"/>
    </row>
    <row r="472" spans="3:20" ht="17" x14ac:dyDescent="0.2">
      <c r="C472" s="62" t="str">
        <f>_xlfn.XLOOKUP(tbl_CONTENT[[#This Row],[TopicID]], tbl_TOPIC[TopicID], tbl_TOPIC[Subject], "")</f>
        <v>A</v>
      </c>
      <c r="D472" s="62" t="str">
        <f xml:space="preserve"> tbl_CONTENT[[#This Row],[TopicID]] &amp; "-" &amp; TEXT(tbl_CONTENT[[#This Row],[TopicIDCount]], "00")</f>
        <v>A-1-03-05</v>
      </c>
      <c r="F472" s="22" t="str">
        <f>_xlfn.XLOOKUP(tbl_CONTENT[[#This Row],[Topic]], tbl_TOPIC[Topic], tbl_TOPIC[TopicID], "")</f>
        <v>A-1-03</v>
      </c>
      <c r="G472" s="62" cm="1">
        <f t="array" ref="G472">SUM((tbl_CONTENT[[#This Row],[TopicID]]=INDEX(tbl_CONTENT[TopicID],1):tbl_CONTENT[[#This Row],[TopicID]])*1)</f>
        <v>5</v>
      </c>
      <c r="H472" s="22" t="s">
        <v>834</v>
      </c>
      <c r="I472" s="22" t="s">
        <v>1602</v>
      </c>
      <c r="J472" s="22" t="s">
        <v>181</v>
      </c>
      <c r="P472" s="62"/>
      <c r="Q472" s="35">
        <f>IFERROR(
 (1.907*EXP(1)^(-0.5*tbl_CONTENT[[#This Row],[Layer]])) *
 ((tbl_CONTENT[[#This Row],[RelInt]]-1)^(2.5)*4^(1-2.5)+1) +
 ((tbl_CONTENT[[#This Row],[Comp]]-1)^(2.5)*4^(1-2.5)+1)*(0.5*((tbl_CONTENT[[#This Row],[RelInt]]-1)/4)^(2.5)+1),
 0
)</f>
        <v>0</v>
      </c>
      <c r="R472" s="35">
        <f>IFERROR(
 (1.907*EXP(1)^(-0.5*VALUE(tbl_CONTENT[[#This Row],[Layer]]))) *
 ((VALUE(tbl_CONTENT[[#This Row],[RelId]])-1)^(2.5)*4^(1-2.5)+1) +
 ((VALUE(tbl_CONTENT[[#This Row],[Comp]])-1)^(2.5)*4^(1-2.5)+1)*(0.5*((VALUE(tbl_CONTENT[[#This Row],[RelId]])-1)/4)^(2.5)+1),
 0
)</f>
        <v>0</v>
      </c>
      <c r="T472" s="62"/>
    </row>
    <row r="473" spans="3:20" ht="17" x14ac:dyDescent="0.2">
      <c r="C473" s="62" t="str">
        <f>_xlfn.XLOOKUP(tbl_CONTENT[[#This Row],[TopicID]], tbl_TOPIC[TopicID], tbl_TOPIC[Subject], "")</f>
        <v>A</v>
      </c>
      <c r="D473" s="62" t="str">
        <f xml:space="preserve"> tbl_CONTENT[[#This Row],[TopicID]] &amp; "-" &amp; TEXT(tbl_CONTENT[[#This Row],[TopicIDCount]], "00")</f>
        <v>A-1-03-06</v>
      </c>
      <c r="F473" s="22" t="str">
        <f>_xlfn.XLOOKUP(tbl_CONTENT[[#This Row],[Topic]], tbl_TOPIC[Topic], tbl_TOPIC[TopicID], "")</f>
        <v>A-1-03</v>
      </c>
      <c r="G473" s="62" cm="1">
        <f t="array" ref="G473">SUM((tbl_CONTENT[[#This Row],[TopicID]]=INDEX(tbl_CONTENT[TopicID],1):tbl_CONTENT[[#This Row],[TopicID]])*1)</f>
        <v>6</v>
      </c>
      <c r="H473" s="22" t="s">
        <v>834</v>
      </c>
      <c r="I473" s="22" t="s">
        <v>838</v>
      </c>
      <c r="J473" s="22" t="s">
        <v>181</v>
      </c>
      <c r="P473" s="62"/>
      <c r="Q473" s="35">
        <f>IFERROR(
 (1.907*EXP(1)^(-0.5*tbl_CONTENT[[#This Row],[Layer]])) *
 ((tbl_CONTENT[[#This Row],[RelInt]]-1)^(2.5)*4^(1-2.5)+1) +
 ((tbl_CONTENT[[#This Row],[Comp]]-1)^(2.5)*4^(1-2.5)+1)*(0.5*((tbl_CONTENT[[#This Row],[RelInt]]-1)/4)^(2.5)+1),
 0
)</f>
        <v>0</v>
      </c>
      <c r="R473" s="35">
        <f>IFERROR(
 (1.907*EXP(1)^(-0.5*VALUE(tbl_CONTENT[[#This Row],[Layer]]))) *
 ((VALUE(tbl_CONTENT[[#This Row],[RelId]])-1)^(2.5)*4^(1-2.5)+1) +
 ((VALUE(tbl_CONTENT[[#This Row],[Comp]])-1)^(2.5)*4^(1-2.5)+1)*(0.5*((VALUE(tbl_CONTENT[[#This Row],[RelId]])-1)/4)^(2.5)+1),
 0
)</f>
        <v>0</v>
      </c>
      <c r="T473" s="62"/>
    </row>
    <row r="474" spans="3:20" ht="17" x14ac:dyDescent="0.2">
      <c r="C474" s="62" t="str">
        <f>_xlfn.XLOOKUP(tbl_CONTENT[[#This Row],[TopicID]], tbl_TOPIC[TopicID], tbl_TOPIC[Subject], "")</f>
        <v>A</v>
      </c>
      <c r="D474" s="62" t="str">
        <f xml:space="preserve"> tbl_CONTENT[[#This Row],[TopicID]] &amp; "-" &amp; TEXT(tbl_CONTENT[[#This Row],[TopicIDCount]], "00")</f>
        <v>A-1-03-07</v>
      </c>
      <c r="F474" s="22" t="str">
        <f>_xlfn.XLOOKUP(tbl_CONTENT[[#This Row],[Topic]], tbl_TOPIC[Topic], tbl_TOPIC[TopicID], "")</f>
        <v>A-1-03</v>
      </c>
      <c r="G474" s="62" cm="1">
        <f t="array" ref="G474">SUM((tbl_CONTENT[[#This Row],[TopicID]]=INDEX(tbl_CONTENT[TopicID],1):tbl_CONTENT[[#This Row],[TopicID]])*1)</f>
        <v>7</v>
      </c>
      <c r="H474" s="22" t="s">
        <v>834</v>
      </c>
      <c r="I474" s="22" t="s">
        <v>851</v>
      </c>
      <c r="J474" s="22" t="s">
        <v>181</v>
      </c>
      <c r="P474" s="62"/>
      <c r="Q474" s="35">
        <f>IFERROR(
 (1.907*EXP(1)^(-0.5*tbl_CONTENT[[#This Row],[Layer]])) *
 ((tbl_CONTENT[[#This Row],[RelInt]]-1)^(2.5)*4^(1-2.5)+1) +
 ((tbl_CONTENT[[#This Row],[Comp]]-1)^(2.5)*4^(1-2.5)+1)*(0.5*((tbl_CONTENT[[#This Row],[RelInt]]-1)/4)^(2.5)+1),
 0
)</f>
        <v>0</v>
      </c>
      <c r="R474" s="35">
        <f>IFERROR(
 (1.907*EXP(1)^(-0.5*VALUE(tbl_CONTENT[[#This Row],[Layer]]))) *
 ((VALUE(tbl_CONTENT[[#This Row],[RelId]])-1)^(2.5)*4^(1-2.5)+1) +
 ((VALUE(tbl_CONTENT[[#This Row],[Comp]])-1)^(2.5)*4^(1-2.5)+1)*(0.5*((VALUE(tbl_CONTENT[[#This Row],[RelId]])-1)/4)^(2.5)+1),
 0
)</f>
        <v>0</v>
      </c>
      <c r="T474" s="62"/>
    </row>
    <row r="475" spans="3:20" ht="17" x14ac:dyDescent="0.2">
      <c r="C475" s="62" t="str">
        <f>_xlfn.XLOOKUP(tbl_CONTENT[[#This Row],[TopicID]], tbl_TOPIC[TopicID], tbl_TOPIC[Subject], "")</f>
        <v>A</v>
      </c>
      <c r="D475" s="62" t="str">
        <f xml:space="preserve"> tbl_CONTENT[[#This Row],[TopicID]] &amp; "-" &amp; TEXT(tbl_CONTENT[[#This Row],[TopicIDCount]], "00")</f>
        <v>A-1-03-08</v>
      </c>
      <c r="F475" s="22" t="str">
        <f>_xlfn.XLOOKUP(tbl_CONTENT[[#This Row],[Topic]], tbl_TOPIC[Topic], tbl_TOPIC[TopicID], "")</f>
        <v>A-1-03</v>
      </c>
      <c r="G475" s="62" cm="1">
        <f t="array" ref="G475">SUM((tbl_CONTENT[[#This Row],[TopicID]]=INDEX(tbl_CONTENT[TopicID],1):tbl_CONTENT[[#This Row],[TopicID]])*1)</f>
        <v>8</v>
      </c>
      <c r="H475" s="22" t="s">
        <v>834</v>
      </c>
      <c r="I475" s="22" t="s">
        <v>1603</v>
      </c>
      <c r="J475" s="22" t="s">
        <v>181</v>
      </c>
      <c r="P475" s="62"/>
      <c r="Q475" s="35">
        <f>IFERROR(
 (1.907*EXP(1)^(-0.5*tbl_CONTENT[[#This Row],[Layer]])) *
 ((tbl_CONTENT[[#This Row],[RelInt]]-1)^(2.5)*4^(1-2.5)+1) +
 ((tbl_CONTENT[[#This Row],[Comp]]-1)^(2.5)*4^(1-2.5)+1)*(0.5*((tbl_CONTENT[[#This Row],[RelInt]]-1)/4)^(2.5)+1),
 0
)</f>
        <v>0</v>
      </c>
      <c r="R475" s="35">
        <f>IFERROR(
 (1.907*EXP(1)^(-0.5*VALUE(tbl_CONTENT[[#This Row],[Layer]]))) *
 ((VALUE(tbl_CONTENT[[#This Row],[RelId]])-1)^(2.5)*4^(1-2.5)+1) +
 ((VALUE(tbl_CONTENT[[#This Row],[Comp]])-1)^(2.5)*4^(1-2.5)+1)*(0.5*((VALUE(tbl_CONTENT[[#This Row],[RelId]])-1)/4)^(2.5)+1),
 0
)</f>
        <v>0</v>
      </c>
      <c r="T475" s="62"/>
    </row>
    <row r="476" spans="3:20" ht="17" x14ac:dyDescent="0.2">
      <c r="C476" s="62" t="str">
        <f>_xlfn.XLOOKUP(tbl_CONTENT[[#This Row],[TopicID]], tbl_TOPIC[TopicID], tbl_TOPIC[Subject], "")</f>
        <v>A</v>
      </c>
      <c r="D476" s="62" t="str">
        <f xml:space="preserve"> tbl_CONTENT[[#This Row],[TopicID]] &amp; "-" &amp; TEXT(tbl_CONTENT[[#This Row],[TopicIDCount]], "00")</f>
        <v>A-1-03-09</v>
      </c>
      <c r="F476" s="22" t="str">
        <f>_xlfn.XLOOKUP(tbl_CONTENT[[#This Row],[Topic]], tbl_TOPIC[Topic], tbl_TOPIC[TopicID], "")</f>
        <v>A-1-03</v>
      </c>
      <c r="G476" s="62" cm="1">
        <f t="array" ref="G476">SUM((tbl_CONTENT[[#This Row],[TopicID]]=INDEX(tbl_CONTENT[TopicID],1):tbl_CONTENT[[#This Row],[TopicID]])*1)</f>
        <v>9</v>
      </c>
      <c r="H476" s="22" t="s">
        <v>834</v>
      </c>
      <c r="I476" s="22" t="s">
        <v>839</v>
      </c>
      <c r="J476" s="22" t="s">
        <v>181</v>
      </c>
      <c r="P476" s="62"/>
      <c r="Q476" s="35">
        <f>IFERROR(
 (1.907*EXP(1)^(-0.5*tbl_CONTENT[[#This Row],[Layer]])) *
 ((tbl_CONTENT[[#This Row],[RelInt]]-1)^(2.5)*4^(1-2.5)+1) +
 ((tbl_CONTENT[[#This Row],[Comp]]-1)^(2.5)*4^(1-2.5)+1)*(0.5*((tbl_CONTENT[[#This Row],[RelInt]]-1)/4)^(2.5)+1),
 0
)</f>
        <v>0</v>
      </c>
      <c r="R476" s="35">
        <f>IFERROR(
 (1.907*EXP(1)^(-0.5*VALUE(tbl_CONTENT[[#This Row],[Layer]]))) *
 ((VALUE(tbl_CONTENT[[#This Row],[RelId]])-1)^(2.5)*4^(1-2.5)+1) +
 ((VALUE(tbl_CONTENT[[#This Row],[Comp]])-1)^(2.5)*4^(1-2.5)+1)*(0.5*((VALUE(tbl_CONTENT[[#This Row],[RelId]])-1)/4)^(2.5)+1),
 0
)</f>
        <v>0</v>
      </c>
      <c r="T476" s="62"/>
    </row>
    <row r="477" spans="3:20" ht="17" x14ac:dyDescent="0.2">
      <c r="C477" s="62" t="str">
        <f>_xlfn.XLOOKUP(tbl_CONTENT[[#This Row],[TopicID]], tbl_TOPIC[TopicID], tbl_TOPIC[Subject], "")</f>
        <v>A</v>
      </c>
      <c r="D477" s="62" t="str">
        <f xml:space="preserve"> tbl_CONTENT[[#This Row],[TopicID]] &amp; "-" &amp; TEXT(tbl_CONTENT[[#This Row],[TopicIDCount]], "00")</f>
        <v>A-1-03-10</v>
      </c>
      <c r="F477" s="22" t="str">
        <f>_xlfn.XLOOKUP(tbl_CONTENT[[#This Row],[Topic]], tbl_TOPIC[Topic], tbl_TOPIC[TopicID], "")</f>
        <v>A-1-03</v>
      </c>
      <c r="G477" s="62" cm="1">
        <f t="array" ref="G477">SUM((tbl_CONTENT[[#This Row],[TopicID]]=INDEX(tbl_CONTENT[TopicID],1):tbl_CONTENT[[#This Row],[TopicID]])*1)</f>
        <v>10</v>
      </c>
      <c r="H477" s="22" t="s">
        <v>834</v>
      </c>
      <c r="I477" s="22" t="s">
        <v>840</v>
      </c>
      <c r="J477" s="22" t="s">
        <v>181</v>
      </c>
      <c r="P477" s="62"/>
      <c r="Q477" s="35">
        <f>IFERROR(
 (1.907*EXP(1)^(-0.5*tbl_CONTENT[[#This Row],[Layer]])) *
 ((tbl_CONTENT[[#This Row],[RelInt]]-1)^(2.5)*4^(1-2.5)+1) +
 ((tbl_CONTENT[[#This Row],[Comp]]-1)^(2.5)*4^(1-2.5)+1)*(0.5*((tbl_CONTENT[[#This Row],[RelInt]]-1)/4)^(2.5)+1),
 0
)</f>
        <v>0</v>
      </c>
      <c r="R477" s="35">
        <f>IFERROR(
 (1.907*EXP(1)^(-0.5*VALUE(tbl_CONTENT[[#This Row],[Layer]]))) *
 ((VALUE(tbl_CONTENT[[#This Row],[RelId]])-1)^(2.5)*4^(1-2.5)+1) +
 ((VALUE(tbl_CONTENT[[#This Row],[Comp]])-1)^(2.5)*4^(1-2.5)+1)*(0.5*((VALUE(tbl_CONTENT[[#This Row],[RelId]])-1)/4)^(2.5)+1),
 0
)</f>
        <v>0</v>
      </c>
      <c r="T477" s="62"/>
    </row>
    <row r="478" spans="3:20" ht="17" x14ac:dyDescent="0.2">
      <c r="C478" s="62" t="str">
        <f>_xlfn.XLOOKUP(tbl_CONTENT[[#This Row],[TopicID]], tbl_TOPIC[TopicID], tbl_TOPIC[Subject], "")</f>
        <v>A</v>
      </c>
      <c r="D478" s="62" t="str">
        <f xml:space="preserve"> tbl_CONTENT[[#This Row],[TopicID]] &amp; "-" &amp; TEXT(tbl_CONTENT[[#This Row],[TopicIDCount]], "00")</f>
        <v>A-1-03-11</v>
      </c>
      <c r="F478" s="22" t="str">
        <f>_xlfn.XLOOKUP(tbl_CONTENT[[#This Row],[Topic]], tbl_TOPIC[Topic], tbl_TOPIC[TopicID], "")</f>
        <v>A-1-03</v>
      </c>
      <c r="G478" s="62" cm="1">
        <f t="array" ref="G478">SUM((tbl_CONTENT[[#This Row],[TopicID]]=INDEX(tbl_CONTENT[TopicID],1):tbl_CONTENT[[#This Row],[TopicID]])*1)</f>
        <v>11</v>
      </c>
      <c r="H478" s="22" t="s">
        <v>834</v>
      </c>
      <c r="I478" s="22" t="s">
        <v>841</v>
      </c>
      <c r="J478" s="22" t="s">
        <v>181</v>
      </c>
      <c r="P478" s="62"/>
      <c r="Q478" s="35">
        <f>IFERROR(
 (1.907*EXP(1)^(-0.5*tbl_CONTENT[[#This Row],[Layer]])) *
 ((tbl_CONTENT[[#This Row],[RelInt]]-1)^(2.5)*4^(1-2.5)+1) +
 ((tbl_CONTENT[[#This Row],[Comp]]-1)^(2.5)*4^(1-2.5)+1)*(0.5*((tbl_CONTENT[[#This Row],[RelInt]]-1)/4)^(2.5)+1),
 0
)</f>
        <v>0</v>
      </c>
      <c r="R478" s="35">
        <f>IFERROR(
 (1.907*EXP(1)^(-0.5*VALUE(tbl_CONTENT[[#This Row],[Layer]]))) *
 ((VALUE(tbl_CONTENT[[#This Row],[RelId]])-1)^(2.5)*4^(1-2.5)+1) +
 ((VALUE(tbl_CONTENT[[#This Row],[Comp]])-1)^(2.5)*4^(1-2.5)+1)*(0.5*((VALUE(tbl_CONTENT[[#This Row],[RelId]])-1)/4)^(2.5)+1),
 0
)</f>
        <v>0</v>
      </c>
      <c r="T478" s="62"/>
    </row>
    <row r="479" spans="3:20" ht="34" x14ac:dyDescent="0.2">
      <c r="C479" s="62" t="str">
        <f>_xlfn.XLOOKUP(tbl_CONTENT[[#This Row],[TopicID]], tbl_TOPIC[TopicID], tbl_TOPIC[Subject], "")</f>
        <v>A</v>
      </c>
      <c r="D479" s="62" t="str">
        <f xml:space="preserve"> tbl_CONTENT[[#This Row],[TopicID]] &amp; "-" &amp; TEXT(tbl_CONTENT[[#This Row],[TopicIDCount]], "00")</f>
        <v>A-1-03-12</v>
      </c>
      <c r="F479" s="22" t="str">
        <f>_xlfn.XLOOKUP(tbl_CONTENT[[#This Row],[Topic]], tbl_TOPIC[Topic], tbl_TOPIC[TopicID], "")</f>
        <v>A-1-03</v>
      </c>
      <c r="G479" s="62" cm="1">
        <f t="array" ref="G479">SUM((tbl_CONTENT[[#This Row],[TopicID]]=INDEX(tbl_CONTENT[TopicID],1):tbl_CONTENT[[#This Row],[TopicID]])*1)</f>
        <v>12</v>
      </c>
      <c r="H479" s="22" t="s">
        <v>834</v>
      </c>
      <c r="I479" s="22" t="s">
        <v>842</v>
      </c>
      <c r="J479" s="22" t="s">
        <v>181</v>
      </c>
      <c r="P479" s="62"/>
      <c r="Q479" s="35">
        <f>IFERROR(
 (1.907*EXP(1)^(-0.5*tbl_CONTENT[[#This Row],[Layer]])) *
 ((tbl_CONTENT[[#This Row],[RelInt]]-1)^(2.5)*4^(1-2.5)+1) +
 ((tbl_CONTENT[[#This Row],[Comp]]-1)^(2.5)*4^(1-2.5)+1)*(0.5*((tbl_CONTENT[[#This Row],[RelInt]]-1)/4)^(2.5)+1),
 0
)</f>
        <v>0</v>
      </c>
      <c r="R479" s="35">
        <f>IFERROR(
 (1.907*EXP(1)^(-0.5*VALUE(tbl_CONTENT[[#This Row],[Layer]]))) *
 ((VALUE(tbl_CONTENT[[#This Row],[RelId]])-1)^(2.5)*4^(1-2.5)+1) +
 ((VALUE(tbl_CONTENT[[#This Row],[Comp]])-1)^(2.5)*4^(1-2.5)+1)*(0.5*((VALUE(tbl_CONTENT[[#This Row],[RelId]])-1)/4)^(2.5)+1),
 0
)</f>
        <v>0</v>
      </c>
      <c r="T479" s="62"/>
    </row>
    <row r="480" spans="3:20" ht="17" x14ac:dyDescent="0.2">
      <c r="C480" s="62" t="str">
        <f>_xlfn.XLOOKUP(tbl_CONTENT[[#This Row],[TopicID]], tbl_TOPIC[TopicID], tbl_TOPIC[Subject], "")</f>
        <v>A</v>
      </c>
      <c r="D480" s="62" t="str">
        <f xml:space="preserve"> tbl_CONTENT[[#This Row],[TopicID]] &amp; "-" &amp; TEXT(tbl_CONTENT[[#This Row],[TopicIDCount]], "00")</f>
        <v>A-1-03-13</v>
      </c>
      <c r="F480" s="22" t="str">
        <f>_xlfn.XLOOKUP(tbl_CONTENT[[#This Row],[Topic]], tbl_TOPIC[Topic], tbl_TOPIC[TopicID], "")</f>
        <v>A-1-03</v>
      </c>
      <c r="G480" s="62" cm="1">
        <f t="array" ref="G480">SUM((tbl_CONTENT[[#This Row],[TopicID]]=INDEX(tbl_CONTENT[TopicID],1):tbl_CONTENT[[#This Row],[TopicID]])*1)</f>
        <v>13</v>
      </c>
      <c r="H480" s="22" t="s">
        <v>834</v>
      </c>
      <c r="I480" s="22" t="s">
        <v>843</v>
      </c>
      <c r="J480" s="22" t="s">
        <v>148</v>
      </c>
      <c r="P480" s="62"/>
      <c r="Q480" s="35">
        <f>IFERROR(
 (1.907*EXP(1)^(-0.5*tbl_CONTENT[[#This Row],[Layer]])) *
 ((tbl_CONTENT[[#This Row],[RelInt]]-1)^(2.5)*4^(1-2.5)+1) +
 ((tbl_CONTENT[[#This Row],[Comp]]-1)^(2.5)*4^(1-2.5)+1)*(0.5*((tbl_CONTENT[[#This Row],[RelInt]]-1)/4)^(2.5)+1),
 0
)</f>
        <v>0</v>
      </c>
      <c r="R480" s="35">
        <f>IFERROR(
 (1.907*EXP(1)^(-0.5*VALUE(tbl_CONTENT[[#This Row],[Layer]]))) *
 ((VALUE(tbl_CONTENT[[#This Row],[RelId]])-1)^(2.5)*4^(1-2.5)+1) +
 ((VALUE(tbl_CONTENT[[#This Row],[Comp]])-1)^(2.5)*4^(1-2.5)+1)*(0.5*((VALUE(tbl_CONTENT[[#This Row],[RelId]])-1)/4)^(2.5)+1),
 0
)</f>
        <v>0</v>
      </c>
      <c r="T480" s="62"/>
    </row>
    <row r="481" spans="3:20" ht="17" x14ac:dyDescent="0.2">
      <c r="C481" s="62" t="str">
        <f>_xlfn.XLOOKUP(tbl_CONTENT[[#This Row],[TopicID]], tbl_TOPIC[TopicID], tbl_TOPIC[Subject], "")</f>
        <v>A</v>
      </c>
      <c r="D481" s="62" t="str">
        <f xml:space="preserve"> tbl_CONTENT[[#This Row],[TopicID]] &amp; "-" &amp; TEXT(tbl_CONTENT[[#This Row],[TopicIDCount]], "00")</f>
        <v>A-1-03-14</v>
      </c>
      <c r="F481" s="22" t="str">
        <f>_xlfn.XLOOKUP(tbl_CONTENT[[#This Row],[Topic]], tbl_TOPIC[Topic], tbl_TOPIC[TopicID], "")</f>
        <v>A-1-03</v>
      </c>
      <c r="G481" s="62" cm="1">
        <f t="array" ref="G481">SUM((tbl_CONTENT[[#This Row],[TopicID]]=INDEX(tbl_CONTENT[TopicID],1):tbl_CONTENT[[#This Row],[TopicID]])*1)</f>
        <v>14</v>
      </c>
      <c r="H481" s="22" t="s">
        <v>834</v>
      </c>
      <c r="I481" s="22" t="s">
        <v>844</v>
      </c>
      <c r="J481" s="22" t="s">
        <v>150</v>
      </c>
      <c r="P481" s="62"/>
      <c r="Q481" s="35">
        <f>IFERROR(
 (1.907*EXP(1)^(-0.5*tbl_CONTENT[[#This Row],[Layer]])) *
 ((tbl_CONTENT[[#This Row],[RelInt]]-1)^(2.5)*4^(1-2.5)+1) +
 ((tbl_CONTENT[[#This Row],[Comp]]-1)^(2.5)*4^(1-2.5)+1)*(0.5*((tbl_CONTENT[[#This Row],[RelInt]]-1)/4)^(2.5)+1),
 0
)</f>
        <v>0</v>
      </c>
      <c r="R481" s="35">
        <f>IFERROR(
 (1.907*EXP(1)^(-0.5*VALUE(tbl_CONTENT[[#This Row],[Layer]]))) *
 ((VALUE(tbl_CONTENT[[#This Row],[RelId]])-1)^(2.5)*4^(1-2.5)+1) +
 ((VALUE(tbl_CONTENT[[#This Row],[Comp]])-1)^(2.5)*4^(1-2.5)+1)*(0.5*((VALUE(tbl_CONTENT[[#This Row],[RelId]])-1)/4)^(2.5)+1),
 0
)</f>
        <v>0</v>
      </c>
      <c r="T481" s="62"/>
    </row>
    <row r="482" spans="3:20" ht="17" x14ac:dyDescent="0.2">
      <c r="C482" s="62" t="str">
        <f>_xlfn.XLOOKUP(tbl_CONTENT[[#This Row],[TopicID]], tbl_TOPIC[TopicID], tbl_TOPIC[Subject], "")</f>
        <v>A</v>
      </c>
      <c r="D482" s="62" t="str">
        <f xml:space="preserve"> tbl_CONTENT[[#This Row],[TopicID]] &amp; "-" &amp; TEXT(tbl_CONTENT[[#This Row],[TopicIDCount]], "00")</f>
        <v>A-1-03-15</v>
      </c>
      <c r="F482" s="22" t="str">
        <f>_xlfn.XLOOKUP(tbl_CONTENT[[#This Row],[Topic]], tbl_TOPIC[Topic], tbl_TOPIC[TopicID], "")</f>
        <v>A-1-03</v>
      </c>
      <c r="G482" s="62" cm="1">
        <f t="array" ref="G482">SUM((tbl_CONTENT[[#This Row],[TopicID]]=INDEX(tbl_CONTENT[TopicID],1):tbl_CONTENT[[#This Row],[TopicID]])*1)</f>
        <v>15</v>
      </c>
      <c r="H482" s="22" t="s">
        <v>834</v>
      </c>
      <c r="I482" s="22" t="s">
        <v>1604</v>
      </c>
      <c r="J482" s="22" t="s">
        <v>150</v>
      </c>
      <c r="P482" s="62"/>
      <c r="Q482" s="35">
        <f>IFERROR(
 (1.907*EXP(1)^(-0.5*tbl_CONTENT[[#This Row],[Layer]])) *
 ((tbl_CONTENT[[#This Row],[RelInt]]-1)^(2.5)*4^(1-2.5)+1) +
 ((tbl_CONTENT[[#This Row],[Comp]]-1)^(2.5)*4^(1-2.5)+1)*(0.5*((tbl_CONTENT[[#This Row],[RelInt]]-1)/4)^(2.5)+1),
 0
)</f>
        <v>0</v>
      </c>
      <c r="R482" s="35">
        <f>IFERROR(
 (1.907*EXP(1)^(-0.5*VALUE(tbl_CONTENT[[#This Row],[Layer]]))) *
 ((VALUE(tbl_CONTENT[[#This Row],[RelId]])-1)^(2.5)*4^(1-2.5)+1) +
 ((VALUE(tbl_CONTENT[[#This Row],[Comp]])-1)^(2.5)*4^(1-2.5)+1)*(0.5*((VALUE(tbl_CONTENT[[#This Row],[RelId]])-1)/4)^(2.5)+1),
 0
)</f>
        <v>0</v>
      </c>
      <c r="T482" s="62"/>
    </row>
    <row r="483" spans="3:20" ht="17" x14ac:dyDescent="0.2">
      <c r="C483" s="62" t="str">
        <f>_xlfn.XLOOKUP(tbl_CONTENT[[#This Row],[TopicID]], tbl_TOPIC[TopicID], tbl_TOPIC[Subject], "")</f>
        <v>A</v>
      </c>
      <c r="D483" s="62" t="str">
        <f xml:space="preserve"> tbl_CONTENT[[#This Row],[TopicID]] &amp; "-" &amp; TEXT(tbl_CONTENT[[#This Row],[TopicIDCount]], "00")</f>
        <v>A-1-03-16</v>
      </c>
      <c r="F483" s="22" t="str">
        <f>_xlfn.XLOOKUP(tbl_CONTENT[[#This Row],[Topic]], tbl_TOPIC[Topic], tbl_TOPIC[TopicID], "")</f>
        <v>A-1-03</v>
      </c>
      <c r="G483" s="62" cm="1">
        <f t="array" ref="G483">SUM((tbl_CONTENT[[#This Row],[TopicID]]=INDEX(tbl_CONTENT[TopicID],1):tbl_CONTENT[[#This Row],[TopicID]])*1)</f>
        <v>16</v>
      </c>
      <c r="H483" s="22" t="s">
        <v>834</v>
      </c>
      <c r="I483" s="22" t="s">
        <v>846</v>
      </c>
      <c r="J483" s="22" t="s">
        <v>153</v>
      </c>
      <c r="K483" s="22">
        <v>1</v>
      </c>
      <c r="P483" s="62"/>
      <c r="Q483" s="35">
        <f>IFERROR(
 (1.907*EXP(1)^(-0.5*tbl_CONTENT[[#This Row],[Layer]])) *
 ((tbl_CONTENT[[#This Row],[RelInt]]-1)^(2.5)*4^(1-2.5)+1) +
 ((tbl_CONTENT[[#This Row],[Comp]]-1)^(2.5)*4^(1-2.5)+1)*(0.5*((tbl_CONTENT[[#This Row],[RelInt]]-1)/4)^(2.5)+1),
 0
)</f>
        <v>0</v>
      </c>
      <c r="R483" s="35">
        <f>IFERROR(
 (1.907*EXP(1)^(-0.5*VALUE(tbl_CONTENT[[#This Row],[Layer]]))) *
 ((VALUE(tbl_CONTENT[[#This Row],[RelId]])-1)^(2.5)*4^(1-2.5)+1) +
 ((VALUE(tbl_CONTENT[[#This Row],[Comp]])-1)^(2.5)*4^(1-2.5)+1)*(0.5*((VALUE(tbl_CONTENT[[#This Row],[RelId]])-1)/4)^(2.5)+1),
 0
)</f>
        <v>0</v>
      </c>
      <c r="T483" s="62"/>
    </row>
    <row r="484" spans="3:20" ht="51" x14ac:dyDescent="0.2">
      <c r="C484" s="62" t="str">
        <f>_xlfn.XLOOKUP(tbl_CONTENT[[#This Row],[TopicID]], tbl_TOPIC[TopicID], tbl_TOPIC[Subject], "")</f>
        <v>A</v>
      </c>
      <c r="D484" s="62" t="str">
        <f xml:space="preserve"> tbl_CONTENT[[#This Row],[TopicID]] &amp; "-" &amp; TEXT(tbl_CONTENT[[#This Row],[TopicIDCount]], "00")</f>
        <v>A-1-03-17</v>
      </c>
      <c r="F484" s="22" t="str">
        <f>_xlfn.XLOOKUP(tbl_CONTENT[[#This Row],[Topic]], tbl_TOPIC[Topic], tbl_TOPIC[TopicID], "")</f>
        <v>A-1-03</v>
      </c>
      <c r="G484" s="62" cm="1">
        <f t="array" ref="G484">SUM((tbl_CONTENT[[#This Row],[TopicID]]=INDEX(tbl_CONTENT[TopicID],1):tbl_CONTENT[[#This Row],[TopicID]])*1)</f>
        <v>17</v>
      </c>
      <c r="H484" s="22" t="s">
        <v>834</v>
      </c>
      <c r="I484" s="22" t="s">
        <v>847</v>
      </c>
      <c r="J484" s="22" t="s">
        <v>148</v>
      </c>
      <c r="P484" s="62"/>
      <c r="Q484" s="35">
        <f>IFERROR(
 (1.907*EXP(1)^(-0.5*tbl_CONTENT[[#This Row],[Layer]])) *
 ((tbl_CONTENT[[#This Row],[RelInt]]-1)^(2.5)*4^(1-2.5)+1) +
 ((tbl_CONTENT[[#This Row],[Comp]]-1)^(2.5)*4^(1-2.5)+1)*(0.5*((tbl_CONTENT[[#This Row],[RelInt]]-1)/4)^(2.5)+1),
 0
)</f>
        <v>0</v>
      </c>
      <c r="R484" s="35">
        <f>IFERROR(
 (1.907*EXP(1)^(-0.5*VALUE(tbl_CONTENT[[#This Row],[Layer]]))) *
 ((VALUE(tbl_CONTENT[[#This Row],[RelId]])-1)^(2.5)*4^(1-2.5)+1) +
 ((VALUE(tbl_CONTENT[[#This Row],[Comp]])-1)^(2.5)*4^(1-2.5)+1)*(0.5*((VALUE(tbl_CONTENT[[#This Row],[RelId]])-1)/4)^(2.5)+1),
 0
)</f>
        <v>0</v>
      </c>
      <c r="T484" s="62"/>
    </row>
    <row r="485" spans="3:20" ht="17" x14ac:dyDescent="0.2">
      <c r="C485" s="62" t="str">
        <f>_xlfn.XLOOKUP(tbl_CONTENT[[#This Row],[TopicID]], tbl_TOPIC[TopicID], tbl_TOPIC[Subject], "")</f>
        <v>A</v>
      </c>
      <c r="D485" s="62" t="str">
        <f xml:space="preserve"> tbl_CONTENT[[#This Row],[TopicID]] &amp; "-" &amp; TEXT(tbl_CONTENT[[#This Row],[TopicIDCount]], "00")</f>
        <v>A-1-03-18</v>
      </c>
      <c r="F485" s="22" t="str">
        <f>_xlfn.XLOOKUP(tbl_CONTENT[[#This Row],[Topic]], tbl_TOPIC[Topic], tbl_TOPIC[TopicID], "")</f>
        <v>A-1-03</v>
      </c>
      <c r="G485" s="62" cm="1">
        <f t="array" ref="G485">SUM((tbl_CONTENT[[#This Row],[TopicID]]=INDEX(tbl_CONTENT[TopicID],1):tbl_CONTENT[[#This Row],[TopicID]])*1)</f>
        <v>18</v>
      </c>
      <c r="H485" s="22" t="s">
        <v>834</v>
      </c>
      <c r="I485" s="22" t="s">
        <v>848</v>
      </c>
      <c r="J485" s="22" t="s">
        <v>181</v>
      </c>
      <c r="P485" s="62"/>
      <c r="Q485" s="35">
        <f>IFERROR(
 (1.907*EXP(1)^(-0.5*tbl_CONTENT[[#This Row],[Layer]])) *
 ((tbl_CONTENT[[#This Row],[RelInt]]-1)^(2.5)*4^(1-2.5)+1) +
 ((tbl_CONTENT[[#This Row],[Comp]]-1)^(2.5)*4^(1-2.5)+1)*(0.5*((tbl_CONTENT[[#This Row],[RelInt]]-1)/4)^(2.5)+1),
 0
)</f>
        <v>0</v>
      </c>
      <c r="R485" s="35">
        <f>IFERROR(
 (1.907*EXP(1)^(-0.5*VALUE(tbl_CONTENT[[#This Row],[Layer]]))) *
 ((VALUE(tbl_CONTENT[[#This Row],[RelId]])-1)^(2.5)*4^(1-2.5)+1) +
 ((VALUE(tbl_CONTENT[[#This Row],[Comp]])-1)^(2.5)*4^(1-2.5)+1)*(0.5*((VALUE(tbl_CONTENT[[#This Row],[RelId]])-1)/4)^(2.5)+1),
 0
)</f>
        <v>0</v>
      </c>
      <c r="T485" s="62"/>
    </row>
    <row r="486" spans="3:20" ht="34" x14ac:dyDescent="0.2">
      <c r="C486" s="62" t="str">
        <f>_xlfn.XLOOKUP(tbl_CONTENT[[#This Row],[TopicID]], tbl_TOPIC[TopicID], tbl_TOPIC[Subject], "")</f>
        <v>A</v>
      </c>
      <c r="D486" s="62" t="str">
        <f xml:space="preserve"> tbl_CONTENT[[#This Row],[TopicID]] &amp; "-" &amp; TEXT(tbl_CONTENT[[#This Row],[TopicIDCount]], "00")</f>
        <v>A-1-03-19</v>
      </c>
      <c r="F486" s="22" t="str">
        <f>_xlfn.XLOOKUP(tbl_CONTENT[[#This Row],[Topic]], tbl_TOPIC[Topic], tbl_TOPIC[TopicID], "")</f>
        <v>A-1-03</v>
      </c>
      <c r="G486" s="62" cm="1">
        <f t="array" ref="G486">SUM((tbl_CONTENT[[#This Row],[TopicID]]=INDEX(tbl_CONTENT[TopicID],1):tbl_CONTENT[[#This Row],[TopicID]])*1)</f>
        <v>19</v>
      </c>
      <c r="H486" s="22" t="s">
        <v>834</v>
      </c>
      <c r="I486" s="22" t="s">
        <v>849</v>
      </c>
      <c r="J486" s="22" t="s">
        <v>181</v>
      </c>
      <c r="P486" s="62"/>
      <c r="Q486" s="35">
        <f>IFERROR(
 (1.907*EXP(1)^(-0.5*tbl_CONTENT[[#This Row],[Layer]])) *
 ((tbl_CONTENT[[#This Row],[RelInt]]-1)^(2.5)*4^(1-2.5)+1) +
 ((tbl_CONTENT[[#This Row],[Comp]]-1)^(2.5)*4^(1-2.5)+1)*(0.5*((tbl_CONTENT[[#This Row],[RelInt]]-1)/4)^(2.5)+1),
 0
)</f>
        <v>0</v>
      </c>
      <c r="R486" s="35">
        <f>IFERROR(
 (1.907*EXP(1)^(-0.5*VALUE(tbl_CONTENT[[#This Row],[Layer]]))) *
 ((VALUE(tbl_CONTENT[[#This Row],[RelId]])-1)^(2.5)*4^(1-2.5)+1) +
 ((VALUE(tbl_CONTENT[[#This Row],[Comp]])-1)^(2.5)*4^(1-2.5)+1)*(0.5*((VALUE(tbl_CONTENT[[#This Row],[RelId]])-1)/4)^(2.5)+1),
 0
)</f>
        <v>0</v>
      </c>
      <c r="T486" s="62"/>
    </row>
    <row r="487" spans="3:20" ht="34" x14ac:dyDescent="0.2">
      <c r="C487" s="62" t="str">
        <f>_xlfn.XLOOKUP(tbl_CONTENT[[#This Row],[TopicID]], tbl_TOPIC[TopicID], tbl_TOPIC[Subject], "")</f>
        <v>A</v>
      </c>
      <c r="D487" s="62" t="str">
        <f xml:space="preserve"> tbl_CONTENT[[#This Row],[TopicID]] &amp; "-" &amp; TEXT(tbl_CONTENT[[#This Row],[TopicIDCount]], "00")</f>
        <v>A-1-03-20</v>
      </c>
      <c r="F487" s="22" t="str">
        <f>_xlfn.XLOOKUP(tbl_CONTENT[[#This Row],[Topic]], tbl_TOPIC[Topic], tbl_TOPIC[TopicID], "")</f>
        <v>A-1-03</v>
      </c>
      <c r="G487" s="62" cm="1">
        <f t="array" ref="G487">SUM((tbl_CONTENT[[#This Row],[TopicID]]=INDEX(tbl_CONTENT[TopicID],1):tbl_CONTENT[[#This Row],[TopicID]])*1)</f>
        <v>20</v>
      </c>
      <c r="H487" s="22" t="s">
        <v>834</v>
      </c>
      <c r="I487" s="22" t="s">
        <v>850</v>
      </c>
      <c r="J487" s="22" t="s">
        <v>181</v>
      </c>
      <c r="P487" s="62"/>
      <c r="Q487" s="35">
        <f>IFERROR(
 (1.907*EXP(1)^(-0.5*tbl_CONTENT[[#This Row],[Layer]])) *
 ((tbl_CONTENT[[#This Row],[RelInt]]-1)^(2.5)*4^(1-2.5)+1) +
 ((tbl_CONTENT[[#This Row],[Comp]]-1)^(2.5)*4^(1-2.5)+1)*(0.5*((tbl_CONTENT[[#This Row],[RelInt]]-1)/4)^(2.5)+1),
 0
)</f>
        <v>0</v>
      </c>
      <c r="R487" s="35">
        <f>IFERROR(
 (1.907*EXP(1)^(-0.5*VALUE(tbl_CONTENT[[#This Row],[Layer]]))) *
 ((VALUE(tbl_CONTENT[[#This Row],[RelId]])-1)^(2.5)*4^(1-2.5)+1) +
 ((VALUE(tbl_CONTENT[[#This Row],[Comp]])-1)^(2.5)*4^(1-2.5)+1)*(0.5*((VALUE(tbl_CONTENT[[#This Row],[RelId]])-1)/4)^(2.5)+1),
 0
)</f>
        <v>0</v>
      </c>
      <c r="T487" s="62"/>
    </row>
    <row r="488" spans="3:20" ht="17" x14ac:dyDescent="0.2">
      <c r="C488" s="62" t="str">
        <f>_xlfn.XLOOKUP(tbl_CONTENT[[#This Row],[TopicID]], tbl_TOPIC[TopicID], tbl_TOPIC[Subject], "")</f>
        <v>A</v>
      </c>
      <c r="D488" s="62" t="str">
        <f xml:space="preserve"> tbl_CONTENT[[#This Row],[TopicID]] &amp; "-" &amp; TEXT(tbl_CONTENT[[#This Row],[TopicIDCount]], "00")</f>
        <v>A-1-03-21</v>
      </c>
      <c r="F488" s="22" t="str">
        <f>_xlfn.XLOOKUP(tbl_CONTENT[[#This Row],[Topic]], tbl_TOPIC[Topic], tbl_TOPIC[TopicID], "")</f>
        <v>A-1-03</v>
      </c>
      <c r="G488" s="62" cm="1">
        <f t="array" ref="G488">SUM((tbl_CONTENT[[#This Row],[TopicID]]=INDEX(tbl_CONTENT[TopicID],1):tbl_CONTENT[[#This Row],[TopicID]])*1)</f>
        <v>21</v>
      </c>
      <c r="H488" s="22" t="s">
        <v>834</v>
      </c>
      <c r="I488" s="22" t="s">
        <v>855</v>
      </c>
      <c r="J488" s="22" t="s">
        <v>153</v>
      </c>
      <c r="K488" s="22">
        <v>1</v>
      </c>
      <c r="P488" s="62"/>
      <c r="Q488" s="35">
        <f>IFERROR(
 (1.907*EXP(1)^(-0.5*tbl_CONTENT[[#This Row],[Layer]])) *
 ((tbl_CONTENT[[#This Row],[RelInt]]-1)^(2.5)*4^(1-2.5)+1) +
 ((tbl_CONTENT[[#This Row],[Comp]]-1)^(2.5)*4^(1-2.5)+1)*(0.5*((tbl_CONTENT[[#This Row],[RelInt]]-1)/4)^(2.5)+1),
 0
)</f>
        <v>0</v>
      </c>
      <c r="R488" s="35">
        <f>IFERROR(
 (1.907*EXP(1)^(-0.5*VALUE(tbl_CONTENT[[#This Row],[Layer]]))) *
 ((VALUE(tbl_CONTENT[[#This Row],[RelId]])-1)^(2.5)*4^(1-2.5)+1) +
 ((VALUE(tbl_CONTENT[[#This Row],[Comp]])-1)^(2.5)*4^(1-2.5)+1)*(0.5*((VALUE(tbl_CONTENT[[#This Row],[RelId]])-1)/4)^(2.5)+1),
 0
)</f>
        <v>0</v>
      </c>
      <c r="T488" s="62"/>
    </row>
    <row r="489" spans="3:20" ht="17" x14ac:dyDescent="0.2">
      <c r="C489" s="62" t="str">
        <f>_xlfn.XLOOKUP(tbl_CONTENT[[#This Row],[TopicID]], tbl_TOPIC[TopicID], tbl_TOPIC[Subject], "")</f>
        <v>A</v>
      </c>
      <c r="D489" s="62" t="str">
        <f xml:space="preserve"> tbl_CONTENT[[#This Row],[TopicID]] &amp; "-" &amp; TEXT(tbl_CONTENT[[#This Row],[TopicIDCount]], "00")</f>
        <v>A-1-03-22</v>
      </c>
      <c r="F489" s="22" t="str">
        <f>_xlfn.XLOOKUP(tbl_CONTENT[[#This Row],[Topic]], tbl_TOPIC[Topic], tbl_TOPIC[TopicID], "")</f>
        <v>A-1-03</v>
      </c>
      <c r="G489" s="62" cm="1">
        <f t="array" ref="G489">SUM((tbl_CONTENT[[#This Row],[TopicID]]=INDEX(tbl_CONTENT[TopicID],1):tbl_CONTENT[[#This Row],[TopicID]])*1)</f>
        <v>22</v>
      </c>
      <c r="H489" s="22" t="s">
        <v>834</v>
      </c>
      <c r="I489" s="22" t="s">
        <v>854</v>
      </c>
      <c r="J489" s="22" t="s">
        <v>153</v>
      </c>
      <c r="K489" s="22">
        <v>1</v>
      </c>
      <c r="P489" s="62"/>
      <c r="Q489" s="35">
        <f>IFERROR(
 (1.907*EXP(1)^(-0.5*tbl_CONTENT[[#This Row],[Layer]])) *
 ((tbl_CONTENT[[#This Row],[RelInt]]-1)^(2.5)*4^(1-2.5)+1) +
 ((tbl_CONTENT[[#This Row],[Comp]]-1)^(2.5)*4^(1-2.5)+1)*(0.5*((tbl_CONTENT[[#This Row],[RelInt]]-1)/4)^(2.5)+1),
 0
)</f>
        <v>0</v>
      </c>
      <c r="R489" s="35">
        <f>IFERROR(
 (1.907*EXP(1)^(-0.5*VALUE(tbl_CONTENT[[#This Row],[Layer]]))) *
 ((VALUE(tbl_CONTENT[[#This Row],[RelId]])-1)^(2.5)*4^(1-2.5)+1) +
 ((VALUE(tbl_CONTENT[[#This Row],[Comp]])-1)^(2.5)*4^(1-2.5)+1)*(0.5*((VALUE(tbl_CONTENT[[#This Row],[RelId]])-1)/4)^(2.5)+1),
 0
)</f>
        <v>0</v>
      </c>
      <c r="T489" s="62"/>
    </row>
    <row r="490" spans="3:20" ht="34" x14ac:dyDescent="0.2">
      <c r="C490" s="62" t="str">
        <f>_xlfn.XLOOKUP(tbl_CONTENT[[#This Row],[TopicID]], tbl_TOPIC[TopicID], tbl_TOPIC[Subject], "")</f>
        <v>A</v>
      </c>
      <c r="D490" s="62" t="str">
        <f xml:space="preserve"> tbl_CONTENT[[#This Row],[TopicID]] &amp; "-" &amp; TEXT(tbl_CONTENT[[#This Row],[TopicIDCount]], "00")</f>
        <v>A-1-03-23</v>
      </c>
      <c r="F490" s="22" t="str">
        <f>_xlfn.XLOOKUP(tbl_CONTENT[[#This Row],[Topic]], tbl_TOPIC[Topic], tbl_TOPIC[TopicID], "")</f>
        <v>A-1-03</v>
      </c>
      <c r="G490" s="62" cm="1">
        <f t="array" ref="G490">SUM((tbl_CONTENT[[#This Row],[TopicID]]=INDEX(tbl_CONTENT[TopicID],1):tbl_CONTENT[[#This Row],[TopicID]])*1)</f>
        <v>23</v>
      </c>
      <c r="H490" s="22" t="s">
        <v>834</v>
      </c>
      <c r="I490" s="22" t="s">
        <v>856</v>
      </c>
      <c r="J490" s="22" t="s">
        <v>181</v>
      </c>
      <c r="P490" s="62"/>
      <c r="Q490" s="35">
        <f>IFERROR(
 (1.907*EXP(1)^(-0.5*tbl_CONTENT[[#This Row],[Layer]])) *
 ((tbl_CONTENT[[#This Row],[RelInt]]-1)^(2.5)*4^(1-2.5)+1) +
 ((tbl_CONTENT[[#This Row],[Comp]]-1)^(2.5)*4^(1-2.5)+1)*(0.5*((tbl_CONTENT[[#This Row],[RelInt]]-1)/4)^(2.5)+1),
 0
)</f>
        <v>0</v>
      </c>
      <c r="R490" s="35">
        <f>IFERROR(
 (1.907*EXP(1)^(-0.5*VALUE(tbl_CONTENT[[#This Row],[Layer]]))) *
 ((VALUE(tbl_CONTENT[[#This Row],[RelId]])-1)^(2.5)*4^(1-2.5)+1) +
 ((VALUE(tbl_CONTENT[[#This Row],[Comp]])-1)^(2.5)*4^(1-2.5)+1)*(0.5*((VALUE(tbl_CONTENT[[#This Row],[RelId]])-1)/4)^(2.5)+1),
 0
)</f>
        <v>0</v>
      </c>
      <c r="T490" s="62"/>
    </row>
    <row r="491" spans="3:20" ht="17" x14ac:dyDescent="0.2">
      <c r="C491" s="62" t="str">
        <f>_xlfn.XLOOKUP(tbl_CONTENT[[#This Row],[TopicID]], tbl_TOPIC[TopicID], tbl_TOPIC[Subject], "")</f>
        <v>A</v>
      </c>
      <c r="D491" s="62" t="str">
        <f xml:space="preserve"> tbl_CONTENT[[#This Row],[TopicID]] &amp; "-" &amp; TEXT(tbl_CONTENT[[#This Row],[TopicIDCount]], "00")</f>
        <v>A-1-03-24</v>
      </c>
      <c r="F491" s="22" t="str">
        <f>_xlfn.XLOOKUP(tbl_CONTENT[[#This Row],[Topic]], tbl_TOPIC[Topic], tbl_TOPIC[TopicID], "")</f>
        <v>A-1-03</v>
      </c>
      <c r="G491" s="62" cm="1">
        <f t="array" ref="G491">SUM((tbl_CONTENT[[#This Row],[TopicID]]=INDEX(tbl_CONTENT[TopicID],1):tbl_CONTENT[[#This Row],[TopicID]])*1)</f>
        <v>24</v>
      </c>
      <c r="H491" s="22" t="s">
        <v>834</v>
      </c>
      <c r="I491" s="22" t="s">
        <v>873</v>
      </c>
      <c r="J491" s="22" t="s">
        <v>153</v>
      </c>
      <c r="P491" s="62"/>
      <c r="Q491" s="35">
        <f>IFERROR(
 (1.907*EXP(1)^(-0.5*tbl_CONTENT[[#This Row],[Layer]])) *
 ((tbl_CONTENT[[#This Row],[RelInt]]-1)^(2.5)*4^(1-2.5)+1) +
 ((tbl_CONTENT[[#This Row],[Comp]]-1)^(2.5)*4^(1-2.5)+1)*(0.5*((tbl_CONTENT[[#This Row],[RelInt]]-1)/4)^(2.5)+1),
 0
)</f>
        <v>0</v>
      </c>
      <c r="R491" s="35">
        <f>IFERROR(
 (1.907*EXP(1)^(-0.5*VALUE(tbl_CONTENT[[#This Row],[Layer]]))) *
 ((VALUE(tbl_CONTENT[[#This Row],[RelId]])-1)^(2.5)*4^(1-2.5)+1) +
 ((VALUE(tbl_CONTENT[[#This Row],[Comp]])-1)^(2.5)*4^(1-2.5)+1)*(0.5*((VALUE(tbl_CONTENT[[#This Row],[RelId]])-1)/4)^(2.5)+1),
 0
)</f>
        <v>0</v>
      </c>
      <c r="T491" s="62"/>
    </row>
    <row r="492" spans="3:20" ht="51" x14ac:dyDescent="0.2">
      <c r="C492" s="62" t="str">
        <f>_xlfn.XLOOKUP(tbl_CONTENT[[#This Row],[TopicID]], tbl_TOPIC[TopicID], tbl_TOPIC[Subject], "")</f>
        <v>A</v>
      </c>
      <c r="D492" s="62" t="str">
        <f xml:space="preserve"> tbl_CONTENT[[#This Row],[TopicID]] &amp; "-" &amp; TEXT(tbl_CONTENT[[#This Row],[TopicIDCount]], "00")</f>
        <v>A-1-03-25</v>
      </c>
      <c r="F492" s="22" t="str">
        <f>_xlfn.XLOOKUP(tbl_CONTENT[[#This Row],[Topic]], tbl_TOPIC[Topic], tbl_TOPIC[TopicID], "")</f>
        <v>A-1-03</v>
      </c>
      <c r="G492" s="62" cm="1">
        <f t="array" ref="G492">SUM((tbl_CONTENT[[#This Row],[TopicID]]=INDEX(tbl_CONTENT[TopicID],1):tbl_CONTENT[[#This Row],[TopicID]])*1)</f>
        <v>25</v>
      </c>
      <c r="H492" s="22" t="s">
        <v>834</v>
      </c>
      <c r="I492" s="22" t="s">
        <v>874</v>
      </c>
      <c r="J492" s="22" t="s">
        <v>152</v>
      </c>
      <c r="P492" s="62"/>
      <c r="Q492" s="35">
        <f>IFERROR(
 (1.907*EXP(1)^(-0.5*tbl_CONTENT[[#This Row],[Layer]])) *
 ((tbl_CONTENT[[#This Row],[RelInt]]-1)^(2.5)*4^(1-2.5)+1) +
 ((tbl_CONTENT[[#This Row],[Comp]]-1)^(2.5)*4^(1-2.5)+1)*(0.5*((tbl_CONTENT[[#This Row],[RelInt]]-1)/4)^(2.5)+1),
 0
)</f>
        <v>0</v>
      </c>
      <c r="R492" s="35">
        <f>IFERROR(
 (1.907*EXP(1)^(-0.5*VALUE(tbl_CONTENT[[#This Row],[Layer]]))) *
 ((VALUE(tbl_CONTENT[[#This Row],[RelId]])-1)^(2.5)*4^(1-2.5)+1) +
 ((VALUE(tbl_CONTENT[[#This Row],[Comp]])-1)^(2.5)*4^(1-2.5)+1)*(0.5*((VALUE(tbl_CONTENT[[#This Row],[RelId]])-1)/4)^(2.5)+1),
 0
)</f>
        <v>0</v>
      </c>
      <c r="T492" s="62"/>
    </row>
    <row r="493" spans="3:20" ht="17" x14ac:dyDescent="0.2">
      <c r="C493" s="62" t="str">
        <f>_xlfn.XLOOKUP(tbl_CONTENT[[#This Row],[TopicID]], tbl_TOPIC[TopicID], tbl_TOPIC[Subject], "")</f>
        <v>A</v>
      </c>
      <c r="D493" s="62" t="str">
        <f xml:space="preserve"> tbl_CONTENT[[#This Row],[TopicID]] &amp; "-" &amp; TEXT(tbl_CONTENT[[#This Row],[TopicIDCount]], "00")</f>
        <v>A-1-03-26</v>
      </c>
      <c r="F493" s="22" t="str">
        <f>_xlfn.XLOOKUP(tbl_CONTENT[[#This Row],[Topic]], tbl_TOPIC[Topic], tbl_TOPIC[TopicID], "")</f>
        <v>A-1-03</v>
      </c>
      <c r="G493" s="62" cm="1">
        <f t="array" ref="G493">SUM((tbl_CONTENT[[#This Row],[TopicID]]=INDEX(tbl_CONTENT[TopicID],1):tbl_CONTENT[[#This Row],[TopicID]])*1)</f>
        <v>26</v>
      </c>
      <c r="H493" s="22" t="s">
        <v>834</v>
      </c>
      <c r="I493" s="22" t="s">
        <v>875</v>
      </c>
      <c r="J493" s="22" t="s">
        <v>181</v>
      </c>
      <c r="P493" s="62"/>
      <c r="Q493" s="35">
        <f>IFERROR(
 (1.907*EXP(1)^(-0.5*tbl_CONTENT[[#This Row],[Layer]])) *
 ((tbl_CONTENT[[#This Row],[RelInt]]-1)^(2.5)*4^(1-2.5)+1) +
 ((tbl_CONTENT[[#This Row],[Comp]]-1)^(2.5)*4^(1-2.5)+1)*(0.5*((tbl_CONTENT[[#This Row],[RelInt]]-1)/4)^(2.5)+1),
 0
)</f>
        <v>0</v>
      </c>
      <c r="R493" s="35">
        <f>IFERROR(
 (1.907*EXP(1)^(-0.5*VALUE(tbl_CONTENT[[#This Row],[Layer]]))) *
 ((VALUE(tbl_CONTENT[[#This Row],[RelId]])-1)^(2.5)*4^(1-2.5)+1) +
 ((VALUE(tbl_CONTENT[[#This Row],[Comp]])-1)^(2.5)*4^(1-2.5)+1)*(0.5*((VALUE(tbl_CONTENT[[#This Row],[RelId]])-1)/4)^(2.5)+1),
 0
)</f>
        <v>0</v>
      </c>
      <c r="T493" s="62"/>
    </row>
    <row r="494" spans="3:20" ht="17" x14ac:dyDescent="0.2">
      <c r="C494" s="62" t="str">
        <f>_xlfn.XLOOKUP(tbl_CONTENT[[#This Row],[TopicID]], tbl_TOPIC[TopicID], tbl_TOPIC[Subject], "")</f>
        <v>A</v>
      </c>
      <c r="D494" s="62" t="str">
        <f xml:space="preserve"> tbl_CONTENT[[#This Row],[TopicID]] &amp; "-" &amp; TEXT(tbl_CONTENT[[#This Row],[TopicIDCount]], "00")</f>
        <v>A-1-03-27</v>
      </c>
      <c r="F494" s="22" t="str">
        <f>_xlfn.XLOOKUP(tbl_CONTENT[[#This Row],[Topic]], tbl_TOPIC[Topic], tbl_TOPIC[TopicID], "")</f>
        <v>A-1-03</v>
      </c>
      <c r="G494" s="62" cm="1">
        <f t="array" ref="G494">SUM((tbl_CONTENT[[#This Row],[TopicID]]=INDEX(tbl_CONTENT[TopicID],1):tbl_CONTENT[[#This Row],[TopicID]])*1)</f>
        <v>27</v>
      </c>
      <c r="H494" s="22" t="s">
        <v>834</v>
      </c>
      <c r="I494" s="22" t="s">
        <v>876</v>
      </c>
      <c r="J494" s="22" t="s">
        <v>181</v>
      </c>
      <c r="P494" s="62"/>
      <c r="Q494" s="35">
        <f>IFERROR(
 (1.907*EXP(1)^(-0.5*tbl_CONTENT[[#This Row],[Layer]])) *
 ((tbl_CONTENT[[#This Row],[RelInt]]-1)^(2.5)*4^(1-2.5)+1) +
 ((tbl_CONTENT[[#This Row],[Comp]]-1)^(2.5)*4^(1-2.5)+1)*(0.5*((tbl_CONTENT[[#This Row],[RelInt]]-1)/4)^(2.5)+1),
 0
)</f>
        <v>0</v>
      </c>
      <c r="R494" s="35">
        <f>IFERROR(
 (1.907*EXP(1)^(-0.5*VALUE(tbl_CONTENT[[#This Row],[Layer]]))) *
 ((VALUE(tbl_CONTENT[[#This Row],[RelId]])-1)^(2.5)*4^(1-2.5)+1) +
 ((VALUE(tbl_CONTENT[[#This Row],[Comp]])-1)^(2.5)*4^(1-2.5)+1)*(0.5*((VALUE(tbl_CONTENT[[#This Row],[RelId]])-1)/4)^(2.5)+1),
 0
)</f>
        <v>0</v>
      </c>
      <c r="T494" s="62"/>
    </row>
    <row r="495" spans="3:20" ht="34" x14ac:dyDescent="0.2">
      <c r="C495" s="62" t="str">
        <f>_xlfn.XLOOKUP(tbl_CONTENT[[#This Row],[TopicID]], tbl_TOPIC[TopicID], tbl_TOPIC[Subject], "")</f>
        <v>A</v>
      </c>
      <c r="D495" s="62" t="str">
        <f xml:space="preserve"> tbl_CONTENT[[#This Row],[TopicID]] &amp; "-" &amp; TEXT(tbl_CONTENT[[#This Row],[TopicIDCount]], "00")</f>
        <v>A-1-03-28</v>
      </c>
      <c r="F495" s="22" t="str">
        <f>_xlfn.XLOOKUP(tbl_CONTENT[[#This Row],[Topic]], tbl_TOPIC[Topic], tbl_TOPIC[TopicID], "")</f>
        <v>A-1-03</v>
      </c>
      <c r="G495" s="62" cm="1">
        <f t="array" ref="G495">SUM((tbl_CONTENT[[#This Row],[TopicID]]=INDEX(tbl_CONTENT[TopicID],1):tbl_CONTENT[[#This Row],[TopicID]])*1)</f>
        <v>28</v>
      </c>
      <c r="H495" s="22" t="s">
        <v>834</v>
      </c>
      <c r="I495" s="22" t="s">
        <v>877</v>
      </c>
      <c r="J495" s="22" t="s">
        <v>181</v>
      </c>
      <c r="P495" s="62"/>
      <c r="Q495" s="35">
        <f>IFERROR(
 (1.907*EXP(1)^(-0.5*tbl_CONTENT[[#This Row],[Layer]])) *
 ((tbl_CONTENT[[#This Row],[RelInt]]-1)^(2.5)*4^(1-2.5)+1) +
 ((tbl_CONTENT[[#This Row],[Comp]]-1)^(2.5)*4^(1-2.5)+1)*(0.5*((tbl_CONTENT[[#This Row],[RelInt]]-1)/4)^(2.5)+1),
 0
)</f>
        <v>0</v>
      </c>
      <c r="R495" s="35">
        <f>IFERROR(
 (1.907*EXP(1)^(-0.5*VALUE(tbl_CONTENT[[#This Row],[Layer]]))) *
 ((VALUE(tbl_CONTENT[[#This Row],[RelId]])-1)^(2.5)*4^(1-2.5)+1) +
 ((VALUE(tbl_CONTENT[[#This Row],[Comp]])-1)^(2.5)*4^(1-2.5)+1)*(0.5*((VALUE(tbl_CONTENT[[#This Row],[RelId]])-1)/4)^(2.5)+1),
 0
)</f>
        <v>0</v>
      </c>
      <c r="T495" s="62"/>
    </row>
    <row r="496" spans="3:20" ht="51" x14ac:dyDescent="0.2">
      <c r="C496" s="62" t="str">
        <f>_xlfn.XLOOKUP(tbl_CONTENT[[#This Row],[TopicID]], tbl_TOPIC[TopicID], tbl_TOPIC[Subject], "")</f>
        <v>A</v>
      </c>
      <c r="D496" s="62" t="str">
        <f xml:space="preserve"> tbl_CONTENT[[#This Row],[TopicID]] &amp; "-" &amp; TEXT(tbl_CONTENT[[#This Row],[TopicIDCount]], "00")</f>
        <v>A-1-03-29</v>
      </c>
      <c r="F496" s="22" t="str">
        <f>_xlfn.XLOOKUP(tbl_CONTENT[[#This Row],[Topic]], tbl_TOPIC[Topic], tbl_TOPIC[TopicID], "")</f>
        <v>A-1-03</v>
      </c>
      <c r="G496" s="62" cm="1">
        <f t="array" ref="G496">SUM((tbl_CONTENT[[#This Row],[TopicID]]=INDEX(tbl_CONTENT[TopicID],1):tbl_CONTENT[[#This Row],[TopicID]])*1)</f>
        <v>29</v>
      </c>
      <c r="H496" s="22" t="s">
        <v>834</v>
      </c>
      <c r="I496" s="22" t="s">
        <v>878</v>
      </c>
      <c r="J496" s="22" t="s">
        <v>152</v>
      </c>
      <c r="P496" s="62"/>
      <c r="Q496" s="35">
        <f>IFERROR(
 (1.907*EXP(1)^(-0.5*tbl_CONTENT[[#This Row],[Layer]])) *
 ((tbl_CONTENT[[#This Row],[RelInt]]-1)^(2.5)*4^(1-2.5)+1) +
 ((tbl_CONTENT[[#This Row],[Comp]]-1)^(2.5)*4^(1-2.5)+1)*(0.5*((tbl_CONTENT[[#This Row],[RelInt]]-1)/4)^(2.5)+1),
 0
)</f>
        <v>0</v>
      </c>
      <c r="R496" s="35">
        <f>IFERROR(
 (1.907*EXP(1)^(-0.5*VALUE(tbl_CONTENT[[#This Row],[Layer]]))) *
 ((VALUE(tbl_CONTENT[[#This Row],[RelId]])-1)^(2.5)*4^(1-2.5)+1) +
 ((VALUE(tbl_CONTENT[[#This Row],[Comp]])-1)^(2.5)*4^(1-2.5)+1)*(0.5*((VALUE(tbl_CONTENT[[#This Row],[RelId]])-1)/4)^(2.5)+1),
 0
)</f>
        <v>0</v>
      </c>
      <c r="T496" s="62"/>
    </row>
    <row r="497" spans="3:20" ht="34" x14ac:dyDescent="0.2">
      <c r="C497" s="62" t="str">
        <f>_xlfn.XLOOKUP(tbl_CONTENT[[#This Row],[TopicID]], tbl_TOPIC[TopicID], tbl_TOPIC[Subject], "")</f>
        <v>A</v>
      </c>
      <c r="D497" s="62" t="str">
        <f xml:space="preserve"> tbl_CONTENT[[#This Row],[TopicID]] &amp; "-" &amp; TEXT(tbl_CONTENT[[#This Row],[TopicIDCount]], "00")</f>
        <v>A-1-03-30</v>
      </c>
      <c r="F497" s="22" t="str">
        <f>_xlfn.XLOOKUP(tbl_CONTENT[[#This Row],[Topic]], tbl_TOPIC[Topic], tbl_TOPIC[TopicID], "")</f>
        <v>A-1-03</v>
      </c>
      <c r="G497" s="62" cm="1">
        <f t="array" ref="G497">SUM((tbl_CONTENT[[#This Row],[TopicID]]=INDEX(tbl_CONTENT[TopicID],1):tbl_CONTENT[[#This Row],[TopicID]])*1)</f>
        <v>30</v>
      </c>
      <c r="H497" s="22" t="s">
        <v>834</v>
      </c>
      <c r="I497" s="22" t="s">
        <v>1646</v>
      </c>
      <c r="J497" s="22" t="s">
        <v>153</v>
      </c>
      <c r="P497" s="62"/>
      <c r="Q497" s="35">
        <f>IFERROR(
 (1.907*EXP(1)^(-0.5*tbl_CONTENT[[#This Row],[Layer]])) *
 ((tbl_CONTENT[[#This Row],[RelInt]]-1)^(2.5)*4^(1-2.5)+1) +
 ((tbl_CONTENT[[#This Row],[Comp]]-1)^(2.5)*4^(1-2.5)+1)*(0.5*((tbl_CONTENT[[#This Row],[RelInt]]-1)/4)^(2.5)+1),
 0
)</f>
        <v>0</v>
      </c>
      <c r="R497" s="35">
        <f>IFERROR(
 (1.907*EXP(1)^(-0.5*VALUE(tbl_CONTENT[[#This Row],[Layer]]))) *
 ((VALUE(tbl_CONTENT[[#This Row],[RelId]])-1)^(2.5)*4^(1-2.5)+1) +
 ((VALUE(tbl_CONTENT[[#This Row],[Comp]])-1)^(2.5)*4^(1-2.5)+1)*(0.5*((VALUE(tbl_CONTENT[[#This Row],[RelId]])-1)/4)^(2.5)+1),
 0
)</f>
        <v>0</v>
      </c>
      <c r="T497" s="62"/>
    </row>
    <row r="498" spans="3:20" ht="17" x14ac:dyDescent="0.2">
      <c r="C498" s="62" t="str">
        <f>_xlfn.XLOOKUP(tbl_CONTENT[[#This Row],[TopicID]], tbl_TOPIC[TopicID], tbl_TOPIC[Subject], "")</f>
        <v>A</v>
      </c>
      <c r="D498" s="62" t="str">
        <f xml:space="preserve"> tbl_CONTENT[[#This Row],[TopicID]] &amp; "-" &amp; TEXT(tbl_CONTENT[[#This Row],[TopicIDCount]], "00")</f>
        <v>A-1-03-31</v>
      </c>
      <c r="F498" s="22" t="str">
        <f>_xlfn.XLOOKUP(tbl_CONTENT[[#This Row],[Topic]], tbl_TOPIC[Topic], tbl_TOPIC[TopicID], "")</f>
        <v>A-1-03</v>
      </c>
      <c r="G498" s="62" cm="1">
        <f t="array" ref="G498">SUM((tbl_CONTENT[[#This Row],[TopicID]]=INDEX(tbl_CONTENT[TopicID],1):tbl_CONTENT[[#This Row],[TopicID]])*1)</f>
        <v>31</v>
      </c>
      <c r="H498" s="22" t="s">
        <v>834</v>
      </c>
      <c r="I498" s="22" t="s">
        <v>879</v>
      </c>
      <c r="J498" s="22" t="s">
        <v>153</v>
      </c>
      <c r="P498" s="62"/>
      <c r="Q498" s="35">
        <f>IFERROR(
 (1.907*EXP(1)^(-0.5*tbl_CONTENT[[#This Row],[Layer]])) *
 ((tbl_CONTENT[[#This Row],[RelInt]]-1)^(2.5)*4^(1-2.5)+1) +
 ((tbl_CONTENT[[#This Row],[Comp]]-1)^(2.5)*4^(1-2.5)+1)*(0.5*((tbl_CONTENT[[#This Row],[RelInt]]-1)/4)^(2.5)+1),
 0
)</f>
        <v>0</v>
      </c>
      <c r="R498" s="35">
        <f>IFERROR(
 (1.907*EXP(1)^(-0.5*VALUE(tbl_CONTENT[[#This Row],[Layer]]))) *
 ((VALUE(tbl_CONTENT[[#This Row],[RelId]])-1)^(2.5)*4^(1-2.5)+1) +
 ((VALUE(tbl_CONTENT[[#This Row],[Comp]])-1)^(2.5)*4^(1-2.5)+1)*(0.5*((VALUE(tbl_CONTENT[[#This Row],[RelId]])-1)/4)^(2.5)+1),
 0
)</f>
        <v>0</v>
      </c>
      <c r="T498" s="62"/>
    </row>
    <row r="499" spans="3:20" ht="34" x14ac:dyDescent="0.2">
      <c r="C499" s="62" t="str">
        <f>_xlfn.XLOOKUP(tbl_CONTENT[[#This Row],[TopicID]], tbl_TOPIC[TopicID], tbl_TOPIC[Subject], "")</f>
        <v>A</v>
      </c>
      <c r="D499" s="62" t="str">
        <f xml:space="preserve"> tbl_CONTENT[[#This Row],[TopicID]] &amp; "-" &amp; TEXT(tbl_CONTENT[[#This Row],[TopicIDCount]], "00")</f>
        <v>A-1-03-32</v>
      </c>
      <c r="F499" s="22" t="str">
        <f>_xlfn.XLOOKUP(tbl_CONTENT[[#This Row],[Topic]], tbl_TOPIC[Topic], tbl_TOPIC[TopicID], "")</f>
        <v>A-1-03</v>
      </c>
      <c r="G499" s="62" cm="1">
        <f t="array" ref="G499">SUM((tbl_CONTENT[[#This Row],[TopicID]]=INDEX(tbl_CONTENT[TopicID],1):tbl_CONTENT[[#This Row],[TopicID]])*1)</f>
        <v>32</v>
      </c>
      <c r="H499" s="22" t="s">
        <v>834</v>
      </c>
      <c r="I499" s="22" t="s">
        <v>880</v>
      </c>
      <c r="J499" s="22" t="s">
        <v>181</v>
      </c>
      <c r="P499" s="62"/>
      <c r="Q499" s="35">
        <f>IFERROR(
 (1.907*EXP(1)^(-0.5*tbl_CONTENT[[#This Row],[Layer]])) *
 ((tbl_CONTENT[[#This Row],[RelInt]]-1)^(2.5)*4^(1-2.5)+1) +
 ((tbl_CONTENT[[#This Row],[Comp]]-1)^(2.5)*4^(1-2.5)+1)*(0.5*((tbl_CONTENT[[#This Row],[RelInt]]-1)/4)^(2.5)+1),
 0
)</f>
        <v>0</v>
      </c>
      <c r="R499" s="35">
        <f>IFERROR(
 (1.907*EXP(1)^(-0.5*VALUE(tbl_CONTENT[[#This Row],[Layer]]))) *
 ((VALUE(tbl_CONTENT[[#This Row],[RelId]])-1)^(2.5)*4^(1-2.5)+1) +
 ((VALUE(tbl_CONTENT[[#This Row],[Comp]])-1)^(2.5)*4^(1-2.5)+1)*(0.5*((VALUE(tbl_CONTENT[[#This Row],[RelId]])-1)/4)^(2.5)+1),
 0
)</f>
        <v>0</v>
      </c>
      <c r="T499" s="62"/>
    </row>
    <row r="500" spans="3:20" ht="34" x14ac:dyDescent="0.2">
      <c r="C500" s="62" t="str">
        <f>_xlfn.XLOOKUP(tbl_CONTENT[[#This Row],[TopicID]], tbl_TOPIC[TopicID], tbl_TOPIC[Subject], "")</f>
        <v>A</v>
      </c>
      <c r="D500" s="62" t="str">
        <f xml:space="preserve"> tbl_CONTENT[[#This Row],[TopicID]] &amp; "-" &amp; TEXT(tbl_CONTENT[[#This Row],[TopicIDCount]], "00")</f>
        <v>A-1-04-01</v>
      </c>
      <c r="F500" s="22" t="str">
        <f>_xlfn.XLOOKUP(tbl_CONTENT[[#This Row],[Topic]], tbl_TOPIC[Topic], tbl_TOPIC[TopicID], "")</f>
        <v>A-1-04</v>
      </c>
      <c r="G500" s="62" cm="1">
        <f t="array" ref="G500">SUM((tbl_CONTENT[[#This Row],[TopicID]]=INDEX(tbl_CONTENT[TopicID],1):tbl_CONTENT[[#This Row],[TopicID]])*1)</f>
        <v>1</v>
      </c>
      <c r="H500" s="22" t="s">
        <v>853</v>
      </c>
      <c r="I500" s="22" t="s">
        <v>852</v>
      </c>
      <c r="J500" s="22" t="s">
        <v>153</v>
      </c>
      <c r="K500" s="22">
        <v>1</v>
      </c>
      <c r="P500" s="62"/>
      <c r="Q500" s="35">
        <f>IFERROR(
 (1.907*EXP(1)^(-0.5*tbl_CONTENT[[#This Row],[Layer]])) *
 ((tbl_CONTENT[[#This Row],[RelInt]]-1)^(2.5)*4^(1-2.5)+1) +
 ((tbl_CONTENT[[#This Row],[Comp]]-1)^(2.5)*4^(1-2.5)+1)*(0.5*((tbl_CONTENT[[#This Row],[RelInt]]-1)/4)^(2.5)+1),
 0
)</f>
        <v>0</v>
      </c>
      <c r="R500" s="35">
        <f>IFERROR(
 (1.907*EXP(1)^(-0.5*VALUE(tbl_CONTENT[[#This Row],[Layer]]))) *
 ((VALUE(tbl_CONTENT[[#This Row],[RelId]])-1)^(2.5)*4^(1-2.5)+1) +
 ((VALUE(tbl_CONTENT[[#This Row],[Comp]])-1)^(2.5)*4^(1-2.5)+1)*(0.5*((VALUE(tbl_CONTENT[[#This Row],[RelId]])-1)/4)^(2.5)+1),
 0
)</f>
        <v>0</v>
      </c>
      <c r="T500" s="62"/>
    </row>
    <row r="501" spans="3:20" ht="34" x14ac:dyDescent="0.2">
      <c r="C501" s="62" t="str">
        <f>_xlfn.XLOOKUP(tbl_CONTENT[[#This Row],[TopicID]], tbl_TOPIC[TopicID], tbl_TOPIC[Subject], "")</f>
        <v>A</v>
      </c>
      <c r="D501" s="62" t="str">
        <f xml:space="preserve"> tbl_CONTENT[[#This Row],[TopicID]] &amp; "-" &amp; TEXT(tbl_CONTENT[[#This Row],[TopicIDCount]], "00")</f>
        <v>A-1-04-02</v>
      </c>
      <c r="F501" s="22" t="str">
        <f>_xlfn.XLOOKUP(tbl_CONTENT[[#This Row],[Topic]], tbl_TOPIC[Topic], tbl_TOPIC[TopicID], "")</f>
        <v>A-1-04</v>
      </c>
      <c r="G501" s="62" cm="1">
        <f t="array" ref="G501">SUM((tbl_CONTENT[[#This Row],[TopicID]]=INDEX(tbl_CONTENT[TopicID],1):tbl_CONTENT[[#This Row],[TopicID]])*1)</f>
        <v>2</v>
      </c>
      <c r="H501" s="22" t="s">
        <v>853</v>
      </c>
      <c r="I501" s="22" t="s">
        <v>857</v>
      </c>
      <c r="J501" s="22" t="s">
        <v>153</v>
      </c>
      <c r="K501" s="22">
        <v>1</v>
      </c>
      <c r="P501" s="62"/>
      <c r="Q501" s="35">
        <f>IFERROR(
 (1.907*EXP(1)^(-0.5*tbl_CONTENT[[#This Row],[Layer]])) *
 ((tbl_CONTENT[[#This Row],[RelInt]]-1)^(2.5)*4^(1-2.5)+1) +
 ((tbl_CONTENT[[#This Row],[Comp]]-1)^(2.5)*4^(1-2.5)+1)*(0.5*((tbl_CONTENT[[#This Row],[RelInt]]-1)/4)^(2.5)+1),
 0
)</f>
        <v>0</v>
      </c>
      <c r="R501" s="35">
        <f>IFERROR(
 (1.907*EXP(1)^(-0.5*VALUE(tbl_CONTENT[[#This Row],[Layer]]))) *
 ((VALUE(tbl_CONTENT[[#This Row],[RelId]])-1)^(2.5)*4^(1-2.5)+1) +
 ((VALUE(tbl_CONTENT[[#This Row],[Comp]])-1)^(2.5)*4^(1-2.5)+1)*(0.5*((VALUE(tbl_CONTENT[[#This Row],[RelId]])-1)/4)^(2.5)+1),
 0
)</f>
        <v>0</v>
      </c>
      <c r="T501" s="62"/>
    </row>
    <row r="502" spans="3:20" ht="34" x14ac:dyDescent="0.2">
      <c r="C502" s="62" t="str">
        <f>_xlfn.XLOOKUP(tbl_CONTENT[[#This Row],[TopicID]], tbl_TOPIC[TopicID], tbl_TOPIC[Subject], "")</f>
        <v>A</v>
      </c>
      <c r="D502" s="62" t="str">
        <f xml:space="preserve"> tbl_CONTENT[[#This Row],[TopicID]] &amp; "-" &amp; TEXT(tbl_CONTENT[[#This Row],[TopicIDCount]], "00")</f>
        <v>A-1-04-03</v>
      </c>
      <c r="F502" s="22" t="str">
        <f>_xlfn.XLOOKUP(tbl_CONTENT[[#This Row],[Topic]], tbl_TOPIC[Topic], tbl_TOPIC[TopicID], "")</f>
        <v>A-1-04</v>
      </c>
      <c r="G502" s="62" cm="1">
        <f t="array" ref="G502">SUM((tbl_CONTENT[[#This Row],[TopicID]]=INDEX(tbl_CONTENT[TopicID],1):tbl_CONTENT[[#This Row],[TopicID]])*1)</f>
        <v>3</v>
      </c>
      <c r="H502" s="22" t="s">
        <v>853</v>
      </c>
      <c r="I502" s="22" t="s">
        <v>858</v>
      </c>
      <c r="J502" s="22" t="s">
        <v>148</v>
      </c>
      <c r="K502" s="22">
        <v>1</v>
      </c>
      <c r="P502" s="62"/>
      <c r="Q502" s="35">
        <f>IFERROR(
 (1.907*EXP(1)^(-0.5*tbl_CONTENT[[#This Row],[Layer]])) *
 ((tbl_CONTENT[[#This Row],[RelInt]]-1)^(2.5)*4^(1-2.5)+1) +
 ((tbl_CONTENT[[#This Row],[Comp]]-1)^(2.5)*4^(1-2.5)+1)*(0.5*((tbl_CONTENT[[#This Row],[RelInt]]-1)/4)^(2.5)+1),
 0
)</f>
        <v>0</v>
      </c>
      <c r="R502" s="35">
        <f>IFERROR(
 (1.907*EXP(1)^(-0.5*VALUE(tbl_CONTENT[[#This Row],[Layer]]))) *
 ((VALUE(tbl_CONTENT[[#This Row],[RelId]])-1)^(2.5)*4^(1-2.5)+1) +
 ((VALUE(tbl_CONTENT[[#This Row],[Comp]])-1)^(2.5)*4^(1-2.5)+1)*(0.5*((VALUE(tbl_CONTENT[[#This Row],[RelId]])-1)/4)^(2.5)+1),
 0
)</f>
        <v>0</v>
      </c>
      <c r="T502" s="62"/>
    </row>
    <row r="503" spans="3:20" ht="34" x14ac:dyDescent="0.2">
      <c r="C503" s="62" t="str">
        <f>_xlfn.XLOOKUP(tbl_CONTENT[[#This Row],[TopicID]], tbl_TOPIC[TopicID], tbl_TOPIC[Subject], "")</f>
        <v>A</v>
      </c>
      <c r="D503" s="62" t="str">
        <f xml:space="preserve"> tbl_CONTENT[[#This Row],[TopicID]] &amp; "-" &amp; TEXT(tbl_CONTENT[[#This Row],[TopicIDCount]], "00")</f>
        <v>A-1-04-04</v>
      </c>
      <c r="F503" s="22" t="str">
        <f>_xlfn.XLOOKUP(tbl_CONTENT[[#This Row],[Topic]], tbl_TOPIC[Topic], tbl_TOPIC[TopicID], "")</f>
        <v>A-1-04</v>
      </c>
      <c r="G503" s="62" cm="1">
        <f t="array" ref="G503">SUM((tbl_CONTENT[[#This Row],[TopicID]]=INDEX(tbl_CONTENT[TopicID],1):tbl_CONTENT[[#This Row],[TopicID]])*1)</f>
        <v>4</v>
      </c>
      <c r="H503" s="22" t="s">
        <v>853</v>
      </c>
      <c r="I503" s="22" t="s">
        <v>859</v>
      </c>
      <c r="J503" s="22" t="s">
        <v>148</v>
      </c>
      <c r="K503" s="22">
        <v>1</v>
      </c>
      <c r="P503" s="62"/>
      <c r="Q503" s="35">
        <f>IFERROR(
 (1.907*EXP(1)^(-0.5*tbl_CONTENT[[#This Row],[Layer]])) *
 ((tbl_CONTENT[[#This Row],[RelInt]]-1)^(2.5)*4^(1-2.5)+1) +
 ((tbl_CONTENT[[#This Row],[Comp]]-1)^(2.5)*4^(1-2.5)+1)*(0.5*((tbl_CONTENT[[#This Row],[RelInt]]-1)/4)^(2.5)+1),
 0
)</f>
        <v>0</v>
      </c>
      <c r="R503" s="35">
        <f>IFERROR(
 (1.907*EXP(1)^(-0.5*VALUE(tbl_CONTENT[[#This Row],[Layer]]))) *
 ((VALUE(tbl_CONTENT[[#This Row],[RelId]])-1)^(2.5)*4^(1-2.5)+1) +
 ((VALUE(tbl_CONTENT[[#This Row],[Comp]])-1)^(2.5)*4^(1-2.5)+1)*(0.5*((VALUE(tbl_CONTENT[[#This Row],[RelId]])-1)/4)^(2.5)+1),
 0
)</f>
        <v>0</v>
      </c>
      <c r="T503" s="62"/>
    </row>
    <row r="504" spans="3:20" ht="34" x14ac:dyDescent="0.2">
      <c r="C504" s="62" t="str">
        <f>_xlfn.XLOOKUP(tbl_CONTENT[[#This Row],[TopicID]], tbl_TOPIC[TopicID], tbl_TOPIC[Subject], "")</f>
        <v>A</v>
      </c>
      <c r="D504" s="62" t="str">
        <f xml:space="preserve"> tbl_CONTENT[[#This Row],[TopicID]] &amp; "-" &amp; TEXT(tbl_CONTENT[[#This Row],[TopicIDCount]], "00")</f>
        <v>A-1-04-05</v>
      </c>
      <c r="F504" s="22" t="str">
        <f>_xlfn.XLOOKUP(tbl_CONTENT[[#This Row],[Topic]], tbl_TOPIC[Topic], tbl_TOPIC[TopicID], "")</f>
        <v>A-1-04</v>
      </c>
      <c r="G504" s="62" cm="1">
        <f t="array" ref="G504">SUM((tbl_CONTENT[[#This Row],[TopicID]]=INDEX(tbl_CONTENT[TopicID],1):tbl_CONTENT[[#This Row],[TopicID]])*1)</f>
        <v>5</v>
      </c>
      <c r="H504" s="22" t="s">
        <v>853</v>
      </c>
      <c r="I504" s="22" t="s">
        <v>860</v>
      </c>
      <c r="J504" s="22" t="s">
        <v>148</v>
      </c>
      <c r="K504" s="22">
        <v>1</v>
      </c>
      <c r="P504" s="62"/>
      <c r="Q504" s="35">
        <f>IFERROR(
 (1.907*EXP(1)^(-0.5*tbl_CONTENT[[#This Row],[Layer]])) *
 ((tbl_CONTENT[[#This Row],[RelInt]]-1)^(2.5)*4^(1-2.5)+1) +
 ((tbl_CONTENT[[#This Row],[Comp]]-1)^(2.5)*4^(1-2.5)+1)*(0.5*((tbl_CONTENT[[#This Row],[RelInt]]-1)/4)^(2.5)+1),
 0
)</f>
        <v>0</v>
      </c>
      <c r="R504" s="35">
        <f>IFERROR(
 (1.907*EXP(1)^(-0.5*VALUE(tbl_CONTENT[[#This Row],[Layer]]))) *
 ((VALUE(tbl_CONTENT[[#This Row],[RelId]])-1)^(2.5)*4^(1-2.5)+1) +
 ((VALUE(tbl_CONTENT[[#This Row],[Comp]])-1)^(2.5)*4^(1-2.5)+1)*(0.5*((VALUE(tbl_CONTENT[[#This Row],[RelId]])-1)/4)^(2.5)+1),
 0
)</f>
        <v>0</v>
      </c>
      <c r="T504" s="62"/>
    </row>
    <row r="505" spans="3:20" ht="34" x14ac:dyDescent="0.2">
      <c r="C505" s="62" t="str">
        <f>_xlfn.XLOOKUP(tbl_CONTENT[[#This Row],[TopicID]], tbl_TOPIC[TopicID], tbl_TOPIC[Subject], "")</f>
        <v>A</v>
      </c>
      <c r="D505" s="62" t="str">
        <f xml:space="preserve"> tbl_CONTENT[[#This Row],[TopicID]] &amp; "-" &amp; TEXT(tbl_CONTENT[[#This Row],[TopicIDCount]], "00")</f>
        <v>A-1-04-06</v>
      </c>
      <c r="F505" s="22" t="str">
        <f>_xlfn.XLOOKUP(tbl_CONTENT[[#This Row],[Topic]], tbl_TOPIC[Topic], tbl_TOPIC[TopicID], "")</f>
        <v>A-1-04</v>
      </c>
      <c r="G505" s="62" cm="1">
        <f t="array" ref="G505">SUM((tbl_CONTENT[[#This Row],[TopicID]]=INDEX(tbl_CONTENT[TopicID],1):tbl_CONTENT[[#This Row],[TopicID]])*1)</f>
        <v>6</v>
      </c>
      <c r="H505" s="22" t="s">
        <v>853</v>
      </c>
      <c r="I505" s="22" t="s">
        <v>861</v>
      </c>
      <c r="J505" s="22" t="s">
        <v>148</v>
      </c>
      <c r="K505" s="22">
        <v>1</v>
      </c>
      <c r="P505" s="62"/>
      <c r="Q505" s="35">
        <f>IFERROR(
 (1.907*EXP(1)^(-0.5*tbl_CONTENT[[#This Row],[Layer]])) *
 ((tbl_CONTENT[[#This Row],[RelInt]]-1)^(2.5)*4^(1-2.5)+1) +
 ((tbl_CONTENT[[#This Row],[Comp]]-1)^(2.5)*4^(1-2.5)+1)*(0.5*((tbl_CONTENT[[#This Row],[RelInt]]-1)/4)^(2.5)+1),
 0
)</f>
        <v>0</v>
      </c>
      <c r="R505" s="35">
        <f>IFERROR(
 (1.907*EXP(1)^(-0.5*VALUE(tbl_CONTENT[[#This Row],[Layer]]))) *
 ((VALUE(tbl_CONTENT[[#This Row],[RelId]])-1)^(2.5)*4^(1-2.5)+1) +
 ((VALUE(tbl_CONTENT[[#This Row],[Comp]])-1)^(2.5)*4^(1-2.5)+1)*(0.5*((VALUE(tbl_CONTENT[[#This Row],[RelId]])-1)/4)^(2.5)+1),
 0
)</f>
        <v>0</v>
      </c>
      <c r="T505" s="62"/>
    </row>
    <row r="506" spans="3:20" ht="51" x14ac:dyDescent="0.2">
      <c r="C506" s="62" t="str">
        <f>_xlfn.XLOOKUP(tbl_CONTENT[[#This Row],[TopicID]], tbl_TOPIC[TopicID], tbl_TOPIC[Subject], "")</f>
        <v>A</v>
      </c>
      <c r="D506" s="62" t="str">
        <f xml:space="preserve"> tbl_CONTENT[[#This Row],[TopicID]] &amp; "-" &amp; TEXT(tbl_CONTENT[[#This Row],[TopicIDCount]], "00")</f>
        <v>A-1-04-07</v>
      </c>
      <c r="F506" s="22" t="str">
        <f>_xlfn.XLOOKUP(tbl_CONTENT[[#This Row],[Topic]], tbl_TOPIC[Topic], tbl_TOPIC[TopicID], "")</f>
        <v>A-1-04</v>
      </c>
      <c r="G506" s="62" cm="1">
        <f t="array" ref="G506">SUM((tbl_CONTENT[[#This Row],[TopicID]]=INDEX(tbl_CONTENT[TopicID],1):tbl_CONTENT[[#This Row],[TopicID]])*1)</f>
        <v>7</v>
      </c>
      <c r="H506" s="22" t="s">
        <v>853</v>
      </c>
      <c r="I506" s="22" t="s">
        <v>862</v>
      </c>
      <c r="J506" s="22" t="s">
        <v>152</v>
      </c>
      <c r="K506" s="22">
        <v>1</v>
      </c>
      <c r="P506" s="62"/>
      <c r="Q506" s="35">
        <f>IFERROR(
 (1.907*EXP(1)^(-0.5*tbl_CONTENT[[#This Row],[Layer]])) *
 ((tbl_CONTENT[[#This Row],[RelInt]]-1)^(2.5)*4^(1-2.5)+1) +
 ((tbl_CONTENT[[#This Row],[Comp]]-1)^(2.5)*4^(1-2.5)+1)*(0.5*((tbl_CONTENT[[#This Row],[RelInt]]-1)/4)^(2.5)+1),
 0
)</f>
        <v>0</v>
      </c>
      <c r="R506" s="35">
        <f>IFERROR(
 (1.907*EXP(1)^(-0.5*VALUE(tbl_CONTENT[[#This Row],[Layer]]))) *
 ((VALUE(tbl_CONTENT[[#This Row],[RelId]])-1)^(2.5)*4^(1-2.5)+1) +
 ((VALUE(tbl_CONTENT[[#This Row],[Comp]])-1)^(2.5)*4^(1-2.5)+1)*(0.5*((VALUE(tbl_CONTENT[[#This Row],[RelId]])-1)/4)^(2.5)+1),
 0
)</f>
        <v>0</v>
      </c>
      <c r="T506" s="62"/>
    </row>
    <row r="507" spans="3:20" ht="34" x14ac:dyDescent="0.2">
      <c r="C507" s="62" t="str">
        <f>_xlfn.XLOOKUP(tbl_CONTENT[[#This Row],[TopicID]], tbl_TOPIC[TopicID], tbl_TOPIC[Subject], "")</f>
        <v>A</v>
      </c>
      <c r="D507" s="62" t="str">
        <f xml:space="preserve"> tbl_CONTENT[[#This Row],[TopicID]] &amp; "-" &amp; TEXT(tbl_CONTENT[[#This Row],[TopicIDCount]], "00")</f>
        <v>A-1-04-08</v>
      </c>
      <c r="F507" s="22" t="str">
        <f>_xlfn.XLOOKUP(tbl_CONTENT[[#This Row],[Topic]], tbl_TOPIC[Topic], tbl_TOPIC[TopicID], "")</f>
        <v>A-1-04</v>
      </c>
      <c r="G507" s="62" cm="1">
        <f t="array" ref="G507">SUM((tbl_CONTENT[[#This Row],[TopicID]]=INDEX(tbl_CONTENT[TopicID],1):tbl_CONTENT[[#This Row],[TopicID]])*1)</f>
        <v>8</v>
      </c>
      <c r="H507" s="22" t="s">
        <v>853</v>
      </c>
      <c r="I507" s="22" t="s">
        <v>863</v>
      </c>
      <c r="J507" s="22" t="s">
        <v>181</v>
      </c>
      <c r="P507" s="62"/>
      <c r="Q507" s="35">
        <f>IFERROR(
 (1.907*EXP(1)^(-0.5*tbl_CONTENT[[#This Row],[Layer]])) *
 ((tbl_CONTENT[[#This Row],[RelInt]]-1)^(2.5)*4^(1-2.5)+1) +
 ((tbl_CONTENT[[#This Row],[Comp]]-1)^(2.5)*4^(1-2.5)+1)*(0.5*((tbl_CONTENT[[#This Row],[RelInt]]-1)/4)^(2.5)+1),
 0
)</f>
        <v>0</v>
      </c>
      <c r="R507" s="35">
        <f>IFERROR(
 (1.907*EXP(1)^(-0.5*VALUE(tbl_CONTENT[[#This Row],[Layer]]))) *
 ((VALUE(tbl_CONTENT[[#This Row],[RelId]])-1)^(2.5)*4^(1-2.5)+1) +
 ((VALUE(tbl_CONTENT[[#This Row],[Comp]])-1)^(2.5)*4^(1-2.5)+1)*(0.5*((VALUE(tbl_CONTENT[[#This Row],[RelId]])-1)/4)^(2.5)+1),
 0
)</f>
        <v>0</v>
      </c>
      <c r="T507" s="62"/>
    </row>
    <row r="508" spans="3:20" ht="51" x14ac:dyDescent="0.2">
      <c r="C508" s="62" t="str">
        <f>_xlfn.XLOOKUP(tbl_CONTENT[[#This Row],[TopicID]], tbl_TOPIC[TopicID], tbl_TOPIC[Subject], "")</f>
        <v>A</v>
      </c>
      <c r="D508" s="62" t="str">
        <f xml:space="preserve"> tbl_CONTENT[[#This Row],[TopicID]] &amp; "-" &amp; TEXT(tbl_CONTENT[[#This Row],[TopicIDCount]], "00")</f>
        <v>A-1-04-09</v>
      </c>
      <c r="F508" s="22" t="str">
        <f>_xlfn.XLOOKUP(tbl_CONTENT[[#This Row],[Topic]], tbl_TOPIC[Topic], tbl_TOPIC[TopicID], "")</f>
        <v>A-1-04</v>
      </c>
      <c r="G508" s="62" cm="1">
        <f t="array" ref="G508">SUM((tbl_CONTENT[[#This Row],[TopicID]]=INDEX(tbl_CONTENT[TopicID],1):tbl_CONTENT[[#This Row],[TopicID]])*1)</f>
        <v>9</v>
      </c>
      <c r="H508" s="22" t="s">
        <v>853</v>
      </c>
      <c r="I508" s="22" t="s">
        <v>1605</v>
      </c>
      <c r="J508" s="22" t="s">
        <v>181</v>
      </c>
      <c r="P508" s="62"/>
      <c r="Q508" s="35">
        <f>IFERROR(
 (1.907*EXP(1)^(-0.5*tbl_CONTENT[[#This Row],[Layer]])) *
 ((tbl_CONTENT[[#This Row],[RelInt]]-1)^(2.5)*4^(1-2.5)+1) +
 ((tbl_CONTENT[[#This Row],[Comp]]-1)^(2.5)*4^(1-2.5)+1)*(0.5*((tbl_CONTENT[[#This Row],[RelInt]]-1)/4)^(2.5)+1),
 0
)</f>
        <v>0</v>
      </c>
      <c r="R508" s="35">
        <f>IFERROR(
 (1.907*EXP(1)^(-0.5*VALUE(tbl_CONTENT[[#This Row],[Layer]]))) *
 ((VALUE(tbl_CONTENT[[#This Row],[RelId]])-1)^(2.5)*4^(1-2.5)+1) +
 ((VALUE(tbl_CONTENT[[#This Row],[Comp]])-1)^(2.5)*4^(1-2.5)+1)*(0.5*((VALUE(tbl_CONTENT[[#This Row],[RelId]])-1)/4)^(2.5)+1),
 0
)</f>
        <v>0</v>
      </c>
      <c r="T508" s="62"/>
    </row>
    <row r="509" spans="3:20" ht="34" x14ac:dyDescent="0.2">
      <c r="C509" s="62" t="str">
        <f>_xlfn.XLOOKUP(tbl_CONTENT[[#This Row],[TopicID]], tbl_TOPIC[TopicID], tbl_TOPIC[Subject], "")</f>
        <v>A</v>
      </c>
      <c r="D509" s="62" t="str">
        <f xml:space="preserve"> tbl_CONTENT[[#This Row],[TopicID]] &amp; "-" &amp; TEXT(tbl_CONTENT[[#This Row],[TopicIDCount]], "00")</f>
        <v>A-1-04-10</v>
      </c>
      <c r="F509" s="22" t="str">
        <f>_xlfn.XLOOKUP(tbl_CONTENT[[#This Row],[Topic]], tbl_TOPIC[Topic], tbl_TOPIC[TopicID], "")</f>
        <v>A-1-04</v>
      </c>
      <c r="G509" s="62" cm="1">
        <f t="array" ref="G509">SUM((tbl_CONTENT[[#This Row],[TopicID]]=INDEX(tbl_CONTENT[TopicID],1):tbl_CONTENT[[#This Row],[TopicID]])*1)</f>
        <v>10</v>
      </c>
      <c r="H509" s="22" t="s">
        <v>853</v>
      </c>
      <c r="I509" s="22" t="s">
        <v>864</v>
      </c>
      <c r="J509" s="22" t="s">
        <v>153</v>
      </c>
      <c r="K509" s="22">
        <v>1</v>
      </c>
      <c r="P509" s="62"/>
      <c r="Q509" s="35">
        <f>IFERROR(
 (1.907*EXP(1)^(-0.5*tbl_CONTENT[[#This Row],[Layer]])) *
 ((tbl_CONTENT[[#This Row],[RelInt]]-1)^(2.5)*4^(1-2.5)+1) +
 ((tbl_CONTENT[[#This Row],[Comp]]-1)^(2.5)*4^(1-2.5)+1)*(0.5*((tbl_CONTENT[[#This Row],[RelInt]]-1)/4)^(2.5)+1),
 0
)</f>
        <v>0</v>
      </c>
      <c r="R509" s="35">
        <f>IFERROR(
 (1.907*EXP(1)^(-0.5*VALUE(tbl_CONTENT[[#This Row],[Layer]]))) *
 ((VALUE(tbl_CONTENT[[#This Row],[RelId]])-1)^(2.5)*4^(1-2.5)+1) +
 ((VALUE(tbl_CONTENT[[#This Row],[Comp]])-1)^(2.5)*4^(1-2.5)+1)*(0.5*((VALUE(tbl_CONTENT[[#This Row],[RelId]])-1)/4)^(2.5)+1),
 0
)</f>
        <v>0</v>
      </c>
      <c r="T509" s="62"/>
    </row>
    <row r="510" spans="3:20" ht="34" x14ac:dyDescent="0.2">
      <c r="C510" s="62" t="str">
        <f>_xlfn.XLOOKUP(tbl_CONTENT[[#This Row],[TopicID]], tbl_TOPIC[TopicID], tbl_TOPIC[Subject], "")</f>
        <v>A</v>
      </c>
      <c r="D510" s="62" t="str">
        <f xml:space="preserve"> tbl_CONTENT[[#This Row],[TopicID]] &amp; "-" &amp; TEXT(tbl_CONTENT[[#This Row],[TopicIDCount]], "00")</f>
        <v>A-1-04-11</v>
      </c>
      <c r="F510" s="22" t="str">
        <f>_xlfn.XLOOKUP(tbl_CONTENT[[#This Row],[Topic]], tbl_TOPIC[Topic], tbl_TOPIC[TopicID], "")</f>
        <v>A-1-04</v>
      </c>
      <c r="G510" s="62" cm="1">
        <f t="array" ref="G510">SUM((tbl_CONTENT[[#This Row],[TopicID]]=INDEX(tbl_CONTENT[TopicID],1):tbl_CONTENT[[#This Row],[TopicID]])*1)</f>
        <v>11</v>
      </c>
      <c r="H510" s="22" t="s">
        <v>853</v>
      </c>
      <c r="I510" s="22" t="s">
        <v>865</v>
      </c>
      <c r="J510" s="22" t="s">
        <v>150</v>
      </c>
      <c r="K510" s="22">
        <v>1</v>
      </c>
      <c r="P510" s="62"/>
      <c r="Q510" s="35">
        <f>IFERROR(
 (1.907*EXP(1)^(-0.5*tbl_CONTENT[[#This Row],[Layer]])) *
 ((tbl_CONTENT[[#This Row],[RelInt]]-1)^(2.5)*4^(1-2.5)+1) +
 ((tbl_CONTENT[[#This Row],[Comp]]-1)^(2.5)*4^(1-2.5)+1)*(0.5*((tbl_CONTENT[[#This Row],[RelInt]]-1)/4)^(2.5)+1),
 0
)</f>
        <v>0</v>
      </c>
      <c r="R510" s="35">
        <f>IFERROR(
 (1.907*EXP(1)^(-0.5*VALUE(tbl_CONTENT[[#This Row],[Layer]]))) *
 ((VALUE(tbl_CONTENT[[#This Row],[RelId]])-1)^(2.5)*4^(1-2.5)+1) +
 ((VALUE(tbl_CONTENT[[#This Row],[Comp]])-1)^(2.5)*4^(1-2.5)+1)*(0.5*((VALUE(tbl_CONTENT[[#This Row],[RelId]])-1)/4)^(2.5)+1),
 0
)</f>
        <v>0</v>
      </c>
      <c r="T510" s="62"/>
    </row>
    <row r="511" spans="3:20" ht="34" x14ac:dyDescent="0.2">
      <c r="C511" s="62" t="str">
        <f>_xlfn.XLOOKUP(tbl_CONTENT[[#This Row],[TopicID]], tbl_TOPIC[TopicID], tbl_TOPIC[Subject], "")</f>
        <v>A</v>
      </c>
      <c r="D511" s="62" t="str">
        <f xml:space="preserve"> tbl_CONTENT[[#This Row],[TopicID]] &amp; "-" &amp; TEXT(tbl_CONTENT[[#This Row],[TopicIDCount]], "00")</f>
        <v>A-1-04-12</v>
      </c>
      <c r="F511" s="22" t="str">
        <f>_xlfn.XLOOKUP(tbl_CONTENT[[#This Row],[Topic]], tbl_TOPIC[Topic], tbl_TOPIC[TopicID], "")</f>
        <v>A-1-04</v>
      </c>
      <c r="G511" s="62" cm="1">
        <f t="array" ref="G511">SUM((tbl_CONTENT[[#This Row],[TopicID]]=INDEX(tbl_CONTENT[TopicID],1):tbl_CONTENT[[#This Row],[TopicID]])*1)</f>
        <v>12</v>
      </c>
      <c r="H511" s="22" t="s">
        <v>853</v>
      </c>
      <c r="I511" s="22" t="s">
        <v>866</v>
      </c>
      <c r="J511" s="22" t="s">
        <v>148</v>
      </c>
      <c r="K511" s="22">
        <v>1</v>
      </c>
      <c r="P511" s="62"/>
      <c r="Q511" s="35">
        <f>IFERROR(
 (1.907*EXP(1)^(-0.5*tbl_CONTENT[[#This Row],[Layer]])) *
 ((tbl_CONTENT[[#This Row],[RelInt]]-1)^(2.5)*4^(1-2.5)+1) +
 ((tbl_CONTENT[[#This Row],[Comp]]-1)^(2.5)*4^(1-2.5)+1)*(0.5*((tbl_CONTENT[[#This Row],[RelInt]]-1)/4)^(2.5)+1),
 0
)</f>
        <v>0</v>
      </c>
      <c r="R511" s="35">
        <f>IFERROR(
 (1.907*EXP(1)^(-0.5*VALUE(tbl_CONTENT[[#This Row],[Layer]]))) *
 ((VALUE(tbl_CONTENT[[#This Row],[RelId]])-1)^(2.5)*4^(1-2.5)+1) +
 ((VALUE(tbl_CONTENT[[#This Row],[Comp]])-1)^(2.5)*4^(1-2.5)+1)*(0.5*((VALUE(tbl_CONTENT[[#This Row],[RelId]])-1)/4)^(2.5)+1),
 0
)</f>
        <v>0</v>
      </c>
      <c r="T511" s="62"/>
    </row>
    <row r="512" spans="3:20" ht="34" x14ac:dyDescent="0.2">
      <c r="C512" s="62" t="str">
        <f>_xlfn.XLOOKUP(tbl_CONTENT[[#This Row],[TopicID]], tbl_TOPIC[TopicID], tbl_TOPIC[Subject], "")</f>
        <v>A</v>
      </c>
      <c r="D512" s="62" t="str">
        <f xml:space="preserve"> tbl_CONTENT[[#This Row],[TopicID]] &amp; "-" &amp; TEXT(tbl_CONTENT[[#This Row],[TopicIDCount]], "00")</f>
        <v>A-1-04-13</v>
      </c>
      <c r="F512" s="22" t="str">
        <f>_xlfn.XLOOKUP(tbl_CONTENT[[#This Row],[Topic]], tbl_TOPIC[Topic], tbl_TOPIC[TopicID], "")</f>
        <v>A-1-04</v>
      </c>
      <c r="G512" s="62" cm="1">
        <f t="array" ref="G512">SUM((tbl_CONTENT[[#This Row],[TopicID]]=INDEX(tbl_CONTENT[TopicID],1):tbl_CONTENT[[#This Row],[TopicID]])*1)</f>
        <v>13</v>
      </c>
      <c r="H512" s="22" t="s">
        <v>853</v>
      </c>
      <c r="I512" s="22" t="s">
        <v>872</v>
      </c>
      <c r="J512" s="22" t="s">
        <v>148</v>
      </c>
      <c r="K512" s="22">
        <v>1</v>
      </c>
      <c r="P512" s="62"/>
      <c r="Q512" s="35">
        <f>IFERROR(
 (1.907*EXP(1)^(-0.5*tbl_CONTENT[[#This Row],[Layer]])) *
 ((tbl_CONTENT[[#This Row],[RelInt]]-1)^(2.5)*4^(1-2.5)+1) +
 ((tbl_CONTENT[[#This Row],[Comp]]-1)^(2.5)*4^(1-2.5)+1)*(0.5*((tbl_CONTENT[[#This Row],[RelInt]]-1)/4)^(2.5)+1),
 0
)</f>
        <v>0</v>
      </c>
      <c r="R512" s="35">
        <f>IFERROR(
 (1.907*EXP(1)^(-0.5*VALUE(tbl_CONTENT[[#This Row],[Layer]]))) *
 ((VALUE(tbl_CONTENT[[#This Row],[RelId]])-1)^(2.5)*4^(1-2.5)+1) +
 ((VALUE(tbl_CONTENT[[#This Row],[Comp]])-1)^(2.5)*4^(1-2.5)+1)*(0.5*((VALUE(tbl_CONTENT[[#This Row],[RelId]])-1)/4)^(2.5)+1),
 0
)</f>
        <v>0</v>
      </c>
      <c r="T512" s="62"/>
    </row>
    <row r="513" spans="3:20" ht="68" x14ac:dyDescent="0.2">
      <c r="C513" s="62" t="str">
        <f>_xlfn.XLOOKUP(tbl_CONTENT[[#This Row],[TopicID]], tbl_TOPIC[TopicID], tbl_TOPIC[Subject], "")</f>
        <v>A</v>
      </c>
      <c r="D513" s="62" t="str">
        <f xml:space="preserve"> tbl_CONTENT[[#This Row],[TopicID]] &amp; "-" &amp; TEXT(tbl_CONTENT[[#This Row],[TopicIDCount]], "00")</f>
        <v>A-1-04-14</v>
      </c>
      <c r="F513" s="22" t="str">
        <f>_xlfn.XLOOKUP(tbl_CONTENT[[#This Row],[Topic]], tbl_TOPIC[Topic], tbl_TOPIC[TopicID], "")</f>
        <v>A-1-04</v>
      </c>
      <c r="G513" s="62" cm="1">
        <f t="array" ref="G513">SUM((tbl_CONTENT[[#This Row],[TopicID]]=INDEX(tbl_CONTENT[TopicID],1):tbl_CONTENT[[#This Row],[TopicID]])*1)</f>
        <v>14</v>
      </c>
      <c r="H513" s="22" t="s">
        <v>853</v>
      </c>
      <c r="I513" s="22" t="s">
        <v>867</v>
      </c>
      <c r="J513" s="22" t="s">
        <v>150</v>
      </c>
      <c r="P513" s="62"/>
      <c r="Q513" s="35">
        <f>IFERROR(
 (1.907*EXP(1)^(-0.5*tbl_CONTENT[[#This Row],[Layer]])) *
 ((tbl_CONTENT[[#This Row],[RelInt]]-1)^(2.5)*4^(1-2.5)+1) +
 ((tbl_CONTENT[[#This Row],[Comp]]-1)^(2.5)*4^(1-2.5)+1)*(0.5*((tbl_CONTENT[[#This Row],[RelInt]]-1)/4)^(2.5)+1),
 0
)</f>
        <v>0</v>
      </c>
      <c r="R513" s="35">
        <f>IFERROR(
 (1.907*EXP(1)^(-0.5*VALUE(tbl_CONTENT[[#This Row],[Layer]]))) *
 ((VALUE(tbl_CONTENT[[#This Row],[RelId]])-1)^(2.5)*4^(1-2.5)+1) +
 ((VALUE(tbl_CONTENT[[#This Row],[Comp]])-1)^(2.5)*4^(1-2.5)+1)*(0.5*((VALUE(tbl_CONTENT[[#This Row],[RelId]])-1)/4)^(2.5)+1),
 0
)</f>
        <v>0</v>
      </c>
      <c r="T513" s="62"/>
    </row>
    <row r="514" spans="3:20" ht="34" x14ac:dyDescent="0.2">
      <c r="C514" s="62" t="str">
        <f>_xlfn.XLOOKUP(tbl_CONTENT[[#This Row],[TopicID]], tbl_TOPIC[TopicID], tbl_TOPIC[Subject], "")</f>
        <v>A</v>
      </c>
      <c r="D514" s="62" t="str">
        <f xml:space="preserve"> tbl_CONTENT[[#This Row],[TopicID]] &amp; "-" &amp; TEXT(tbl_CONTENT[[#This Row],[TopicIDCount]], "00")</f>
        <v>A-1-04-15</v>
      </c>
      <c r="F514" s="22" t="str">
        <f>_xlfn.XLOOKUP(tbl_CONTENT[[#This Row],[Topic]], tbl_TOPIC[Topic], tbl_TOPIC[TopicID], "")</f>
        <v>A-1-04</v>
      </c>
      <c r="G514" s="62" cm="1">
        <f t="array" ref="G514">SUM((tbl_CONTENT[[#This Row],[TopicID]]=INDEX(tbl_CONTENT[TopicID],1):tbl_CONTENT[[#This Row],[TopicID]])*1)</f>
        <v>15</v>
      </c>
      <c r="H514" s="22" t="s">
        <v>853</v>
      </c>
      <c r="I514" s="22" t="s">
        <v>868</v>
      </c>
      <c r="J514" s="22" t="s">
        <v>153</v>
      </c>
      <c r="P514" s="62"/>
      <c r="Q514" s="35">
        <f>IFERROR(
 (1.907*EXP(1)^(-0.5*tbl_CONTENT[[#This Row],[Layer]])) *
 ((tbl_CONTENT[[#This Row],[RelInt]]-1)^(2.5)*4^(1-2.5)+1) +
 ((tbl_CONTENT[[#This Row],[Comp]]-1)^(2.5)*4^(1-2.5)+1)*(0.5*((tbl_CONTENT[[#This Row],[RelInt]]-1)/4)^(2.5)+1),
 0
)</f>
        <v>0</v>
      </c>
      <c r="R514" s="35">
        <f>IFERROR(
 (1.907*EXP(1)^(-0.5*VALUE(tbl_CONTENT[[#This Row],[Layer]]))) *
 ((VALUE(tbl_CONTENT[[#This Row],[RelId]])-1)^(2.5)*4^(1-2.5)+1) +
 ((VALUE(tbl_CONTENT[[#This Row],[Comp]])-1)^(2.5)*4^(1-2.5)+1)*(0.5*((VALUE(tbl_CONTENT[[#This Row],[RelId]])-1)/4)^(2.5)+1),
 0
)</f>
        <v>0</v>
      </c>
      <c r="T514" s="62"/>
    </row>
    <row r="515" spans="3:20" ht="34" x14ac:dyDescent="0.2">
      <c r="C515" s="62" t="str">
        <f>_xlfn.XLOOKUP(tbl_CONTENT[[#This Row],[TopicID]], tbl_TOPIC[TopicID], tbl_TOPIC[Subject], "")</f>
        <v>A</v>
      </c>
      <c r="D515" s="62" t="str">
        <f xml:space="preserve"> tbl_CONTENT[[#This Row],[TopicID]] &amp; "-" &amp; TEXT(tbl_CONTENT[[#This Row],[TopicIDCount]], "00")</f>
        <v>A-1-04-16</v>
      </c>
      <c r="F515" s="22" t="str">
        <f>_xlfn.XLOOKUP(tbl_CONTENT[[#This Row],[Topic]], tbl_TOPIC[Topic], tbl_TOPIC[TopicID], "")</f>
        <v>A-1-04</v>
      </c>
      <c r="G515" s="62" cm="1">
        <f t="array" ref="G515">SUM((tbl_CONTENT[[#This Row],[TopicID]]=INDEX(tbl_CONTENT[TopicID],1):tbl_CONTENT[[#This Row],[TopicID]])*1)</f>
        <v>16</v>
      </c>
      <c r="H515" s="22" t="s">
        <v>853</v>
      </c>
      <c r="I515" s="22" t="s">
        <v>869</v>
      </c>
      <c r="J515" s="22" t="s">
        <v>181</v>
      </c>
      <c r="P515" s="62"/>
      <c r="Q515" s="35">
        <f>IFERROR(
 (1.907*EXP(1)^(-0.5*tbl_CONTENT[[#This Row],[Layer]])) *
 ((tbl_CONTENT[[#This Row],[RelInt]]-1)^(2.5)*4^(1-2.5)+1) +
 ((tbl_CONTENT[[#This Row],[Comp]]-1)^(2.5)*4^(1-2.5)+1)*(0.5*((tbl_CONTENT[[#This Row],[RelInt]]-1)/4)^(2.5)+1),
 0
)</f>
        <v>0</v>
      </c>
      <c r="R515" s="35">
        <f>IFERROR(
 (1.907*EXP(1)^(-0.5*VALUE(tbl_CONTENT[[#This Row],[Layer]]))) *
 ((VALUE(tbl_CONTENT[[#This Row],[RelId]])-1)^(2.5)*4^(1-2.5)+1) +
 ((VALUE(tbl_CONTENT[[#This Row],[Comp]])-1)^(2.5)*4^(1-2.5)+1)*(0.5*((VALUE(tbl_CONTENT[[#This Row],[RelId]])-1)/4)^(2.5)+1),
 0
)</f>
        <v>0</v>
      </c>
      <c r="T515" s="62"/>
    </row>
    <row r="516" spans="3:20" ht="34" x14ac:dyDescent="0.2">
      <c r="C516" s="62" t="str">
        <f>_xlfn.XLOOKUP(tbl_CONTENT[[#This Row],[TopicID]], tbl_TOPIC[TopicID], tbl_TOPIC[Subject], "")</f>
        <v>A</v>
      </c>
      <c r="D516" s="62" t="str">
        <f xml:space="preserve"> tbl_CONTENT[[#This Row],[TopicID]] &amp; "-" &amp; TEXT(tbl_CONTENT[[#This Row],[TopicIDCount]], "00")</f>
        <v>A-1-04-17</v>
      </c>
      <c r="F516" s="22" t="str">
        <f>_xlfn.XLOOKUP(tbl_CONTENT[[#This Row],[Topic]], tbl_TOPIC[Topic], tbl_TOPIC[TopicID], "")</f>
        <v>A-1-04</v>
      </c>
      <c r="G516" s="62" cm="1">
        <f t="array" ref="G516">SUM((tbl_CONTENT[[#This Row],[TopicID]]=INDEX(tbl_CONTENT[TopicID],1):tbl_CONTENT[[#This Row],[TopicID]])*1)</f>
        <v>17</v>
      </c>
      <c r="H516" s="22" t="s">
        <v>853</v>
      </c>
      <c r="I516" s="22" t="s">
        <v>870</v>
      </c>
      <c r="J516" s="22" t="s">
        <v>152</v>
      </c>
      <c r="P516" s="62"/>
      <c r="Q516" s="35">
        <f>IFERROR(
 (1.907*EXP(1)^(-0.5*tbl_CONTENT[[#This Row],[Layer]])) *
 ((tbl_CONTENT[[#This Row],[RelInt]]-1)^(2.5)*4^(1-2.5)+1) +
 ((tbl_CONTENT[[#This Row],[Comp]]-1)^(2.5)*4^(1-2.5)+1)*(0.5*((tbl_CONTENT[[#This Row],[RelInt]]-1)/4)^(2.5)+1),
 0
)</f>
        <v>0</v>
      </c>
      <c r="R516" s="35">
        <f>IFERROR(
 (1.907*EXP(1)^(-0.5*VALUE(tbl_CONTENT[[#This Row],[Layer]]))) *
 ((VALUE(tbl_CONTENT[[#This Row],[RelId]])-1)^(2.5)*4^(1-2.5)+1) +
 ((VALUE(tbl_CONTENT[[#This Row],[Comp]])-1)^(2.5)*4^(1-2.5)+1)*(0.5*((VALUE(tbl_CONTENT[[#This Row],[RelId]])-1)/4)^(2.5)+1),
 0
)</f>
        <v>0</v>
      </c>
      <c r="T516" s="62"/>
    </row>
    <row r="517" spans="3:20" ht="51" x14ac:dyDescent="0.2">
      <c r="C517" s="62" t="str">
        <f>_xlfn.XLOOKUP(tbl_CONTENT[[#This Row],[TopicID]], tbl_TOPIC[TopicID], tbl_TOPIC[Subject], "")</f>
        <v>A</v>
      </c>
      <c r="D517" s="62" t="str">
        <f xml:space="preserve"> tbl_CONTENT[[#This Row],[TopicID]] &amp; "-" &amp; TEXT(tbl_CONTENT[[#This Row],[TopicIDCount]], "00")</f>
        <v>A-1-04-18</v>
      </c>
      <c r="F517" s="22" t="str">
        <f>_xlfn.XLOOKUP(tbl_CONTENT[[#This Row],[Topic]], tbl_TOPIC[Topic], tbl_TOPIC[TopicID], "")</f>
        <v>A-1-04</v>
      </c>
      <c r="G517" s="62" cm="1">
        <f t="array" ref="G517">SUM((tbl_CONTENT[[#This Row],[TopicID]]=INDEX(tbl_CONTENT[TopicID],1):tbl_CONTENT[[#This Row],[TopicID]])*1)</f>
        <v>18</v>
      </c>
      <c r="H517" s="22" t="s">
        <v>853</v>
      </c>
      <c r="I517" s="22" t="s">
        <v>871</v>
      </c>
      <c r="J517" s="22" t="s">
        <v>152</v>
      </c>
      <c r="P517" s="62"/>
      <c r="Q517" s="35">
        <f>IFERROR(
 (1.907*EXP(1)^(-0.5*tbl_CONTENT[[#This Row],[Layer]])) *
 ((tbl_CONTENT[[#This Row],[RelInt]]-1)^(2.5)*4^(1-2.5)+1) +
 ((tbl_CONTENT[[#This Row],[Comp]]-1)^(2.5)*4^(1-2.5)+1)*(0.5*((tbl_CONTENT[[#This Row],[RelInt]]-1)/4)^(2.5)+1),
 0
)</f>
        <v>0</v>
      </c>
      <c r="R517" s="35">
        <f>IFERROR(
 (1.907*EXP(1)^(-0.5*VALUE(tbl_CONTENT[[#This Row],[Layer]]))) *
 ((VALUE(tbl_CONTENT[[#This Row],[RelId]])-1)^(2.5)*4^(1-2.5)+1) +
 ((VALUE(tbl_CONTENT[[#This Row],[Comp]])-1)^(2.5)*4^(1-2.5)+1)*(0.5*((VALUE(tbl_CONTENT[[#This Row],[RelId]])-1)/4)^(2.5)+1),
 0
)</f>
        <v>0</v>
      </c>
      <c r="T517" s="62"/>
    </row>
    <row r="518" spans="3:20" ht="34" x14ac:dyDescent="0.2">
      <c r="C518" s="62" t="str">
        <f>_xlfn.XLOOKUP(tbl_CONTENT[[#This Row],[TopicID]], tbl_TOPIC[TopicID], tbl_TOPIC[Subject], "")</f>
        <v>A</v>
      </c>
      <c r="D518" s="62" t="str">
        <f xml:space="preserve"> tbl_CONTENT[[#This Row],[TopicID]] &amp; "-" &amp; TEXT(tbl_CONTENT[[#This Row],[TopicIDCount]], "00")</f>
        <v>A-1-05-01</v>
      </c>
      <c r="F518" s="22" t="str">
        <f>_xlfn.XLOOKUP(tbl_CONTENT[[#This Row],[Topic]], tbl_TOPIC[Topic], tbl_TOPIC[TopicID], "")</f>
        <v>A-1-05</v>
      </c>
      <c r="G518" s="62" cm="1">
        <f t="array" ref="G518">SUM((tbl_CONTENT[[#This Row],[TopicID]]=INDEX(tbl_CONTENT[TopicID],1):tbl_CONTENT[[#This Row],[TopicID]])*1)</f>
        <v>1</v>
      </c>
      <c r="H518" s="22" t="s">
        <v>881</v>
      </c>
      <c r="I518" s="22" t="s">
        <v>883</v>
      </c>
      <c r="J518" s="22" t="s">
        <v>148</v>
      </c>
      <c r="P518" s="62"/>
      <c r="Q518" s="35">
        <f>IFERROR(
 (1.907*EXP(1)^(-0.5*tbl_CONTENT[[#This Row],[Layer]])) *
 ((tbl_CONTENT[[#This Row],[RelInt]]-1)^(2.5)*4^(1-2.5)+1) +
 ((tbl_CONTENT[[#This Row],[Comp]]-1)^(2.5)*4^(1-2.5)+1)*(0.5*((tbl_CONTENT[[#This Row],[RelInt]]-1)/4)^(2.5)+1),
 0
)</f>
        <v>0</v>
      </c>
      <c r="R518" s="35">
        <f>IFERROR(
 (1.907*EXP(1)^(-0.5*VALUE(tbl_CONTENT[[#This Row],[Layer]]))) *
 ((VALUE(tbl_CONTENT[[#This Row],[RelId]])-1)^(2.5)*4^(1-2.5)+1) +
 ((VALUE(tbl_CONTENT[[#This Row],[Comp]])-1)^(2.5)*4^(1-2.5)+1)*(0.5*((VALUE(tbl_CONTENT[[#This Row],[RelId]])-1)/4)^(2.5)+1),
 0
)</f>
        <v>0</v>
      </c>
      <c r="T518" s="62"/>
    </row>
    <row r="519" spans="3:20" ht="17" x14ac:dyDescent="0.2">
      <c r="C519" s="62" t="str">
        <f>_xlfn.XLOOKUP(tbl_CONTENT[[#This Row],[TopicID]], tbl_TOPIC[TopicID], tbl_TOPIC[Subject], "")</f>
        <v>A</v>
      </c>
      <c r="D519" s="62" t="str">
        <f xml:space="preserve"> tbl_CONTENT[[#This Row],[TopicID]] &amp; "-" &amp; TEXT(tbl_CONTENT[[#This Row],[TopicIDCount]], "00")</f>
        <v>A-1-05-02</v>
      </c>
      <c r="F519" s="22" t="str">
        <f>_xlfn.XLOOKUP(tbl_CONTENT[[#This Row],[Topic]], tbl_TOPIC[Topic], tbl_TOPIC[TopicID], "")</f>
        <v>A-1-05</v>
      </c>
      <c r="G519" s="62" cm="1">
        <f t="array" ref="G519">SUM((tbl_CONTENT[[#This Row],[TopicID]]=INDEX(tbl_CONTENT[TopicID],1):tbl_CONTENT[[#This Row],[TopicID]])*1)</f>
        <v>2</v>
      </c>
      <c r="H519" s="22" t="s">
        <v>881</v>
      </c>
      <c r="I519" s="22" t="s">
        <v>884</v>
      </c>
      <c r="J519" s="22" t="s">
        <v>153</v>
      </c>
      <c r="K519" s="22">
        <v>1</v>
      </c>
      <c r="P519" s="62"/>
      <c r="Q519" s="35">
        <f>IFERROR(
 (1.907*EXP(1)^(-0.5*tbl_CONTENT[[#This Row],[Layer]])) *
 ((tbl_CONTENT[[#This Row],[RelInt]]-1)^(2.5)*4^(1-2.5)+1) +
 ((tbl_CONTENT[[#This Row],[Comp]]-1)^(2.5)*4^(1-2.5)+1)*(0.5*((tbl_CONTENT[[#This Row],[RelInt]]-1)/4)^(2.5)+1),
 0
)</f>
        <v>0</v>
      </c>
      <c r="R519" s="35">
        <f>IFERROR(
 (1.907*EXP(1)^(-0.5*VALUE(tbl_CONTENT[[#This Row],[Layer]]))) *
 ((VALUE(tbl_CONTENT[[#This Row],[RelId]])-1)^(2.5)*4^(1-2.5)+1) +
 ((VALUE(tbl_CONTENT[[#This Row],[Comp]])-1)^(2.5)*4^(1-2.5)+1)*(0.5*((VALUE(tbl_CONTENT[[#This Row],[RelId]])-1)/4)^(2.5)+1),
 0
)</f>
        <v>0</v>
      </c>
      <c r="T519" s="62"/>
    </row>
    <row r="520" spans="3:20" ht="17" x14ac:dyDescent="0.2">
      <c r="C520" s="62" t="str">
        <f>_xlfn.XLOOKUP(tbl_CONTENT[[#This Row],[TopicID]], tbl_TOPIC[TopicID], tbl_TOPIC[Subject], "")</f>
        <v>A</v>
      </c>
      <c r="D520" s="62" t="str">
        <f xml:space="preserve"> tbl_CONTENT[[#This Row],[TopicID]] &amp; "-" &amp; TEXT(tbl_CONTENT[[#This Row],[TopicIDCount]], "00")</f>
        <v>A-1-05-03</v>
      </c>
      <c r="F520" s="22" t="str">
        <f>_xlfn.XLOOKUP(tbl_CONTENT[[#This Row],[Topic]], tbl_TOPIC[Topic], tbl_TOPIC[TopicID], "")</f>
        <v>A-1-05</v>
      </c>
      <c r="G520" s="62" cm="1">
        <f t="array" ref="G520">SUM((tbl_CONTENT[[#This Row],[TopicID]]=INDEX(tbl_CONTENT[TopicID],1):tbl_CONTENT[[#This Row],[TopicID]])*1)</f>
        <v>3</v>
      </c>
      <c r="H520" s="22" t="s">
        <v>881</v>
      </c>
      <c r="I520" s="22" t="s">
        <v>885</v>
      </c>
      <c r="J520" s="22" t="s">
        <v>150</v>
      </c>
      <c r="K520" s="22">
        <v>1</v>
      </c>
      <c r="P520" s="62"/>
      <c r="Q520" s="35">
        <f>IFERROR(
 (1.907*EXP(1)^(-0.5*tbl_CONTENT[[#This Row],[Layer]])) *
 ((tbl_CONTENT[[#This Row],[RelInt]]-1)^(2.5)*4^(1-2.5)+1) +
 ((tbl_CONTENT[[#This Row],[Comp]]-1)^(2.5)*4^(1-2.5)+1)*(0.5*((tbl_CONTENT[[#This Row],[RelInt]]-1)/4)^(2.5)+1),
 0
)</f>
        <v>0</v>
      </c>
      <c r="R520" s="35">
        <f>IFERROR(
 (1.907*EXP(1)^(-0.5*VALUE(tbl_CONTENT[[#This Row],[Layer]]))) *
 ((VALUE(tbl_CONTENT[[#This Row],[RelId]])-1)^(2.5)*4^(1-2.5)+1) +
 ((VALUE(tbl_CONTENT[[#This Row],[Comp]])-1)^(2.5)*4^(1-2.5)+1)*(0.5*((VALUE(tbl_CONTENT[[#This Row],[RelId]])-1)/4)^(2.5)+1),
 0
)</f>
        <v>0</v>
      </c>
      <c r="T520" s="62"/>
    </row>
    <row r="521" spans="3:20" ht="17" x14ac:dyDescent="0.2">
      <c r="C521" s="62" t="str">
        <f>_xlfn.XLOOKUP(tbl_CONTENT[[#This Row],[TopicID]], tbl_TOPIC[TopicID], tbl_TOPIC[Subject], "")</f>
        <v>A</v>
      </c>
      <c r="D521" s="62" t="str">
        <f xml:space="preserve"> tbl_CONTENT[[#This Row],[TopicID]] &amp; "-" &amp; TEXT(tbl_CONTENT[[#This Row],[TopicIDCount]], "00")</f>
        <v>A-1-05-04</v>
      </c>
      <c r="F521" s="22" t="str">
        <f>_xlfn.XLOOKUP(tbl_CONTENT[[#This Row],[Topic]], tbl_TOPIC[Topic], tbl_TOPIC[TopicID], "")</f>
        <v>A-1-05</v>
      </c>
      <c r="G521" s="62" cm="1">
        <f t="array" ref="G521">SUM((tbl_CONTENT[[#This Row],[TopicID]]=INDEX(tbl_CONTENT[TopicID],1):tbl_CONTENT[[#This Row],[TopicID]])*1)</f>
        <v>4</v>
      </c>
      <c r="H521" s="22" t="s">
        <v>881</v>
      </c>
      <c r="I521" s="22" t="s">
        <v>1606</v>
      </c>
      <c r="J521" s="22" t="s">
        <v>181</v>
      </c>
      <c r="P521" s="62"/>
      <c r="Q521" s="35">
        <f>IFERROR(
 (1.907*EXP(1)^(-0.5*tbl_CONTENT[[#This Row],[Layer]])) *
 ((tbl_CONTENT[[#This Row],[RelInt]]-1)^(2.5)*4^(1-2.5)+1) +
 ((tbl_CONTENT[[#This Row],[Comp]]-1)^(2.5)*4^(1-2.5)+1)*(0.5*((tbl_CONTENT[[#This Row],[RelInt]]-1)/4)^(2.5)+1),
 0
)</f>
        <v>0</v>
      </c>
      <c r="R521" s="35">
        <f>IFERROR(
 (1.907*EXP(1)^(-0.5*VALUE(tbl_CONTENT[[#This Row],[Layer]]))) *
 ((VALUE(tbl_CONTENT[[#This Row],[RelId]])-1)^(2.5)*4^(1-2.5)+1) +
 ((VALUE(tbl_CONTENT[[#This Row],[Comp]])-1)^(2.5)*4^(1-2.5)+1)*(0.5*((VALUE(tbl_CONTENT[[#This Row],[RelId]])-1)/4)^(2.5)+1),
 0
)</f>
        <v>0</v>
      </c>
      <c r="T521" s="62"/>
    </row>
    <row r="522" spans="3:20" ht="17" x14ac:dyDescent="0.2">
      <c r="C522" s="62" t="str">
        <f>_xlfn.XLOOKUP(tbl_CONTENT[[#This Row],[TopicID]], tbl_TOPIC[TopicID], tbl_TOPIC[Subject], "")</f>
        <v>A</v>
      </c>
      <c r="D522" s="62" t="str">
        <f xml:space="preserve"> tbl_CONTENT[[#This Row],[TopicID]] &amp; "-" &amp; TEXT(tbl_CONTENT[[#This Row],[TopicIDCount]], "00")</f>
        <v>A-1-05-05</v>
      </c>
      <c r="F522" s="22" t="str">
        <f>_xlfn.XLOOKUP(tbl_CONTENT[[#This Row],[Topic]], tbl_TOPIC[Topic], tbl_TOPIC[TopicID], "")</f>
        <v>A-1-05</v>
      </c>
      <c r="G522" s="62" cm="1">
        <f t="array" ref="G522">SUM((tbl_CONTENT[[#This Row],[TopicID]]=INDEX(tbl_CONTENT[TopicID],1):tbl_CONTENT[[#This Row],[TopicID]])*1)</f>
        <v>5</v>
      </c>
      <c r="H522" s="22" t="s">
        <v>881</v>
      </c>
      <c r="I522" s="22" t="s">
        <v>886</v>
      </c>
      <c r="J522" s="22" t="s">
        <v>152</v>
      </c>
      <c r="P522" s="62"/>
      <c r="Q522" s="35">
        <f>IFERROR(
 (1.907*EXP(1)^(-0.5*tbl_CONTENT[[#This Row],[Layer]])) *
 ((tbl_CONTENT[[#This Row],[RelInt]]-1)^(2.5)*4^(1-2.5)+1) +
 ((tbl_CONTENT[[#This Row],[Comp]]-1)^(2.5)*4^(1-2.5)+1)*(0.5*((tbl_CONTENT[[#This Row],[RelInt]]-1)/4)^(2.5)+1),
 0
)</f>
        <v>0</v>
      </c>
      <c r="R522" s="35">
        <f>IFERROR(
 (1.907*EXP(1)^(-0.5*VALUE(tbl_CONTENT[[#This Row],[Layer]]))) *
 ((VALUE(tbl_CONTENT[[#This Row],[RelId]])-1)^(2.5)*4^(1-2.5)+1) +
 ((VALUE(tbl_CONTENT[[#This Row],[Comp]])-1)^(2.5)*4^(1-2.5)+1)*(0.5*((VALUE(tbl_CONTENT[[#This Row],[RelId]])-1)/4)^(2.5)+1),
 0
)</f>
        <v>0</v>
      </c>
      <c r="T522" s="62"/>
    </row>
    <row r="523" spans="3:20" ht="17" x14ac:dyDescent="0.2">
      <c r="C523" s="62" t="str">
        <f>_xlfn.XLOOKUP(tbl_CONTENT[[#This Row],[TopicID]], tbl_TOPIC[TopicID], tbl_TOPIC[Subject], "")</f>
        <v>A</v>
      </c>
      <c r="D523" s="62" t="str">
        <f xml:space="preserve"> tbl_CONTENT[[#This Row],[TopicID]] &amp; "-" &amp; TEXT(tbl_CONTENT[[#This Row],[TopicIDCount]], "00")</f>
        <v>A-1-05-06</v>
      </c>
      <c r="F523" s="22" t="str">
        <f>_xlfn.XLOOKUP(tbl_CONTENT[[#This Row],[Topic]], tbl_TOPIC[Topic], tbl_TOPIC[TopicID], "")</f>
        <v>A-1-05</v>
      </c>
      <c r="G523" s="62" cm="1">
        <f t="array" ref="G523">SUM((tbl_CONTENT[[#This Row],[TopicID]]=INDEX(tbl_CONTENT[TopicID],1):tbl_CONTENT[[#This Row],[TopicID]])*1)</f>
        <v>6</v>
      </c>
      <c r="H523" s="22" t="s">
        <v>881</v>
      </c>
      <c r="I523" s="22" t="s">
        <v>1607</v>
      </c>
      <c r="J523" s="22" t="s">
        <v>152</v>
      </c>
      <c r="P523" s="62"/>
      <c r="Q523" s="35">
        <f>IFERROR(
 (1.907*EXP(1)^(-0.5*tbl_CONTENT[[#This Row],[Layer]])) *
 ((tbl_CONTENT[[#This Row],[RelInt]]-1)^(2.5)*4^(1-2.5)+1) +
 ((tbl_CONTENT[[#This Row],[Comp]]-1)^(2.5)*4^(1-2.5)+1)*(0.5*((tbl_CONTENT[[#This Row],[RelInt]]-1)/4)^(2.5)+1),
 0
)</f>
        <v>0</v>
      </c>
      <c r="R523" s="35">
        <f>IFERROR(
 (1.907*EXP(1)^(-0.5*VALUE(tbl_CONTENT[[#This Row],[Layer]]))) *
 ((VALUE(tbl_CONTENT[[#This Row],[RelId]])-1)^(2.5)*4^(1-2.5)+1) +
 ((VALUE(tbl_CONTENT[[#This Row],[Comp]])-1)^(2.5)*4^(1-2.5)+1)*(0.5*((VALUE(tbl_CONTENT[[#This Row],[RelId]])-1)/4)^(2.5)+1),
 0
)</f>
        <v>0</v>
      </c>
      <c r="T523" s="62"/>
    </row>
    <row r="524" spans="3:20" ht="17" x14ac:dyDescent="0.2">
      <c r="C524" s="62" t="str">
        <f>_xlfn.XLOOKUP(tbl_CONTENT[[#This Row],[TopicID]], tbl_TOPIC[TopicID], tbl_TOPIC[Subject], "")</f>
        <v>A</v>
      </c>
      <c r="D524" s="62" t="str">
        <f xml:space="preserve"> tbl_CONTENT[[#This Row],[TopicID]] &amp; "-" &amp; TEXT(tbl_CONTENT[[#This Row],[TopicIDCount]], "00")</f>
        <v>A-1-05-07</v>
      </c>
      <c r="F524" s="22" t="str">
        <f>_xlfn.XLOOKUP(tbl_CONTENT[[#This Row],[Topic]], tbl_TOPIC[Topic], tbl_TOPIC[TopicID], "")</f>
        <v>A-1-05</v>
      </c>
      <c r="G524" s="62" cm="1">
        <f t="array" ref="G524">SUM((tbl_CONTENT[[#This Row],[TopicID]]=INDEX(tbl_CONTENT[TopicID],1):tbl_CONTENT[[#This Row],[TopicID]])*1)</f>
        <v>7</v>
      </c>
      <c r="H524" s="22" t="s">
        <v>881</v>
      </c>
      <c r="I524" s="22" t="s">
        <v>887</v>
      </c>
      <c r="J524" s="22" t="s">
        <v>153</v>
      </c>
      <c r="K524" s="22">
        <v>1</v>
      </c>
      <c r="P524" s="62"/>
      <c r="Q524" s="35">
        <f>IFERROR(
 (1.907*EXP(1)^(-0.5*tbl_CONTENT[[#This Row],[Layer]])) *
 ((tbl_CONTENT[[#This Row],[RelInt]]-1)^(2.5)*4^(1-2.5)+1) +
 ((tbl_CONTENT[[#This Row],[Comp]]-1)^(2.5)*4^(1-2.5)+1)*(0.5*((tbl_CONTENT[[#This Row],[RelInt]]-1)/4)^(2.5)+1),
 0
)</f>
        <v>0</v>
      </c>
      <c r="R524" s="35">
        <f>IFERROR(
 (1.907*EXP(1)^(-0.5*VALUE(tbl_CONTENT[[#This Row],[Layer]]))) *
 ((VALUE(tbl_CONTENT[[#This Row],[RelId]])-1)^(2.5)*4^(1-2.5)+1) +
 ((VALUE(tbl_CONTENT[[#This Row],[Comp]])-1)^(2.5)*4^(1-2.5)+1)*(0.5*((VALUE(tbl_CONTENT[[#This Row],[RelId]])-1)/4)^(2.5)+1),
 0
)</f>
        <v>0</v>
      </c>
      <c r="T524" s="62"/>
    </row>
    <row r="525" spans="3:20" ht="34" x14ac:dyDescent="0.2">
      <c r="C525" s="62" t="str">
        <f>_xlfn.XLOOKUP(tbl_CONTENT[[#This Row],[TopicID]], tbl_TOPIC[TopicID], tbl_TOPIC[Subject], "")</f>
        <v>A</v>
      </c>
      <c r="D525" s="62" t="str">
        <f xml:space="preserve"> tbl_CONTENT[[#This Row],[TopicID]] &amp; "-" &amp; TEXT(tbl_CONTENT[[#This Row],[TopicIDCount]], "00")</f>
        <v>A-1-05-08</v>
      </c>
      <c r="F525" s="22" t="str">
        <f>_xlfn.XLOOKUP(tbl_CONTENT[[#This Row],[Topic]], tbl_TOPIC[Topic], tbl_TOPIC[TopicID], "")</f>
        <v>A-1-05</v>
      </c>
      <c r="G525" s="62" cm="1">
        <f t="array" ref="G525">SUM((tbl_CONTENT[[#This Row],[TopicID]]=INDEX(tbl_CONTENT[TopicID],1):tbl_CONTENT[[#This Row],[TopicID]])*1)</f>
        <v>8</v>
      </c>
      <c r="H525" s="22" t="s">
        <v>881</v>
      </c>
      <c r="I525" s="22" t="s">
        <v>888</v>
      </c>
      <c r="J525" s="22" t="s">
        <v>148</v>
      </c>
      <c r="P525" s="62"/>
      <c r="Q525" s="35">
        <f>IFERROR(
 (1.907*EXP(1)^(-0.5*tbl_CONTENT[[#This Row],[Layer]])) *
 ((tbl_CONTENT[[#This Row],[RelInt]]-1)^(2.5)*4^(1-2.5)+1) +
 ((tbl_CONTENT[[#This Row],[Comp]]-1)^(2.5)*4^(1-2.5)+1)*(0.5*((tbl_CONTENT[[#This Row],[RelInt]]-1)/4)^(2.5)+1),
 0
)</f>
        <v>0</v>
      </c>
      <c r="R525" s="35">
        <f>IFERROR(
 (1.907*EXP(1)^(-0.5*VALUE(tbl_CONTENT[[#This Row],[Layer]]))) *
 ((VALUE(tbl_CONTENT[[#This Row],[RelId]])-1)^(2.5)*4^(1-2.5)+1) +
 ((VALUE(tbl_CONTENT[[#This Row],[Comp]])-1)^(2.5)*4^(1-2.5)+1)*(0.5*((VALUE(tbl_CONTENT[[#This Row],[RelId]])-1)/4)^(2.5)+1),
 0
)</f>
        <v>0</v>
      </c>
      <c r="T525" s="62"/>
    </row>
    <row r="526" spans="3:20" ht="17" x14ac:dyDescent="0.2">
      <c r="C526" s="62" t="str">
        <f>_xlfn.XLOOKUP(tbl_CONTENT[[#This Row],[TopicID]], tbl_TOPIC[TopicID], tbl_TOPIC[Subject], "")</f>
        <v>A</v>
      </c>
      <c r="D526" s="62" t="str">
        <f xml:space="preserve"> tbl_CONTENT[[#This Row],[TopicID]] &amp; "-" &amp; TEXT(tbl_CONTENT[[#This Row],[TopicIDCount]], "00")</f>
        <v>A-1-05-09</v>
      </c>
      <c r="F526" s="22" t="str">
        <f>_xlfn.XLOOKUP(tbl_CONTENT[[#This Row],[Topic]], tbl_TOPIC[Topic], tbl_TOPIC[TopicID], "")</f>
        <v>A-1-05</v>
      </c>
      <c r="G526" s="62" cm="1">
        <f t="array" ref="G526">SUM((tbl_CONTENT[[#This Row],[TopicID]]=INDEX(tbl_CONTENT[TopicID],1):tbl_CONTENT[[#This Row],[TopicID]])*1)</f>
        <v>9</v>
      </c>
      <c r="H526" s="22" t="s">
        <v>881</v>
      </c>
      <c r="I526" s="22" t="s">
        <v>889</v>
      </c>
      <c r="J526" s="22" t="s">
        <v>150</v>
      </c>
      <c r="P526" s="62"/>
      <c r="Q526" s="35">
        <f>IFERROR(
 (1.907*EXP(1)^(-0.5*tbl_CONTENT[[#This Row],[Layer]])) *
 ((tbl_CONTENT[[#This Row],[RelInt]]-1)^(2.5)*4^(1-2.5)+1) +
 ((tbl_CONTENT[[#This Row],[Comp]]-1)^(2.5)*4^(1-2.5)+1)*(0.5*((tbl_CONTENT[[#This Row],[RelInt]]-1)/4)^(2.5)+1),
 0
)</f>
        <v>0</v>
      </c>
      <c r="R526" s="35">
        <f>IFERROR(
 (1.907*EXP(1)^(-0.5*VALUE(tbl_CONTENT[[#This Row],[Layer]]))) *
 ((VALUE(tbl_CONTENT[[#This Row],[RelId]])-1)^(2.5)*4^(1-2.5)+1) +
 ((VALUE(tbl_CONTENT[[#This Row],[Comp]])-1)^(2.5)*4^(1-2.5)+1)*(0.5*((VALUE(tbl_CONTENT[[#This Row],[RelId]])-1)/4)^(2.5)+1),
 0
)</f>
        <v>0</v>
      </c>
      <c r="T526" s="62"/>
    </row>
    <row r="527" spans="3:20" ht="17" x14ac:dyDescent="0.2">
      <c r="C527" s="62" t="str">
        <f>_xlfn.XLOOKUP(tbl_CONTENT[[#This Row],[TopicID]], tbl_TOPIC[TopicID], tbl_TOPIC[Subject], "")</f>
        <v>A</v>
      </c>
      <c r="D527" s="62" t="str">
        <f xml:space="preserve"> tbl_CONTENT[[#This Row],[TopicID]] &amp; "-" &amp; TEXT(tbl_CONTENT[[#This Row],[TopicIDCount]], "00")</f>
        <v>A-1-05-10</v>
      </c>
      <c r="F527" s="22" t="str">
        <f>_xlfn.XLOOKUP(tbl_CONTENT[[#This Row],[Topic]], tbl_TOPIC[Topic], tbl_TOPIC[TopicID], "")</f>
        <v>A-1-05</v>
      </c>
      <c r="G527" s="62" cm="1">
        <f t="array" ref="G527">SUM((tbl_CONTENT[[#This Row],[TopicID]]=INDEX(tbl_CONTENT[TopicID],1):tbl_CONTENT[[#This Row],[TopicID]])*1)</f>
        <v>10</v>
      </c>
      <c r="H527" s="22" t="s">
        <v>881</v>
      </c>
      <c r="I527" s="22" t="s">
        <v>890</v>
      </c>
      <c r="J527" s="22" t="s">
        <v>153</v>
      </c>
      <c r="P527" s="62"/>
      <c r="Q527" s="35">
        <f>IFERROR(
 (1.907*EXP(1)^(-0.5*tbl_CONTENT[[#This Row],[Layer]])) *
 ((tbl_CONTENT[[#This Row],[RelInt]]-1)^(2.5)*4^(1-2.5)+1) +
 ((tbl_CONTENT[[#This Row],[Comp]]-1)^(2.5)*4^(1-2.5)+1)*(0.5*((tbl_CONTENT[[#This Row],[RelInt]]-1)/4)^(2.5)+1),
 0
)</f>
        <v>0</v>
      </c>
      <c r="R527" s="35">
        <f>IFERROR(
 (1.907*EXP(1)^(-0.5*VALUE(tbl_CONTENT[[#This Row],[Layer]]))) *
 ((VALUE(tbl_CONTENT[[#This Row],[RelId]])-1)^(2.5)*4^(1-2.5)+1) +
 ((VALUE(tbl_CONTENT[[#This Row],[Comp]])-1)^(2.5)*4^(1-2.5)+1)*(0.5*((VALUE(tbl_CONTENT[[#This Row],[RelId]])-1)/4)^(2.5)+1),
 0
)</f>
        <v>0</v>
      </c>
      <c r="T527" s="62"/>
    </row>
    <row r="528" spans="3:20" ht="17" x14ac:dyDescent="0.2">
      <c r="C528" s="62" t="str">
        <f>_xlfn.XLOOKUP(tbl_CONTENT[[#This Row],[TopicID]], tbl_TOPIC[TopicID], tbl_TOPIC[Subject], "")</f>
        <v>A</v>
      </c>
      <c r="D528" s="62" t="str">
        <f xml:space="preserve"> tbl_CONTENT[[#This Row],[TopicID]] &amp; "-" &amp; TEXT(tbl_CONTENT[[#This Row],[TopicIDCount]], "00")</f>
        <v>A-1-05-11</v>
      </c>
      <c r="F528" s="22" t="str">
        <f>_xlfn.XLOOKUP(tbl_CONTENT[[#This Row],[Topic]], tbl_TOPIC[Topic], tbl_TOPIC[TopicID], "")</f>
        <v>A-1-05</v>
      </c>
      <c r="G528" s="62" cm="1">
        <f t="array" ref="G528">SUM((tbl_CONTENT[[#This Row],[TopicID]]=INDEX(tbl_CONTENT[TopicID],1):tbl_CONTENT[[#This Row],[TopicID]])*1)</f>
        <v>11</v>
      </c>
      <c r="H528" s="22" t="s">
        <v>881</v>
      </c>
      <c r="I528" s="22" t="s">
        <v>1608</v>
      </c>
      <c r="J528" s="22" t="s">
        <v>181</v>
      </c>
      <c r="P528" s="62"/>
      <c r="Q528" s="35">
        <f>IFERROR(
 (1.907*EXP(1)^(-0.5*tbl_CONTENT[[#This Row],[Layer]])) *
 ((tbl_CONTENT[[#This Row],[RelInt]]-1)^(2.5)*4^(1-2.5)+1) +
 ((tbl_CONTENT[[#This Row],[Comp]]-1)^(2.5)*4^(1-2.5)+1)*(0.5*((tbl_CONTENT[[#This Row],[RelInt]]-1)/4)^(2.5)+1),
 0
)</f>
        <v>0</v>
      </c>
      <c r="R528" s="35">
        <f>IFERROR(
 (1.907*EXP(1)^(-0.5*VALUE(tbl_CONTENT[[#This Row],[Layer]]))) *
 ((VALUE(tbl_CONTENT[[#This Row],[RelId]])-1)^(2.5)*4^(1-2.5)+1) +
 ((VALUE(tbl_CONTENT[[#This Row],[Comp]])-1)^(2.5)*4^(1-2.5)+1)*(0.5*((VALUE(tbl_CONTENT[[#This Row],[RelId]])-1)/4)^(2.5)+1),
 0
)</f>
        <v>0</v>
      </c>
      <c r="T528" s="62"/>
    </row>
    <row r="529" spans="3:20" ht="34" x14ac:dyDescent="0.2">
      <c r="C529" s="62" t="str">
        <f>_xlfn.XLOOKUP(tbl_CONTENT[[#This Row],[TopicID]], tbl_TOPIC[TopicID], tbl_TOPIC[Subject], "")</f>
        <v>A</v>
      </c>
      <c r="D529" s="62" t="str">
        <f xml:space="preserve"> tbl_CONTENT[[#This Row],[TopicID]] &amp; "-" &amp; TEXT(tbl_CONTENT[[#This Row],[TopicIDCount]], "00")</f>
        <v>A-1-05-12</v>
      </c>
      <c r="F529" s="22" t="str">
        <f>_xlfn.XLOOKUP(tbl_CONTENT[[#This Row],[Topic]], tbl_TOPIC[Topic], tbl_TOPIC[TopicID], "")</f>
        <v>A-1-05</v>
      </c>
      <c r="G529" s="62" cm="1">
        <f t="array" ref="G529">SUM((tbl_CONTENT[[#This Row],[TopicID]]=INDEX(tbl_CONTENT[TopicID],1):tbl_CONTENT[[#This Row],[TopicID]])*1)</f>
        <v>12</v>
      </c>
      <c r="H529" s="22" t="s">
        <v>881</v>
      </c>
      <c r="I529" s="22" t="s">
        <v>1609</v>
      </c>
      <c r="J529" s="22" t="s">
        <v>181</v>
      </c>
      <c r="P529" s="62"/>
      <c r="Q529" s="35">
        <f>IFERROR(
 (1.907*EXP(1)^(-0.5*tbl_CONTENT[[#This Row],[Layer]])) *
 ((tbl_CONTENT[[#This Row],[RelInt]]-1)^(2.5)*4^(1-2.5)+1) +
 ((tbl_CONTENT[[#This Row],[Comp]]-1)^(2.5)*4^(1-2.5)+1)*(0.5*((tbl_CONTENT[[#This Row],[RelInt]]-1)/4)^(2.5)+1),
 0
)</f>
        <v>0</v>
      </c>
      <c r="R529" s="35">
        <f>IFERROR(
 (1.907*EXP(1)^(-0.5*VALUE(tbl_CONTENT[[#This Row],[Layer]]))) *
 ((VALUE(tbl_CONTENT[[#This Row],[RelId]])-1)^(2.5)*4^(1-2.5)+1) +
 ((VALUE(tbl_CONTENT[[#This Row],[Comp]])-1)^(2.5)*4^(1-2.5)+1)*(0.5*((VALUE(tbl_CONTENT[[#This Row],[RelId]])-1)/4)^(2.5)+1),
 0
)</f>
        <v>0</v>
      </c>
      <c r="T529" s="62"/>
    </row>
    <row r="530" spans="3:20" ht="17" x14ac:dyDescent="0.2">
      <c r="C530" s="62" t="str">
        <f>_xlfn.XLOOKUP(tbl_CONTENT[[#This Row],[TopicID]], tbl_TOPIC[TopicID], tbl_TOPIC[Subject], "")</f>
        <v>A</v>
      </c>
      <c r="D530" s="62" t="str">
        <f xml:space="preserve"> tbl_CONTENT[[#This Row],[TopicID]] &amp; "-" &amp; TEXT(tbl_CONTENT[[#This Row],[TopicIDCount]], "00")</f>
        <v>A-1-05-13</v>
      </c>
      <c r="F530" s="22" t="str">
        <f>_xlfn.XLOOKUP(tbl_CONTENT[[#This Row],[Topic]], tbl_TOPIC[Topic], tbl_TOPIC[TopicID], "")</f>
        <v>A-1-05</v>
      </c>
      <c r="G530" s="62" cm="1">
        <f t="array" ref="G530">SUM((tbl_CONTENT[[#This Row],[TopicID]]=INDEX(tbl_CONTENT[TopicID],1):tbl_CONTENT[[#This Row],[TopicID]])*1)</f>
        <v>13</v>
      </c>
      <c r="H530" s="22" t="s">
        <v>881</v>
      </c>
      <c r="I530" s="22" t="s">
        <v>1610</v>
      </c>
      <c r="J530" s="22" t="s">
        <v>181</v>
      </c>
      <c r="P530" s="62"/>
      <c r="Q530" s="35">
        <f>IFERROR(
 (1.907*EXP(1)^(-0.5*tbl_CONTENT[[#This Row],[Layer]])) *
 ((tbl_CONTENT[[#This Row],[RelInt]]-1)^(2.5)*4^(1-2.5)+1) +
 ((tbl_CONTENT[[#This Row],[Comp]]-1)^(2.5)*4^(1-2.5)+1)*(0.5*((tbl_CONTENT[[#This Row],[RelInt]]-1)/4)^(2.5)+1),
 0
)</f>
        <v>0</v>
      </c>
      <c r="R530" s="35">
        <f>IFERROR(
 (1.907*EXP(1)^(-0.5*VALUE(tbl_CONTENT[[#This Row],[Layer]]))) *
 ((VALUE(tbl_CONTENT[[#This Row],[RelId]])-1)^(2.5)*4^(1-2.5)+1) +
 ((VALUE(tbl_CONTENT[[#This Row],[Comp]])-1)^(2.5)*4^(1-2.5)+1)*(0.5*((VALUE(tbl_CONTENT[[#This Row],[RelId]])-1)/4)^(2.5)+1),
 0
)</f>
        <v>0</v>
      </c>
      <c r="T530" s="62"/>
    </row>
    <row r="531" spans="3:20" ht="34" x14ac:dyDescent="0.2">
      <c r="C531" s="62" t="str">
        <f>_xlfn.XLOOKUP(tbl_CONTENT[[#This Row],[TopicID]], tbl_TOPIC[TopicID], tbl_TOPIC[Subject], "")</f>
        <v>A</v>
      </c>
      <c r="D531" s="62" t="str">
        <f xml:space="preserve"> tbl_CONTENT[[#This Row],[TopicID]] &amp; "-" &amp; TEXT(tbl_CONTENT[[#This Row],[TopicIDCount]], "00")</f>
        <v>A-1-05-14</v>
      </c>
      <c r="F531" s="22" t="str">
        <f>_xlfn.XLOOKUP(tbl_CONTENT[[#This Row],[Topic]], tbl_TOPIC[Topic], tbl_TOPIC[TopicID], "")</f>
        <v>A-1-05</v>
      </c>
      <c r="G531" s="62" cm="1">
        <f t="array" ref="G531">SUM((tbl_CONTENT[[#This Row],[TopicID]]=INDEX(tbl_CONTENT[TopicID],1):tbl_CONTENT[[#This Row],[TopicID]])*1)</f>
        <v>14</v>
      </c>
      <c r="H531" s="22" t="s">
        <v>881</v>
      </c>
      <c r="I531" s="22" t="s">
        <v>891</v>
      </c>
      <c r="J531" s="22" t="s">
        <v>150</v>
      </c>
      <c r="P531" s="62"/>
      <c r="Q531" s="35">
        <f>IFERROR(
 (1.907*EXP(1)^(-0.5*tbl_CONTENT[[#This Row],[Layer]])) *
 ((tbl_CONTENT[[#This Row],[RelInt]]-1)^(2.5)*4^(1-2.5)+1) +
 ((tbl_CONTENT[[#This Row],[Comp]]-1)^(2.5)*4^(1-2.5)+1)*(0.5*((tbl_CONTENT[[#This Row],[RelInt]]-1)/4)^(2.5)+1),
 0
)</f>
        <v>0</v>
      </c>
      <c r="R531" s="35">
        <f>IFERROR(
 (1.907*EXP(1)^(-0.5*VALUE(tbl_CONTENT[[#This Row],[Layer]]))) *
 ((VALUE(tbl_CONTENT[[#This Row],[RelId]])-1)^(2.5)*4^(1-2.5)+1) +
 ((VALUE(tbl_CONTENT[[#This Row],[Comp]])-1)^(2.5)*4^(1-2.5)+1)*(0.5*((VALUE(tbl_CONTENT[[#This Row],[RelId]])-1)/4)^(2.5)+1),
 0
)</f>
        <v>0</v>
      </c>
      <c r="T531" s="62"/>
    </row>
    <row r="532" spans="3:20" ht="34" x14ac:dyDescent="0.2">
      <c r="C532" s="62" t="str">
        <f>_xlfn.XLOOKUP(tbl_CONTENT[[#This Row],[TopicID]], tbl_TOPIC[TopicID], tbl_TOPIC[Subject], "")</f>
        <v>A</v>
      </c>
      <c r="D532" s="62" t="str">
        <f xml:space="preserve"> tbl_CONTENT[[#This Row],[TopicID]] &amp; "-" &amp; TEXT(tbl_CONTENT[[#This Row],[TopicIDCount]], "00")</f>
        <v>A-1-05-15</v>
      </c>
      <c r="F532" s="22" t="str">
        <f>_xlfn.XLOOKUP(tbl_CONTENT[[#This Row],[Topic]], tbl_TOPIC[Topic], tbl_TOPIC[TopicID], "")</f>
        <v>A-1-05</v>
      </c>
      <c r="G532" s="62" cm="1">
        <f t="array" ref="G532">SUM((tbl_CONTENT[[#This Row],[TopicID]]=INDEX(tbl_CONTENT[TopicID],1):tbl_CONTENT[[#This Row],[TopicID]])*1)</f>
        <v>15</v>
      </c>
      <c r="H532" s="22" t="s">
        <v>881</v>
      </c>
      <c r="I532" s="22" t="s">
        <v>892</v>
      </c>
      <c r="J532" s="22" t="s">
        <v>152</v>
      </c>
      <c r="K532" s="22">
        <v>1</v>
      </c>
      <c r="P532" s="62"/>
      <c r="Q532" s="35">
        <f>IFERROR(
 (1.907*EXP(1)^(-0.5*tbl_CONTENT[[#This Row],[Layer]])) *
 ((tbl_CONTENT[[#This Row],[RelInt]]-1)^(2.5)*4^(1-2.5)+1) +
 ((tbl_CONTENT[[#This Row],[Comp]]-1)^(2.5)*4^(1-2.5)+1)*(0.5*((tbl_CONTENT[[#This Row],[RelInt]]-1)/4)^(2.5)+1),
 0
)</f>
        <v>0</v>
      </c>
      <c r="R532" s="35">
        <f>IFERROR(
 (1.907*EXP(1)^(-0.5*VALUE(tbl_CONTENT[[#This Row],[Layer]]))) *
 ((VALUE(tbl_CONTENT[[#This Row],[RelId]])-1)^(2.5)*4^(1-2.5)+1) +
 ((VALUE(tbl_CONTENT[[#This Row],[Comp]])-1)^(2.5)*4^(1-2.5)+1)*(0.5*((VALUE(tbl_CONTENT[[#This Row],[RelId]])-1)/4)^(2.5)+1),
 0
)</f>
        <v>0</v>
      </c>
      <c r="T532" s="62"/>
    </row>
    <row r="533" spans="3:20" ht="34" x14ac:dyDescent="0.2">
      <c r="C533" s="62" t="str">
        <f>_xlfn.XLOOKUP(tbl_CONTENT[[#This Row],[TopicID]], tbl_TOPIC[TopicID], tbl_TOPIC[Subject], "")</f>
        <v>A</v>
      </c>
      <c r="D533" s="62" t="str">
        <f xml:space="preserve"> tbl_CONTENT[[#This Row],[TopicID]] &amp; "-" &amp; TEXT(tbl_CONTENT[[#This Row],[TopicIDCount]], "00")</f>
        <v>A-1-05-16</v>
      </c>
      <c r="F533" s="22" t="str">
        <f>_xlfn.XLOOKUP(tbl_CONTENT[[#This Row],[Topic]], tbl_TOPIC[Topic], tbl_TOPIC[TopicID], "")</f>
        <v>A-1-05</v>
      </c>
      <c r="G533" s="62" cm="1">
        <f t="array" ref="G533">SUM((tbl_CONTENT[[#This Row],[TopicID]]=INDEX(tbl_CONTENT[TopicID],1):tbl_CONTENT[[#This Row],[TopicID]])*1)</f>
        <v>16</v>
      </c>
      <c r="H533" s="22" t="s">
        <v>881</v>
      </c>
      <c r="I533" s="22" t="s">
        <v>893</v>
      </c>
      <c r="J533" s="22" t="s">
        <v>149</v>
      </c>
      <c r="P533" s="62"/>
      <c r="Q533" s="35">
        <f>IFERROR(
 (1.907*EXP(1)^(-0.5*tbl_CONTENT[[#This Row],[Layer]])) *
 ((tbl_CONTENT[[#This Row],[RelInt]]-1)^(2.5)*4^(1-2.5)+1) +
 ((tbl_CONTENT[[#This Row],[Comp]]-1)^(2.5)*4^(1-2.5)+1)*(0.5*((tbl_CONTENT[[#This Row],[RelInt]]-1)/4)^(2.5)+1),
 0
)</f>
        <v>0</v>
      </c>
      <c r="R533" s="35">
        <f>IFERROR(
 (1.907*EXP(1)^(-0.5*VALUE(tbl_CONTENT[[#This Row],[Layer]]))) *
 ((VALUE(tbl_CONTENT[[#This Row],[RelId]])-1)^(2.5)*4^(1-2.5)+1) +
 ((VALUE(tbl_CONTENT[[#This Row],[Comp]])-1)^(2.5)*4^(1-2.5)+1)*(0.5*((VALUE(tbl_CONTENT[[#This Row],[RelId]])-1)/4)^(2.5)+1),
 0
)</f>
        <v>0</v>
      </c>
      <c r="T533" s="62"/>
    </row>
    <row r="534" spans="3:20" ht="34" x14ac:dyDescent="0.2">
      <c r="C534" s="62" t="str">
        <f>_xlfn.XLOOKUP(tbl_CONTENT[[#This Row],[TopicID]], tbl_TOPIC[TopicID], tbl_TOPIC[Subject], "")</f>
        <v>A</v>
      </c>
      <c r="D534" s="62" t="str">
        <f xml:space="preserve"> tbl_CONTENT[[#This Row],[TopicID]] &amp; "-" &amp; TEXT(tbl_CONTENT[[#This Row],[TopicIDCount]], "00")</f>
        <v>A-1-05-17</v>
      </c>
      <c r="F534" s="22" t="str">
        <f>_xlfn.XLOOKUP(tbl_CONTENT[[#This Row],[Topic]], tbl_TOPIC[Topic], tbl_TOPIC[TopicID], "")</f>
        <v>A-1-05</v>
      </c>
      <c r="G534" s="62" cm="1">
        <f t="array" ref="G534">SUM((tbl_CONTENT[[#This Row],[TopicID]]=INDEX(tbl_CONTENT[TopicID],1):tbl_CONTENT[[#This Row],[TopicID]])*1)</f>
        <v>17</v>
      </c>
      <c r="H534" s="22" t="s">
        <v>881</v>
      </c>
      <c r="I534" s="22" t="s">
        <v>894</v>
      </c>
      <c r="J534" s="22" t="s">
        <v>153</v>
      </c>
      <c r="K534" s="22">
        <v>1</v>
      </c>
      <c r="P534" s="62"/>
      <c r="Q534" s="35">
        <f>IFERROR(
 (1.907*EXP(1)^(-0.5*tbl_CONTENT[[#This Row],[Layer]])) *
 ((tbl_CONTENT[[#This Row],[RelInt]]-1)^(2.5)*4^(1-2.5)+1) +
 ((tbl_CONTENT[[#This Row],[Comp]]-1)^(2.5)*4^(1-2.5)+1)*(0.5*((tbl_CONTENT[[#This Row],[RelInt]]-1)/4)^(2.5)+1),
 0
)</f>
        <v>0</v>
      </c>
      <c r="R534" s="35">
        <f>IFERROR(
 (1.907*EXP(1)^(-0.5*VALUE(tbl_CONTENT[[#This Row],[Layer]]))) *
 ((VALUE(tbl_CONTENT[[#This Row],[RelId]])-1)^(2.5)*4^(1-2.5)+1) +
 ((VALUE(tbl_CONTENT[[#This Row],[Comp]])-1)^(2.5)*4^(1-2.5)+1)*(0.5*((VALUE(tbl_CONTENT[[#This Row],[RelId]])-1)/4)^(2.5)+1),
 0
)</f>
        <v>0</v>
      </c>
      <c r="T534" s="62"/>
    </row>
    <row r="535" spans="3:20" ht="34" x14ac:dyDescent="0.2">
      <c r="C535" s="62" t="str">
        <f>_xlfn.XLOOKUP(tbl_CONTENT[[#This Row],[TopicID]], tbl_TOPIC[TopicID], tbl_TOPIC[Subject], "")</f>
        <v>A</v>
      </c>
      <c r="D535" s="62" t="str">
        <f xml:space="preserve"> tbl_CONTENT[[#This Row],[TopicID]] &amp; "-" &amp; TEXT(tbl_CONTENT[[#This Row],[TopicIDCount]], "00")</f>
        <v>A-1-05-18</v>
      </c>
      <c r="F535" s="22" t="str">
        <f>_xlfn.XLOOKUP(tbl_CONTENT[[#This Row],[Topic]], tbl_TOPIC[Topic], tbl_TOPIC[TopicID], "")</f>
        <v>A-1-05</v>
      </c>
      <c r="G535" s="62" cm="1">
        <f t="array" ref="G535">SUM((tbl_CONTENT[[#This Row],[TopicID]]=INDEX(tbl_CONTENT[TopicID],1):tbl_CONTENT[[#This Row],[TopicID]])*1)</f>
        <v>18</v>
      </c>
      <c r="H535" s="22" t="s">
        <v>881</v>
      </c>
      <c r="I535" s="22" t="s">
        <v>895</v>
      </c>
      <c r="J535" s="22" t="s">
        <v>152</v>
      </c>
      <c r="P535" s="62"/>
      <c r="Q535" s="35">
        <f>IFERROR(
 (1.907*EXP(1)^(-0.5*tbl_CONTENT[[#This Row],[Layer]])) *
 ((tbl_CONTENT[[#This Row],[RelInt]]-1)^(2.5)*4^(1-2.5)+1) +
 ((tbl_CONTENT[[#This Row],[Comp]]-1)^(2.5)*4^(1-2.5)+1)*(0.5*((tbl_CONTENT[[#This Row],[RelInt]]-1)/4)^(2.5)+1),
 0
)</f>
        <v>0</v>
      </c>
      <c r="R535" s="35">
        <f>IFERROR(
 (1.907*EXP(1)^(-0.5*VALUE(tbl_CONTENT[[#This Row],[Layer]]))) *
 ((VALUE(tbl_CONTENT[[#This Row],[RelId]])-1)^(2.5)*4^(1-2.5)+1) +
 ((VALUE(tbl_CONTENT[[#This Row],[Comp]])-1)^(2.5)*4^(1-2.5)+1)*(0.5*((VALUE(tbl_CONTENT[[#This Row],[RelId]])-1)/4)^(2.5)+1),
 0
)</f>
        <v>0</v>
      </c>
      <c r="T535" s="62"/>
    </row>
    <row r="536" spans="3:20" ht="17" x14ac:dyDescent="0.2">
      <c r="C536" s="62" t="str">
        <f>_xlfn.XLOOKUP(tbl_CONTENT[[#This Row],[TopicID]], tbl_TOPIC[TopicID], tbl_TOPIC[Subject], "")</f>
        <v>A</v>
      </c>
      <c r="D536" s="62" t="str">
        <f xml:space="preserve"> tbl_CONTENT[[#This Row],[TopicID]] &amp; "-" &amp; TEXT(tbl_CONTENT[[#This Row],[TopicIDCount]], "00")</f>
        <v>A-1-05-19</v>
      </c>
      <c r="F536" s="22" t="str">
        <f>_xlfn.XLOOKUP(tbl_CONTENT[[#This Row],[Topic]], tbl_TOPIC[Topic], tbl_TOPIC[TopicID], "")</f>
        <v>A-1-05</v>
      </c>
      <c r="G536" s="62" cm="1">
        <f t="array" ref="G536">SUM((tbl_CONTENT[[#This Row],[TopicID]]=INDEX(tbl_CONTENT[TopicID],1):tbl_CONTENT[[#This Row],[TopicID]])*1)</f>
        <v>19</v>
      </c>
      <c r="H536" s="22" t="s">
        <v>881</v>
      </c>
      <c r="I536" s="22" t="s">
        <v>896</v>
      </c>
      <c r="J536" s="22" t="s">
        <v>148</v>
      </c>
      <c r="P536" s="62"/>
      <c r="Q536" s="35">
        <f>IFERROR(
 (1.907*EXP(1)^(-0.5*tbl_CONTENT[[#This Row],[Layer]])) *
 ((tbl_CONTENT[[#This Row],[RelInt]]-1)^(2.5)*4^(1-2.5)+1) +
 ((tbl_CONTENT[[#This Row],[Comp]]-1)^(2.5)*4^(1-2.5)+1)*(0.5*((tbl_CONTENT[[#This Row],[RelInt]]-1)/4)^(2.5)+1),
 0
)</f>
        <v>0</v>
      </c>
      <c r="R536" s="35">
        <f>IFERROR(
 (1.907*EXP(1)^(-0.5*VALUE(tbl_CONTENT[[#This Row],[Layer]]))) *
 ((VALUE(tbl_CONTENT[[#This Row],[RelId]])-1)^(2.5)*4^(1-2.5)+1) +
 ((VALUE(tbl_CONTENT[[#This Row],[Comp]])-1)^(2.5)*4^(1-2.5)+1)*(0.5*((VALUE(tbl_CONTENT[[#This Row],[RelId]])-1)/4)^(2.5)+1),
 0
)</f>
        <v>0</v>
      </c>
      <c r="T536" s="62"/>
    </row>
    <row r="537" spans="3:20" ht="34" x14ac:dyDescent="0.2">
      <c r="C537" s="62" t="str">
        <f>_xlfn.XLOOKUP(tbl_CONTENT[[#This Row],[TopicID]], tbl_TOPIC[TopicID], tbl_TOPIC[Subject], "")</f>
        <v>A</v>
      </c>
      <c r="D537" s="62" t="str">
        <f xml:space="preserve"> tbl_CONTENT[[#This Row],[TopicID]] &amp; "-" &amp; TEXT(tbl_CONTENT[[#This Row],[TopicIDCount]], "00")</f>
        <v>A-1-05-20</v>
      </c>
      <c r="F537" s="22" t="str">
        <f>_xlfn.XLOOKUP(tbl_CONTENT[[#This Row],[Topic]], tbl_TOPIC[Topic], tbl_TOPIC[TopicID], "")</f>
        <v>A-1-05</v>
      </c>
      <c r="G537" s="62" cm="1">
        <f t="array" ref="G537">SUM((tbl_CONTENT[[#This Row],[TopicID]]=INDEX(tbl_CONTENT[TopicID],1):tbl_CONTENT[[#This Row],[TopicID]])*1)</f>
        <v>20</v>
      </c>
      <c r="H537" s="22" t="s">
        <v>881</v>
      </c>
      <c r="I537" s="22" t="s">
        <v>897</v>
      </c>
      <c r="J537" s="22" t="s">
        <v>152</v>
      </c>
      <c r="P537" s="62"/>
      <c r="Q537" s="35">
        <f>IFERROR(
 (1.907*EXP(1)^(-0.5*tbl_CONTENT[[#This Row],[Layer]])) *
 ((tbl_CONTENT[[#This Row],[RelInt]]-1)^(2.5)*4^(1-2.5)+1) +
 ((tbl_CONTENT[[#This Row],[Comp]]-1)^(2.5)*4^(1-2.5)+1)*(0.5*((tbl_CONTENT[[#This Row],[RelInt]]-1)/4)^(2.5)+1),
 0
)</f>
        <v>0</v>
      </c>
      <c r="R537" s="35">
        <f>IFERROR(
 (1.907*EXP(1)^(-0.5*VALUE(tbl_CONTENT[[#This Row],[Layer]]))) *
 ((VALUE(tbl_CONTENT[[#This Row],[RelId]])-1)^(2.5)*4^(1-2.5)+1) +
 ((VALUE(tbl_CONTENT[[#This Row],[Comp]])-1)^(2.5)*4^(1-2.5)+1)*(0.5*((VALUE(tbl_CONTENT[[#This Row],[RelId]])-1)/4)^(2.5)+1),
 0
)</f>
        <v>0</v>
      </c>
      <c r="T537" s="62"/>
    </row>
    <row r="538" spans="3:20" ht="34" x14ac:dyDescent="0.2">
      <c r="C538" s="62" t="str">
        <f>_xlfn.XLOOKUP(tbl_CONTENT[[#This Row],[TopicID]], tbl_TOPIC[TopicID], tbl_TOPIC[Subject], "")</f>
        <v>A</v>
      </c>
      <c r="D538" s="62" t="str">
        <f xml:space="preserve"> tbl_CONTENT[[#This Row],[TopicID]] &amp; "-" &amp; TEXT(tbl_CONTENT[[#This Row],[TopicIDCount]], "00")</f>
        <v>A-1-05-21</v>
      </c>
      <c r="F538" s="22" t="str">
        <f>_xlfn.XLOOKUP(tbl_CONTENT[[#This Row],[Topic]], tbl_TOPIC[Topic], tbl_TOPIC[TopicID], "")</f>
        <v>A-1-05</v>
      </c>
      <c r="G538" s="62" cm="1">
        <f t="array" ref="G538">SUM((tbl_CONTENT[[#This Row],[TopicID]]=INDEX(tbl_CONTENT[TopicID],1):tbl_CONTENT[[#This Row],[TopicID]])*1)</f>
        <v>21</v>
      </c>
      <c r="H538" s="22" t="s">
        <v>881</v>
      </c>
      <c r="I538" s="22" t="s">
        <v>898</v>
      </c>
      <c r="J538" s="22" t="s">
        <v>152</v>
      </c>
      <c r="P538" s="62"/>
      <c r="Q538" s="35">
        <f>IFERROR(
 (1.907*EXP(1)^(-0.5*tbl_CONTENT[[#This Row],[Layer]])) *
 ((tbl_CONTENT[[#This Row],[RelInt]]-1)^(2.5)*4^(1-2.5)+1) +
 ((tbl_CONTENT[[#This Row],[Comp]]-1)^(2.5)*4^(1-2.5)+1)*(0.5*((tbl_CONTENT[[#This Row],[RelInt]]-1)/4)^(2.5)+1),
 0
)</f>
        <v>0</v>
      </c>
      <c r="R538" s="35">
        <f>IFERROR(
 (1.907*EXP(1)^(-0.5*VALUE(tbl_CONTENT[[#This Row],[Layer]]))) *
 ((VALUE(tbl_CONTENT[[#This Row],[RelId]])-1)^(2.5)*4^(1-2.5)+1) +
 ((VALUE(tbl_CONTENT[[#This Row],[Comp]])-1)^(2.5)*4^(1-2.5)+1)*(0.5*((VALUE(tbl_CONTENT[[#This Row],[RelId]])-1)/4)^(2.5)+1),
 0
)</f>
        <v>0</v>
      </c>
      <c r="T538" s="62"/>
    </row>
    <row r="539" spans="3:20" ht="17" x14ac:dyDescent="0.2">
      <c r="C539" s="62" t="str">
        <f>_xlfn.XLOOKUP(tbl_CONTENT[[#This Row],[TopicID]], tbl_TOPIC[TopicID], tbl_TOPIC[Subject], "")</f>
        <v>A</v>
      </c>
      <c r="D539" s="62" t="str">
        <f xml:space="preserve"> tbl_CONTENT[[#This Row],[TopicID]] &amp; "-" &amp; TEXT(tbl_CONTENT[[#This Row],[TopicIDCount]], "00")</f>
        <v>A-1-05-22</v>
      </c>
      <c r="F539" s="22" t="str">
        <f>_xlfn.XLOOKUP(tbl_CONTENT[[#This Row],[Topic]], tbl_TOPIC[Topic], tbl_TOPIC[TopicID], "")</f>
        <v>A-1-05</v>
      </c>
      <c r="G539" s="62" cm="1">
        <f t="array" ref="G539">SUM((tbl_CONTENT[[#This Row],[TopicID]]=INDEX(tbl_CONTENT[TopicID],1):tbl_CONTENT[[#This Row],[TopicID]])*1)</f>
        <v>22</v>
      </c>
      <c r="H539" s="22" t="s">
        <v>881</v>
      </c>
      <c r="I539" s="22" t="s">
        <v>899</v>
      </c>
      <c r="J539" s="22" t="s">
        <v>152</v>
      </c>
      <c r="K539" s="22">
        <v>1</v>
      </c>
      <c r="P539" s="62"/>
      <c r="Q539" s="35">
        <f>IFERROR(
 (1.907*EXP(1)^(-0.5*tbl_CONTENT[[#This Row],[Layer]])) *
 ((tbl_CONTENT[[#This Row],[RelInt]]-1)^(2.5)*4^(1-2.5)+1) +
 ((tbl_CONTENT[[#This Row],[Comp]]-1)^(2.5)*4^(1-2.5)+1)*(0.5*((tbl_CONTENT[[#This Row],[RelInt]]-1)/4)^(2.5)+1),
 0
)</f>
        <v>0</v>
      </c>
      <c r="R539" s="35">
        <f>IFERROR(
 (1.907*EXP(1)^(-0.5*VALUE(tbl_CONTENT[[#This Row],[Layer]]))) *
 ((VALUE(tbl_CONTENT[[#This Row],[RelId]])-1)^(2.5)*4^(1-2.5)+1) +
 ((VALUE(tbl_CONTENT[[#This Row],[Comp]])-1)^(2.5)*4^(1-2.5)+1)*(0.5*((VALUE(tbl_CONTENT[[#This Row],[RelId]])-1)/4)^(2.5)+1),
 0
)</f>
        <v>0</v>
      </c>
      <c r="T539" s="62"/>
    </row>
    <row r="540" spans="3:20" ht="51" x14ac:dyDescent="0.2">
      <c r="C540" s="62" t="str">
        <f>_xlfn.XLOOKUP(tbl_CONTENT[[#This Row],[TopicID]], tbl_TOPIC[TopicID], tbl_TOPIC[Subject], "")</f>
        <v>A</v>
      </c>
      <c r="D540" s="62" t="str">
        <f xml:space="preserve"> tbl_CONTENT[[#This Row],[TopicID]] &amp; "-" &amp; TEXT(tbl_CONTENT[[#This Row],[TopicIDCount]], "00")</f>
        <v>A-1-05-23</v>
      </c>
      <c r="F540" s="22" t="str">
        <f>_xlfn.XLOOKUP(tbl_CONTENT[[#This Row],[Topic]], tbl_TOPIC[Topic], tbl_TOPIC[TopicID], "")</f>
        <v>A-1-05</v>
      </c>
      <c r="G540" s="62" cm="1">
        <f t="array" ref="G540">SUM((tbl_CONTENT[[#This Row],[TopicID]]=INDEX(tbl_CONTENT[TopicID],1):tbl_CONTENT[[#This Row],[TopicID]])*1)</f>
        <v>23</v>
      </c>
      <c r="H540" s="22" t="s">
        <v>881</v>
      </c>
      <c r="I540" s="22" t="s">
        <v>1612</v>
      </c>
      <c r="J540" s="22" t="s">
        <v>148</v>
      </c>
      <c r="P540" s="62"/>
      <c r="Q540" s="35">
        <f>IFERROR(
 (1.907*EXP(1)^(-0.5*tbl_CONTENT[[#This Row],[Layer]])) *
 ((tbl_CONTENT[[#This Row],[RelInt]]-1)^(2.5)*4^(1-2.5)+1) +
 ((tbl_CONTENT[[#This Row],[Comp]]-1)^(2.5)*4^(1-2.5)+1)*(0.5*((tbl_CONTENT[[#This Row],[RelInt]]-1)/4)^(2.5)+1),
 0
)</f>
        <v>0</v>
      </c>
      <c r="R540" s="35">
        <f>IFERROR(
 (1.907*EXP(1)^(-0.5*VALUE(tbl_CONTENT[[#This Row],[Layer]]))) *
 ((VALUE(tbl_CONTENT[[#This Row],[RelId]])-1)^(2.5)*4^(1-2.5)+1) +
 ((VALUE(tbl_CONTENT[[#This Row],[Comp]])-1)^(2.5)*4^(1-2.5)+1)*(0.5*((VALUE(tbl_CONTENT[[#This Row],[RelId]])-1)/4)^(2.5)+1),
 0
)</f>
        <v>0</v>
      </c>
      <c r="T540" s="62"/>
    </row>
    <row r="541" spans="3:20" ht="51" x14ac:dyDescent="0.2">
      <c r="C541" s="62" t="str">
        <f>_xlfn.XLOOKUP(tbl_CONTENT[[#This Row],[TopicID]], tbl_TOPIC[TopicID], tbl_TOPIC[Subject], "")</f>
        <v>A</v>
      </c>
      <c r="D541" s="62" t="str">
        <f xml:space="preserve"> tbl_CONTENT[[#This Row],[TopicID]] &amp; "-" &amp; TEXT(tbl_CONTENT[[#This Row],[TopicIDCount]], "00")</f>
        <v>A-1-05-24</v>
      </c>
      <c r="F541" s="22" t="str">
        <f>_xlfn.XLOOKUP(tbl_CONTENT[[#This Row],[Topic]], tbl_TOPIC[Topic], tbl_TOPIC[TopicID], "")</f>
        <v>A-1-05</v>
      </c>
      <c r="G541" s="62" cm="1">
        <f t="array" ref="G541">SUM((tbl_CONTENT[[#This Row],[TopicID]]=INDEX(tbl_CONTENT[TopicID],1):tbl_CONTENT[[#This Row],[TopicID]])*1)</f>
        <v>24</v>
      </c>
      <c r="H541" s="22" t="s">
        <v>881</v>
      </c>
      <c r="I541" s="22" t="s">
        <v>1611</v>
      </c>
      <c r="J541" s="22" t="s">
        <v>181</v>
      </c>
      <c r="P541" s="62"/>
      <c r="Q541" s="35">
        <f>IFERROR(
 (1.907*EXP(1)^(-0.5*tbl_CONTENT[[#This Row],[Layer]])) *
 ((tbl_CONTENT[[#This Row],[RelInt]]-1)^(2.5)*4^(1-2.5)+1) +
 ((tbl_CONTENT[[#This Row],[Comp]]-1)^(2.5)*4^(1-2.5)+1)*(0.5*((tbl_CONTENT[[#This Row],[RelInt]]-1)/4)^(2.5)+1),
 0
)</f>
        <v>0</v>
      </c>
      <c r="R541" s="35">
        <f>IFERROR(
 (1.907*EXP(1)^(-0.5*VALUE(tbl_CONTENT[[#This Row],[Layer]]))) *
 ((VALUE(tbl_CONTENT[[#This Row],[RelId]])-1)^(2.5)*4^(1-2.5)+1) +
 ((VALUE(tbl_CONTENT[[#This Row],[Comp]])-1)^(2.5)*4^(1-2.5)+1)*(0.5*((VALUE(tbl_CONTENT[[#This Row],[RelId]])-1)/4)^(2.5)+1),
 0
)</f>
        <v>0</v>
      </c>
      <c r="T541" s="62"/>
    </row>
    <row r="542" spans="3:20" ht="17" x14ac:dyDescent="0.2">
      <c r="C542" s="62" t="str">
        <f>_xlfn.XLOOKUP(tbl_CONTENT[[#This Row],[TopicID]], tbl_TOPIC[TopicID], tbl_TOPIC[Subject], "")</f>
        <v>A</v>
      </c>
      <c r="D542" s="62" t="str">
        <f xml:space="preserve"> tbl_CONTENT[[#This Row],[TopicID]] &amp; "-" &amp; TEXT(tbl_CONTENT[[#This Row],[TopicIDCount]], "00")</f>
        <v>A-1-05-25</v>
      </c>
      <c r="F542" s="22" t="str">
        <f>_xlfn.XLOOKUP(tbl_CONTENT[[#This Row],[Topic]], tbl_TOPIC[Topic], tbl_TOPIC[TopicID], "")</f>
        <v>A-1-05</v>
      </c>
      <c r="G542" s="62" cm="1">
        <f t="array" ref="G542">SUM((tbl_CONTENT[[#This Row],[TopicID]]=INDEX(tbl_CONTENT[TopicID],1):tbl_CONTENT[[#This Row],[TopicID]])*1)</f>
        <v>25</v>
      </c>
      <c r="H542" s="22" t="s">
        <v>881</v>
      </c>
      <c r="I542" s="22" t="s">
        <v>900</v>
      </c>
      <c r="J542" s="22" t="s">
        <v>152</v>
      </c>
      <c r="P542" s="62"/>
      <c r="Q542" s="35">
        <f>IFERROR(
 (1.907*EXP(1)^(-0.5*tbl_CONTENT[[#This Row],[Layer]])) *
 ((tbl_CONTENT[[#This Row],[RelInt]]-1)^(2.5)*4^(1-2.5)+1) +
 ((tbl_CONTENT[[#This Row],[Comp]]-1)^(2.5)*4^(1-2.5)+1)*(0.5*((tbl_CONTENT[[#This Row],[RelInt]]-1)/4)^(2.5)+1),
 0
)</f>
        <v>0</v>
      </c>
      <c r="R542" s="35">
        <f>IFERROR(
 (1.907*EXP(1)^(-0.5*VALUE(tbl_CONTENT[[#This Row],[Layer]]))) *
 ((VALUE(tbl_CONTENT[[#This Row],[RelId]])-1)^(2.5)*4^(1-2.5)+1) +
 ((VALUE(tbl_CONTENT[[#This Row],[Comp]])-1)^(2.5)*4^(1-2.5)+1)*(0.5*((VALUE(tbl_CONTENT[[#This Row],[RelId]])-1)/4)^(2.5)+1),
 0
)</f>
        <v>0</v>
      </c>
      <c r="T542" s="62"/>
    </row>
    <row r="543" spans="3:20" ht="17" x14ac:dyDescent="0.2">
      <c r="C543" s="62" t="str">
        <f>_xlfn.XLOOKUP(tbl_CONTENT[[#This Row],[TopicID]], tbl_TOPIC[TopicID], tbl_TOPIC[Subject], "")</f>
        <v>A</v>
      </c>
      <c r="D543" s="62" t="str">
        <f xml:space="preserve"> tbl_CONTENT[[#This Row],[TopicID]] &amp; "-" &amp; TEXT(tbl_CONTENT[[#This Row],[TopicIDCount]], "00")</f>
        <v>A-1-05-26</v>
      </c>
      <c r="F543" s="22" t="str">
        <f>_xlfn.XLOOKUP(tbl_CONTENT[[#This Row],[Topic]], tbl_TOPIC[Topic], tbl_TOPIC[TopicID], "")</f>
        <v>A-1-05</v>
      </c>
      <c r="G543" s="62" cm="1">
        <f t="array" ref="G543">SUM((tbl_CONTENT[[#This Row],[TopicID]]=INDEX(tbl_CONTENT[TopicID],1):tbl_CONTENT[[#This Row],[TopicID]])*1)</f>
        <v>26</v>
      </c>
      <c r="H543" s="22" t="s">
        <v>881</v>
      </c>
      <c r="I543" s="22" t="s">
        <v>901</v>
      </c>
      <c r="J543" s="22" t="s">
        <v>152</v>
      </c>
      <c r="P543" s="62"/>
      <c r="Q543" s="35">
        <f>IFERROR(
 (1.907*EXP(1)^(-0.5*tbl_CONTENT[[#This Row],[Layer]])) *
 ((tbl_CONTENT[[#This Row],[RelInt]]-1)^(2.5)*4^(1-2.5)+1) +
 ((tbl_CONTENT[[#This Row],[Comp]]-1)^(2.5)*4^(1-2.5)+1)*(0.5*((tbl_CONTENT[[#This Row],[RelInt]]-1)/4)^(2.5)+1),
 0
)</f>
        <v>0</v>
      </c>
      <c r="R543" s="35">
        <f>IFERROR(
 (1.907*EXP(1)^(-0.5*VALUE(tbl_CONTENT[[#This Row],[Layer]]))) *
 ((VALUE(tbl_CONTENT[[#This Row],[RelId]])-1)^(2.5)*4^(1-2.5)+1) +
 ((VALUE(tbl_CONTENT[[#This Row],[Comp]])-1)^(2.5)*4^(1-2.5)+1)*(0.5*((VALUE(tbl_CONTENT[[#This Row],[RelId]])-1)/4)^(2.5)+1),
 0
)</f>
        <v>0</v>
      </c>
      <c r="T543" s="62"/>
    </row>
    <row r="544" spans="3:20" ht="51" x14ac:dyDescent="0.2">
      <c r="C544" s="62" t="str">
        <f>_xlfn.XLOOKUP(tbl_CONTENT[[#This Row],[TopicID]], tbl_TOPIC[TopicID], tbl_TOPIC[Subject], "")</f>
        <v>QM</v>
      </c>
      <c r="D544" s="62" t="str">
        <f xml:space="preserve"> tbl_CONTENT[[#This Row],[TopicID]] &amp; "-" &amp; TEXT(tbl_CONTENT[[#This Row],[TopicIDCount]], "00")</f>
        <v>QM-1-22-01</v>
      </c>
      <c r="F544" s="22" t="str">
        <f>_xlfn.XLOOKUP(tbl_CONTENT[[#This Row],[Topic]], tbl_TOPIC[Topic], tbl_TOPIC[TopicID], "")</f>
        <v>QM-1-22</v>
      </c>
      <c r="G544" s="62" cm="1">
        <f t="array" ref="G544">SUM((tbl_CONTENT[[#This Row],[TopicID]]=INDEX(tbl_CONTENT[TopicID],1):tbl_CONTENT[[#This Row],[TopicID]])*1)</f>
        <v>1</v>
      </c>
      <c r="H544" s="22" t="s">
        <v>679</v>
      </c>
      <c r="I544" s="22" t="s">
        <v>909</v>
      </c>
      <c r="J544" s="22" t="s">
        <v>382</v>
      </c>
      <c r="P544" s="62"/>
      <c r="Q544" s="35">
        <f>IFERROR(
 (1.907*EXP(1)^(-0.5*tbl_CONTENT[[#This Row],[Layer]])) *
 ((tbl_CONTENT[[#This Row],[RelInt]]-1)^(2.5)*4^(1-2.5)+1) +
 ((tbl_CONTENT[[#This Row],[Comp]]-1)^(2.5)*4^(1-2.5)+1)*(0.5*((tbl_CONTENT[[#This Row],[RelInt]]-1)/4)^(2.5)+1),
 0
)</f>
        <v>0</v>
      </c>
      <c r="R544" s="35">
        <f>IFERROR(
 (1.907*EXP(1)^(-0.5*VALUE(tbl_CONTENT[[#This Row],[Layer]]))) *
 ((VALUE(tbl_CONTENT[[#This Row],[RelId]])-1)^(2.5)*4^(1-2.5)+1) +
 ((VALUE(tbl_CONTENT[[#This Row],[Comp]])-1)^(2.5)*4^(1-2.5)+1)*(0.5*((VALUE(tbl_CONTENT[[#This Row],[RelId]])-1)/4)^(2.5)+1),
 0
)</f>
        <v>0</v>
      </c>
      <c r="T544" s="62"/>
    </row>
    <row r="545" spans="3:20" ht="34" x14ac:dyDescent="0.2">
      <c r="C545" s="62" t="str">
        <f>_xlfn.XLOOKUP(tbl_CONTENT[[#This Row],[TopicID]], tbl_TOPIC[TopicID], tbl_TOPIC[Subject], "")</f>
        <v>QM</v>
      </c>
      <c r="D545" s="62" t="str">
        <f xml:space="preserve"> tbl_CONTENT[[#This Row],[TopicID]] &amp; "-" &amp; TEXT(tbl_CONTENT[[#This Row],[TopicIDCount]], "00")</f>
        <v>QM-1-22-02</v>
      </c>
      <c r="F545" s="22" t="str">
        <f>_xlfn.XLOOKUP(tbl_CONTENT[[#This Row],[Topic]], tbl_TOPIC[Topic], tbl_TOPIC[TopicID], "")</f>
        <v>QM-1-22</v>
      </c>
      <c r="G545" s="62" cm="1">
        <f t="array" ref="G545">SUM((tbl_CONTENT[[#This Row],[TopicID]]=INDEX(tbl_CONTENT[TopicID],1):tbl_CONTENT[[#This Row],[TopicID]])*1)</f>
        <v>2</v>
      </c>
      <c r="H545" s="22" t="s">
        <v>679</v>
      </c>
      <c r="I545" s="22" t="s">
        <v>910</v>
      </c>
      <c r="J545" s="22" t="s">
        <v>382</v>
      </c>
      <c r="P545" s="62"/>
      <c r="Q545" s="35">
        <f>IFERROR(
 (1.907*EXP(1)^(-0.5*tbl_CONTENT[[#This Row],[Layer]])) *
 ((tbl_CONTENT[[#This Row],[RelInt]]-1)^(2.5)*4^(1-2.5)+1) +
 ((tbl_CONTENT[[#This Row],[Comp]]-1)^(2.5)*4^(1-2.5)+1)*(0.5*((tbl_CONTENT[[#This Row],[RelInt]]-1)/4)^(2.5)+1),
 0
)</f>
        <v>0</v>
      </c>
      <c r="R545" s="35">
        <f>IFERROR(
 (1.907*EXP(1)^(-0.5*VALUE(tbl_CONTENT[[#This Row],[Layer]]))) *
 ((VALUE(tbl_CONTENT[[#This Row],[RelId]])-1)^(2.5)*4^(1-2.5)+1) +
 ((VALUE(tbl_CONTENT[[#This Row],[Comp]])-1)^(2.5)*4^(1-2.5)+1)*(0.5*((VALUE(tbl_CONTENT[[#This Row],[RelId]])-1)/4)^(2.5)+1),
 0
)</f>
        <v>0</v>
      </c>
      <c r="T545" s="62"/>
    </row>
    <row r="546" spans="3:20" ht="34" x14ac:dyDescent="0.2">
      <c r="C546" s="62" t="str">
        <f>_xlfn.XLOOKUP(tbl_CONTENT[[#This Row],[TopicID]], tbl_TOPIC[TopicID], tbl_TOPIC[Subject], "")</f>
        <v>QM</v>
      </c>
      <c r="D546" s="62" t="str">
        <f xml:space="preserve"> tbl_CONTENT[[#This Row],[TopicID]] &amp; "-" &amp; TEXT(tbl_CONTENT[[#This Row],[TopicIDCount]], "00")</f>
        <v>QM-1-22-03</v>
      </c>
      <c r="F546" s="22" t="str">
        <f>_xlfn.XLOOKUP(tbl_CONTENT[[#This Row],[Topic]], tbl_TOPIC[Topic], tbl_TOPIC[TopicID], "")</f>
        <v>QM-1-22</v>
      </c>
      <c r="G546" s="62" cm="1">
        <f t="array" ref="G546">SUM((tbl_CONTENT[[#This Row],[TopicID]]=INDEX(tbl_CONTENT[TopicID],1):tbl_CONTENT[[#This Row],[TopicID]])*1)</f>
        <v>3</v>
      </c>
      <c r="H546" s="22" t="s">
        <v>679</v>
      </c>
      <c r="I546" s="22" t="s">
        <v>911</v>
      </c>
      <c r="J546" s="22" t="s">
        <v>153</v>
      </c>
      <c r="P546" s="62"/>
      <c r="Q546" s="35">
        <f>IFERROR(
 (1.907*EXP(1)^(-0.5*tbl_CONTENT[[#This Row],[Layer]])) *
 ((tbl_CONTENT[[#This Row],[RelInt]]-1)^(2.5)*4^(1-2.5)+1) +
 ((tbl_CONTENT[[#This Row],[Comp]]-1)^(2.5)*4^(1-2.5)+1)*(0.5*((tbl_CONTENT[[#This Row],[RelInt]]-1)/4)^(2.5)+1),
 0
)</f>
        <v>0</v>
      </c>
      <c r="R546" s="35">
        <f>IFERROR(
 (1.907*EXP(1)^(-0.5*VALUE(tbl_CONTENT[[#This Row],[Layer]]))) *
 ((VALUE(tbl_CONTENT[[#This Row],[RelId]])-1)^(2.5)*4^(1-2.5)+1) +
 ((VALUE(tbl_CONTENT[[#This Row],[Comp]])-1)^(2.5)*4^(1-2.5)+1)*(0.5*((VALUE(tbl_CONTENT[[#This Row],[RelId]])-1)/4)^(2.5)+1),
 0
)</f>
        <v>0</v>
      </c>
      <c r="T546" s="62"/>
    </row>
    <row r="547" spans="3:20" ht="51" x14ac:dyDescent="0.2">
      <c r="C547" s="62" t="str">
        <f>_xlfn.XLOOKUP(tbl_CONTENT[[#This Row],[TopicID]], tbl_TOPIC[TopicID], tbl_TOPIC[Subject], "")</f>
        <v>QM</v>
      </c>
      <c r="D547" s="62" t="str">
        <f xml:space="preserve"> tbl_CONTENT[[#This Row],[TopicID]] &amp; "-" &amp; TEXT(tbl_CONTENT[[#This Row],[TopicIDCount]], "00")</f>
        <v>QM-1-22-04</v>
      </c>
      <c r="F547" s="22" t="str">
        <f>_xlfn.XLOOKUP(tbl_CONTENT[[#This Row],[Topic]], tbl_TOPIC[Topic], tbl_TOPIC[TopicID], "")</f>
        <v>QM-1-22</v>
      </c>
      <c r="G547" s="62" cm="1">
        <f t="array" ref="G547">SUM((tbl_CONTENT[[#This Row],[TopicID]]=INDEX(tbl_CONTENT[TopicID],1):tbl_CONTENT[[#This Row],[TopicID]])*1)</f>
        <v>4</v>
      </c>
      <c r="H547" s="22" t="s">
        <v>679</v>
      </c>
      <c r="I547" s="22" t="s">
        <v>912</v>
      </c>
      <c r="J547" s="22" t="s">
        <v>382</v>
      </c>
      <c r="P547" s="62"/>
      <c r="Q547" s="35">
        <f>IFERROR(
 (1.907*EXP(1)^(-0.5*tbl_CONTENT[[#This Row],[Layer]])) *
 ((tbl_CONTENT[[#This Row],[RelInt]]-1)^(2.5)*4^(1-2.5)+1) +
 ((tbl_CONTENT[[#This Row],[Comp]]-1)^(2.5)*4^(1-2.5)+1)*(0.5*((tbl_CONTENT[[#This Row],[RelInt]]-1)/4)^(2.5)+1),
 0
)</f>
        <v>0</v>
      </c>
      <c r="R547" s="35">
        <f>IFERROR(
 (1.907*EXP(1)^(-0.5*VALUE(tbl_CONTENT[[#This Row],[Layer]]))) *
 ((VALUE(tbl_CONTENT[[#This Row],[RelId]])-1)^(2.5)*4^(1-2.5)+1) +
 ((VALUE(tbl_CONTENT[[#This Row],[Comp]])-1)^(2.5)*4^(1-2.5)+1)*(0.5*((VALUE(tbl_CONTENT[[#This Row],[RelId]])-1)/4)^(2.5)+1),
 0
)</f>
        <v>0</v>
      </c>
      <c r="T547" s="62"/>
    </row>
    <row r="548" spans="3:20" ht="34" x14ac:dyDescent="0.2">
      <c r="C548" s="62" t="str">
        <f>_xlfn.XLOOKUP(tbl_CONTENT[[#This Row],[TopicID]], tbl_TOPIC[TopicID], tbl_TOPIC[Subject], "")</f>
        <v>QM</v>
      </c>
      <c r="D548" s="62" t="str">
        <f xml:space="preserve"> tbl_CONTENT[[#This Row],[TopicID]] &amp; "-" &amp; TEXT(tbl_CONTENT[[#This Row],[TopicIDCount]], "00")</f>
        <v>QM-1-22-05</v>
      </c>
      <c r="F548" s="22" t="str">
        <f>_xlfn.XLOOKUP(tbl_CONTENT[[#This Row],[Topic]], tbl_TOPIC[Topic], tbl_TOPIC[TopicID], "")</f>
        <v>QM-1-22</v>
      </c>
      <c r="G548" s="62" cm="1">
        <f t="array" ref="G548">SUM((tbl_CONTENT[[#This Row],[TopicID]]=INDEX(tbl_CONTENT[TopicID],1):tbl_CONTENT[[#This Row],[TopicID]])*1)</f>
        <v>5</v>
      </c>
      <c r="H548" s="22" t="s">
        <v>679</v>
      </c>
      <c r="I548" s="22" t="s">
        <v>913</v>
      </c>
      <c r="J548" s="22" t="s">
        <v>153</v>
      </c>
      <c r="P548" s="62"/>
      <c r="Q548" s="35">
        <f>IFERROR(
 (1.907*EXP(1)^(-0.5*tbl_CONTENT[[#This Row],[Layer]])) *
 ((tbl_CONTENT[[#This Row],[RelInt]]-1)^(2.5)*4^(1-2.5)+1) +
 ((tbl_CONTENT[[#This Row],[Comp]]-1)^(2.5)*4^(1-2.5)+1)*(0.5*((tbl_CONTENT[[#This Row],[RelInt]]-1)/4)^(2.5)+1),
 0
)</f>
        <v>0</v>
      </c>
      <c r="R548" s="35">
        <f>IFERROR(
 (1.907*EXP(1)^(-0.5*VALUE(tbl_CONTENT[[#This Row],[Layer]]))) *
 ((VALUE(tbl_CONTENT[[#This Row],[RelId]])-1)^(2.5)*4^(1-2.5)+1) +
 ((VALUE(tbl_CONTENT[[#This Row],[Comp]])-1)^(2.5)*4^(1-2.5)+1)*(0.5*((VALUE(tbl_CONTENT[[#This Row],[RelId]])-1)/4)^(2.5)+1),
 0
)</f>
        <v>0</v>
      </c>
      <c r="T548" s="62"/>
    </row>
    <row r="549" spans="3:20" ht="34" x14ac:dyDescent="0.2">
      <c r="C549" s="62" t="str">
        <f>_xlfn.XLOOKUP(tbl_CONTENT[[#This Row],[TopicID]], tbl_TOPIC[TopicID], tbl_TOPIC[Subject], "")</f>
        <v>QM</v>
      </c>
      <c r="D549" s="62" t="str">
        <f xml:space="preserve"> tbl_CONTENT[[#This Row],[TopicID]] &amp; "-" &amp; TEXT(tbl_CONTENT[[#This Row],[TopicIDCount]], "00")</f>
        <v>QM-1-22-06</v>
      </c>
      <c r="F549" s="22" t="str">
        <f>_xlfn.XLOOKUP(tbl_CONTENT[[#This Row],[Topic]], tbl_TOPIC[Topic], tbl_TOPIC[TopicID], "")</f>
        <v>QM-1-22</v>
      </c>
      <c r="G549" s="62" cm="1">
        <f t="array" ref="G549">SUM((tbl_CONTENT[[#This Row],[TopicID]]=INDEX(tbl_CONTENT[TopicID],1):tbl_CONTENT[[#This Row],[TopicID]])*1)</f>
        <v>6</v>
      </c>
      <c r="H549" s="22" t="s">
        <v>679</v>
      </c>
      <c r="I549" s="22" t="s">
        <v>914</v>
      </c>
      <c r="J549" s="22" t="s">
        <v>382</v>
      </c>
      <c r="P549" s="62"/>
      <c r="Q549" s="35">
        <f>IFERROR(
 (1.907*EXP(1)^(-0.5*tbl_CONTENT[[#This Row],[Layer]])) *
 ((tbl_CONTENT[[#This Row],[RelInt]]-1)^(2.5)*4^(1-2.5)+1) +
 ((tbl_CONTENT[[#This Row],[Comp]]-1)^(2.5)*4^(1-2.5)+1)*(0.5*((tbl_CONTENT[[#This Row],[RelInt]]-1)/4)^(2.5)+1),
 0
)</f>
        <v>0</v>
      </c>
      <c r="R549" s="35">
        <f>IFERROR(
 (1.907*EXP(1)^(-0.5*VALUE(tbl_CONTENT[[#This Row],[Layer]]))) *
 ((VALUE(tbl_CONTENT[[#This Row],[RelId]])-1)^(2.5)*4^(1-2.5)+1) +
 ((VALUE(tbl_CONTENT[[#This Row],[Comp]])-1)^(2.5)*4^(1-2.5)+1)*(0.5*((VALUE(tbl_CONTENT[[#This Row],[RelId]])-1)/4)^(2.5)+1),
 0
)</f>
        <v>0</v>
      </c>
      <c r="T549" s="62"/>
    </row>
    <row r="550" spans="3:20" ht="34" x14ac:dyDescent="0.2">
      <c r="C550" s="62" t="str">
        <f>_xlfn.XLOOKUP(tbl_CONTENT[[#This Row],[TopicID]], tbl_TOPIC[TopicID], tbl_TOPIC[Subject], "")</f>
        <v>QM</v>
      </c>
      <c r="D550" s="62" t="str">
        <f xml:space="preserve"> tbl_CONTENT[[#This Row],[TopicID]] &amp; "-" &amp; TEXT(tbl_CONTENT[[#This Row],[TopicIDCount]], "00")</f>
        <v>QM-1-22-07</v>
      </c>
      <c r="F550" s="22" t="str">
        <f>_xlfn.XLOOKUP(tbl_CONTENT[[#This Row],[Topic]], tbl_TOPIC[Topic], tbl_TOPIC[TopicID], "")</f>
        <v>QM-1-22</v>
      </c>
      <c r="G550" s="62" cm="1">
        <f t="array" ref="G550">SUM((tbl_CONTENT[[#This Row],[TopicID]]=INDEX(tbl_CONTENT[TopicID],1):tbl_CONTENT[[#This Row],[TopicID]])*1)</f>
        <v>7</v>
      </c>
      <c r="H550" s="22" t="s">
        <v>679</v>
      </c>
      <c r="I550" s="22" t="s">
        <v>915</v>
      </c>
      <c r="J550" s="22" t="s">
        <v>181</v>
      </c>
      <c r="P550" s="62"/>
      <c r="Q550" s="35">
        <f>IFERROR(
 (1.907*EXP(1)^(-0.5*tbl_CONTENT[[#This Row],[Layer]])) *
 ((tbl_CONTENT[[#This Row],[RelInt]]-1)^(2.5)*4^(1-2.5)+1) +
 ((tbl_CONTENT[[#This Row],[Comp]]-1)^(2.5)*4^(1-2.5)+1)*(0.5*((tbl_CONTENT[[#This Row],[RelInt]]-1)/4)^(2.5)+1),
 0
)</f>
        <v>0</v>
      </c>
      <c r="R550" s="35">
        <f>IFERROR(
 (1.907*EXP(1)^(-0.5*VALUE(tbl_CONTENT[[#This Row],[Layer]]))) *
 ((VALUE(tbl_CONTENT[[#This Row],[RelId]])-1)^(2.5)*4^(1-2.5)+1) +
 ((VALUE(tbl_CONTENT[[#This Row],[Comp]])-1)^(2.5)*4^(1-2.5)+1)*(0.5*((VALUE(tbl_CONTENT[[#This Row],[RelId]])-1)/4)^(2.5)+1),
 0
)</f>
        <v>0</v>
      </c>
      <c r="T550" s="62"/>
    </row>
    <row r="551" spans="3:20" ht="68" x14ac:dyDescent="0.2">
      <c r="C551" s="62" t="str">
        <f>_xlfn.XLOOKUP(tbl_CONTENT[[#This Row],[TopicID]], tbl_TOPIC[TopicID], tbl_TOPIC[Subject], "")</f>
        <v>QM</v>
      </c>
      <c r="D551" s="62" t="str">
        <f xml:space="preserve"> tbl_CONTENT[[#This Row],[TopicID]] &amp; "-" &amp; TEXT(tbl_CONTENT[[#This Row],[TopicIDCount]], "00")</f>
        <v>QM-1-23-01</v>
      </c>
      <c r="F551" s="22" t="str">
        <f>_xlfn.XLOOKUP(tbl_CONTENT[[#This Row],[Topic]], tbl_TOPIC[Topic], tbl_TOPIC[TopicID], "")</f>
        <v>QM-1-23</v>
      </c>
      <c r="G551" s="62" cm="1">
        <f t="array" ref="G551">SUM((tbl_CONTENT[[#This Row],[TopicID]]=INDEX(tbl_CONTENT[TopicID],1):tbl_CONTENT[[#This Row],[TopicID]])*1)</f>
        <v>1</v>
      </c>
      <c r="H551" s="22" t="s">
        <v>680</v>
      </c>
      <c r="I551" s="22" t="s">
        <v>916</v>
      </c>
      <c r="J551" s="22" t="s">
        <v>382</v>
      </c>
      <c r="P551" s="62"/>
      <c r="Q551" s="35">
        <f>IFERROR(
 (1.907*EXP(1)^(-0.5*tbl_CONTENT[[#This Row],[Layer]])) *
 ((tbl_CONTENT[[#This Row],[RelInt]]-1)^(2.5)*4^(1-2.5)+1) +
 ((tbl_CONTENT[[#This Row],[Comp]]-1)^(2.5)*4^(1-2.5)+1)*(0.5*((tbl_CONTENT[[#This Row],[RelInt]]-1)/4)^(2.5)+1),
 0
)</f>
        <v>0</v>
      </c>
      <c r="R551" s="35">
        <f>IFERROR(
 (1.907*EXP(1)^(-0.5*VALUE(tbl_CONTENT[[#This Row],[Layer]]))) *
 ((VALUE(tbl_CONTENT[[#This Row],[RelId]])-1)^(2.5)*4^(1-2.5)+1) +
 ((VALUE(tbl_CONTENT[[#This Row],[Comp]])-1)^(2.5)*4^(1-2.5)+1)*(0.5*((VALUE(tbl_CONTENT[[#This Row],[RelId]])-1)/4)^(2.5)+1),
 0
)</f>
        <v>0</v>
      </c>
      <c r="T551" s="62"/>
    </row>
    <row r="552" spans="3:20" ht="34" x14ac:dyDescent="0.2">
      <c r="C552" s="62" t="str">
        <f>_xlfn.XLOOKUP(tbl_CONTENT[[#This Row],[TopicID]], tbl_TOPIC[TopicID], tbl_TOPIC[Subject], "")</f>
        <v>QM</v>
      </c>
      <c r="D552" s="62" t="str">
        <f xml:space="preserve"> tbl_CONTENT[[#This Row],[TopicID]] &amp; "-" &amp; TEXT(tbl_CONTENT[[#This Row],[TopicIDCount]], "00")</f>
        <v>QM-1-23-02</v>
      </c>
      <c r="F552" s="22" t="str">
        <f>_xlfn.XLOOKUP(tbl_CONTENT[[#This Row],[Topic]], tbl_TOPIC[Topic], tbl_TOPIC[TopicID], "")</f>
        <v>QM-1-23</v>
      </c>
      <c r="G552" s="62" cm="1">
        <f t="array" ref="G552">SUM((tbl_CONTENT[[#This Row],[TopicID]]=INDEX(tbl_CONTENT[TopicID],1):tbl_CONTENT[[#This Row],[TopicID]])*1)</f>
        <v>2</v>
      </c>
      <c r="H552" s="22" t="s">
        <v>680</v>
      </c>
      <c r="I552" s="22" t="s">
        <v>917</v>
      </c>
      <c r="J552" s="22" t="s">
        <v>148</v>
      </c>
      <c r="P552" s="62"/>
      <c r="Q552" s="35">
        <f>IFERROR(
 (1.907*EXP(1)^(-0.5*tbl_CONTENT[[#This Row],[Layer]])) *
 ((tbl_CONTENT[[#This Row],[RelInt]]-1)^(2.5)*4^(1-2.5)+1) +
 ((tbl_CONTENT[[#This Row],[Comp]]-1)^(2.5)*4^(1-2.5)+1)*(0.5*((tbl_CONTENT[[#This Row],[RelInt]]-1)/4)^(2.5)+1),
 0
)</f>
        <v>0</v>
      </c>
      <c r="R552" s="35">
        <f>IFERROR(
 (1.907*EXP(1)^(-0.5*VALUE(tbl_CONTENT[[#This Row],[Layer]]))) *
 ((VALUE(tbl_CONTENT[[#This Row],[RelId]])-1)^(2.5)*4^(1-2.5)+1) +
 ((VALUE(tbl_CONTENT[[#This Row],[Comp]])-1)^(2.5)*4^(1-2.5)+1)*(0.5*((VALUE(tbl_CONTENT[[#This Row],[RelId]])-1)/4)^(2.5)+1),
 0
)</f>
        <v>0</v>
      </c>
      <c r="T552" s="62"/>
    </row>
    <row r="553" spans="3:20" ht="17" x14ac:dyDescent="0.2">
      <c r="C553" s="62" t="str">
        <f>_xlfn.XLOOKUP(tbl_CONTENT[[#This Row],[TopicID]], tbl_TOPIC[TopicID], tbl_TOPIC[Subject], "")</f>
        <v>QM</v>
      </c>
      <c r="D553" s="62" t="str">
        <f xml:space="preserve"> tbl_CONTENT[[#This Row],[TopicID]] &amp; "-" &amp; TEXT(tbl_CONTENT[[#This Row],[TopicIDCount]], "00")</f>
        <v>QM-1-23-03</v>
      </c>
      <c r="F553" s="22" t="str">
        <f>_xlfn.XLOOKUP(tbl_CONTENT[[#This Row],[Topic]], tbl_TOPIC[Topic], tbl_TOPIC[TopicID], "")</f>
        <v>QM-1-23</v>
      </c>
      <c r="G553" s="62" cm="1">
        <f t="array" ref="G553">SUM((tbl_CONTENT[[#This Row],[TopicID]]=INDEX(tbl_CONTENT[TopicID],1):tbl_CONTENT[[#This Row],[TopicID]])*1)</f>
        <v>3</v>
      </c>
      <c r="H553" s="22" t="s">
        <v>680</v>
      </c>
      <c r="I553" s="22" t="s">
        <v>918</v>
      </c>
      <c r="J553" s="22" t="s">
        <v>148</v>
      </c>
      <c r="P553" s="62"/>
      <c r="Q553" s="35">
        <f>IFERROR(
 (1.907*EXP(1)^(-0.5*tbl_CONTENT[[#This Row],[Layer]])) *
 ((tbl_CONTENT[[#This Row],[RelInt]]-1)^(2.5)*4^(1-2.5)+1) +
 ((tbl_CONTENT[[#This Row],[Comp]]-1)^(2.5)*4^(1-2.5)+1)*(0.5*((tbl_CONTENT[[#This Row],[RelInt]]-1)/4)^(2.5)+1),
 0
)</f>
        <v>0</v>
      </c>
      <c r="R553" s="35">
        <f>IFERROR(
 (1.907*EXP(1)^(-0.5*VALUE(tbl_CONTENT[[#This Row],[Layer]]))) *
 ((VALUE(tbl_CONTENT[[#This Row],[RelId]])-1)^(2.5)*4^(1-2.5)+1) +
 ((VALUE(tbl_CONTENT[[#This Row],[Comp]])-1)^(2.5)*4^(1-2.5)+1)*(0.5*((VALUE(tbl_CONTENT[[#This Row],[RelId]])-1)/4)^(2.5)+1),
 0
)</f>
        <v>0</v>
      </c>
      <c r="T553" s="62"/>
    </row>
    <row r="554" spans="3:20" ht="51" x14ac:dyDescent="0.2">
      <c r="C554" s="62" t="str">
        <f>_xlfn.XLOOKUP(tbl_CONTENT[[#This Row],[TopicID]], tbl_TOPIC[TopicID], tbl_TOPIC[Subject], "")</f>
        <v>QM</v>
      </c>
      <c r="D554" s="62" t="str">
        <f xml:space="preserve"> tbl_CONTENT[[#This Row],[TopicID]] &amp; "-" &amp; TEXT(tbl_CONTENT[[#This Row],[TopicIDCount]], "00")</f>
        <v>QM-1-24-01</v>
      </c>
      <c r="F554" s="22" t="str">
        <f>_xlfn.XLOOKUP(tbl_CONTENT[[#This Row],[Topic]], tbl_TOPIC[Topic], tbl_TOPIC[TopicID], "")</f>
        <v>QM-1-24</v>
      </c>
      <c r="G554" s="62" cm="1">
        <f t="array" ref="G554">SUM((tbl_CONTENT[[#This Row],[TopicID]]=INDEX(tbl_CONTENT[TopicID],1):tbl_CONTENT[[#This Row],[TopicID]])*1)</f>
        <v>1</v>
      </c>
      <c r="H554" s="22" t="s">
        <v>681</v>
      </c>
      <c r="I554" s="22" t="s">
        <v>919</v>
      </c>
      <c r="J554" s="22" t="s">
        <v>148</v>
      </c>
      <c r="P554" s="62"/>
      <c r="Q554" s="35">
        <f>IFERROR(
 (1.907*EXP(1)^(-0.5*tbl_CONTENT[[#This Row],[Layer]])) *
 ((tbl_CONTENT[[#This Row],[RelInt]]-1)^(2.5)*4^(1-2.5)+1) +
 ((tbl_CONTENT[[#This Row],[Comp]]-1)^(2.5)*4^(1-2.5)+1)*(0.5*((tbl_CONTENT[[#This Row],[RelInt]]-1)/4)^(2.5)+1),
 0
)</f>
        <v>0</v>
      </c>
      <c r="R554" s="35">
        <f>IFERROR(
 (1.907*EXP(1)^(-0.5*VALUE(tbl_CONTENT[[#This Row],[Layer]]))) *
 ((VALUE(tbl_CONTENT[[#This Row],[RelId]])-1)^(2.5)*4^(1-2.5)+1) +
 ((VALUE(tbl_CONTENT[[#This Row],[Comp]])-1)^(2.5)*4^(1-2.5)+1)*(0.5*((VALUE(tbl_CONTENT[[#This Row],[RelId]])-1)/4)^(2.5)+1),
 0
)</f>
        <v>0</v>
      </c>
      <c r="T554" s="62"/>
    </row>
    <row r="555" spans="3:20" ht="34" x14ac:dyDescent="0.2">
      <c r="C555" s="62" t="str">
        <f>_xlfn.XLOOKUP(tbl_CONTENT[[#This Row],[TopicID]], tbl_TOPIC[TopicID], tbl_TOPIC[Subject], "")</f>
        <v>QM</v>
      </c>
      <c r="D555" s="62" t="str">
        <f xml:space="preserve"> tbl_CONTENT[[#This Row],[TopicID]] &amp; "-" &amp; TEXT(tbl_CONTENT[[#This Row],[TopicIDCount]], "00")</f>
        <v>QM-1-24-02</v>
      </c>
      <c r="F555" s="22" t="str">
        <f>_xlfn.XLOOKUP(tbl_CONTENT[[#This Row],[Topic]], tbl_TOPIC[Topic], tbl_TOPIC[TopicID], "")</f>
        <v>QM-1-24</v>
      </c>
      <c r="G555" s="62" cm="1">
        <f t="array" ref="G555">SUM((tbl_CONTENT[[#This Row],[TopicID]]=INDEX(tbl_CONTENT[TopicID],1):tbl_CONTENT[[#This Row],[TopicID]])*1)</f>
        <v>2</v>
      </c>
      <c r="H555" s="22" t="s">
        <v>681</v>
      </c>
      <c r="I555" s="22" t="s">
        <v>1613</v>
      </c>
      <c r="J555" s="22" t="s">
        <v>382</v>
      </c>
      <c r="P555" s="62"/>
      <c r="Q555" s="35">
        <f>IFERROR(
 (1.907*EXP(1)^(-0.5*tbl_CONTENT[[#This Row],[Layer]])) *
 ((tbl_CONTENT[[#This Row],[RelInt]]-1)^(2.5)*4^(1-2.5)+1) +
 ((tbl_CONTENT[[#This Row],[Comp]]-1)^(2.5)*4^(1-2.5)+1)*(0.5*((tbl_CONTENT[[#This Row],[RelInt]]-1)/4)^(2.5)+1),
 0
)</f>
        <v>0</v>
      </c>
      <c r="R555" s="35">
        <f>IFERROR(
 (1.907*EXP(1)^(-0.5*VALUE(tbl_CONTENT[[#This Row],[Layer]]))) *
 ((VALUE(tbl_CONTENT[[#This Row],[RelId]])-1)^(2.5)*4^(1-2.5)+1) +
 ((VALUE(tbl_CONTENT[[#This Row],[Comp]])-1)^(2.5)*4^(1-2.5)+1)*(0.5*((VALUE(tbl_CONTENT[[#This Row],[RelId]])-1)/4)^(2.5)+1),
 0
)</f>
        <v>0</v>
      </c>
      <c r="T555" s="62"/>
    </row>
    <row r="556" spans="3:20" ht="34" x14ac:dyDescent="0.2">
      <c r="C556" s="62" t="str">
        <f>_xlfn.XLOOKUP(tbl_CONTENT[[#This Row],[TopicID]], tbl_TOPIC[TopicID], tbl_TOPIC[Subject], "")</f>
        <v>QM</v>
      </c>
      <c r="D556" s="62" t="str">
        <f xml:space="preserve"> tbl_CONTENT[[#This Row],[TopicID]] &amp; "-" &amp; TEXT(tbl_CONTENT[[#This Row],[TopicIDCount]], "00")</f>
        <v>QM-1-24-03</v>
      </c>
      <c r="F556" s="22" t="str">
        <f>_xlfn.XLOOKUP(tbl_CONTENT[[#This Row],[Topic]], tbl_TOPIC[Topic], tbl_TOPIC[TopicID], "")</f>
        <v>QM-1-24</v>
      </c>
      <c r="G556" s="62" cm="1">
        <f t="array" ref="G556">SUM((tbl_CONTENT[[#This Row],[TopicID]]=INDEX(tbl_CONTENT[TopicID],1):tbl_CONTENT[[#This Row],[TopicID]])*1)</f>
        <v>3</v>
      </c>
      <c r="H556" s="22" t="s">
        <v>681</v>
      </c>
      <c r="I556" s="22" t="s">
        <v>1614</v>
      </c>
      <c r="J556" s="22" t="s">
        <v>382</v>
      </c>
      <c r="P556" s="62"/>
      <c r="Q556" s="35">
        <f>IFERROR(
 (1.907*EXP(1)^(-0.5*tbl_CONTENT[[#This Row],[Layer]])) *
 ((tbl_CONTENT[[#This Row],[RelInt]]-1)^(2.5)*4^(1-2.5)+1) +
 ((tbl_CONTENT[[#This Row],[Comp]]-1)^(2.5)*4^(1-2.5)+1)*(0.5*((tbl_CONTENT[[#This Row],[RelInt]]-1)/4)^(2.5)+1),
 0
)</f>
        <v>0</v>
      </c>
      <c r="R556" s="35">
        <f>IFERROR(
 (1.907*EXP(1)^(-0.5*VALUE(tbl_CONTENT[[#This Row],[Layer]]))) *
 ((VALUE(tbl_CONTENT[[#This Row],[RelId]])-1)^(2.5)*4^(1-2.5)+1) +
 ((VALUE(tbl_CONTENT[[#This Row],[Comp]])-1)^(2.5)*4^(1-2.5)+1)*(0.5*((VALUE(tbl_CONTENT[[#This Row],[RelId]])-1)/4)^(2.5)+1),
 0
)</f>
        <v>0</v>
      </c>
      <c r="T556" s="62"/>
    </row>
    <row r="557" spans="3:20" ht="34" x14ac:dyDescent="0.2">
      <c r="C557" s="62" t="str">
        <f>_xlfn.XLOOKUP(tbl_CONTENT[[#This Row],[TopicID]], tbl_TOPIC[TopicID], tbl_TOPIC[Subject], "")</f>
        <v>QM</v>
      </c>
      <c r="D557" s="62" t="str">
        <f xml:space="preserve"> tbl_CONTENT[[#This Row],[TopicID]] &amp; "-" &amp; TEXT(tbl_CONTENT[[#This Row],[TopicIDCount]], "00")</f>
        <v>QM-1-24-04</v>
      </c>
      <c r="F557" s="22" t="str">
        <f>_xlfn.XLOOKUP(tbl_CONTENT[[#This Row],[Topic]], tbl_TOPIC[Topic], tbl_TOPIC[TopicID], "")</f>
        <v>QM-1-24</v>
      </c>
      <c r="G557" s="62" cm="1">
        <f t="array" ref="G557">SUM((tbl_CONTENT[[#This Row],[TopicID]]=INDEX(tbl_CONTENT[TopicID],1):tbl_CONTENT[[#This Row],[TopicID]])*1)</f>
        <v>4</v>
      </c>
      <c r="H557" s="22" t="s">
        <v>681</v>
      </c>
      <c r="I557" s="22" t="s">
        <v>920</v>
      </c>
      <c r="J557" s="22" t="s">
        <v>382</v>
      </c>
      <c r="P557" s="62"/>
      <c r="Q557" s="35">
        <f>IFERROR(
 (1.907*EXP(1)^(-0.5*tbl_CONTENT[[#This Row],[Layer]])) *
 ((tbl_CONTENT[[#This Row],[RelInt]]-1)^(2.5)*4^(1-2.5)+1) +
 ((tbl_CONTENT[[#This Row],[Comp]]-1)^(2.5)*4^(1-2.5)+1)*(0.5*((tbl_CONTENT[[#This Row],[RelInt]]-1)/4)^(2.5)+1),
 0
)</f>
        <v>0</v>
      </c>
      <c r="R557" s="35">
        <f>IFERROR(
 (1.907*EXP(1)^(-0.5*VALUE(tbl_CONTENT[[#This Row],[Layer]]))) *
 ((VALUE(tbl_CONTENT[[#This Row],[RelId]])-1)^(2.5)*4^(1-2.5)+1) +
 ((VALUE(tbl_CONTENT[[#This Row],[Comp]])-1)^(2.5)*4^(1-2.5)+1)*(0.5*((VALUE(tbl_CONTENT[[#This Row],[RelId]])-1)/4)^(2.5)+1),
 0
)</f>
        <v>0</v>
      </c>
      <c r="T557" s="62"/>
    </row>
    <row r="558" spans="3:20" ht="17" x14ac:dyDescent="0.2">
      <c r="C558" s="62" t="str">
        <f>_xlfn.XLOOKUP(tbl_CONTENT[[#This Row],[TopicID]], tbl_TOPIC[TopicID], tbl_TOPIC[Subject], "")</f>
        <v>QM</v>
      </c>
      <c r="D558" s="62" t="str">
        <f xml:space="preserve"> tbl_CONTENT[[#This Row],[TopicID]] &amp; "-" &amp; TEXT(tbl_CONTENT[[#This Row],[TopicIDCount]], "00")</f>
        <v>QM-1-24-05</v>
      </c>
      <c r="F558" s="22" t="str">
        <f>_xlfn.XLOOKUP(tbl_CONTENT[[#This Row],[Topic]], tbl_TOPIC[Topic], tbl_TOPIC[TopicID], "")</f>
        <v>QM-1-24</v>
      </c>
      <c r="G558" s="62" cm="1">
        <f t="array" ref="G558">SUM((tbl_CONTENT[[#This Row],[TopicID]]=INDEX(tbl_CONTENT[TopicID],1):tbl_CONTENT[[#This Row],[TopicID]])*1)</f>
        <v>5</v>
      </c>
      <c r="H558" s="22" t="s">
        <v>681</v>
      </c>
      <c r="I558" s="22" t="s">
        <v>1615</v>
      </c>
      <c r="J558" s="22" t="s">
        <v>382</v>
      </c>
      <c r="P558" s="62"/>
      <c r="Q558" s="35">
        <f>IFERROR(
 (1.907*EXP(1)^(-0.5*tbl_CONTENT[[#This Row],[Layer]])) *
 ((tbl_CONTENT[[#This Row],[RelInt]]-1)^(2.5)*4^(1-2.5)+1) +
 ((tbl_CONTENT[[#This Row],[Comp]]-1)^(2.5)*4^(1-2.5)+1)*(0.5*((tbl_CONTENT[[#This Row],[RelInt]]-1)/4)^(2.5)+1),
 0
)</f>
        <v>0</v>
      </c>
      <c r="R558" s="35">
        <f>IFERROR(
 (1.907*EXP(1)^(-0.5*VALUE(tbl_CONTENT[[#This Row],[Layer]]))) *
 ((VALUE(tbl_CONTENT[[#This Row],[RelId]])-1)^(2.5)*4^(1-2.5)+1) +
 ((VALUE(tbl_CONTENT[[#This Row],[Comp]])-1)^(2.5)*4^(1-2.5)+1)*(0.5*((VALUE(tbl_CONTENT[[#This Row],[RelId]])-1)/4)^(2.5)+1),
 0
)</f>
        <v>0</v>
      </c>
      <c r="T558" s="62"/>
    </row>
    <row r="559" spans="3:20" ht="17" x14ac:dyDescent="0.2">
      <c r="C559" s="62" t="str">
        <f>_xlfn.XLOOKUP(tbl_CONTENT[[#This Row],[TopicID]], tbl_TOPIC[TopicID], tbl_TOPIC[Subject], "")</f>
        <v>QM</v>
      </c>
      <c r="D559" s="62" t="str">
        <f xml:space="preserve"> tbl_CONTENT[[#This Row],[TopicID]] &amp; "-" &amp; TEXT(tbl_CONTENT[[#This Row],[TopicIDCount]], "00")</f>
        <v>QM-1-24-06</v>
      </c>
      <c r="F559" s="22" t="str">
        <f>_xlfn.XLOOKUP(tbl_CONTENT[[#This Row],[Topic]], tbl_TOPIC[Topic], tbl_TOPIC[TopicID], "")</f>
        <v>QM-1-24</v>
      </c>
      <c r="G559" s="62" cm="1">
        <f t="array" ref="G559">SUM((tbl_CONTENT[[#This Row],[TopicID]]=INDEX(tbl_CONTENT[TopicID],1):tbl_CONTENT[[#This Row],[TopicID]])*1)</f>
        <v>6</v>
      </c>
      <c r="H559" s="22" t="s">
        <v>681</v>
      </c>
      <c r="I559" s="22" t="s">
        <v>923</v>
      </c>
      <c r="J559" s="22" t="s">
        <v>382</v>
      </c>
      <c r="P559" s="62"/>
      <c r="Q559" s="35">
        <f>IFERROR(
 (1.907*EXP(1)^(-0.5*tbl_CONTENT[[#This Row],[Layer]])) *
 ((tbl_CONTENT[[#This Row],[RelInt]]-1)^(2.5)*4^(1-2.5)+1) +
 ((tbl_CONTENT[[#This Row],[Comp]]-1)^(2.5)*4^(1-2.5)+1)*(0.5*((tbl_CONTENT[[#This Row],[RelInt]]-1)/4)^(2.5)+1),
 0
)</f>
        <v>0</v>
      </c>
      <c r="R559" s="35">
        <f>IFERROR(
 (1.907*EXP(1)^(-0.5*VALUE(tbl_CONTENT[[#This Row],[Layer]]))) *
 ((VALUE(tbl_CONTENT[[#This Row],[RelId]])-1)^(2.5)*4^(1-2.5)+1) +
 ((VALUE(tbl_CONTENT[[#This Row],[Comp]])-1)^(2.5)*4^(1-2.5)+1)*(0.5*((VALUE(tbl_CONTENT[[#This Row],[RelId]])-1)/4)^(2.5)+1),
 0
)</f>
        <v>0</v>
      </c>
      <c r="T559" s="62"/>
    </row>
    <row r="560" spans="3:20" ht="51" x14ac:dyDescent="0.2">
      <c r="C560" s="62" t="str">
        <f>_xlfn.XLOOKUP(tbl_CONTENT[[#This Row],[TopicID]], tbl_TOPIC[TopicID], tbl_TOPIC[Subject], "")</f>
        <v>QM</v>
      </c>
      <c r="D560" s="62" t="str">
        <f xml:space="preserve"> tbl_CONTENT[[#This Row],[TopicID]] &amp; "-" &amp; TEXT(tbl_CONTENT[[#This Row],[TopicIDCount]], "00")</f>
        <v>QM-1-24-07</v>
      </c>
      <c r="F560" s="22" t="str">
        <f>_xlfn.XLOOKUP(tbl_CONTENT[[#This Row],[Topic]], tbl_TOPIC[Topic], tbl_TOPIC[TopicID], "")</f>
        <v>QM-1-24</v>
      </c>
      <c r="G560" s="62" cm="1">
        <f t="array" ref="G560">SUM((tbl_CONTENT[[#This Row],[TopicID]]=INDEX(tbl_CONTENT[TopicID],1):tbl_CONTENT[[#This Row],[TopicID]])*1)</f>
        <v>7</v>
      </c>
      <c r="H560" s="22" t="s">
        <v>681</v>
      </c>
      <c r="I560" s="22" t="s">
        <v>1616</v>
      </c>
      <c r="J560" s="22" t="s">
        <v>382</v>
      </c>
      <c r="P560" s="62"/>
      <c r="Q560" s="35">
        <f>IFERROR(
 (1.907*EXP(1)^(-0.5*tbl_CONTENT[[#This Row],[Layer]])) *
 ((tbl_CONTENT[[#This Row],[RelInt]]-1)^(2.5)*4^(1-2.5)+1) +
 ((tbl_CONTENT[[#This Row],[Comp]]-1)^(2.5)*4^(1-2.5)+1)*(0.5*((tbl_CONTENT[[#This Row],[RelInt]]-1)/4)^(2.5)+1),
 0
)</f>
        <v>0</v>
      </c>
      <c r="R560" s="35">
        <f>IFERROR(
 (1.907*EXP(1)^(-0.5*VALUE(tbl_CONTENT[[#This Row],[Layer]]))) *
 ((VALUE(tbl_CONTENT[[#This Row],[RelId]])-1)^(2.5)*4^(1-2.5)+1) +
 ((VALUE(tbl_CONTENT[[#This Row],[Comp]])-1)^(2.5)*4^(1-2.5)+1)*(0.5*((VALUE(tbl_CONTENT[[#This Row],[RelId]])-1)/4)^(2.5)+1),
 0
)</f>
        <v>0</v>
      </c>
      <c r="T560" s="62"/>
    </row>
    <row r="561" spans="3:20" ht="51" x14ac:dyDescent="0.2">
      <c r="C561" s="62" t="str">
        <f>_xlfn.XLOOKUP(tbl_CONTENT[[#This Row],[TopicID]], tbl_TOPIC[TopicID], tbl_TOPIC[Subject], "")</f>
        <v>QM</v>
      </c>
      <c r="D561" s="62" t="str">
        <f xml:space="preserve"> tbl_CONTENT[[#This Row],[TopicID]] &amp; "-" &amp; TEXT(tbl_CONTENT[[#This Row],[TopicIDCount]], "00")</f>
        <v>QM-1-24-08</v>
      </c>
      <c r="F561" s="22" t="str">
        <f>_xlfn.XLOOKUP(tbl_CONTENT[[#This Row],[Topic]], tbl_TOPIC[Topic], tbl_TOPIC[TopicID], "")</f>
        <v>QM-1-24</v>
      </c>
      <c r="G561" s="62" cm="1">
        <f t="array" ref="G561">SUM((tbl_CONTENT[[#This Row],[TopicID]]=INDEX(tbl_CONTENT[TopicID],1):tbl_CONTENT[[#This Row],[TopicID]])*1)</f>
        <v>8</v>
      </c>
      <c r="H561" s="22" t="s">
        <v>681</v>
      </c>
      <c r="I561" s="22" t="s">
        <v>1617</v>
      </c>
      <c r="J561" s="22" t="s">
        <v>382</v>
      </c>
      <c r="P561" s="62"/>
      <c r="Q561" s="35">
        <f>IFERROR(
 (1.907*EXP(1)^(-0.5*tbl_CONTENT[[#This Row],[Layer]])) *
 ((tbl_CONTENT[[#This Row],[RelInt]]-1)^(2.5)*4^(1-2.5)+1) +
 ((tbl_CONTENT[[#This Row],[Comp]]-1)^(2.5)*4^(1-2.5)+1)*(0.5*((tbl_CONTENT[[#This Row],[RelInt]]-1)/4)^(2.5)+1),
 0
)</f>
        <v>0</v>
      </c>
      <c r="R561" s="35">
        <f>IFERROR(
 (1.907*EXP(1)^(-0.5*VALUE(tbl_CONTENT[[#This Row],[Layer]]))) *
 ((VALUE(tbl_CONTENT[[#This Row],[RelId]])-1)^(2.5)*4^(1-2.5)+1) +
 ((VALUE(tbl_CONTENT[[#This Row],[Comp]])-1)^(2.5)*4^(1-2.5)+1)*(0.5*((VALUE(tbl_CONTENT[[#This Row],[RelId]])-1)/4)^(2.5)+1),
 0
)</f>
        <v>0</v>
      </c>
      <c r="T561" s="62"/>
    </row>
    <row r="562" spans="3:20" ht="34" x14ac:dyDescent="0.2">
      <c r="C562" s="62" t="str">
        <f>_xlfn.XLOOKUP(tbl_CONTENT[[#This Row],[TopicID]], tbl_TOPIC[TopicID], tbl_TOPIC[Subject], "")</f>
        <v>QM</v>
      </c>
      <c r="D562" s="62" t="str">
        <f xml:space="preserve"> tbl_CONTENT[[#This Row],[TopicID]] &amp; "-" &amp; TEXT(tbl_CONTENT[[#This Row],[TopicIDCount]], "00")</f>
        <v>QM-1-25-01</v>
      </c>
      <c r="F562" s="22" t="str">
        <f>_xlfn.XLOOKUP(tbl_CONTENT[[#This Row],[Topic]], tbl_TOPIC[Topic], tbl_TOPIC[TopicID], "")</f>
        <v>QM-1-25</v>
      </c>
      <c r="G562" s="62" cm="1">
        <f t="array" ref="G562">SUM((tbl_CONTENT[[#This Row],[TopicID]]=INDEX(tbl_CONTENT[TopicID],1):tbl_CONTENT[[#This Row],[TopicID]])*1)</f>
        <v>1</v>
      </c>
      <c r="H562" s="22" t="s">
        <v>682</v>
      </c>
      <c r="I562" s="22" t="s">
        <v>1618</v>
      </c>
      <c r="J562" s="22" t="s">
        <v>148</v>
      </c>
      <c r="P562" s="62"/>
      <c r="Q562" s="35">
        <f>IFERROR(
 (1.907*EXP(1)^(-0.5*tbl_CONTENT[[#This Row],[Layer]])) *
 ((tbl_CONTENT[[#This Row],[RelInt]]-1)^(2.5)*4^(1-2.5)+1) +
 ((tbl_CONTENT[[#This Row],[Comp]]-1)^(2.5)*4^(1-2.5)+1)*(0.5*((tbl_CONTENT[[#This Row],[RelInt]]-1)/4)^(2.5)+1),
 0
)</f>
        <v>0</v>
      </c>
      <c r="R562" s="35">
        <f>IFERROR(
 (1.907*EXP(1)^(-0.5*VALUE(tbl_CONTENT[[#This Row],[Layer]]))) *
 ((VALUE(tbl_CONTENT[[#This Row],[RelId]])-1)^(2.5)*4^(1-2.5)+1) +
 ((VALUE(tbl_CONTENT[[#This Row],[Comp]])-1)^(2.5)*4^(1-2.5)+1)*(0.5*((VALUE(tbl_CONTENT[[#This Row],[RelId]])-1)/4)^(2.5)+1),
 0
)</f>
        <v>0</v>
      </c>
      <c r="T562" s="62"/>
    </row>
    <row r="563" spans="3:20" ht="17" x14ac:dyDescent="0.2">
      <c r="C563" s="62" t="str">
        <f>_xlfn.XLOOKUP(tbl_CONTENT[[#This Row],[TopicID]], tbl_TOPIC[TopicID], tbl_TOPIC[Subject], "")</f>
        <v>QM</v>
      </c>
      <c r="D563" s="62" t="str">
        <f xml:space="preserve"> tbl_CONTENT[[#This Row],[TopicID]] &amp; "-" &amp; TEXT(tbl_CONTENT[[#This Row],[TopicIDCount]], "00")</f>
        <v>QM-1-25-02</v>
      </c>
      <c r="F563" s="22" t="str">
        <f>_xlfn.XLOOKUP(tbl_CONTENT[[#This Row],[Topic]], tbl_TOPIC[Topic], tbl_TOPIC[TopicID], "")</f>
        <v>QM-1-25</v>
      </c>
      <c r="G563" s="62" cm="1">
        <f t="array" ref="G563">SUM((tbl_CONTENT[[#This Row],[TopicID]]=INDEX(tbl_CONTENT[TopicID],1):tbl_CONTENT[[#This Row],[TopicID]])*1)</f>
        <v>2</v>
      </c>
      <c r="H563" s="22" t="s">
        <v>682</v>
      </c>
      <c r="I563" s="22" t="s">
        <v>1619</v>
      </c>
      <c r="J563" s="22" t="s">
        <v>382</v>
      </c>
      <c r="P563" s="62"/>
      <c r="Q563" s="35">
        <f>IFERROR(
 (1.907*EXP(1)^(-0.5*tbl_CONTENT[[#This Row],[Layer]])) *
 ((tbl_CONTENT[[#This Row],[RelInt]]-1)^(2.5)*4^(1-2.5)+1) +
 ((tbl_CONTENT[[#This Row],[Comp]]-1)^(2.5)*4^(1-2.5)+1)*(0.5*((tbl_CONTENT[[#This Row],[RelInt]]-1)/4)^(2.5)+1),
 0
)</f>
        <v>0</v>
      </c>
      <c r="R563" s="35">
        <f>IFERROR(
 (1.907*EXP(1)^(-0.5*VALUE(tbl_CONTENT[[#This Row],[Layer]]))) *
 ((VALUE(tbl_CONTENT[[#This Row],[RelId]])-1)^(2.5)*4^(1-2.5)+1) +
 ((VALUE(tbl_CONTENT[[#This Row],[Comp]])-1)^(2.5)*4^(1-2.5)+1)*(0.5*((VALUE(tbl_CONTENT[[#This Row],[RelId]])-1)/4)^(2.5)+1),
 0
)</f>
        <v>0</v>
      </c>
      <c r="T563" s="62"/>
    </row>
    <row r="564" spans="3:20" ht="17" x14ac:dyDescent="0.2">
      <c r="C564" s="62" t="str">
        <f>_xlfn.XLOOKUP(tbl_CONTENT[[#This Row],[TopicID]], tbl_TOPIC[TopicID], tbl_TOPIC[Subject], "")</f>
        <v>QM</v>
      </c>
      <c r="D564" s="62" t="str">
        <f xml:space="preserve"> tbl_CONTENT[[#This Row],[TopicID]] &amp; "-" &amp; TEXT(tbl_CONTENT[[#This Row],[TopicIDCount]], "00")</f>
        <v>QM-1-25-03</v>
      </c>
      <c r="F564" s="22" t="str">
        <f>_xlfn.XLOOKUP(tbl_CONTENT[[#This Row],[Topic]], tbl_TOPIC[Topic], tbl_TOPIC[TopicID], "")</f>
        <v>QM-1-25</v>
      </c>
      <c r="G564" s="62" cm="1">
        <f t="array" ref="G564">SUM((tbl_CONTENT[[#This Row],[TopicID]]=INDEX(tbl_CONTENT[TopicID],1):tbl_CONTENT[[#This Row],[TopicID]])*1)</f>
        <v>3</v>
      </c>
      <c r="H564" s="22" t="s">
        <v>682</v>
      </c>
      <c r="I564" s="22" t="s">
        <v>1620</v>
      </c>
      <c r="J564" s="22" t="s">
        <v>382</v>
      </c>
      <c r="P564" s="62"/>
      <c r="Q564" s="35">
        <f>IFERROR(
 (1.907*EXP(1)^(-0.5*tbl_CONTENT[[#This Row],[Layer]])) *
 ((tbl_CONTENT[[#This Row],[RelInt]]-1)^(2.5)*4^(1-2.5)+1) +
 ((tbl_CONTENT[[#This Row],[Comp]]-1)^(2.5)*4^(1-2.5)+1)*(0.5*((tbl_CONTENT[[#This Row],[RelInt]]-1)/4)^(2.5)+1),
 0
)</f>
        <v>0</v>
      </c>
      <c r="R564" s="35">
        <f>IFERROR(
 (1.907*EXP(1)^(-0.5*VALUE(tbl_CONTENT[[#This Row],[Layer]]))) *
 ((VALUE(tbl_CONTENT[[#This Row],[RelId]])-1)^(2.5)*4^(1-2.5)+1) +
 ((VALUE(tbl_CONTENT[[#This Row],[Comp]])-1)^(2.5)*4^(1-2.5)+1)*(0.5*((VALUE(tbl_CONTENT[[#This Row],[RelId]])-1)/4)^(2.5)+1),
 0
)</f>
        <v>0</v>
      </c>
      <c r="T564" s="62"/>
    </row>
    <row r="565" spans="3:20" ht="34" x14ac:dyDescent="0.2">
      <c r="C565" s="62" t="str">
        <f>_xlfn.XLOOKUP(tbl_CONTENT[[#This Row],[TopicID]], tbl_TOPIC[TopicID], tbl_TOPIC[Subject], "")</f>
        <v>QM</v>
      </c>
      <c r="D565" s="62" t="str">
        <f xml:space="preserve"> tbl_CONTENT[[#This Row],[TopicID]] &amp; "-" &amp; TEXT(tbl_CONTENT[[#This Row],[TopicIDCount]], "00")</f>
        <v>QM-1-25-04</v>
      </c>
      <c r="F565" s="22" t="str">
        <f>_xlfn.XLOOKUP(tbl_CONTENT[[#This Row],[Topic]], tbl_TOPIC[Topic], tbl_TOPIC[TopicID], "")</f>
        <v>QM-1-25</v>
      </c>
      <c r="G565" s="62" cm="1">
        <f t="array" ref="G565">SUM((tbl_CONTENT[[#This Row],[TopicID]]=INDEX(tbl_CONTENT[TopicID],1):tbl_CONTENT[[#This Row],[TopicID]])*1)</f>
        <v>4</v>
      </c>
      <c r="H565" s="22" t="s">
        <v>682</v>
      </c>
      <c r="I565" s="22" t="s">
        <v>1621</v>
      </c>
      <c r="J565" s="22" t="s">
        <v>382</v>
      </c>
      <c r="P565" s="62"/>
      <c r="Q565" s="35">
        <f>IFERROR(
 (1.907*EXP(1)^(-0.5*tbl_CONTENT[[#This Row],[Layer]])) *
 ((tbl_CONTENT[[#This Row],[RelInt]]-1)^(2.5)*4^(1-2.5)+1) +
 ((tbl_CONTENT[[#This Row],[Comp]]-1)^(2.5)*4^(1-2.5)+1)*(0.5*((tbl_CONTENT[[#This Row],[RelInt]]-1)/4)^(2.5)+1),
 0
)</f>
        <v>0</v>
      </c>
      <c r="R565" s="35">
        <f>IFERROR(
 (1.907*EXP(1)^(-0.5*VALUE(tbl_CONTENT[[#This Row],[Layer]]))) *
 ((VALUE(tbl_CONTENT[[#This Row],[RelId]])-1)^(2.5)*4^(1-2.5)+1) +
 ((VALUE(tbl_CONTENT[[#This Row],[Comp]])-1)^(2.5)*4^(1-2.5)+1)*(0.5*((VALUE(tbl_CONTENT[[#This Row],[RelId]])-1)/4)^(2.5)+1),
 0
)</f>
        <v>0</v>
      </c>
      <c r="T565" s="62"/>
    </row>
    <row r="566" spans="3:20" ht="34" x14ac:dyDescent="0.2">
      <c r="C566" s="62" t="str">
        <f>_xlfn.XLOOKUP(tbl_CONTENT[[#This Row],[TopicID]], tbl_TOPIC[TopicID], tbl_TOPIC[Subject], "")</f>
        <v>QM</v>
      </c>
      <c r="D566" s="62" t="str">
        <f xml:space="preserve"> tbl_CONTENT[[#This Row],[TopicID]] &amp; "-" &amp; TEXT(tbl_CONTENT[[#This Row],[TopicIDCount]], "00")</f>
        <v>QM-1-25-05</v>
      </c>
      <c r="F566" s="22" t="str">
        <f>_xlfn.XLOOKUP(tbl_CONTENT[[#This Row],[Topic]], tbl_TOPIC[Topic], tbl_TOPIC[TopicID], "")</f>
        <v>QM-1-25</v>
      </c>
      <c r="G566" s="62" cm="1">
        <f t="array" ref="G566">SUM((tbl_CONTENT[[#This Row],[TopicID]]=INDEX(tbl_CONTENT[TopicID],1):tbl_CONTENT[[#This Row],[TopicID]])*1)</f>
        <v>5</v>
      </c>
      <c r="H566" s="22" t="s">
        <v>682</v>
      </c>
      <c r="I566" s="22" t="s">
        <v>1622</v>
      </c>
      <c r="J566" s="22" t="s">
        <v>382</v>
      </c>
      <c r="P566" s="62"/>
      <c r="Q566" s="35">
        <f>IFERROR(
 (1.907*EXP(1)^(-0.5*tbl_CONTENT[[#This Row],[Layer]])) *
 ((tbl_CONTENT[[#This Row],[RelInt]]-1)^(2.5)*4^(1-2.5)+1) +
 ((tbl_CONTENT[[#This Row],[Comp]]-1)^(2.5)*4^(1-2.5)+1)*(0.5*((tbl_CONTENT[[#This Row],[RelInt]]-1)/4)^(2.5)+1),
 0
)</f>
        <v>0</v>
      </c>
      <c r="R566" s="35">
        <f>IFERROR(
 (1.907*EXP(1)^(-0.5*VALUE(tbl_CONTENT[[#This Row],[Layer]]))) *
 ((VALUE(tbl_CONTENT[[#This Row],[RelId]])-1)^(2.5)*4^(1-2.5)+1) +
 ((VALUE(tbl_CONTENT[[#This Row],[Comp]])-1)^(2.5)*4^(1-2.5)+1)*(0.5*((VALUE(tbl_CONTENT[[#This Row],[RelId]])-1)/4)^(2.5)+1),
 0
)</f>
        <v>0</v>
      </c>
      <c r="T566" s="62"/>
    </row>
    <row r="567" spans="3:20" ht="51" x14ac:dyDescent="0.2">
      <c r="C567" s="62" t="str">
        <f>_xlfn.XLOOKUP(tbl_CONTENT[[#This Row],[TopicID]], tbl_TOPIC[TopicID], tbl_TOPIC[Subject], "")</f>
        <v>QM</v>
      </c>
      <c r="D567" s="62" t="str">
        <f xml:space="preserve"> tbl_CONTENT[[#This Row],[TopicID]] &amp; "-" &amp; TEXT(tbl_CONTENT[[#This Row],[TopicIDCount]], "00")</f>
        <v>QM-1-25-06</v>
      </c>
      <c r="F567" s="22" t="str">
        <f>_xlfn.XLOOKUP(tbl_CONTENT[[#This Row],[Topic]], tbl_TOPIC[Topic], tbl_TOPIC[TopicID], "")</f>
        <v>QM-1-25</v>
      </c>
      <c r="G567" s="62" cm="1">
        <f t="array" ref="G567">SUM((tbl_CONTENT[[#This Row],[TopicID]]=INDEX(tbl_CONTENT[TopicID],1):tbl_CONTENT[[#This Row],[TopicID]])*1)</f>
        <v>6</v>
      </c>
      <c r="H567" s="22" t="s">
        <v>682</v>
      </c>
      <c r="I567" s="22" t="s">
        <v>932</v>
      </c>
      <c r="J567" s="22" t="s">
        <v>382</v>
      </c>
      <c r="P567" s="62"/>
      <c r="Q567" s="35">
        <f>IFERROR(
 (1.907*EXP(1)^(-0.5*tbl_CONTENT[[#This Row],[Layer]])) *
 ((tbl_CONTENT[[#This Row],[RelInt]]-1)^(2.5)*4^(1-2.5)+1) +
 ((tbl_CONTENT[[#This Row],[Comp]]-1)^(2.5)*4^(1-2.5)+1)*(0.5*((tbl_CONTENT[[#This Row],[RelInt]]-1)/4)^(2.5)+1),
 0
)</f>
        <v>0</v>
      </c>
      <c r="R567" s="35">
        <f>IFERROR(
 (1.907*EXP(1)^(-0.5*VALUE(tbl_CONTENT[[#This Row],[Layer]]))) *
 ((VALUE(tbl_CONTENT[[#This Row],[RelId]])-1)^(2.5)*4^(1-2.5)+1) +
 ((VALUE(tbl_CONTENT[[#This Row],[Comp]])-1)^(2.5)*4^(1-2.5)+1)*(0.5*((VALUE(tbl_CONTENT[[#This Row],[RelId]])-1)/4)^(2.5)+1),
 0
)</f>
        <v>0</v>
      </c>
      <c r="T567" s="62"/>
    </row>
    <row r="568" spans="3:20" ht="68" x14ac:dyDescent="0.2">
      <c r="C568" s="62" t="str">
        <f>_xlfn.XLOOKUP(tbl_CONTENT[[#This Row],[TopicID]], tbl_TOPIC[TopicID], tbl_TOPIC[Subject], "")</f>
        <v>QM</v>
      </c>
      <c r="D568" s="62" t="str">
        <f xml:space="preserve"> tbl_CONTENT[[#This Row],[TopicID]] &amp; "-" &amp; TEXT(tbl_CONTENT[[#This Row],[TopicIDCount]], "00")</f>
        <v>QM-1-25-07</v>
      </c>
      <c r="F568" s="22" t="str">
        <f>_xlfn.XLOOKUP(tbl_CONTENT[[#This Row],[Topic]], tbl_TOPIC[Topic], tbl_TOPIC[TopicID], "")</f>
        <v>QM-1-25</v>
      </c>
      <c r="G568" s="62" cm="1">
        <f t="array" ref="G568">SUM((tbl_CONTENT[[#This Row],[TopicID]]=INDEX(tbl_CONTENT[TopicID],1):tbl_CONTENT[[#This Row],[TopicID]])*1)</f>
        <v>7</v>
      </c>
      <c r="H568" s="22" t="s">
        <v>682</v>
      </c>
      <c r="I568" s="22" t="s">
        <v>1623</v>
      </c>
      <c r="J568" s="22" t="s">
        <v>382</v>
      </c>
      <c r="P568" s="62"/>
      <c r="Q568" s="35">
        <f>IFERROR(
 (1.907*EXP(1)^(-0.5*tbl_CONTENT[[#This Row],[Layer]])) *
 ((tbl_CONTENT[[#This Row],[RelInt]]-1)^(2.5)*4^(1-2.5)+1) +
 ((tbl_CONTENT[[#This Row],[Comp]]-1)^(2.5)*4^(1-2.5)+1)*(0.5*((tbl_CONTENT[[#This Row],[RelInt]]-1)/4)^(2.5)+1),
 0
)</f>
        <v>0</v>
      </c>
      <c r="R568" s="35">
        <f>IFERROR(
 (1.907*EXP(1)^(-0.5*VALUE(tbl_CONTENT[[#This Row],[Layer]]))) *
 ((VALUE(tbl_CONTENT[[#This Row],[RelId]])-1)^(2.5)*4^(1-2.5)+1) +
 ((VALUE(tbl_CONTENT[[#This Row],[Comp]])-1)^(2.5)*4^(1-2.5)+1)*(0.5*((VALUE(tbl_CONTENT[[#This Row],[RelId]])-1)/4)^(2.5)+1),
 0
)</f>
        <v>0</v>
      </c>
      <c r="T568" s="62"/>
    </row>
    <row r="569" spans="3:20" ht="34" x14ac:dyDescent="0.2">
      <c r="C569" s="62" t="str">
        <f>_xlfn.XLOOKUP(tbl_CONTENT[[#This Row],[TopicID]], tbl_TOPIC[TopicID], tbl_TOPIC[Subject], "")</f>
        <v>GPDE</v>
      </c>
      <c r="D569" s="62" t="str">
        <f xml:space="preserve"> tbl_CONTENT[[#This Row],[TopicID]] &amp; "-" &amp; TEXT(tbl_CONTENT[[#This Row],[TopicIDCount]], "00")</f>
        <v>GPDE-1-02-24</v>
      </c>
      <c r="F569" s="22" t="str">
        <f>_xlfn.XLOOKUP(tbl_CONTENT[[#This Row],[Topic]], tbl_TOPIC[Topic], tbl_TOPIC[TopicID], "")</f>
        <v>GPDE-1-02</v>
      </c>
      <c r="G569" s="62" cm="1">
        <f t="array" ref="G569">SUM((tbl_CONTENT[[#This Row],[TopicID]]=INDEX(tbl_CONTENT[TopicID],1):tbl_CONTENT[[#This Row],[TopicID]])*1)</f>
        <v>24</v>
      </c>
      <c r="H569" s="22" t="s">
        <v>333</v>
      </c>
      <c r="I569" s="22" t="s">
        <v>936</v>
      </c>
      <c r="J569" s="22" t="s">
        <v>382</v>
      </c>
      <c r="K569" s="22">
        <v>1</v>
      </c>
      <c r="P569" s="62"/>
      <c r="Q569" s="35">
        <f>IFERROR(
 (1.907*EXP(1)^(-0.5*tbl_CONTENT[[#This Row],[Layer]])) *
 ((tbl_CONTENT[[#This Row],[RelInt]]-1)^(2.5)*4^(1-2.5)+1) +
 ((tbl_CONTENT[[#This Row],[Comp]]-1)^(2.5)*4^(1-2.5)+1)*(0.5*((tbl_CONTENT[[#This Row],[RelInt]]-1)/4)^(2.5)+1),
 0
)</f>
        <v>0</v>
      </c>
      <c r="R569" s="35">
        <f>IFERROR(
 (1.907*EXP(1)^(-0.5*VALUE(tbl_CONTENT[[#This Row],[Layer]]))) *
 ((VALUE(tbl_CONTENT[[#This Row],[RelId]])-1)^(2.5)*4^(1-2.5)+1) +
 ((VALUE(tbl_CONTENT[[#This Row],[Comp]])-1)^(2.5)*4^(1-2.5)+1)*(0.5*((VALUE(tbl_CONTENT[[#This Row],[RelId]])-1)/4)^(2.5)+1),
 0
)</f>
        <v>0</v>
      </c>
      <c r="T569" s="62"/>
    </row>
    <row r="570" spans="3:20" ht="17" x14ac:dyDescent="0.2">
      <c r="C570" s="62" t="str">
        <f>_xlfn.XLOOKUP(tbl_CONTENT[[#This Row],[TopicID]], tbl_TOPIC[TopicID], tbl_TOPIC[Subject], "")</f>
        <v>A</v>
      </c>
      <c r="D570" s="62" t="str">
        <f xml:space="preserve"> tbl_CONTENT[[#This Row],[TopicID]] &amp; "-" &amp; TEXT(tbl_CONTENT[[#This Row],[TopicIDCount]], "00")</f>
        <v>A-1-07-01</v>
      </c>
      <c r="F570" s="22" t="str">
        <f>_xlfn.XLOOKUP(tbl_CONTENT[[#This Row],[Topic]], tbl_TOPIC[Topic], tbl_TOPIC[TopicID], "")</f>
        <v>A-1-07</v>
      </c>
      <c r="G570" s="62" cm="1">
        <f t="array" ref="G570">SUM((tbl_CONTENT[[#This Row],[TopicID]]=INDEX(tbl_CONTENT[TopicID],1):tbl_CONTENT[[#This Row],[TopicID]])*1)</f>
        <v>1</v>
      </c>
      <c r="H570" s="22" t="s">
        <v>938</v>
      </c>
      <c r="I570" s="22" t="s">
        <v>939</v>
      </c>
      <c r="J570" s="22" t="s">
        <v>153</v>
      </c>
      <c r="P570" s="62"/>
      <c r="Q570" s="35">
        <f>IFERROR(
 (1.907*EXP(1)^(-0.5*tbl_CONTENT[[#This Row],[Layer]])) *
 ((tbl_CONTENT[[#This Row],[RelInt]]-1)^(2.5)*4^(1-2.5)+1) +
 ((tbl_CONTENT[[#This Row],[Comp]]-1)^(2.5)*4^(1-2.5)+1)*(0.5*((tbl_CONTENT[[#This Row],[RelInt]]-1)/4)^(2.5)+1),
 0
)</f>
        <v>0</v>
      </c>
      <c r="R570" s="35">
        <f>IFERROR(
 (1.907*EXP(1)^(-0.5*VALUE(tbl_CONTENT[[#This Row],[Layer]]))) *
 ((VALUE(tbl_CONTENT[[#This Row],[RelId]])-1)^(2.5)*4^(1-2.5)+1) +
 ((VALUE(tbl_CONTENT[[#This Row],[Comp]])-1)^(2.5)*4^(1-2.5)+1)*(0.5*((VALUE(tbl_CONTENT[[#This Row],[RelId]])-1)/4)^(2.5)+1),
 0
)</f>
        <v>0</v>
      </c>
      <c r="T570" s="62"/>
    </row>
    <row r="571" spans="3:20" ht="17" x14ac:dyDescent="0.2">
      <c r="C571" s="62" t="str">
        <f>_xlfn.XLOOKUP(tbl_CONTENT[[#This Row],[TopicID]], tbl_TOPIC[TopicID], tbl_TOPIC[Subject], "")</f>
        <v>A</v>
      </c>
      <c r="D571" s="62" t="str">
        <f xml:space="preserve"> tbl_CONTENT[[#This Row],[TopicID]] &amp; "-" &amp; TEXT(tbl_CONTENT[[#This Row],[TopicIDCount]], "00")</f>
        <v>A-1-07-02</v>
      </c>
      <c r="F571" s="22" t="str">
        <f>_xlfn.XLOOKUP(tbl_CONTENT[[#This Row],[Topic]], tbl_TOPIC[Topic], tbl_TOPIC[TopicID], "")</f>
        <v>A-1-07</v>
      </c>
      <c r="G571" s="62" cm="1">
        <f t="array" ref="G571">SUM((tbl_CONTENT[[#This Row],[TopicID]]=INDEX(tbl_CONTENT[TopicID],1):tbl_CONTENT[[#This Row],[TopicID]])*1)</f>
        <v>2</v>
      </c>
      <c r="H571" s="22" t="s">
        <v>938</v>
      </c>
      <c r="I571" s="22" t="s">
        <v>940</v>
      </c>
      <c r="J571" s="22" t="s">
        <v>153</v>
      </c>
      <c r="P571" s="62"/>
      <c r="Q571" s="35">
        <f>IFERROR(
 (1.907*EXP(1)^(-0.5*tbl_CONTENT[[#This Row],[Layer]])) *
 ((tbl_CONTENT[[#This Row],[RelInt]]-1)^(2.5)*4^(1-2.5)+1) +
 ((tbl_CONTENT[[#This Row],[Comp]]-1)^(2.5)*4^(1-2.5)+1)*(0.5*((tbl_CONTENT[[#This Row],[RelInt]]-1)/4)^(2.5)+1),
 0
)</f>
        <v>0</v>
      </c>
      <c r="R571" s="35">
        <f>IFERROR(
 (1.907*EXP(1)^(-0.5*VALUE(tbl_CONTENT[[#This Row],[Layer]]))) *
 ((VALUE(tbl_CONTENT[[#This Row],[RelId]])-1)^(2.5)*4^(1-2.5)+1) +
 ((VALUE(tbl_CONTENT[[#This Row],[Comp]])-1)^(2.5)*4^(1-2.5)+1)*(0.5*((VALUE(tbl_CONTENT[[#This Row],[RelId]])-1)/4)^(2.5)+1),
 0
)</f>
        <v>0</v>
      </c>
      <c r="T571" s="62"/>
    </row>
    <row r="572" spans="3:20" ht="17" x14ac:dyDescent="0.2">
      <c r="C572" s="62" t="str">
        <f>_xlfn.XLOOKUP(tbl_CONTENT[[#This Row],[TopicID]], tbl_TOPIC[TopicID], tbl_TOPIC[Subject], "")</f>
        <v>A</v>
      </c>
      <c r="D572" s="62" t="str">
        <f xml:space="preserve"> tbl_CONTENT[[#This Row],[TopicID]] &amp; "-" &amp; TEXT(tbl_CONTENT[[#This Row],[TopicIDCount]], "00")</f>
        <v>A-1-07-03</v>
      </c>
      <c r="F572" s="22" t="str">
        <f>_xlfn.XLOOKUP(tbl_CONTENT[[#This Row],[Topic]], tbl_TOPIC[Topic], tbl_TOPIC[TopicID], "")</f>
        <v>A-1-07</v>
      </c>
      <c r="G572" s="62" cm="1">
        <f t="array" ref="G572">SUM((tbl_CONTENT[[#This Row],[TopicID]]=INDEX(tbl_CONTENT[TopicID],1):tbl_CONTENT[[#This Row],[TopicID]])*1)</f>
        <v>3</v>
      </c>
      <c r="H572" s="22" t="s">
        <v>938</v>
      </c>
      <c r="I572" s="22" t="s">
        <v>941</v>
      </c>
      <c r="J572" s="22" t="s">
        <v>153</v>
      </c>
      <c r="P572" s="62"/>
      <c r="Q572" s="35">
        <f>IFERROR(
 (1.907*EXP(1)^(-0.5*tbl_CONTENT[[#This Row],[Layer]])) *
 ((tbl_CONTENT[[#This Row],[RelInt]]-1)^(2.5)*4^(1-2.5)+1) +
 ((tbl_CONTENT[[#This Row],[Comp]]-1)^(2.5)*4^(1-2.5)+1)*(0.5*((tbl_CONTENT[[#This Row],[RelInt]]-1)/4)^(2.5)+1),
 0
)</f>
        <v>0</v>
      </c>
      <c r="R572" s="35">
        <f>IFERROR(
 (1.907*EXP(1)^(-0.5*VALUE(tbl_CONTENT[[#This Row],[Layer]]))) *
 ((VALUE(tbl_CONTENT[[#This Row],[RelId]])-1)^(2.5)*4^(1-2.5)+1) +
 ((VALUE(tbl_CONTENT[[#This Row],[Comp]])-1)^(2.5)*4^(1-2.5)+1)*(0.5*((VALUE(tbl_CONTENT[[#This Row],[RelId]])-1)/4)^(2.5)+1),
 0
)</f>
        <v>0</v>
      </c>
      <c r="T572" s="62"/>
    </row>
    <row r="573" spans="3:20" ht="34" x14ac:dyDescent="0.2">
      <c r="C573" s="62" t="str">
        <f>_xlfn.XLOOKUP(tbl_CONTENT[[#This Row],[TopicID]], tbl_TOPIC[TopicID], tbl_TOPIC[Subject], "")</f>
        <v>A</v>
      </c>
      <c r="D573" s="62" t="str">
        <f xml:space="preserve"> tbl_CONTENT[[#This Row],[TopicID]] &amp; "-" &amp; TEXT(tbl_CONTENT[[#This Row],[TopicIDCount]], "00")</f>
        <v>A-1-07-04</v>
      </c>
      <c r="F573" s="22" t="str">
        <f>_xlfn.XLOOKUP(tbl_CONTENT[[#This Row],[Topic]], tbl_TOPIC[Topic], tbl_TOPIC[TopicID], "")</f>
        <v>A-1-07</v>
      </c>
      <c r="G573" s="62" cm="1">
        <f t="array" ref="G573">SUM((tbl_CONTENT[[#This Row],[TopicID]]=INDEX(tbl_CONTENT[TopicID],1):tbl_CONTENT[[#This Row],[TopicID]])*1)</f>
        <v>4</v>
      </c>
      <c r="H573" s="22" t="s">
        <v>938</v>
      </c>
      <c r="I573" s="22" t="s">
        <v>942</v>
      </c>
      <c r="J573" s="22" t="s">
        <v>153</v>
      </c>
      <c r="P573" s="62"/>
      <c r="Q573" s="35">
        <f>IFERROR(
 (1.907*EXP(1)^(-0.5*tbl_CONTENT[[#This Row],[Layer]])) *
 ((tbl_CONTENT[[#This Row],[RelInt]]-1)^(2.5)*4^(1-2.5)+1) +
 ((tbl_CONTENT[[#This Row],[Comp]]-1)^(2.5)*4^(1-2.5)+1)*(0.5*((tbl_CONTENT[[#This Row],[RelInt]]-1)/4)^(2.5)+1),
 0
)</f>
        <v>0</v>
      </c>
      <c r="R573" s="35">
        <f>IFERROR(
 (1.907*EXP(1)^(-0.5*VALUE(tbl_CONTENT[[#This Row],[Layer]]))) *
 ((VALUE(tbl_CONTENT[[#This Row],[RelId]])-1)^(2.5)*4^(1-2.5)+1) +
 ((VALUE(tbl_CONTENT[[#This Row],[Comp]])-1)^(2.5)*4^(1-2.5)+1)*(0.5*((VALUE(tbl_CONTENT[[#This Row],[RelId]])-1)/4)^(2.5)+1),
 0
)</f>
        <v>0</v>
      </c>
      <c r="T573" s="62"/>
    </row>
    <row r="574" spans="3:20" ht="34" x14ac:dyDescent="0.2">
      <c r="C574" s="62" t="str">
        <f>_xlfn.XLOOKUP(tbl_CONTENT[[#This Row],[TopicID]], tbl_TOPIC[TopicID], tbl_TOPIC[Subject], "")</f>
        <v>A</v>
      </c>
      <c r="D574" s="62" t="str">
        <f xml:space="preserve"> tbl_CONTENT[[#This Row],[TopicID]] &amp; "-" &amp; TEXT(tbl_CONTENT[[#This Row],[TopicIDCount]], "00")</f>
        <v>A-1-07-05</v>
      </c>
      <c r="F574" s="22" t="str">
        <f>_xlfn.XLOOKUP(tbl_CONTENT[[#This Row],[Topic]], tbl_TOPIC[Topic], tbl_TOPIC[TopicID], "")</f>
        <v>A-1-07</v>
      </c>
      <c r="G574" s="62" cm="1">
        <f t="array" ref="G574">SUM((tbl_CONTENT[[#This Row],[TopicID]]=INDEX(tbl_CONTENT[TopicID],1):tbl_CONTENT[[#This Row],[TopicID]])*1)</f>
        <v>5</v>
      </c>
      <c r="H574" s="22" t="s">
        <v>938</v>
      </c>
      <c r="I574" s="22" t="s">
        <v>943</v>
      </c>
      <c r="J574" s="22" t="s">
        <v>153</v>
      </c>
      <c r="P574" s="62"/>
      <c r="Q574" s="35">
        <f>IFERROR(
 (1.907*EXP(1)^(-0.5*tbl_CONTENT[[#This Row],[Layer]])) *
 ((tbl_CONTENT[[#This Row],[RelInt]]-1)^(2.5)*4^(1-2.5)+1) +
 ((tbl_CONTENT[[#This Row],[Comp]]-1)^(2.5)*4^(1-2.5)+1)*(0.5*((tbl_CONTENT[[#This Row],[RelInt]]-1)/4)^(2.5)+1),
 0
)</f>
        <v>0</v>
      </c>
      <c r="R574" s="35">
        <f>IFERROR(
 (1.907*EXP(1)^(-0.5*VALUE(tbl_CONTENT[[#This Row],[Layer]]))) *
 ((VALUE(tbl_CONTENT[[#This Row],[RelId]])-1)^(2.5)*4^(1-2.5)+1) +
 ((VALUE(tbl_CONTENT[[#This Row],[Comp]])-1)^(2.5)*4^(1-2.5)+1)*(0.5*((VALUE(tbl_CONTENT[[#This Row],[RelId]])-1)/4)^(2.5)+1),
 0
)</f>
        <v>0</v>
      </c>
      <c r="T574" s="62"/>
    </row>
    <row r="575" spans="3:20" ht="34" x14ac:dyDescent="0.2">
      <c r="C575" s="62" t="str">
        <f>_xlfn.XLOOKUP(tbl_CONTENT[[#This Row],[TopicID]], tbl_TOPIC[TopicID], tbl_TOPIC[Subject], "")</f>
        <v>A</v>
      </c>
      <c r="D575" s="62" t="str">
        <f xml:space="preserve"> tbl_CONTENT[[#This Row],[TopicID]] &amp; "-" &amp; TEXT(tbl_CONTENT[[#This Row],[TopicIDCount]], "00")</f>
        <v>A-1-07-06</v>
      </c>
      <c r="F575" s="22" t="str">
        <f>_xlfn.XLOOKUP(tbl_CONTENT[[#This Row],[Topic]], tbl_TOPIC[Topic], tbl_TOPIC[TopicID], "")</f>
        <v>A-1-07</v>
      </c>
      <c r="G575" s="62" cm="1">
        <f t="array" ref="G575">SUM((tbl_CONTENT[[#This Row],[TopicID]]=INDEX(tbl_CONTENT[TopicID],1):tbl_CONTENT[[#This Row],[TopicID]])*1)</f>
        <v>6</v>
      </c>
      <c r="H575" s="22" t="s">
        <v>938</v>
      </c>
      <c r="I575" s="22" t="s">
        <v>944</v>
      </c>
      <c r="J575" s="22" t="s">
        <v>153</v>
      </c>
      <c r="P575" s="62"/>
      <c r="Q575" s="35">
        <f>IFERROR(
 (1.907*EXP(1)^(-0.5*tbl_CONTENT[[#This Row],[Layer]])) *
 ((tbl_CONTENT[[#This Row],[RelInt]]-1)^(2.5)*4^(1-2.5)+1) +
 ((tbl_CONTENT[[#This Row],[Comp]]-1)^(2.5)*4^(1-2.5)+1)*(0.5*((tbl_CONTENT[[#This Row],[RelInt]]-1)/4)^(2.5)+1),
 0
)</f>
        <v>0</v>
      </c>
      <c r="R575" s="35">
        <f>IFERROR(
 (1.907*EXP(1)^(-0.5*VALUE(tbl_CONTENT[[#This Row],[Layer]]))) *
 ((VALUE(tbl_CONTENT[[#This Row],[RelId]])-1)^(2.5)*4^(1-2.5)+1) +
 ((VALUE(tbl_CONTENT[[#This Row],[Comp]])-1)^(2.5)*4^(1-2.5)+1)*(0.5*((VALUE(tbl_CONTENT[[#This Row],[RelId]])-1)/4)^(2.5)+1),
 0
)</f>
        <v>0</v>
      </c>
      <c r="T575" s="62"/>
    </row>
    <row r="576" spans="3:20" ht="17" x14ac:dyDescent="0.2">
      <c r="C576" s="62" t="str">
        <f>_xlfn.XLOOKUP(tbl_CONTENT[[#This Row],[TopicID]], tbl_TOPIC[TopicID], tbl_TOPIC[Subject], "")</f>
        <v>A</v>
      </c>
      <c r="D576" s="62" t="str">
        <f xml:space="preserve"> tbl_CONTENT[[#This Row],[TopicID]] &amp; "-" &amp; TEXT(tbl_CONTENT[[#This Row],[TopicIDCount]], "00")</f>
        <v>A-1-07-07</v>
      </c>
      <c r="F576" s="22" t="str">
        <f>_xlfn.XLOOKUP(tbl_CONTENT[[#This Row],[Topic]], tbl_TOPIC[Topic], tbl_TOPIC[TopicID], "")</f>
        <v>A-1-07</v>
      </c>
      <c r="G576" s="62" cm="1">
        <f t="array" ref="G576">SUM((tbl_CONTENT[[#This Row],[TopicID]]=INDEX(tbl_CONTENT[TopicID],1):tbl_CONTENT[[#This Row],[TopicID]])*1)</f>
        <v>7</v>
      </c>
      <c r="H576" s="22" t="s">
        <v>938</v>
      </c>
      <c r="I576" s="22" t="s">
        <v>945</v>
      </c>
      <c r="J576" s="22" t="s">
        <v>153</v>
      </c>
      <c r="P576" s="62"/>
      <c r="Q576" s="35">
        <f>IFERROR(
 (1.907*EXP(1)^(-0.5*tbl_CONTENT[[#This Row],[Layer]])) *
 ((tbl_CONTENT[[#This Row],[RelInt]]-1)^(2.5)*4^(1-2.5)+1) +
 ((tbl_CONTENT[[#This Row],[Comp]]-1)^(2.5)*4^(1-2.5)+1)*(0.5*((tbl_CONTENT[[#This Row],[RelInt]]-1)/4)^(2.5)+1),
 0
)</f>
        <v>0</v>
      </c>
      <c r="R576" s="35">
        <f>IFERROR(
 (1.907*EXP(1)^(-0.5*VALUE(tbl_CONTENT[[#This Row],[Layer]]))) *
 ((VALUE(tbl_CONTENT[[#This Row],[RelId]])-1)^(2.5)*4^(1-2.5)+1) +
 ((VALUE(tbl_CONTENT[[#This Row],[Comp]])-1)^(2.5)*4^(1-2.5)+1)*(0.5*((VALUE(tbl_CONTENT[[#This Row],[RelId]])-1)/4)^(2.5)+1),
 0
)</f>
        <v>0</v>
      </c>
      <c r="T576" s="62"/>
    </row>
    <row r="577" spans="3:20" ht="17" x14ac:dyDescent="0.2">
      <c r="C577" s="62" t="str">
        <f>_xlfn.XLOOKUP(tbl_CONTENT[[#This Row],[TopicID]], tbl_TOPIC[TopicID], tbl_TOPIC[Subject], "")</f>
        <v>A</v>
      </c>
      <c r="D577" s="62" t="str">
        <f xml:space="preserve"> tbl_CONTENT[[#This Row],[TopicID]] &amp; "-" &amp; TEXT(tbl_CONTENT[[#This Row],[TopicIDCount]], "00")</f>
        <v>A-1-07-08</v>
      </c>
      <c r="F577" s="22" t="str">
        <f>_xlfn.XLOOKUP(tbl_CONTENT[[#This Row],[Topic]], tbl_TOPIC[Topic], tbl_TOPIC[TopicID], "")</f>
        <v>A-1-07</v>
      </c>
      <c r="G577" s="62" cm="1">
        <f t="array" ref="G577">SUM((tbl_CONTENT[[#This Row],[TopicID]]=INDEX(tbl_CONTENT[TopicID],1):tbl_CONTENT[[#This Row],[TopicID]])*1)</f>
        <v>8</v>
      </c>
      <c r="H577" s="22" t="s">
        <v>938</v>
      </c>
      <c r="I577" s="22" t="s">
        <v>946</v>
      </c>
      <c r="J577" s="22" t="s">
        <v>153</v>
      </c>
      <c r="P577" s="62"/>
      <c r="Q577" s="35">
        <f>IFERROR(
 (1.907*EXP(1)^(-0.5*tbl_CONTENT[[#This Row],[Layer]])) *
 ((tbl_CONTENT[[#This Row],[RelInt]]-1)^(2.5)*4^(1-2.5)+1) +
 ((tbl_CONTENT[[#This Row],[Comp]]-1)^(2.5)*4^(1-2.5)+1)*(0.5*((tbl_CONTENT[[#This Row],[RelInt]]-1)/4)^(2.5)+1),
 0
)</f>
        <v>0</v>
      </c>
      <c r="R577" s="35">
        <f>IFERROR(
 (1.907*EXP(1)^(-0.5*VALUE(tbl_CONTENT[[#This Row],[Layer]]))) *
 ((VALUE(tbl_CONTENT[[#This Row],[RelId]])-1)^(2.5)*4^(1-2.5)+1) +
 ((VALUE(tbl_CONTENT[[#This Row],[Comp]])-1)^(2.5)*4^(1-2.5)+1)*(0.5*((VALUE(tbl_CONTENT[[#This Row],[RelId]])-1)/4)^(2.5)+1),
 0
)</f>
        <v>0</v>
      </c>
      <c r="T577" s="62"/>
    </row>
    <row r="578" spans="3:20" ht="17" x14ac:dyDescent="0.2">
      <c r="C578" s="62" t="str">
        <f>_xlfn.XLOOKUP(tbl_CONTENT[[#This Row],[TopicID]], tbl_TOPIC[TopicID], tbl_TOPIC[Subject], "")</f>
        <v>A</v>
      </c>
      <c r="D578" s="62" t="str">
        <f xml:space="preserve"> tbl_CONTENT[[#This Row],[TopicID]] &amp; "-" &amp; TEXT(tbl_CONTENT[[#This Row],[TopicIDCount]], "00")</f>
        <v>A-1-07-09</v>
      </c>
      <c r="F578" s="22" t="str">
        <f>_xlfn.XLOOKUP(tbl_CONTENT[[#This Row],[Topic]], tbl_TOPIC[Topic], tbl_TOPIC[TopicID], "")</f>
        <v>A-1-07</v>
      </c>
      <c r="G578" s="62" cm="1">
        <f t="array" ref="G578">SUM((tbl_CONTENT[[#This Row],[TopicID]]=INDEX(tbl_CONTENT[TopicID],1):tbl_CONTENT[[#This Row],[TopicID]])*1)</f>
        <v>9</v>
      </c>
      <c r="H578" s="22" t="s">
        <v>938</v>
      </c>
      <c r="I578" s="22" t="s">
        <v>947</v>
      </c>
      <c r="J578" s="22" t="s">
        <v>153</v>
      </c>
      <c r="P578" s="62"/>
      <c r="Q578" s="35">
        <f>IFERROR(
 (1.907*EXP(1)^(-0.5*tbl_CONTENT[[#This Row],[Layer]])) *
 ((tbl_CONTENT[[#This Row],[RelInt]]-1)^(2.5)*4^(1-2.5)+1) +
 ((tbl_CONTENT[[#This Row],[Comp]]-1)^(2.5)*4^(1-2.5)+1)*(0.5*((tbl_CONTENT[[#This Row],[RelInt]]-1)/4)^(2.5)+1),
 0
)</f>
        <v>0</v>
      </c>
      <c r="R578" s="35">
        <f>IFERROR(
 (1.907*EXP(1)^(-0.5*VALUE(tbl_CONTENT[[#This Row],[Layer]]))) *
 ((VALUE(tbl_CONTENT[[#This Row],[RelId]])-1)^(2.5)*4^(1-2.5)+1) +
 ((VALUE(tbl_CONTENT[[#This Row],[Comp]])-1)^(2.5)*4^(1-2.5)+1)*(0.5*((VALUE(tbl_CONTENT[[#This Row],[RelId]])-1)/4)^(2.5)+1),
 0
)</f>
        <v>0</v>
      </c>
      <c r="T578" s="62"/>
    </row>
    <row r="579" spans="3:20" ht="17" x14ac:dyDescent="0.2">
      <c r="C579" s="62" t="str">
        <f>_xlfn.XLOOKUP(tbl_CONTENT[[#This Row],[TopicID]], tbl_TOPIC[TopicID], tbl_TOPIC[Subject], "")</f>
        <v>A</v>
      </c>
      <c r="D579" s="62" t="str">
        <f xml:space="preserve"> tbl_CONTENT[[#This Row],[TopicID]] &amp; "-" &amp; TEXT(tbl_CONTENT[[#This Row],[TopicIDCount]], "00")</f>
        <v>A-1-07-10</v>
      </c>
      <c r="F579" s="22" t="str">
        <f>_xlfn.XLOOKUP(tbl_CONTENT[[#This Row],[Topic]], tbl_TOPIC[Topic], tbl_TOPIC[TopicID], "")</f>
        <v>A-1-07</v>
      </c>
      <c r="G579" s="62" cm="1">
        <f t="array" ref="G579">SUM((tbl_CONTENT[[#This Row],[TopicID]]=INDEX(tbl_CONTENT[TopicID],1):tbl_CONTENT[[#This Row],[TopicID]])*1)</f>
        <v>10</v>
      </c>
      <c r="H579" s="22" t="s">
        <v>938</v>
      </c>
      <c r="I579" s="22" t="s">
        <v>948</v>
      </c>
      <c r="J579" s="22" t="s">
        <v>153</v>
      </c>
      <c r="P579" s="62"/>
      <c r="Q579" s="35">
        <f>IFERROR(
 (1.907*EXP(1)^(-0.5*tbl_CONTENT[[#This Row],[Layer]])) *
 ((tbl_CONTENT[[#This Row],[RelInt]]-1)^(2.5)*4^(1-2.5)+1) +
 ((tbl_CONTENT[[#This Row],[Comp]]-1)^(2.5)*4^(1-2.5)+1)*(0.5*((tbl_CONTENT[[#This Row],[RelInt]]-1)/4)^(2.5)+1),
 0
)</f>
        <v>0</v>
      </c>
      <c r="R579" s="35">
        <f>IFERROR(
 (1.907*EXP(1)^(-0.5*VALUE(tbl_CONTENT[[#This Row],[Layer]]))) *
 ((VALUE(tbl_CONTENT[[#This Row],[RelId]])-1)^(2.5)*4^(1-2.5)+1) +
 ((VALUE(tbl_CONTENT[[#This Row],[Comp]])-1)^(2.5)*4^(1-2.5)+1)*(0.5*((VALUE(tbl_CONTENT[[#This Row],[RelId]])-1)/4)^(2.5)+1),
 0
)</f>
        <v>0</v>
      </c>
      <c r="T579" s="62"/>
    </row>
    <row r="580" spans="3:20" ht="17" x14ac:dyDescent="0.2">
      <c r="C580" s="62" t="str">
        <f>_xlfn.XLOOKUP(tbl_CONTENT[[#This Row],[TopicID]], tbl_TOPIC[TopicID], tbl_TOPIC[Subject], "")</f>
        <v>A</v>
      </c>
      <c r="D580" s="62" t="str">
        <f xml:space="preserve"> tbl_CONTENT[[#This Row],[TopicID]] &amp; "-" &amp; TEXT(tbl_CONTENT[[#This Row],[TopicIDCount]], "00")</f>
        <v>A-1-07-11</v>
      </c>
      <c r="F580" s="22" t="str">
        <f>_xlfn.XLOOKUP(tbl_CONTENT[[#This Row],[Topic]], tbl_TOPIC[Topic], tbl_TOPIC[TopicID], "")</f>
        <v>A-1-07</v>
      </c>
      <c r="G580" s="62" cm="1">
        <f t="array" ref="G580">SUM((tbl_CONTENT[[#This Row],[TopicID]]=INDEX(tbl_CONTENT[TopicID],1):tbl_CONTENT[[#This Row],[TopicID]])*1)</f>
        <v>11</v>
      </c>
      <c r="H580" s="22" t="s">
        <v>938</v>
      </c>
      <c r="I580" s="22" t="s">
        <v>949</v>
      </c>
      <c r="J580" s="22" t="s">
        <v>181</v>
      </c>
      <c r="P580" s="62"/>
      <c r="Q580" s="35">
        <f>IFERROR(
 (1.907*EXP(1)^(-0.5*tbl_CONTENT[[#This Row],[Layer]])) *
 ((tbl_CONTENT[[#This Row],[RelInt]]-1)^(2.5)*4^(1-2.5)+1) +
 ((tbl_CONTENT[[#This Row],[Comp]]-1)^(2.5)*4^(1-2.5)+1)*(0.5*((tbl_CONTENT[[#This Row],[RelInt]]-1)/4)^(2.5)+1),
 0
)</f>
        <v>0</v>
      </c>
      <c r="R580" s="35">
        <f>IFERROR(
 (1.907*EXP(1)^(-0.5*VALUE(tbl_CONTENT[[#This Row],[Layer]]))) *
 ((VALUE(tbl_CONTENT[[#This Row],[RelId]])-1)^(2.5)*4^(1-2.5)+1) +
 ((VALUE(tbl_CONTENT[[#This Row],[Comp]])-1)^(2.5)*4^(1-2.5)+1)*(0.5*((VALUE(tbl_CONTENT[[#This Row],[RelId]])-1)/4)^(2.5)+1),
 0
)</f>
        <v>0</v>
      </c>
      <c r="T580" s="62"/>
    </row>
    <row r="581" spans="3:20" ht="17" x14ac:dyDescent="0.2">
      <c r="C581" s="62" t="str">
        <f>_xlfn.XLOOKUP(tbl_CONTENT[[#This Row],[TopicID]], tbl_TOPIC[TopicID], tbl_TOPIC[Subject], "")</f>
        <v>A</v>
      </c>
      <c r="D581" s="62" t="str">
        <f xml:space="preserve"> tbl_CONTENT[[#This Row],[TopicID]] &amp; "-" &amp; TEXT(tbl_CONTENT[[#This Row],[TopicIDCount]], "00")</f>
        <v>A-1-07-12</v>
      </c>
      <c r="F581" s="22" t="str">
        <f>_xlfn.XLOOKUP(tbl_CONTENT[[#This Row],[Topic]], tbl_TOPIC[Topic], tbl_TOPIC[TopicID], "")</f>
        <v>A-1-07</v>
      </c>
      <c r="G581" s="62" cm="1">
        <f t="array" ref="G581">SUM((tbl_CONTENT[[#This Row],[TopicID]]=INDEX(tbl_CONTENT[TopicID],1):tbl_CONTENT[[#This Row],[TopicID]])*1)</f>
        <v>12</v>
      </c>
      <c r="H581" s="22" t="s">
        <v>938</v>
      </c>
      <c r="I581" s="22" t="s">
        <v>1624</v>
      </c>
      <c r="J581" s="22" t="s">
        <v>181</v>
      </c>
      <c r="P581" s="62"/>
      <c r="Q581" s="35">
        <f>IFERROR(
 (1.907*EXP(1)^(-0.5*tbl_CONTENT[[#This Row],[Layer]])) *
 ((tbl_CONTENT[[#This Row],[RelInt]]-1)^(2.5)*4^(1-2.5)+1) +
 ((tbl_CONTENT[[#This Row],[Comp]]-1)^(2.5)*4^(1-2.5)+1)*(0.5*((tbl_CONTENT[[#This Row],[RelInt]]-1)/4)^(2.5)+1),
 0
)</f>
        <v>0</v>
      </c>
      <c r="R581" s="35">
        <f>IFERROR(
 (1.907*EXP(1)^(-0.5*VALUE(tbl_CONTENT[[#This Row],[Layer]]))) *
 ((VALUE(tbl_CONTENT[[#This Row],[RelId]])-1)^(2.5)*4^(1-2.5)+1) +
 ((VALUE(tbl_CONTENT[[#This Row],[Comp]])-1)^(2.5)*4^(1-2.5)+1)*(0.5*((VALUE(tbl_CONTENT[[#This Row],[RelId]])-1)/4)^(2.5)+1),
 0
)</f>
        <v>0</v>
      </c>
      <c r="T581" s="62"/>
    </row>
    <row r="582" spans="3:20" ht="51" x14ac:dyDescent="0.2">
      <c r="C582" s="62" t="str">
        <f>_xlfn.XLOOKUP(tbl_CONTENT[[#This Row],[TopicID]], tbl_TOPIC[TopicID], tbl_TOPIC[Subject], "")</f>
        <v>A</v>
      </c>
      <c r="D582" s="62" t="str">
        <f xml:space="preserve"> tbl_CONTENT[[#This Row],[TopicID]] &amp; "-" &amp; TEXT(tbl_CONTENT[[#This Row],[TopicIDCount]], "00")</f>
        <v>A-1-07-13</v>
      </c>
      <c r="F582" s="22" t="str">
        <f>_xlfn.XLOOKUP(tbl_CONTENT[[#This Row],[Topic]], tbl_TOPIC[Topic], tbl_TOPIC[TopicID], "")</f>
        <v>A-1-07</v>
      </c>
      <c r="G582" s="62" cm="1">
        <f t="array" ref="G582">SUM((tbl_CONTENT[[#This Row],[TopicID]]=INDEX(tbl_CONTENT[TopicID],1):tbl_CONTENT[[#This Row],[TopicID]])*1)</f>
        <v>13</v>
      </c>
      <c r="H582" s="22" t="s">
        <v>938</v>
      </c>
      <c r="I582" s="22" t="s">
        <v>950</v>
      </c>
      <c r="J582" s="22" t="s">
        <v>181</v>
      </c>
      <c r="P582" s="62"/>
      <c r="Q582" s="35">
        <f>IFERROR(
 (1.907*EXP(1)^(-0.5*tbl_CONTENT[[#This Row],[Layer]])) *
 ((tbl_CONTENT[[#This Row],[RelInt]]-1)^(2.5)*4^(1-2.5)+1) +
 ((tbl_CONTENT[[#This Row],[Comp]]-1)^(2.5)*4^(1-2.5)+1)*(0.5*((tbl_CONTENT[[#This Row],[RelInt]]-1)/4)^(2.5)+1),
 0
)</f>
        <v>0</v>
      </c>
      <c r="R582" s="35">
        <f>IFERROR(
 (1.907*EXP(1)^(-0.5*VALUE(tbl_CONTENT[[#This Row],[Layer]]))) *
 ((VALUE(tbl_CONTENT[[#This Row],[RelId]])-1)^(2.5)*4^(1-2.5)+1) +
 ((VALUE(tbl_CONTENT[[#This Row],[Comp]])-1)^(2.5)*4^(1-2.5)+1)*(0.5*((VALUE(tbl_CONTENT[[#This Row],[RelId]])-1)/4)^(2.5)+1),
 0
)</f>
        <v>0</v>
      </c>
      <c r="T582" s="62"/>
    </row>
    <row r="583" spans="3:20" ht="51" x14ac:dyDescent="0.2">
      <c r="C583" s="62" t="str">
        <f>_xlfn.XLOOKUP(tbl_CONTENT[[#This Row],[TopicID]], tbl_TOPIC[TopicID], tbl_TOPIC[Subject], "")</f>
        <v>A</v>
      </c>
      <c r="D583" s="62" t="str">
        <f xml:space="preserve"> tbl_CONTENT[[#This Row],[TopicID]] &amp; "-" &amp; TEXT(tbl_CONTENT[[#This Row],[TopicIDCount]], "00")</f>
        <v>A-1-07-14</v>
      </c>
      <c r="F583" s="22" t="str">
        <f>_xlfn.XLOOKUP(tbl_CONTENT[[#This Row],[Topic]], tbl_TOPIC[Topic], tbl_TOPIC[TopicID], "")</f>
        <v>A-1-07</v>
      </c>
      <c r="G583" s="62" cm="1">
        <f t="array" ref="G583">SUM((tbl_CONTENT[[#This Row],[TopicID]]=INDEX(tbl_CONTENT[TopicID],1):tbl_CONTENT[[#This Row],[TopicID]])*1)</f>
        <v>14</v>
      </c>
      <c r="H583" s="22" t="s">
        <v>938</v>
      </c>
      <c r="I583" s="22" t="s">
        <v>951</v>
      </c>
      <c r="J583" s="22" t="s">
        <v>181</v>
      </c>
      <c r="P583" s="62"/>
      <c r="Q583" s="35">
        <f>IFERROR(
 (1.907*EXP(1)^(-0.5*tbl_CONTENT[[#This Row],[Layer]])) *
 ((tbl_CONTENT[[#This Row],[RelInt]]-1)^(2.5)*4^(1-2.5)+1) +
 ((tbl_CONTENT[[#This Row],[Comp]]-1)^(2.5)*4^(1-2.5)+1)*(0.5*((tbl_CONTENT[[#This Row],[RelInt]]-1)/4)^(2.5)+1),
 0
)</f>
        <v>0</v>
      </c>
      <c r="R583" s="35">
        <f>IFERROR(
 (1.907*EXP(1)^(-0.5*VALUE(tbl_CONTENT[[#This Row],[Layer]]))) *
 ((VALUE(tbl_CONTENT[[#This Row],[RelId]])-1)^(2.5)*4^(1-2.5)+1) +
 ((VALUE(tbl_CONTENT[[#This Row],[Comp]])-1)^(2.5)*4^(1-2.5)+1)*(0.5*((VALUE(tbl_CONTENT[[#This Row],[RelId]])-1)/4)^(2.5)+1),
 0
)</f>
        <v>0</v>
      </c>
      <c r="T583" s="62"/>
    </row>
    <row r="584" spans="3:20" ht="51" x14ac:dyDescent="0.2">
      <c r="C584" s="62" t="str">
        <f>_xlfn.XLOOKUP(tbl_CONTENT[[#This Row],[TopicID]], tbl_TOPIC[TopicID], tbl_TOPIC[Subject], "")</f>
        <v>A</v>
      </c>
      <c r="D584" s="62" t="str">
        <f xml:space="preserve"> tbl_CONTENT[[#This Row],[TopicID]] &amp; "-" &amp; TEXT(tbl_CONTENT[[#This Row],[TopicIDCount]], "00")</f>
        <v>A-1-07-15</v>
      </c>
      <c r="F584" s="22" t="str">
        <f>_xlfn.XLOOKUP(tbl_CONTENT[[#This Row],[Topic]], tbl_TOPIC[Topic], tbl_TOPIC[TopicID], "")</f>
        <v>A-1-07</v>
      </c>
      <c r="G584" s="62" cm="1">
        <f t="array" ref="G584">SUM((tbl_CONTENT[[#This Row],[TopicID]]=INDEX(tbl_CONTENT[TopicID],1):tbl_CONTENT[[#This Row],[TopicID]])*1)</f>
        <v>15</v>
      </c>
      <c r="H584" s="22" t="s">
        <v>938</v>
      </c>
      <c r="I584" s="22" t="s">
        <v>952</v>
      </c>
      <c r="J584" s="22" t="s">
        <v>181</v>
      </c>
      <c r="P584" s="62"/>
      <c r="Q584" s="35">
        <f>IFERROR(
 (1.907*EXP(1)^(-0.5*tbl_CONTENT[[#This Row],[Layer]])) *
 ((tbl_CONTENT[[#This Row],[RelInt]]-1)^(2.5)*4^(1-2.5)+1) +
 ((tbl_CONTENT[[#This Row],[Comp]]-1)^(2.5)*4^(1-2.5)+1)*(0.5*((tbl_CONTENT[[#This Row],[RelInt]]-1)/4)^(2.5)+1),
 0
)</f>
        <v>0</v>
      </c>
      <c r="R584" s="35">
        <f>IFERROR(
 (1.907*EXP(1)^(-0.5*VALUE(tbl_CONTENT[[#This Row],[Layer]]))) *
 ((VALUE(tbl_CONTENT[[#This Row],[RelId]])-1)^(2.5)*4^(1-2.5)+1) +
 ((VALUE(tbl_CONTENT[[#This Row],[Comp]])-1)^(2.5)*4^(1-2.5)+1)*(0.5*((VALUE(tbl_CONTENT[[#This Row],[RelId]])-1)/4)^(2.5)+1),
 0
)</f>
        <v>0</v>
      </c>
      <c r="T584" s="62"/>
    </row>
    <row r="585" spans="3:20" ht="34" x14ac:dyDescent="0.2">
      <c r="C585" s="62" t="str">
        <f>_xlfn.XLOOKUP(tbl_CONTENT[[#This Row],[TopicID]], tbl_TOPIC[TopicID], tbl_TOPIC[Subject], "")</f>
        <v>A</v>
      </c>
      <c r="D585" s="62" t="str">
        <f xml:space="preserve"> tbl_CONTENT[[#This Row],[TopicID]] &amp; "-" &amp; TEXT(tbl_CONTENT[[#This Row],[TopicIDCount]], "00")</f>
        <v>A-1-07-16</v>
      </c>
      <c r="F585" s="22" t="str">
        <f>_xlfn.XLOOKUP(tbl_CONTENT[[#This Row],[Topic]], tbl_TOPIC[Topic], tbl_TOPIC[TopicID], "")</f>
        <v>A-1-07</v>
      </c>
      <c r="G585" s="62" cm="1">
        <f t="array" ref="G585">SUM((tbl_CONTENT[[#This Row],[TopicID]]=INDEX(tbl_CONTENT[TopicID],1):tbl_CONTENT[[#This Row],[TopicID]])*1)</f>
        <v>16</v>
      </c>
      <c r="H585" s="22" t="s">
        <v>938</v>
      </c>
      <c r="I585" s="22" t="s">
        <v>953</v>
      </c>
      <c r="J585" s="22" t="s">
        <v>181</v>
      </c>
      <c r="P585" s="62"/>
      <c r="Q585" s="35">
        <f>IFERROR(
 (1.907*EXP(1)^(-0.5*tbl_CONTENT[[#This Row],[Layer]])) *
 ((tbl_CONTENT[[#This Row],[RelInt]]-1)^(2.5)*4^(1-2.5)+1) +
 ((tbl_CONTENT[[#This Row],[Comp]]-1)^(2.5)*4^(1-2.5)+1)*(0.5*((tbl_CONTENT[[#This Row],[RelInt]]-1)/4)^(2.5)+1),
 0
)</f>
        <v>0</v>
      </c>
      <c r="R585" s="35">
        <f>IFERROR(
 (1.907*EXP(1)^(-0.5*VALUE(tbl_CONTENT[[#This Row],[Layer]]))) *
 ((VALUE(tbl_CONTENT[[#This Row],[RelId]])-1)^(2.5)*4^(1-2.5)+1) +
 ((VALUE(tbl_CONTENT[[#This Row],[Comp]])-1)^(2.5)*4^(1-2.5)+1)*(0.5*((VALUE(tbl_CONTENT[[#This Row],[RelId]])-1)/4)^(2.5)+1),
 0
)</f>
        <v>0</v>
      </c>
      <c r="T585" s="62"/>
    </row>
    <row r="586" spans="3:20" ht="68" x14ac:dyDescent="0.2">
      <c r="C586" s="62" t="str">
        <f>_xlfn.XLOOKUP(tbl_CONTENT[[#This Row],[TopicID]], tbl_TOPIC[TopicID], tbl_TOPIC[Subject], "")</f>
        <v>A</v>
      </c>
      <c r="D586" s="62" t="str">
        <f xml:space="preserve"> tbl_CONTENT[[#This Row],[TopicID]] &amp; "-" &amp; TEXT(tbl_CONTENT[[#This Row],[TopicIDCount]], "00")</f>
        <v>A-1-07-17</v>
      </c>
      <c r="F586" s="22" t="str">
        <f>_xlfn.XLOOKUP(tbl_CONTENT[[#This Row],[Topic]], tbl_TOPIC[Topic], tbl_TOPIC[TopicID], "")</f>
        <v>A-1-07</v>
      </c>
      <c r="G586" s="62" cm="1">
        <f t="array" ref="G586">SUM((tbl_CONTENT[[#This Row],[TopicID]]=INDEX(tbl_CONTENT[TopicID],1):tbl_CONTENT[[#This Row],[TopicID]])*1)</f>
        <v>17</v>
      </c>
      <c r="H586" s="22" t="s">
        <v>938</v>
      </c>
      <c r="I586" s="22" t="s">
        <v>1625</v>
      </c>
      <c r="J586" s="22" t="s">
        <v>181</v>
      </c>
      <c r="P586" s="62"/>
      <c r="Q586" s="35">
        <f>IFERROR(
 (1.907*EXP(1)^(-0.5*tbl_CONTENT[[#This Row],[Layer]])) *
 ((tbl_CONTENT[[#This Row],[RelInt]]-1)^(2.5)*4^(1-2.5)+1) +
 ((tbl_CONTENT[[#This Row],[Comp]]-1)^(2.5)*4^(1-2.5)+1)*(0.5*((tbl_CONTENT[[#This Row],[RelInt]]-1)/4)^(2.5)+1),
 0
)</f>
        <v>0</v>
      </c>
      <c r="R586" s="35">
        <f>IFERROR(
 (1.907*EXP(1)^(-0.5*VALUE(tbl_CONTENT[[#This Row],[Layer]]))) *
 ((VALUE(tbl_CONTENT[[#This Row],[RelId]])-1)^(2.5)*4^(1-2.5)+1) +
 ((VALUE(tbl_CONTENT[[#This Row],[Comp]])-1)^(2.5)*4^(1-2.5)+1)*(0.5*((VALUE(tbl_CONTENT[[#This Row],[RelId]])-1)/4)^(2.5)+1),
 0
)</f>
        <v>0</v>
      </c>
      <c r="T586" s="62"/>
    </row>
    <row r="587" spans="3:20" ht="34" x14ac:dyDescent="0.2">
      <c r="C587" s="62" t="str">
        <f>_xlfn.XLOOKUP(tbl_CONTENT[[#This Row],[TopicID]], tbl_TOPIC[TopicID], tbl_TOPIC[Subject], "")</f>
        <v>A</v>
      </c>
      <c r="D587" s="62" t="str">
        <f xml:space="preserve"> tbl_CONTENT[[#This Row],[TopicID]] &amp; "-" &amp; TEXT(tbl_CONTENT[[#This Row],[TopicIDCount]], "00")</f>
        <v>A-1-07-18</v>
      </c>
      <c r="F587" s="22" t="str">
        <f>_xlfn.XLOOKUP(tbl_CONTENT[[#This Row],[Topic]], tbl_TOPIC[Topic], tbl_TOPIC[TopicID], "")</f>
        <v>A-1-07</v>
      </c>
      <c r="G587" s="62" cm="1">
        <f t="array" ref="G587">SUM((tbl_CONTENT[[#This Row],[TopicID]]=INDEX(tbl_CONTENT[TopicID],1):tbl_CONTENT[[#This Row],[TopicID]])*1)</f>
        <v>18</v>
      </c>
      <c r="H587" s="22" t="s">
        <v>938</v>
      </c>
      <c r="I587" s="22" t="s">
        <v>1626</v>
      </c>
      <c r="J587" s="22" t="s">
        <v>181</v>
      </c>
      <c r="P587" s="62"/>
      <c r="Q587" s="35">
        <f>IFERROR(
 (1.907*EXP(1)^(-0.5*tbl_CONTENT[[#This Row],[Layer]])) *
 ((tbl_CONTENT[[#This Row],[RelInt]]-1)^(2.5)*4^(1-2.5)+1) +
 ((tbl_CONTENT[[#This Row],[Comp]]-1)^(2.5)*4^(1-2.5)+1)*(0.5*((tbl_CONTENT[[#This Row],[RelInt]]-1)/4)^(2.5)+1),
 0
)</f>
        <v>0</v>
      </c>
      <c r="R587" s="35">
        <f>IFERROR(
 (1.907*EXP(1)^(-0.5*VALUE(tbl_CONTENT[[#This Row],[Layer]]))) *
 ((VALUE(tbl_CONTENT[[#This Row],[RelId]])-1)^(2.5)*4^(1-2.5)+1) +
 ((VALUE(tbl_CONTENT[[#This Row],[Comp]])-1)^(2.5)*4^(1-2.5)+1)*(0.5*((VALUE(tbl_CONTENT[[#This Row],[RelId]])-1)/4)^(2.5)+1),
 0
)</f>
        <v>0</v>
      </c>
      <c r="T587" s="62"/>
    </row>
    <row r="588" spans="3:20" ht="34" x14ac:dyDescent="0.2">
      <c r="C588" s="62" t="str">
        <f>_xlfn.XLOOKUP(tbl_CONTENT[[#This Row],[TopicID]], tbl_TOPIC[TopicID], tbl_TOPIC[Subject], "")</f>
        <v>A</v>
      </c>
      <c r="D588" s="62" t="str">
        <f xml:space="preserve"> tbl_CONTENT[[#This Row],[TopicID]] &amp; "-" &amp; TEXT(tbl_CONTENT[[#This Row],[TopicIDCount]], "00")</f>
        <v>A-1-07-19</v>
      </c>
      <c r="F588" s="22" t="str">
        <f>_xlfn.XLOOKUP(tbl_CONTENT[[#This Row],[Topic]], tbl_TOPIC[Topic], tbl_TOPIC[TopicID], "")</f>
        <v>A-1-07</v>
      </c>
      <c r="G588" s="62" cm="1">
        <f t="array" ref="G588">SUM((tbl_CONTENT[[#This Row],[TopicID]]=INDEX(tbl_CONTENT[TopicID],1):tbl_CONTENT[[#This Row],[TopicID]])*1)</f>
        <v>19</v>
      </c>
      <c r="H588" s="22" t="s">
        <v>938</v>
      </c>
      <c r="I588" s="22" t="s">
        <v>954</v>
      </c>
      <c r="J588" s="22" t="s">
        <v>181</v>
      </c>
      <c r="P588" s="62"/>
      <c r="Q588" s="35">
        <f>IFERROR(
 (1.907*EXP(1)^(-0.5*tbl_CONTENT[[#This Row],[Layer]])) *
 ((tbl_CONTENT[[#This Row],[RelInt]]-1)^(2.5)*4^(1-2.5)+1) +
 ((tbl_CONTENT[[#This Row],[Comp]]-1)^(2.5)*4^(1-2.5)+1)*(0.5*((tbl_CONTENT[[#This Row],[RelInt]]-1)/4)^(2.5)+1),
 0
)</f>
        <v>0</v>
      </c>
      <c r="R588" s="35">
        <f>IFERROR(
 (1.907*EXP(1)^(-0.5*VALUE(tbl_CONTENT[[#This Row],[Layer]]))) *
 ((VALUE(tbl_CONTENT[[#This Row],[RelId]])-1)^(2.5)*4^(1-2.5)+1) +
 ((VALUE(tbl_CONTENT[[#This Row],[Comp]])-1)^(2.5)*4^(1-2.5)+1)*(0.5*((VALUE(tbl_CONTENT[[#This Row],[RelId]])-1)/4)^(2.5)+1),
 0
)</f>
        <v>0</v>
      </c>
      <c r="T588" s="62"/>
    </row>
    <row r="589" spans="3:20" ht="34" x14ac:dyDescent="0.2">
      <c r="C589" s="62" t="str">
        <f>_xlfn.XLOOKUP(tbl_CONTENT[[#This Row],[TopicID]], tbl_TOPIC[TopicID], tbl_TOPIC[Subject], "")</f>
        <v>A</v>
      </c>
      <c r="D589" s="62" t="str">
        <f xml:space="preserve"> tbl_CONTENT[[#This Row],[TopicID]] &amp; "-" &amp; TEXT(tbl_CONTENT[[#This Row],[TopicIDCount]], "00")</f>
        <v>A-1-07-20</v>
      </c>
      <c r="F589" s="22" t="str">
        <f>_xlfn.XLOOKUP(tbl_CONTENT[[#This Row],[Topic]], tbl_TOPIC[Topic], tbl_TOPIC[TopicID], "")</f>
        <v>A-1-07</v>
      </c>
      <c r="G589" s="62" cm="1">
        <f t="array" ref="G589">SUM((tbl_CONTENT[[#This Row],[TopicID]]=INDEX(tbl_CONTENT[TopicID],1):tbl_CONTENT[[#This Row],[TopicID]])*1)</f>
        <v>20</v>
      </c>
      <c r="H589" s="22" t="s">
        <v>938</v>
      </c>
      <c r="I589" s="22" t="s">
        <v>1627</v>
      </c>
      <c r="J589" s="22" t="s">
        <v>181</v>
      </c>
      <c r="P589" s="62"/>
      <c r="Q589" s="35">
        <f>IFERROR(
 (1.907*EXP(1)^(-0.5*tbl_CONTENT[[#This Row],[Layer]])) *
 ((tbl_CONTENT[[#This Row],[RelInt]]-1)^(2.5)*4^(1-2.5)+1) +
 ((tbl_CONTENT[[#This Row],[Comp]]-1)^(2.5)*4^(1-2.5)+1)*(0.5*((tbl_CONTENT[[#This Row],[RelInt]]-1)/4)^(2.5)+1),
 0
)</f>
        <v>0</v>
      </c>
      <c r="R589" s="35">
        <f>IFERROR(
 (1.907*EXP(1)^(-0.5*VALUE(tbl_CONTENT[[#This Row],[Layer]]))) *
 ((VALUE(tbl_CONTENT[[#This Row],[RelId]])-1)^(2.5)*4^(1-2.5)+1) +
 ((VALUE(tbl_CONTENT[[#This Row],[Comp]])-1)^(2.5)*4^(1-2.5)+1)*(0.5*((VALUE(tbl_CONTENT[[#This Row],[RelId]])-1)/4)^(2.5)+1),
 0
)</f>
        <v>0</v>
      </c>
      <c r="T589" s="62"/>
    </row>
    <row r="590" spans="3:20" ht="51" x14ac:dyDescent="0.2">
      <c r="C590" s="62" t="str">
        <f>_xlfn.XLOOKUP(tbl_CONTENT[[#This Row],[TopicID]], tbl_TOPIC[TopicID], tbl_TOPIC[Subject], "")</f>
        <v>A</v>
      </c>
      <c r="D590" s="62" t="str">
        <f xml:space="preserve"> tbl_CONTENT[[#This Row],[TopicID]] &amp; "-" &amp; TEXT(tbl_CONTENT[[#This Row],[TopicIDCount]], "00")</f>
        <v>A-1-07-21</v>
      </c>
      <c r="F590" s="22" t="str">
        <f>_xlfn.XLOOKUP(tbl_CONTENT[[#This Row],[Topic]], tbl_TOPIC[Topic], tbl_TOPIC[TopicID], "")</f>
        <v>A-1-07</v>
      </c>
      <c r="G590" s="62" cm="1">
        <f t="array" ref="G590">SUM((tbl_CONTENT[[#This Row],[TopicID]]=INDEX(tbl_CONTENT[TopicID],1):tbl_CONTENT[[#This Row],[TopicID]])*1)</f>
        <v>21</v>
      </c>
      <c r="H590" s="22" t="s">
        <v>938</v>
      </c>
      <c r="I590" s="22" t="s">
        <v>955</v>
      </c>
      <c r="J590" s="22" t="s">
        <v>181</v>
      </c>
      <c r="P590" s="62"/>
      <c r="Q590" s="35">
        <f>IFERROR(
 (1.907*EXP(1)^(-0.5*tbl_CONTENT[[#This Row],[Layer]])) *
 ((tbl_CONTENT[[#This Row],[RelInt]]-1)^(2.5)*4^(1-2.5)+1) +
 ((tbl_CONTENT[[#This Row],[Comp]]-1)^(2.5)*4^(1-2.5)+1)*(0.5*((tbl_CONTENT[[#This Row],[RelInt]]-1)/4)^(2.5)+1),
 0
)</f>
        <v>0</v>
      </c>
      <c r="R590" s="35">
        <f>IFERROR(
 (1.907*EXP(1)^(-0.5*VALUE(tbl_CONTENT[[#This Row],[Layer]]))) *
 ((VALUE(tbl_CONTENT[[#This Row],[RelId]])-1)^(2.5)*4^(1-2.5)+1) +
 ((VALUE(tbl_CONTENT[[#This Row],[Comp]])-1)^(2.5)*4^(1-2.5)+1)*(0.5*((VALUE(tbl_CONTENT[[#This Row],[RelId]])-1)/4)^(2.5)+1),
 0
)</f>
        <v>0</v>
      </c>
      <c r="T590" s="62"/>
    </row>
    <row r="591" spans="3:20" ht="17" x14ac:dyDescent="0.2">
      <c r="C591" s="62" t="str">
        <f>_xlfn.XLOOKUP(tbl_CONTENT[[#This Row],[TopicID]], tbl_TOPIC[TopicID], tbl_TOPIC[Subject], "")</f>
        <v>A</v>
      </c>
      <c r="D591" s="62" t="str">
        <f xml:space="preserve"> tbl_CONTENT[[#This Row],[TopicID]] &amp; "-" &amp; TEXT(tbl_CONTENT[[#This Row],[TopicIDCount]], "00")</f>
        <v>A-1-07-22</v>
      </c>
      <c r="F591" s="22" t="str">
        <f>_xlfn.XLOOKUP(tbl_CONTENT[[#This Row],[Topic]], tbl_TOPIC[Topic], tbl_TOPIC[TopicID], "")</f>
        <v>A-1-07</v>
      </c>
      <c r="G591" s="62" cm="1">
        <f t="array" ref="G591">SUM((tbl_CONTENT[[#This Row],[TopicID]]=INDEX(tbl_CONTENT[TopicID],1):tbl_CONTENT[[#This Row],[TopicID]])*1)</f>
        <v>22</v>
      </c>
      <c r="H591" s="22" t="s">
        <v>938</v>
      </c>
      <c r="I591" s="22" t="s">
        <v>956</v>
      </c>
      <c r="J591" s="22" t="s">
        <v>181</v>
      </c>
      <c r="P591" s="62"/>
      <c r="Q591" s="35">
        <f>IFERROR(
 (1.907*EXP(1)^(-0.5*tbl_CONTENT[[#This Row],[Layer]])) *
 ((tbl_CONTENT[[#This Row],[RelInt]]-1)^(2.5)*4^(1-2.5)+1) +
 ((tbl_CONTENT[[#This Row],[Comp]]-1)^(2.5)*4^(1-2.5)+1)*(0.5*((tbl_CONTENT[[#This Row],[RelInt]]-1)/4)^(2.5)+1),
 0
)</f>
        <v>0</v>
      </c>
      <c r="R591" s="35">
        <f>IFERROR(
 (1.907*EXP(1)^(-0.5*VALUE(tbl_CONTENT[[#This Row],[Layer]]))) *
 ((VALUE(tbl_CONTENT[[#This Row],[RelId]])-1)^(2.5)*4^(1-2.5)+1) +
 ((VALUE(tbl_CONTENT[[#This Row],[Comp]])-1)^(2.5)*4^(1-2.5)+1)*(0.5*((VALUE(tbl_CONTENT[[#This Row],[RelId]])-1)/4)^(2.5)+1),
 0
)</f>
        <v>0</v>
      </c>
      <c r="T591" s="62"/>
    </row>
    <row r="592" spans="3:20" ht="68" x14ac:dyDescent="0.2">
      <c r="C592" s="62" t="str">
        <f>_xlfn.XLOOKUP(tbl_CONTENT[[#This Row],[TopicID]], tbl_TOPIC[TopicID], tbl_TOPIC[Subject], "")</f>
        <v>A</v>
      </c>
      <c r="D592" s="62" t="str">
        <f xml:space="preserve"> tbl_CONTENT[[#This Row],[TopicID]] &amp; "-" &amp; TEXT(tbl_CONTENT[[#This Row],[TopicIDCount]], "00")</f>
        <v>A-1-07-23</v>
      </c>
      <c r="F592" s="22" t="str">
        <f>_xlfn.XLOOKUP(tbl_CONTENT[[#This Row],[Topic]], tbl_TOPIC[Topic], tbl_TOPIC[TopicID], "")</f>
        <v>A-1-07</v>
      </c>
      <c r="G592" s="62" cm="1">
        <f t="array" ref="G592">SUM((tbl_CONTENT[[#This Row],[TopicID]]=INDEX(tbl_CONTENT[TopicID],1):tbl_CONTENT[[#This Row],[TopicID]])*1)</f>
        <v>23</v>
      </c>
      <c r="H592" s="22" t="s">
        <v>938</v>
      </c>
      <c r="I592" s="22" t="s">
        <v>1628</v>
      </c>
      <c r="J592" s="22" t="s">
        <v>181</v>
      </c>
      <c r="P592" s="62"/>
      <c r="Q592" s="35">
        <f>IFERROR(
 (1.907*EXP(1)^(-0.5*tbl_CONTENT[[#This Row],[Layer]])) *
 ((tbl_CONTENT[[#This Row],[RelInt]]-1)^(2.5)*4^(1-2.5)+1) +
 ((tbl_CONTENT[[#This Row],[Comp]]-1)^(2.5)*4^(1-2.5)+1)*(0.5*((tbl_CONTENT[[#This Row],[RelInt]]-1)/4)^(2.5)+1),
 0
)</f>
        <v>0</v>
      </c>
      <c r="R592" s="35">
        <f>IFERROR(
 (1.907*EXP(1)^(-0.5*VALUE(tbl_CONTENT[[#This Row],[Layer]]))) *
 ((VALUE(tbl_CONTENT[[#This Row],[RelId]])-1)^(2.5)*4^(1-2.5)+1) +
 ((VALUE(tbl_CONTENT[[#This Row],[Comp]])-1)^(2.5)*4^(1-2.5)+1)*(0.5*((VALUE(tbl_CONTENT[[#This Row],[RelId]])-1)/4)^(2.5)+1),
 0
)</f>
        <v>0</v>
      </c>
      <c r="T592" s="62"/>
    </row>
    <row r="593" spans="3:20" ht="17" x14ac:dyDescent="0.2">
      <c r="C593" s="62" t="str">
        <f>_xlfn.XLOOKUP(tbl_CONTENT[[#This Row],[TopicID]], tbl_TOPIC[TopicID], tbl_TOPIC[Subject], "")</f>
        <v>RG</v>
      </c>
      <c r="D593" s="62" t="str">
        <f xml:space="preserve"> tbl_CONTENT[[#This Row],[TopicID]] &amp; "-" &amp; TEXT(tbl_CONTENT[[#This Row],[TopicIDCount]], "00")</f>
        <v>RG-1-03-14</v>
      </c>
      <c r="F593" s="22" t="str">
        <f>_xlfn.XLOOKUP(tbl_CONTENT[[#This Row],[Topic]], tbl_TOPIC[Topic], tbl_TOPIC[TopicID], "")</f>
        <v>RG-1-03</v>
      </c>
      <c r="G593" s="62" cm="1">
        <f t="array" ref="G593">SUM((tbl_CONTENT[[#This Row],[TopicID]]=INDEX(tbl_CONTENT[TopicID],1):tbl_CONTENT[[#This Row],[TopicID]])*1)</f>
        <v>14</v>
      </c>
      <c r="H593" s="22" t="s">
        <v>500</v>
      </c>
      <c r="I593" s="22" t="s">
        <v>959</v>
      </c>
      <c r="J593" s="22" t="s">
        <v>153</v>
      </c>
      <c r="P593" s="62"/>
      <c r="Q593" s="35">
        <f>IFERROR(
 (1.907*EXP(1)^(-0.5*tbl_CONTENT[[#This Row],[Layer]])) *
 ((tbl_CONTENT[[#This Row],[RelInt]]-1)^(2.5)*4^(1-2.5)+1) +
 ((tbl_CONTENT[[#This Row],[Comp]]-1)^(2.5)*4^(1-2.5)+1)*(0.5*((tbl_CONTENT[[#This Row],[RelInt]]-1)/4)^(2.5)+1),
 0
)</f>
        <v>0</v>
      </c>
      <c r="R593" s="35">
        <f>IFERROR(
 (1.907*EXP(1)^(-0.5*VALUE(tbl_CONTENT[[#This Row],[Layer]]))) *
 ((VALUE(tbl_CONTENT[[#This Row],[RelId]])-1)^(2.5)*4^(1-2.5)+1) +
 ((VALUE(tbl_CONTENT[[#This Row],[Comp]])-1)^(2.5)*4^(1-2.5)+1)*(0.5*((VALUE(tbl_CONTENT[[#This Row],[RelId]])-1)/4)^(2.5)+1),
 0
)</f>
        <v>0</v>
      </c>
      <c r="T593" s="62"/>
    </row>
    <row r="594" spans="3:20" ht="17" x14ac:dyDescent="0.2">
      <c r="C594" s="62" t="str">
        <f>_xlfn.XLOOKUP(tbl_CONTENT[[#This Row],[TopicID]], tbl_TOPIC[TopicID], tbl_TOPIC[Subject], "")</f>
        <v>RG</v>
      </c>
      <c r="D594" s="62" t="str">
        <f xml:space="preserve"> tbl_CONTENT[[#This Row],[TopicID]] &amp; "-" &amp; TEXT(tbl_CONTENT[[#This Row],[TopicIDCount]], "00")</f>
        <v>RG-1-03-15</v>
      </c>
      <c r="F594" s="22" t="str">
        <f>_xlfn.XLOOKUP(tbl_CONTENT[[#This Row],[Topic]], tbl_TOPIC[Topic], tbl_TOPIC[TopicID], "")</f>
        <v>RG-1-03</v>
      </c>
      <c r="G594" s="62" cm="1">
        <f t="array" ref="G594">SUM((tbl_CONTENT[[#This Row],[TopicID]]=INDEX(tbl_CONTENT[TopicID],1):tbl_CONTENT[[#This Row],[TopicID]])*1)</f>
        <v>15</v>
      </c>
      <c r="H594" s="22" t="s">
        <v>500</v>
      </c>
      <c r="I594" s="22" t="s">
        <v>1572</v>
      </c>
      <c r="J594" s="22" t="s">
        <v>153</v>
      </c>
      <c r="P594" s="62"/>
      <c r="Q594" s="35">
        <f>IFERROR(
 (1.907*EXP(1)^(-0.5*tbl_CONTENT[[#This Row],[Layer]])) *
 ((tbl_CONTENT[[#This Row],[RelInt]]-1)^(2.5)*4^(1-2.5)+1) +
 ((tbl_CONTENT[[#This Row],[Comp]]-1)^(2.5)*4^(1-2.5)+1)*(0.5*((tbl_CONTENT[[#This Row],[RelInt]]-1)/4)^(2.5)+1),
 0
)</f>
        <v>0</v>
      </c>
      <c r="R594" s="35">
        <f>IFERROR(
 (1.907*EXP(1)^(-0.5*VALUE(tbl_CONTENT[[#This Row],[Layer]]))) *
 ((VALUE(tbl_CONTENT[[#This Row],[RelId]])-1)^(2.5)*4^(1-2.5)+1) +
 ((VALUE(tbl_CONTENT[[#This Row],[Comp]])-1)^(2.5)*4^(1-2.5)+1)*(0.5*((VALUE(tbl_CONTENT[[#This Row],[RelId]])-1)/4)^(2.5)+1),
 0
)</f>
        <v>0</v>
      </c>
      <c r="T594" s="62"/>
    </row>
    <row r="595" spans="3:20" ht="17" x14ac:dyDescent="0.2">
      <c r="C595" s="62" t="str">
        <f>_xlfn.XLOOKUP(tbl_CONTENT[[#This Row],[TopicID]], tbl_TOPIC[TopicID], tbl_TOPIC[Subject], "")</f>
        <v>RG</v>
      </c>
      <c r="D595" s="62" t="str">
        <f xml:space="preserve"> tbl_CONTENT[[#This Row],[TopicID]] &amp; "-" &amp; TEXT(tbl_CONTENT[[#This Row],[TopicIDCount]], "00")</f>
        <v>RG-1-03-16</v>
      </c>
      <c r="F595" s="22" t="str">
        <f>_xlfn.XLOOKUP(tbl_CONTENT[[#This Row],[Topic]], tbl_TOPIC[Topic], tbl_TOPIC[TopicID], "")</f>
        <v>RG-1-03</v>
      </c>
      <c r="G595" s="62" cm="1">
        <f t="array" ref="G595">SUM((tbl_CONTENT[[#This Row],[TopicID]]=INDEX(tbl_CONTENT[TopicID],1):tbl_CONTENT[[#This Row],[TopicID]])*1)</f>
        <v>16</v>
      </c>
      <c r="H595" s="22" t="s">
        <v>500</v>
      </c>
      <c r="I595" s="22" t="s">
        <v>1574</v>
      </c>
      <c r="J595" s="22" t="s">
        <v>153</v>
      </c>
      <c r="P595" s="62"/>
      <c r="Q595" s="35">
        <f>IFERROR(
 (1.907*EXP(1)^(-0.5*tbl_CONTENT[[#This Row],[Layer]])) *
 ((tbl_CONTENT[[#This Row],[RelInt]]-1)^(2.5)*4^(1-2.5)+1) +
 ((tbl_CONTENT[[#This Row],[Comp]]-1)^(2.5)*4^(1-2.5)+1)*(0.5*((tbl_CONTENT[[#This Row],[RelInt]]-1)/4)^(2.5)+1),
 0
)</f>
        <v>0</v>
      </c>
      <c r="R595" s="35">
        <f>IFERROR(
 (1.907*EXP(1)^(-0.5*VALUE(tbl_CONTENT[[#This Row],[Layer]]))) *
 ((VALUE(tbl_CONTENT[[#This Row],[RelId]])-1)^(2.5)*4^(1-2.5)+1) +
 ((VALUE(tbl_CONTENT[[#This Row],[Comp]])-1)^(2.5)*4^(1-2.5)+1)*(0.5*((VALUE(tbl_CONTENT[[#This Row],[RelId]])-1)/4)^(2.5)+1),
 0
)</f>
        <v>0</v>
      </c>
      <c r="T595" s="62"/>
    </row>
    <row r="596" spans="3:20" ht="17" x14ac:dyDescent="0.2">
      <c r="C596" s="62" t="str">
        <f>_xlfn.XLOOKUP(tbl_CONTENT[[#This Row],[TopicID]], tbl_TOPIC[TopicID], tbl_TOPIC[Subject], "")</f>
        <v>EFT1</v>
      </c>
      <c r="D596" s="62" t="str">
        <f xml:space="preserve"> tbl_CONTENT[[#This Row],[TopicID]] &amp; "-" &amp; TEXT(tbl_CONTENT[[#This Row],[TopicIDCount]], "00")</f>
        <v>EFT1-1-02-66</v>
      </c>
      <c r="F596" s="22" t="str">
        <f>_xlfn.XLOOKUP(tbl_CONTENT[[#This Row],[Topic]], tbl_TOPIC[Topic], tbl_TOPIC[TopicID], "")</f>
        <v>EFT1-1-02</v>
      </c>
      <c r="G596" s="62" cm="1">
        <f t="array" ref="G596">SUM((tbl_CONTENT[[#This Row],[TopicID]]=INDEX(tbl_CONTENT[TopicID],1):tbl_CONTENT[[#This Row],[TopicID]])*1)</f>
        <v>66</v>
      </c>
      <c r="H596" s="22" t="s">
        <v>598</v>
      </c>
      <c r="I596" s="22" t="s">
        <v>1576</v>
      </c>
      <c r="J596" s="22" t="s">
        <v>153</v>
      </c>
      <c r="P596" s="62"/>
      <c r="Q596" s="35">
        <f>IFERROR(
 (1.907*EXP(1)^(-0.5*tbl_CONTENT[[#This Row],[Layer]])) *
 ((tbl_CONTENT[[#This Row],[RelInt]]-1)^(2.5)*4^(1-2.5)+1) +
 ((tbl_CONTENT[[#This Row],[Comp]]-1)^(2.5)*4^(1-2.5)+1)*(0.5*((tbl_CONTENT[[#This Row],[RelInt]]-1)/4)^(2.5)+1),
 0
)</f>
        <v>0</v>
      </c>
      <c r="R596" s="35">
        <f>IFERROR(
 (1.907*EXP(1)^(-0.5*VALUE(tbl_CONTENT[[#This Row],[Layer]]))) *
 ((VALUE(tbl_CONTENT[[#This Row],[RelId]])-1)^(2.5)*4^(1-2.5)+1) +
 ((VALUE(tbl_CONTENT[[#This Row],[Comp]])-1)^(2.5)*4^(1-2.5)+1)*(0.5*((VALUE(tbl_CONTENT[[#This Row],[RelId]])-1)/4)^(2.5)+1),
 0
)</f>
        <v>0</v>
      </c>
      <c r="T596" s="62"/>
    </row>
    <row r="597" spans="3:20" ht="17" x14ac:dyDescent="0.2">
      <c r="C597" s="62" t="str">
        <f>_xlfn.XLOOKUP(tbl_CONTENT[[#This Row],[TopicID]], tbl_TOPIC[TopicID], tbl_TOPIC[Subject], "")</f>
        <v>EFT1</v>
      </c>
      <c r="D597" s="62" t="str">
        <f xml:space="preserve"> tbl_CONTENT[[#This Row],[TopicID]] &amp; "-" &amp; TEXT(tbl_CONTENT[[#This Row],[TopicIDCount]], "00")</f>
        <v>EFT1-1-02-67</v>
      </c>
      <c r="F597" s="22" t="str">
        <f>_xlfn.XLOOKUP(tbl_CONTENT[[#This Row],[Topic]], tbl_TOPIC[Topic], tbl_TOPIC[TopicID], "")</f>
        <v>EFT1-1-02</v>
      </c>
      <c r="G597" s="62" cm="1">
        <f t="array" ref="G597">SUM((tbl_CONTENT[[#This Row],[TopicID]]=INDEX(tbl_CONTENT[TopicID],1):tbl_CONTENT[[#This Row],[TopicID]])*1)</f>
        <v>67</v>
      </c>
      <c r="H597" s="22" t="s">
        <v>598</v>
      </c>
      <c r="I597" s="22" t="s">
        <v>1578</v>
      </c>
      <c r="J597" s="22" t="s">
        <v>153</v>
      </c>
      <c r="P597" s="62"/>
      <c r="Q597" s="35">
        <f>IFERROR(
 (1.907*EXP(1)^(-0.5*tbl_CONTENT[[#This Row],[Layer]])) *
 ((tbl_CONTENT[[#This Row],[RelInt]]-1)^(2.5)*4^(1-2.5)+1) +
 ((tbl_CONTENT[[#This Row],[Comp]]-1)^(2.5)*4^(1-2.5)+1)*(0.5*((tbl_CONTENT[[#This Row],[RelInt]]-1)/4)^(2.5)+1),
 0
)</f>
        <v>0</v>
      </c>
      <c r="R597" s="35">
        <f>IFERROR(
 (1.907*EXP(1)^(-0.5*VALUE(tbl_CONTENT[[#This Row],[Layer]]))) *
 ((VALUE(tbl_CONTENT[[#This Row],[RelId]])-1)^(2.5)*4^(1-2.5)+1) +
 ((VALUE(tbl_CONTENT[[#This Row],[Comp]])-1)^(2.5)*4^(1-2.5)+1)*(0.5*((VALUE(tbl_CONTENT[[#This Row],[RelId]])-1)/4)^(2.5)+1),
 0
)</f>
        <v>0</v>
      </c>
      <c r="T597" s="62"/>
    </row>
    <row r="598" spans="3:20" ht="17" x14ac:dyDescent="0.2">
      <c r="C598" s="62" t="str">
        <f>_xlfn.XLOOKUP(tbl_CONTENT[[#This Row],[TopicID]], tbl_TOPIC[TopicID], tbl_TOPIC[Subject], "")</f>
        <v>EFT1</v>
      </c>
      <c r="D598" s="62" t="str">
        <f xml:space="preserve"> tbl_CONTENT[[#This Row],[TopicID]] &amp; "-" &amp; TEXT(tbl_CONTENT[[#This Row],[TopicIDCount]], "00")</f>
        <v>EFT1-1-02-68</v>
      </c>
      <c r="F598" s="22" t="str">
        <f>_xlfn.XLOOKUP(tbl_CONTENT[[#This Row],[Topic]], tbl_TOPIC[Topic], tbl_TOPIC[TopicID], "")</f>
        <v>EFT1-1-02</v>
      </c>
      <c r="G598" s="62" cm="1">
        <f t="array" ref="G598">SUM((tbl_CONTENT[[#This Row],[TopicID]]=INDEX(tbl_CONTENT[TopicID],1):tbl_CONTENT[[#This Row],[TopicID]])*1)</f>
        <v>68</v>
      </c>
      <c r="H598" s="22" t="s">
        <v>598</v>
      </c>
      <c r="I598" s="22" t="s">
        <v>1582</v>
      </c>
      <c r="J598" s="22" t="s">
        <v>153</v>
      </c>
      <c r="P598" s="62"/>
      <c r="Q598" s="35">
        <f>IFERROR(
 (1.907*EXP(1)^(-0.5*tbl_CONTENT[[#This Row],[Layer]])) *
 ((tbl_CONTENT[[#This Row],[RelInt]]-1)^(2.5)*4^(1-2.5)+1) +
 ((tbl_CONTENT[[#This Row],[Comp]]-1)^(2.5)*4^(1-2.5)+1)*(0.5*((tbl_CONTENT[[#This Row],[RelInt]]-1)/4)^(2.5)+1),
 0
)</f>
        <v>0</v>
      </c>
      <c r="R598" s="35">
        <f>IFERROR(
 (1.907*EXP(1)^(-0.5*VALUE(tbl_CONTENT[[#This Row],[Layer]]))) *
 ((VALUE(tbl_CONTENT[[#This Row],[RelId]])-1)^(2.5)*4^(1-2.5)+1) +
 ((VALUE(tbl_CONTENT[[#This Row],[Comp]])-1)^(2.5)*4^(1-2.5)+1)*(0.5*((VALUE(tbl_CONTENT[[#This Row],[RelId]])-1)/4)^(2.5)+1),
 0
)</f>
        <v>0</v>
      </c>
      <c r="T598" s="62"/>
    </row>
  </sheetData>
  <phoneticPr fontId="10" type="noConversion"/>
  <dataValidations count="4">
    <dataValidation type="list" allowBlank="1" showInputMessage="1" showErrorMessage="1" sqref="G4:H4 F4:F598" xr:uid="{99959776-3C3F-014E-8D7E-B3739F841B94}">
      <formula1>Subject</formula1>
    </dataValidation>
    <dataValidation type="list" allowBlank="1" showInputMessage="1" showErrorMessage="1" sqref="I4" xr:uid="{32751D35-04BC-7D40-B2E5-6D2945315EA3}">
      <formula1>Content</formula1>
    </dataValidation>
    <dataValidation type="list" allowBlank="1" showInputMessage="1" showErrorMessage="1" sqref="J4:J598" xr:uid="{B3B49F51-2762-534B-BDA0-D657AADA8175}">
      <formula1>ContentTyp</formula1>
    </dataValidation>
    <dataValidation type="list" allowBlank="1" showInputMessage="1" showErrorMessage="1" sqref="H5:H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R595"/>
  <sheetViews>
    <sheetView tabSelected="1" topLeftCell="B1" workbookViewId="0">
      <selection activeCell="F23" sqref="F23"/>
    </sheetView>
    <sheetView workbookViewId="1"/>
  </sheetViews>
  <sheetFormatPr baseColWidth="10" defaultRowHeight="16" x14ac:dyDescent="0.2"/>
  <cols>
    <col min="1" max="1" width="9.83203125" bestFit="1" customWidth="1"/>
    <col min="2" max="2" width="12.83203125" bestFit="1" customWidth="1"/>
    <col min="3" max="3" width="8.33203125" bestFit="1" customWidth="1"/>
    <col min="4" max="4" width="10.1640625" bestFit="1" customWidth="1"/>
    <col min="5" max="5" width="14.83203125" bestFit="1" customWidth="1"/>
    <col min="6" max="6" width="68.33203125" bestFit="1" customWidth="1"/>
    <col min="7" max="7" width="80.6640625" bestFit="1" customWidth="1"/>
    <col min="8" max="8" width="7.6640625" bestFit="1" customWidth="1"/>
    <col min="9" max="9" width="11.1640625" bestFit="1" customWidth="1"/>
    <col min="10" max="10" width="8.1640625" bestFit="1" customWidth="1"/>
    <col min="11" max="11" width="8.6640625" bestFit="1" customWidth="1"/>
    <col min="12" max="12" width="8.5" bestFit="1" customWidth="1"/>
    <col min="13" max="13" width="7.83203125" bestFit="1" customWidth="1"/>
    <col min="14" max="14" width="7.6640625" bestFit="1" customWidth="1"/>
    <col min="15" max="16" width="12.1640625" bestFit="1" customWidth="1"/>
    <col min="17" max="17" width="11.6640625" bestFit="1" customWidth="1"/>
    <col min="18" max="18" width="45" bestFit="1" customWidth="1"/>
  </cols>
  <sheetData>
    <row r="1" spans="1:18" x14ac:dyDescent="0.2">
      <c r="A1" t="s">
        <v>6</v>
      </c>
      <c r="B1" t="s">
        <v>158</v>
      </c>
      <c r="C1" t="s">
        <v>143</v>
      </c>
      <c r="D1" t="s">
        <v>156</v>
      </c>
      <c r="E1" t="s">
        <v>160</v>
      </c>
      <c r="F1" t="s">
        <v>93</v>
      </c>
      <c r="G1" t="s">
        <v>142</v>
      </c>
      <c r="H1" t="s">
        <v>144</v>
      </c>
      <c r="I1" t="s">
        <v>145</v>
      </c>
      <c r="J1" t="s">
        <v>146</v>
      </c>
      <c r="K1" t="s">
        <v>161</v>
      </c>
      <c r="L1" t="s">
        <v>162</v>
      </c>
      <c r="M1" t="s">
        <v>163</v>
      </c>
      <c r="N1" t="s">
        <v>164</v>
      </c>
      <c r="O1" t="s">
        <v>165</v>
      </c>
      <c r="P1" t="s">
        <v>166</v>
      </c>
      <c r="Q1" t="s">
        <v>155</v>
      </c>
      <c r="R1" t="s">
        <v>167</v>
      </c>
    </row>
    <row r="2" spans="1:18" x14ac:dyDescent="0.2">
      <c r="A2" t="s">
        <v>882</v>
      </c>
      <c r="B2" t="s">
        <v>1214</v>
      </c>
      <c r="D2" t="s">
        <v>961</v>
      </c>
      <c r="E2">
        <v>1</v>
      </c>
      <c r="F2" t="s">
        <v>834</v>
      </c>
      <c r="G2" t="s">
        <v>835</v>
      </c>
      <c r="H2" t="s">
        <v>153</v>
      </c>
      <c r="I2">
        <v>1</v>
      </c>
      <c r="O2">
        <v>0</v>
      </c>
      <c r="P2">
        <v>0</v>
      </c>
    </row>
    <row r="3" spans="1:18" x14ac:dyDescent="0.2">
      <c r="A3" t="s">
        <v>882</v>
      </c>
      <c r="B3" t="s">
        <v>1215</v>
      </c>
      <c r="D3" t="s">
        <v>961</v>
      </c>
      <c r="E3">
        <v>2</v>
      </c>
      <c r="F3" t="s">
        <v>834</v>
      </c>
      <c r="G3" t="s">
        <v>845</v>
      </c>
      <c r="H3" t="s">
        <v>153</v>
      </c>
      <c r="O3">
        <v>0</v>
      </c>
      <c r="P3">
        <v>0</v>
      </c>
    </row>
    <row r="4" spans="1:18" x14ac:dyDescent="0.2">
      <c r="A4" t="s">
        <v>882</v>
      </c>
      <c r="B4" t="s">
        <v>1216</v>
      </c>
      <c r="D4" t="s">
        <v>961</v>
      </c>
      <c r="E4">
        <v>3</v>
      </c>
      <c r="F4" t="s">
        <v>834</v>
      </c>
      <c r="G4" t="s">
        <v>836</v>
      </c>
      <c r="H4" t="s">
        <v>153</v>
      </c>
      <c r="I4">
        <v>1</v>
      </c>
      <c r="O4">
        <v>0</v>
      </c>
      <c r="P4">
        <v>0</v>
      </c>
    </row>
    <row r="5" spans="1:18" x14ac:dyDescent="0.2">
      <c r="A5" t="s">
        <v>882</v>
      </c>
      <c r="B5" t="s">
        <v>1217</v>
      </c>
      <c r="D5" t="s">
        <v>961</v>
      </c>
      <c r="E5">
        <v>4</v>
      </c>
      <c r="F5" t="s">
        <v>834</v>
      </c>
      <c r="G5" t="s">
        <v>837</v>
      </c>
      <c r="H5" t="s">
        <v>181</v>
      </c>
      <c r="O5">
        <v>0</v>
      </c>
      <c r="P5">
        <v>0</v>
      </c>
    </row>
    <row r="6" spans="1:18" x14ac:dyDescent="0.2">
      <c r="A6" t="s">
        <v>882</v>
      </c>
      <c r="B6" t="s">
        <v>1218</v>
      </c>
      <c r="D6" t="s">
        <v>961</v>
      </c>
      <c r="E6">
        <v>5</v>
      </c>
      <c r="F6" t="s">
        <v>834</v>
      </c>
      <c r="G6" t="s">
        <v>1602</v>
      </c>
      <c r="H6" t="s">
        <v>181</v>
      </c>
      <c r="O6">
        <v>0</v>
      </c>
      <c r="P6">
        <v>0</v>
      </c>
    </row>
    <row r="7" spans="1:18" x14ac:dyDescent="0.2">
      <c r="A7" t="s">
        <v>882</v>
      </c>
      <c r="B7" t="s">
        <v>1219</v>
      </c>
      <c r="D7" t="s">
        <v>961</v>
      </c>
      <c r="E7">
        <v>6</v>
      </c>
      <c r="F7" t="s">
        <v>834</v>
      </c>
      <c r="G7" t="s">
        <v>838</v>
      </c>
      <c r="H7" t="s">
        <v>181</v>
      </c>
      <c r="O7">
        <v>0</v>
      </c>
      <c r="P7">
        <v>0</v>
      </c>
    </row>
    <row r="8" spans="1:18" x14ac:dyDescent="0.2">
      <c r="A8" t="s">
        <v>882</v>
      </c>
      <c r="B8" t="s">
        <v>1220</v>
      </c>
      <c r="D8" t="s">
        <v>961</v>
      </c>
      <c r="E8">
        <v>7</v>
      </c>
      <c r="F8" t="s">
        <v>834</v>
      </c>
      <c r="G8" t="s">
        <v>851</v>
      </c>
      <c r="H8" t="s">
        <v>181</v>
      </c>
      <c r="O8">
        <v>0</v>
      </c>
      <c r="P8">
        <v>0</v>
      </c>
    </row>
    <row r="9" spans="1:18" x14ac:dyDescent="0.2">
      <c r="A9" t="s">
        <v>882</v>
      </c>
      <c r="B9" t="s">
        <v>1221</v>
      </c>
      <c r="D9" t="s">
        <v>961</v>
      </c>
      <c r="E9">
        <v>8</v>
      </c>
      <c r="F9" t="s">
        <v>834</v>
      </c>
      <c r="G9" t="s">
        <v>1603</v>
      </c>
      <c r="H9" t="s">
        <v>181</v>
      </c>
      <c r="O9">
        <v>0</v>
      </c>
      <c r="P9">
        <v>0</v>
      </c>
    </row>
    <row r="10" spans="1:18" x14ac:dyDescent="0.2">
      <c r="A10" t="s">
        <v>882</v>
      </c>
      <c r="B10" t="s">
        <v>1222</v>
      </c>
      <c r="D10" t="s">
        <v>961</v>
      </c>
      <c r="E10">
        <v>9</v>
      </c>
      <c r="F10" t="s">
        <v>834</v>
      </c>
      <c r="G10" t="s">
        <v>839</v>
      </c>
      <c r="H10" t="s">
        <v>181</v>
      </c>
      <c r="O10">
        <v>0</v>
      </c>
      <c r="P10">
        <v>0</v>
      </c>
    </row>
    <row r="11" spans="1:18" x14ac:dyDescent="0.2">
      <c r="A11" t="s">
        <v>882</v>
      </c>
      <c r="B11" t="s">
        <v>962</v>
      </c>
      <c r="D11" t="s">
        <v>961</v>
      </c>
      <c r="E11">
        <v>10</v>
      </c>
      <c r="F11" t="s">
        <v>834</v>
      </c>
      <c r="G11" t="s">
        <v>840</v>
      </c>
      <c r="H11" t="s">
        <v>181</v>
      </c>
      <c r="O11">
        <v>0</v>
      </c>
      <c r="P11">
        <v>0</v>
      </c>
    </row>
    <row r="12" spans="1:18" x14ac:dyDescent="0.2">
      <c r="A12" t="s">
        <v>882</v>
      </c>
      <c r="B12" t="s">
        <v>963</v>
      </c>
      <c r="D12" t="s">
        <v>961</v>
      </c>
      <c r="E12">
        <v>11</v>
      </c>
      <c r="F12" t="s">
        <v>834</v>
      </c>
      <c r="G12" t="s">
        <v>841</v>
      </c>
      <c r="H12" t="s">
        <v>181</v>
      </c>
      <c r="O12">
        <v>0</v>
      </c>
      <c r="P12">
        <v>0</v>
      </c>
    </row>
    <row r="13" spans="1:18" x14ac:dyDescent="0.2">
      <c r="A13" t="s">
        <v>882</v>
      </c>
      <c r="B13" t="s">
        <v>964</v>
      </c>
      <c r="D13" t="s">
        <v>961</v>
      </c>
      <c r="E13">
        <v>12</v>
      </c>
      <c r="F13" t="s">
        <v>834</v>
      </c>
      <c r="G13" t="s">
        <v>842</v>
      </c>
      <c r="H13" t="s">
        <v>181</v>
      </c>
      <c r="O13">
        <v>0</v>
      </c>
      <c r="P13">
        <v>0</v>
      </c>
    </row>
    <row r="14" spans="1:18" x14ac:dyDescent="0.2">
      <c r="A14" t="s">
        <v>882</v>
      </c>
      <c r="B14" t="s">
        <v>965</v>
      </c>
      <c r="D14" t="s">
        <v>961</v>
      </c>
      <c r="E14">
        <v>13</v>
      </c>
      <c r="F14" t="s">
        <v>834</v>
      </c>
      <c r="G14" t="s">
        <v>843</v>
      </c>
      <c r="H14" t="s">
        <v>148</v>
      </c>
      <c r="O14">
        <v>0</v>
      </c>
      <c r="P14">
        <v>0</v>
      </c>
    </row>
    <row r="15" spans="1:18" x14ac:dyDescent="0.2">
      <c r="A15" t="s">
        <v>882</v>
      </c>
      <c r="B15" t="s">
        <v>966</v>
      </c>
      <c r="D15" t="s">
        <v>961</v>
      </c>
      <c r="E15">
        <v>14</v>
      </c>
      <c r="F15" t="s">
        <v>834</v>
      </c>
      <c r="G15" t="s">
        <v>844</v>
      </c>
      <c r="H15" t="s">
        <v>150</v>
      </c>
      <c r="O15">
        <v>0</v>
      </c>
      <c r="P15">
        <v>0</v>
      </c>
    </row>
    <row r="16" spans="1:18" x14ac:dyDescent="0.2">
      <c r="A16" t="s">
        <v>882</v>
      </c>
      <c r="B16" t="s">
        <v>967</v>
      </c>
      <c r="D16" t="s">
        <v>961</v>
      </c>
      <c r="E16">
        <v>15</v>
      </c>
      <c r="F16" t="s">
        <v>834</v>
      </c>
      <c r="G16" t="s">
        <v>1604</v>
      </c>
      <c r="H16" t="s">
        <v>150</v>
      </c>
      <c r="O16">
        <v>0</v>
      </c>
      <c r="P16">
        <v>0</v>
      </c>
    </row>
    <row r="17" spans="1:16" x14ac:dyDescent="0.2">
      <c r="A17" t="s">
        <v>882</v>
      </c>
      <c r="B17" t="s">
        <v>968</v>
      </c>
      <c r="D17" t="s">
        <v>961</v>
      </c>
      <c r="E17">
        <v>16</v>
      </c>
      <c r="F17" t="s">
        <v>834</v>
      </c>
      <c r="G17" t="s">
        <v>846</v>
      </c>
      <c r="H17" t="s">
        <v>153</v>
      </c>
      <c r="I17">
        <v>1</v>
      </c>
      <c r="O17">
        <v>0</v>
      </c>
      <c r="P17">
        <v>0</v>
      </c>
    </row>
    <row r="18" spans="1:16" x14ac:dyDescent="0.2">
      <c r="A18" t="s">
        <v>882</v>
      </c>
      <c r="B18" t="s">
        <v>969</v>
      </c>
      <c r="D18" t="s">
        <v>961</v>
      </c>
      <c r="E18">
        <v>17</v>
      </c>
      <c r="F18" t="s">
        <v>834</v>
      </c>
      <c r="G18" t="s">
        <v>847</v>
      </c>
      <c r="H18" t="s">
        <v>148</v>
      </c>
      <c r="O18">
        <v>0</v>
      </c>
      <c r="P18">
        <v>0</v>
      </c>
    </row>
    <row r="19" spans="1:16" x14ac:dyDescent="0.2">
      <c r="A19" t="s">
        <v>882</v>
      </c>
      <c r="B19" t="s">
        <v>970</v>
      </c>
      <c r="D19" t="s">
        <v>961</v>
      </c>
      <c r="E19">
        <v>18</v>
      </c>
      <c r="F19" t="s">
        <v>834</v>
      </c>
      <c r="G19" t="s">
        <v>848</v>
      </c>
      <c r="H19" t="s">
        <v>181</v>
      </c>
      <c r="O19">
        <v>0</v>
      </c>
      <c r="P19">
        <v>0</v>
      </c>
    </row>
    <row r="20" spans="1:16" x14ac:dyDescent="0.2">
      <c r="A20" t="s">
        <v>882</v>
      </c>
      <c r="B20" t="s">
        <v>971</v>
      </c>
      <c r="D20" t="s">
        <v>961</v>
      </c>
      <c r="E20">
        <v>19</v>
      </c>
      <c r="F20" t="s">
        <v>834</v>
      </c>
      <c r="G20" t="s">
        <v>849</v>
      </c>
      <c r="H20" t="s">
        <v>181</v>
      </c>
      <c r="O20">
        <v>0</v>
      </c>
      <c r="P20">
        <v>0</v>
      </c>
    </row>
    <row r="21" spans="1:16" x14ac:dyDescent="0.2">
      <c r="A21" t="s">
        <v>882</v>
      </c>
      <c r="B21" t="s">
        <v>972</v>
      </c>
      <c r="D21" t="s">
        <v>961</v>
      </c>
      <c r="E21">
        <v>20</v>
      </c>
      <c r="F21" t="s">
        <v>834</v>
      </c>
      <c r="G21" t="s">
        <v>850</v>
      </c>
      <c r="H21" t="s">
        <v>181</v>
      </c>
      <c r="O21">
        <v>0</v>
      </c>
      <c r="P21">
        <v>0</v>
      </c>
    </row>
    <row r="22" spans="1:16" x14ac:dyDescent="0.2">
      <c r="A22" t="s">
        <v>882</v>
      </c>
      <c r="B22" t="s">
        <v>973</v>
      </c>
      <c r="D22" t="s">
        <v>961</v>
      </c>
      <c r="E22">
        <v>21</v>
      </c>
      <c r="F22" t="s">
        <v>834</v>
      </c>
      <c r="G22" t="s">
        <v>855</v>
      </c>
      <c r="H22" t="s">
        <v>153</v>
      </c>
      <c r="I22">
        <v>1</v>
      </c>
      <c r="O22">
        <v>0</v>
      </c>
      <c r="P22">
        <v>0</v>
      </c>
    </row>
    <row r="23" spans="1:16" x14ac:dyDescent="0.2">
      <c r="A23" t="s">
        <v>882</v>
      </c>
      <c r="B23" t="s">
        <v>974</v>
      </c>
      <c r="D23" t="s">
        <v>961</v>
      </c>
      <c r="E23">
        <v>22</v>
      </c>
      <c r="F23" t="s">
        <v>834</v>
      </c>
      <c r="G23" t="s">
        <v>854</v>
      </c>
      <c r="H23" t="s">
        <v>153</v>
      </c>
      <c r="I23">
        <v>1</v>
      </c>
      <c r="O23">
        <v>0</v>
      </c>
      <c r="P23">
        <v>0</v>
      </c>
    </row>
    <row r="24" spans="1:16" x14ac:dyDescent="0.2">
      <c r="A24" t="s">
        <v>882</v>
      </c>
      <c r="B24" t="s">
        <v>975</v>
      </c>
      <c r="D24" t="s">
        <v>961</v>
      </c>
      <c r="E24">
        <v>23</v>
      </c>
      <c r="F24" t="s">
        <v>834</v>
      </c>
      <c r="G24" t="s">
        <v>856</v>
      </c>
      <c r="H24" t="s">
        <v>181</v>
      </c>
      <c r="O24">
        <v>0</v>
      </c>
      <c r="P24">
        <v>0</v>
      </c>
    </row>
    <row r="25" spans="1:16" x14ac:dyDescent="0.2">
      <c r="A25" t="s">
        <v>882</v>
      </c>
      <c r="B25" t="s">
        <v>976</v>
      </c>
      <c r="D25" t="s">
        <v>961</v>
      </c>
      <c r="E25">
        <v>24</v>
      </c>
      <c r="F25" t="s">
        <v>834</v>
      </c>
      <c r="G25" t="s">
        <v>873</v>
      </c>
      <c r="H25" t="s">
        <v>153</v>
      </c>
      <c r="O25">
        <v>0</v>
      </c>
      <c r="P25">
        <v>0</v>
      </c>
    </row>
    <row r="26" spans="1:16" x14ac:dyDescent="0.2">
      <c r="A26" t="s">
        <v>882</v>
      </c>
      <c r="B26" t="s">
        <v>977</v>
      </c>
      <c r="D26" t="s">
        <v>961</v>
      </c>
      <c r="E26">
        <v>25</v>
      </c>
      <c r="F26" t="s">
        <v>834</v>
      </c>
      <c r="G26" t="s">
        <v>874</v>
      </c>
      <c r="H26" t="s">
        <v>152</v>
      </c>
      <c r="O26">
        <v>0</v>
      </c>
      <c r="P26">
        <v>0</v>
      </c>
    </row>
    <row r="27" spans="1:16" x14ac:dyDescent="0.2">
      <c r="A27" t="s">
        <v>882</v>
      </c>
      <c r="B27" t="s">
        <v>978</v>
      </c>
      <c r="D27" t="s">
        <v>961</v>
      </c>
      <c r="E27">
        <v>26</v>
      </c>
      <c r="F27" t="s">
        <v>834</v>
      </c>
      <c r="G27" t="s">
        <v>875</v>
      </c>
      <c r="H27" t="s">
        <v>181</v>
      </c>
      <c r="O27">
        <v>0</v>
      </c>
      <c r="P27">
        <v>0</v>
      </c>
    </row>
    <row r="28" spans="1:16" x14ac:dyDescent="0.2">
      <c r="A28" t="s">
        <v>882</v>
      </c>
      <c r="B28" t="s">
        <v>979</v>
      </c>
      <c r="D28" t="s">
        <v>961</v>
      </c>
      <c r="E28">
        <v>27</v>
      </c>
      <c r="F28" t="s">
        <v>834</v>
      </c>
      <c r="G28" t="s">
        <v>876</v>
      </c>
      <c r="H28" t="s">
        <v>181</v>
      </c>
      <c r="O28">
        <v>0</v>
      </c>
      <c r="P28">
        <v>0</v>
      </c>
    </row>
    <row r="29" spans="1:16" x14ac:dyDescent="0.2">
      <c r="A29" t="s">
        <v>882</v>
      </c>
      <c r="B29" t="s">
        <v>980</v>
      </c>
      <c r="D29" t="s">
        <v>961</v>
      </c>
      <c r="E29">
        <v>28</v>
      </c>
      <c r="F29" t="s">
        <v>834</v>
      </c>
      <c r="G29" t="s">
        <v>877</v>
      </c>
      <c r="H29" t="s">
        <v>181</v>
      </c>
      <c r="O29">
        <v>0</v>
      </c>
      <c r="P29">
        <v>0</v>
      </c>
    </row>
    <row r="30" spans="1:16" x14ac:dyDescent="0.2">
      <c r="A30" t="s">
        <v>882</v>
      </c>
      <c r="B30" t="s">
        <v>981</v>
      </c>
      <c r="D30" t="s">
        <v>961</v>
      </c>
      <c r="E30">
        <v>29</v>
      </c>
      <c r="F30" t="s">
        <v>834</v>
      </c>
      <c r="G30" t="s">
        <v>878</v>
      </c>
      <c r="H30" t="s">
        <v>152</v>
      </c>
      <c r="O30">
        <v>0</v>
      </c>
      <c r="P30">
        <v>0</v>
      </c>
    </row>
    <row r="31" spans="1:16" x14ac:dyDescent="0.2">
      <c r="A31" t="s">
        <v>882</v>
      </c>
      <c r="B31" t="s">
        <v>982</v>
      </c>
      <c r="D31" t="s">
        <v>961</v>
      </c>
      <c r="E31">
        <v>30</v>
      </c>
      <c r="F31" t="s">
        <v>834</v>
      </c>
      <c r="G31" t="s">
        <v>1646</v>
      </c>
      <c r="H31" t="s">
        <v>153</v>
      </c>
      <c r="O31">
        <v>0</v>
      </c>
      <c r="P31">
        <v>0</v>
      </c>
    </row>
    <row r="32" spans="1:16" x14ac:dyDescent="0.2">
      <c r="A32" t="s">
        <v>882</v>
      </c>
      <c r="B32" t="s">
        <v>983</v>
      </c>
      <c r="D32" t="s">
        <v>961</v>
      </c>
      <c r="E32">
        <v>31</v>
      </c>
      <c r="F32" t="s">
        <v>834</v>
      </c>
      <c r="G32" t="s">
        <v>879</v>
      </c>
      <c r="H32" t="s">
        <v>153</v>
      </c>
      <c r="O32">
        <v>0</v>
      </c>
      <c r="P32">
        <v>0</v>
      </c>
    </row>
    <row r="33" spans="1:16" x14ac:dyDescent="0.2">
      <c r="A33" t="s">
        <v>882</v>
      </c>
      <c r="B33" t="s">
        <v>984</v>
      </c>
      <c r="D33" t="s">
        <v>961</v>
      </c>
      <c r="E33">
        <v>32</v>
      </c>
      <c r="F33" t="s">
        <v>834</v>
      </c>
      <c r="G33" t="s">
        <v>880</v>
      </c>
      <c r="H33" t="s">
        <v>181</v>
      </c>
      <c r="O33">
        <v>0</v>
      </c>
      <c r="P33">
        <v>0</v>
      </c>
    </row>
    <row r="34" spans="1:16" x14ac:dyDescent="0.2">
      <c r="A34" t="s">
        <v>882</v>
      </c>
      <c r="B34" t="s">
        <v>1223</v>
      </c>
      <c r="D34" t="s">
        <v>985</v>
      </c>
      <c r="E34">
        <v>1</v>
      </c>
      <c r="F34" t="s">
        <v>853</v>
      </c>
      <c r="G34" t="s">
        <v>852</v>
      </c>
      <c r="H34" t="s">
        <v>153</v>
      </c>
      <c r="I34">
        <v>1</v>
      </c>
      <c r="O34">
        <v>0</v>
      </c>
      <c r="P34">
        <v>0</v>
      </c>
    </row>
    <row r="35" spans="1:16" x14ac:dyDescent="0.2">
      <c r="A35" t="s">
        <v>882</v>
      </c>
      <c r="B35" t="s">
        <v>1224</v>
      </c>
      <c r="D35" t="s">
        <v>985</v>
      </c>
      <c r="E35">
        <v>2</v>
      </c>
      <c r="F35" t="s">
        <v>853</v>
      </c>
      <c r="G35" t="s">
        <v>857</v>
      </c>
      <c r="H35" t="s">
        <v>153</v>
      </c>
      <c r="I35">
        <v>1</v>
      </c>
      <c r="O35">
        <v>0</v>
      </c>
      <c r="P35">
        <v>0</v>
      </c>
    </row>
    <row r="36" spans="1:16" x14ac:dyDescent="0.2">
      <c r="A36" t="s">
        <v>882</v>
      </c>
      <c r="B36" t="s">
        <v>1225</v>
      </c>
      <c r="D36" t="s">
        <v>985</v>
      </c>
      <c r="E36">
        <v>3</v>
      </c>
      <c r="F36" t="s">
        <v>853</v>
      </c>
      <c r="G36" t="s">
        <v>858</v>
      </c>
      <c r="H36" t="s">
        <v>148</v>
      </c>
      <c r="I36">
        <v>1</v>
      </c>
      <c r="O36">
        <v>0</v>
      </c>
      <c r="P36">
        <v>0</v>
      </c>
    </row>
    <row r="37" spans="1:16" x14ac:dyDescent="0.2">
      <c r="A37" t="s">
        <v>882</v>
      </c>
      <c r="B37" t="s">
        <v>1226</v>
      </c>
      <c r="D37" t="s">
        <v>985</v>
      </c>
      <c r="E37">
        <v>4</v>
      </c>
      <c r="F37" t="s">
        <v>853</v>
      </c>
      <c r="G37" t="s">
        <v>859</v>
      </c>
      <c r="H37" t="s">
        <v>148</v>
      </c>
      <c r="I37">
        <v>1</v>
      </c>
      <c r="O37">
        <v>0</v>
      </c>
      <c r="P37">
        <v>0</v>
      </c>
    </row>
    <row r="38" spans="1:16" x14ac:dyDescent="0.2">
      <c r="A38" t="s">
        <v>882</v>
      </c>
      <c r="B38" t="s">
        <v>1227</v>
      </c>
      <c r="D38" t="s">
        <v>985</v>
      </c>
      <c r="E38">
        <v>5</v>
      </c>
      <c r="F38" t="s">
        <v>853</v>
      </c>
      <c r="G38" t="s">
        <v>860</v>
      </c>
      <c r="H38" t="s">
        <v>148</v>
      </c>
      <c r="I38">
        <v>1</v>
      </c>
      <c r="O38">
        <v>0</v>
      </c>
      <c r="P38">
        <v>0</v>
      </c>
    </row>
    <row r="39" spans="1:16" x14ac:dyDescent="0.2">
      <c r="A39" t="s">
        <v>882</v>
      </c>
      <c r="B39" t="s">
        <v>1228</v>
      </c>
      <c r="D39" t="s">
        <v>985</v>
      </c>
      <c r="E39">
        <v>6</v>
      </c>
      <c r="F39" t="s">
        <v>853</v>
      </c>
      <c r="G39" t="s">
        <v>861</v>
      </c>
      <c r="H39" t="s">
        <v>148</v>
      </c>
      <c r="I39">
        <v>1</v>
      </c>
      <c r="O39">
        <v>0</v>
      </c>
      <c r="P39">
        <v>0</v>
      </c>
    </row>
    <row r="40" spans="1:16" x14ac:dyDescent="0.2">
      <c r="A40" t="s">
        <v>882</v>
      </c>
      <c r="B40" t="s">
        <v>1229</v>
      </c>
      <c r="D40" t="s">
        <v>985</v>
      </c>
      <c r="E40">
        <v>7</v>
      </c>
      <c r="F40" t="s">
        <v>853</v>
      </c>
      <c r="G40" t="s">
        <v>862</v>
      </c>
      <c r="H40" t="s">
        <v>152</v>
      </c>
      <c r="I40">
        <v>1</v>
      </c>
      <c r="O40">
        <v>0</v>
      </c>
      <c r="P40">
        <v>0</v>
      </c>
    </row>
    <row r="41" spans="1:16" x14ac:dyDescent="0.2">
      <c r="A41" t="s">
        <v>882</v>
      </c>
      <c r="B41" t="s">
        <v>1230</v>
      </c>
      <c r="D41" t="s">
        <v>985</v>
      </c>
      <c r="E41">
        <v>8</v>
      </c>
      <c r="F41" t="s">
        <v>853</v>
      </c>
      <c r="G41" t="s">
        <v>863</v>
      </c>
      <c r="H41" t="s">
        <v>181</v>
      </c>
      <c r="O41">
        <v>0</v>
      </c>
      <c r="P41">
        <v>0</v>
      </c>
    </row>
    <row r="42" spans="1:16" x14ac:dyDescent="0.2">
      <c r="A42" t="s">
        <v>882</v>
      </c>
      <c r="B42" t="s">
        <v>1231</v>
      </c>
      <c r="D42" t="s">
        <v>985</v>
      </c>
      <c r="E42">
        <v>9</v>
      </c>
      <c r="F42" t="s">
        <v>853</v>
      </c>
      <c r="G42" t="s">
        <v>1605</v>
      </c>
      <c r="H42" t="s">
        <v>181</v>
      </c>
      <c r="O42">
        <v>0</v>
      </c>
      <c r="P42">
        <v>0</v>
      </c>
    </row>
    <row r="43" spans="1:16" x14ac:dyDescent="0.2">
      <c r="A43" t="s">
        <v>882</v>
      </c>
      <c r="B43" t="s">
        <v>986</v>
      </c>
      <c r="D43" t="s">
        <v>985</v>
      </c>
      <c r="E43">
        <v>10</v>
      </c>
      <c r="F43" t="s">
        <v>853</v>
      </c>
      <c r="G43" t="s">
        <v>864</v>
      </c>
      <c r="H43" t="s">
        <v>153</v>
      </c>
      <c r="I43">
        <v>1</v>
      </c>
      <c r="O43">
        <v>0</v>
      </c>
      <c r="P43">
        <v>0</v>
      </c>
    </row>
    <row r="44" spans="1:16" x14ac:dyDescent="0.2">
      <c r="A44" t="s">
        <v>882</v>
      </c>
      <c r="B44" t="s">
        <v>987</v>
      </c>
      <c r="D44" t="s">
        <v>985</v>
      </c>
      <c r="E44">
        <v>11</v>
      </c>
      <c r="F44" t="s">
        <v>853</v>
      </c>
      <c r="G44" t="s">
        <v>865</v>
      </c>
      <c r="H44" t="s">
        <v>150</v>
      </c>
      <c r="I44">
        <v>1</v>
      </c>
      <c r="O44">
        <v>0</v>
      </c>
      <c r="P44">
        <v>0</v>
      </c>
    </row>
    <row r="45" spans="1:16" x14ac:dyDescent="0.2">
      <c r="A45" t="s">
        <v>882</v>
      </c>
      <c r="B45" t="s">
        <v>988</v>
      </c>
      <c r="D45" t="s">
        <v>985</v>
      </c>
      <c r="E45">
        <v>12</v>
      </c>
      <c r="F45" t="s">
        <v>853</v>
      </c>
      <c r="G45" t="s">
        <v>866</v>
      </c>
      <c r="H45" t="s">
        <v>148</v>
      </c>
      <c r="I45">
        <v>1</v>
      </c>
      <c r="O45">
        <v>0</v>
      </c>
      <c r="P45">
        <v>0</v>
      </c>
    </row>
    <row r="46" spans="1:16" x14ac:dyDescent="0.2">
      <c r="A46" t="s">
        <v>882</v>
      </c>
      <c r="B46" t="s">
        <v>989</v>
      </c>
      <c r="D46" t="s">
        <v>985</v>
      </c>
      <c r="E46">
        <v>13</v>
      </c>
      <c r="F46" t="s">
        <v>853</v>
      </c>
      <c r="G46" t="s">
        <v>872</v>
      </c>
      <c r="H46" t="s">
        <v>148</v>
      </c>
      <c r="I46">
        <v>1</v>
      </c>
      <c r="O46">
        <v>0</v>
      </c>
      <c r="P46">
        <v>0</v>
      </c>
    </row>
    <row r="47" spans="1:16" x14ac:dyDescent="0.2">
      <c r="A47" t="s">
        <v>882</v>
      </c>
      <c r="B47" t="s">
        <v>990</v>
      </c>
      <c r="D47" t="s">
        <v>985</v>
      </c>
      <c r="E47">
        <v>14</v>
      </c>
      <c r="F47" t="s">
        <v>853</v>
      </c>
      <c r="G47" t="s">
        <v>867</v>
      </c>
      <c r="H47" t="s">
        <v>150</v>
      </c>
      <c r="O47">
        <v>0</v>
      </c>
      <c r="P47">
        <v>0</v>
      </c>
    </row>
    <row r="48" spans="1:16" x14ac:dyDescent="0.2">
      <c r="A48" t="s">
        <v>882</v>
      </c>
      <c r="B48" t="s">
        <v>991</v>
      </c>
      <c r="D48" t="s">
        <v>985</v>
      </c>
      <c r="E48">
        <v>15</v>
      </c>
      <c r="F48" t="s">
        <v>853</v>
      </c>
      <c r="G48" t="s">
        <v>868</v>
      </c>
      <c r="H48" t="s">
        <v>153</v>
      </c>
      <c r="O48">
        <v>0</v>
      </c>
      <c r="P48">
        <v>0</v>
      </c>
    </row>
    <row r="49" spans="1:16" x14ac:dyDescent="0.2">
      <c r="A49" t="s">
        <v>882</v>
      </c>
      <c r="B49" t="s">
        <v>992</v>
      </c>
      <c r="D49" t="s">
        <v>985</v>
      </c>
      <c r="E49">
        <v>16</v>
      </c>
      <c r="F49" t="s">
        <v>853</v>
      </c>
      <c r="G49" t="s">
        <v>869</v>
      </c>
      <c r="H49" t="s">
        <v>181</v>
      </c>
      <c r="O49">
        <v>0</v>
      </c>
      <c r="P49">
        <v>0</v>
      </c>
    </row>
    <row r="50" spans="1:16" x14ac:dyDescent="0.2">
      <c r="A50" t="s">
        <v>882</v>
      </c>
      <c r="B50" t="s">
        <v>993</v>
      </c>
      <c r="D50" t="s">
        <v>985</v>
      </c>
      <c r="E50">
        <v>17</v>
      </c>
      <c r="F50" t="s">
        <v>853</v>
      </c>
      <c r="G50" t="s">
        <v>870</v>
      </c>
      <c r="H50" t="s">
        <v>152</v>
      </c>
      <c r="O50">
        <v>0</v>
      </c>
      <c r="P50">
        <v>0</v>
      </c>
    </row>
    <row r="51" spans="1:16" x14ac:dyDescent="0.2">
      <c r="A51" t="s">
        <v>882</v>
      </c>
      <c r="B51" t="s">
        <v>994</v>
      </c>
      <c r="D51" t="s">
        <v>985</v>
      </c>
      <c r="E51">
        <v>18</v>
      </c>
      <c r="F51" t="s">
        <v>853</v>
      </c>
      <c r="G51" t="s">
        <v>871</v>
      </c>
      <c r="H51" t="s">
        <v>152</v>
      </c>
      <c r="O51">
        <v>0</v>
      </c>
      <c r="P51">
        <v>0</v>
      </c>
    </row>
    <row r="52" spans="1:16" x14ac:dyDescent="0.2">
      <c r="A52" t="s">
        <v>882</v>
      </c>
      <c r="B52" t="s">
        <v>1232</v>
      </c>
      <c r="D52" t="s">
        <v>995</v>
      </c>
      <c r="E52">
        <v>1</v>
      </c>
      <c r="F52" t="s">
        <v>881</v>
      </c>
      <c r="G52" t="s">
        <v>883</v>
      </c>
      <c r="H52" t="s">
        <v>148</v>
      </c>
      <c r="O52">
        <v>0</v>
      </c>
      <c r="P52">
        <v>0</v>
      </c>
    </row>
    <row r="53" spans="1:16" x14ac:dyDescent="0.2">
      <c r="A53" t="s">
        <v>882</v>
      </c>
      <c r="B53" t="s">
        <v>1233</v>
      </c>
      <c r="D53" t="s">
        <v>995</v>
      </c>
      <c r="E53">
        <v>2</v>
      </c>
      <c r="F53" t="s">
        <v>881</v>
      </c>
      <c r="G53" t="s">
        <v>884</v>
      </c>
      <c r="H53" t="s">
        <v>153</v>
      </c>
      <c r="I53">
        <v>1</v>
      </c>
      <c r="O53">
        <v>0</v>
      </c>
      <c r="P53">
        <v>0</v>
      </c>
    </row>
    <row r="54" spans="1:16" x14ac:dyDescent="0.2">
      <c r="A54" t="s">
        <v>882</v>
      </c>
      <c r="B54" t="s">
        <v>1234</v>
      </c>
      <c r="D54" t="s">
        <v>995</v>
      </c>
      <c r="E54">
        <v>3</v>
      </c>
      <c r="F54" t="s">
        <v>881</v>
      </c>
      <c r="G54" t="s">
        <v>885</v>
      </c>
      <c r="H54" t="s">
        <v>150</v>
      </c>
      <c r="I54">
        <v>1</v>
      </c>
      <c r="O54">
        <v>0</v>
      </c>
      <c r="P54">
        <v>0</v>
      </c>
    </row>
    <row r="55" spans="1:16" x14ac:dyDescent="0.2">
      <c r="A55" t="s">
        <v>882</v>
      </c>
      <c r="B55" t="s">
        <v>1235</v>
      </c>
      <c r="D55" t="s">
        <v>995</v>
      </c>
      <c r="E55">
        <v>4</v>
      </c>
      <c r="F55" t="s">
        <v>881</v>
      </c>
      <c r="G55" t="s">
        <v>1606</v>
      </c>
      <c r="H55" t="s">
        <v>181</v>
      </c>
      <c r="O55">
        <v>0</v>
      </c>
      <c r="P55">
        <v>0</v>
      </c>
    </row>
    <row r="56" spans="1:16" x14ac:dyDescent="0.2">
      <c r="A56" t="s">
        <v>882</v>
      </c>
      <c r="B56" t="s">
        <v>1236</v>
      </c>
      <c r="D56" t="s">
        <v>995</v>
      </c>
      <c r="E56">
        <v>5</v>
      </c>
      <c r="F56" t="s">
        <v>881</v>
      </c>
      <c r="G56" t="s">
        <v>886</v>
      </c>
      <c r="H56" t="s">
        <v>152</v>
      </c>
      <c r="O56">
        <v>0</v>
      </c>
      <c r="P56">
        <v>0</v>
      </c>
    </row>
    <row r="57" spans="1:16" x14ac:dyDescent="0.2">
      <c r="A57" t="s">
        <v>882</v>
      </c>
      <c r="B57" t="s">
        <v>1237</v>
      </c>
      <c r="D57" t="s">
        <v>995</v>
      </c>
      <c r="E57">
        <v>6</v>
      </c>
      <c r="F57" t="s">
        <v>881</v>
      </c>
      <c r="G57" t="s">
        <v>1607</v>
      </c>
      <c r="H57" t="s">
        <v>152</v>
      </c>
      <c r="O57">
        <v>0</v>
      </c>
      <c r="P57">
        <v>0</v>
      </c>
    </row>
    <row r="58" spans="1:16" x14ac:dyDescent="0.2">
      <c r="A58" t="s">
        <v>882</v>
      </c>
      <c r="B58" t="s">
        <v>1238</v>
      </c>
      <c r="D58" t="s">
        <v>995</v>
      </c>
      <c r="E58">
        <v>7</v>
      </c>
      <c r="F58" t="s">
        <v>881</v>
      </c>
      <c r="G58" t="s">
        <v>887</v>
      </c>
      <c r="H58" t="s">
        <v>153</v>
      </c>
      <c r="I58">
        <v>1</v>
      </c>
      <c r="O58">
        <v>0</v>
      </c>
      <c r="P58">
        <v>0</v>
      </c>
    </row>
    <row r="59" spans="1:16" x14ac:dyDescent="0.2">
      <c r="A59" t="s">
        <v>882</v>
      </c>
      <c r="B59" t="s">
        <v>1239</v>
      </c>
      <c r="D59" t="s">
        <v>995</v>
      </c>
      <c r="E59">
        <v>8</v>
      </c>
      <c r="F59" t="s">
        <v>881</v>
      </c>
      <c r="G59" t="s">
        <v>888</v>
      </c>
      <c r="H59" t="s">
        <v>148</v>
      </c>
      <c r="O59">
        <v>0</v>
      </c>
      <c r="P59">
        <v>0</v>
      </c>
    </row>
    <row r="60" spans="1:16" x14ac:dyDescent="0.2">
      <c r="A60" t="s">
        <v>882</v>
      </c>
      <c r="B60" t="s">
        <v>1240</v>
      </c>
      <c r="D60" t="s">
        <v>995</v>
      </c>
      <c r="E60">
        <v>9</v>
      </c>
      <c r="F60" t="s">
        <v>881</v>
      </c>
      <c r="G60" t="s">
        <v>889</v>
      </c>
      <c r="H60" t="s">
        <v>150</v>
      </c>
      <c r="O60">
        <v>0</v>
      </c>
      <c r="P60">
        <v>0</v>
      </c>
    </row>
    <row r="61" spans="1:16" x14ac:dyDescent="0.2">
      <c r="A61" t="s">
        <v>882</v>
      </c>
      <c r="B61" t="s">
        <v>996</v>
      </c>
      <c r="D61" t="s">
        <v>995</v>
      </c>
      <c r="E61">
        <v>10</v>
      </c>
      <c r="F61" t="s">
        <v>881</v>
      </c>
      <c r="G61" t="s">
        <v>890</v>
      </c>
      <c r="H61" t="s">
        <v>153</v>
      </c>
      <c r="O61">
        <v>0</v>
      </c>
      <c r="P61">
        <v>0</v>
      </c>
    </row>
    <row r="62" spans="1:16" x14ac:dyDescent="0.2">
      <c r="A62" t="s">
        <v>882</v>
      </c>
      <c r="B62" t="s">
        <v>997</v>
      </c>
      <c r="D62" t="s">
        <v>995</v>
      </c>
      <c r="E62">
        <v>11</v>
      </c>
      <c r="F62" t="s">
        <v>881</v>
      </c>
      <c r="G62" t="s">
        <v>1608</v>
      </c>
      <c r="H62" t="s">
        <v>181</v>
      </c>
      <c r="O62">
        <v>0</v>
      </c>
      <c r="P62">
        <v>0</v>
      </c>
    </row>
    <row r="63" spans="1:16" x14ac:dyDescent="0.2">
      <c r="A63" t="s">
        <v>882</v>
      </c>
      <c r="B63" t="s">
        <v>998</v>
      </c>
      <c r="D63" t="s">
        <v>995</v>
      </c>
      <c r="E63">
        <v>12</v>
      </c>
      <c r="F63" t="s">
        <v>881</v>
      </c>
      <c r="G63" t="s">
        <v>1609</v>
      </c>
      <c r="H63" t="s">
        <v>181</v>
      </c>
      <c r="O63">
        <v>0</v>
      </c>
      <c r="P63">
        <v>0</v>
      </c>
    </row>
    <row r="64" spans="1:16" x14ac:dyDescent="0.2">
      <c r="A64" t="s">
        <v>882</v>
      </c>
      <c r="B64" t="s">
        <v>999</v>
      </c>
      <c r="D64" t="s">
        <v>995</v>
      </c>
      <c r="E64">
        <v>13</v>
      </c>
      <c r="F64" t="s">
        <v>881</v>
      </c>
      <c r="G64" t="s">
        <v>1610</v>
      </c>
      <c r="H64" t="s">
        <v>181</v>
      </c>
      <c r="O64">
        <v>0</v>
      </c>
      <c r="P64">
        <v>0</v>
      </c>
    </row>
    <row r="65" spans="1:16" x14ac:dyDescent="0.2">
      <c r="A65" t="s">
        <v>882</v>
      </c>
      <c r="B65" t="s">
        <v>1000</v>
      </c>
      <c r="D65" t="s">
        <v>995</v>
      </c>
      <c r="E65">
        <v>14</v>
      </c>
      <c r="F65" t="s">
        <v>881</v>
      </c>
      <c r="G65" t="s">
        <v>891</v>
      </c>
      <c r="H65" t="s">
        <v>150</v>
      </c>
      <c r="O65">
        <v>0</v>
      </c>
      <c r="P65">
        <v>0</v>
      </c>
    </row>
    <row r="66" spans="1:16" x14ac:dyDescent="0.2">
      <c r="A66" t="s">
        <v>882</v>
      </c>
      <c r="B66" t="s">
        <v>1001</v>
      </c>
      <c r="D66" t="s">
        <v>995</v>
      </c>
      <c r="E66">
        <v>15</v>
      </c>
      <c r="F66" t="s">
        <v>881</v>
      </c>
      <c r="G66" t="s">
        <v>892</v>
      </c>
      <c r="H66" t="s">
        <v>152</v>
      </c>
      <c r="I66">
        <v>1</v>
      </c>
      <c r="O66">
        <v>0</v>
      </c>
      <c r="P66">
        <v>0</v>
      </c>
    </row>
    <row r="67" spans="1:16" x14ac:dyDescent="0.2">
      <c r="A67" t="s">
        <v>882</v>
      </c>
      <c r="B67" t="s">
        <v>1002</v>
      </c>
      <c r="D67" t="s">
        <v>995</v>
      </c>
      <c r="E67">
        <v>16</v>
      </c>
      <c r="F67" t="s">
        <v>881</v>
      </c>
      <c r="G67" t="s">
        <v>893</v>
      </c>
      <c r="H67" t="s">
        <v>149</v>
      </c>
      <c r="O67">
        <v>0</v>
      </c>
      <c r="P67">
        <v>0</v>
      </c>
    </row>
    <row r="68" spans="1:16" x14ac:dyDescent="0.2">
      <c r="A68" t="s">
        <v>882</v>
      </c>
      <c r="B68" t="s">
        <v>1003</v>
      </c>
      <c r="D68" t="s">
        <v>995</v>
      </c>
      <c r="E68">
        <v>17</v>
      </c>
      <c r="F68" t="s">
        <v>881</v>
      </c>
      <c r="G68" t="s">
        <v>894</v>
      </c>
      <c r="H68" t="s">
        <v>153</v>
      </c>
      <c r="I68">
        <v>1</v>
      </c>
      <c r="O68">
        <v>0</v>
      </c>
      <c r="P68">
        <v>0</v>
      </c>
    </row>
    <row r="69" spans="1:16" x14ac:dyDescent="0.2">
      <c r="A69" t="s">
        <v>882</v>
      </c>
      <c r="B69" t="s">
        <v>1004</v>
      </c>
      <c r="D69" t="s">
        <v>995</v>
      </c>
      <c r="E69">
        <v>18</v>
      </c>
      <c r="F69" t="s">
        <v>881</v>
      </c>
      <c r="G69" t="s">
        <v>895</v>
      </c>
      <c r="H69" t="s">
        <v>152</v>
      </c>
      <c r="O69">
        <v>0</v>
      </c>
      <c r="P69">
        <v>0</v>
      </c>
    </row>
    <row r="70" spans="1:16" x14ac:dyDescent="0.2">
      <c r="A70" t="s">
        <v>882</v>
      </c>
      <c r="B70" t="s">
        <v>1005</v>
      </c>
      <c r="D70" t="s">
        <v>995</v>
      </c>
      <c r="E70">
        <v>19</v>
      </c>
      <c r="F70" t="s">
        <v>881</v>
      </c>
      <c r="G70" t="s">
        <v>896</v>
      </c>
      <c r="H70" t="s">
        <v>148</v>
      </c>
      <c r="O70">
        <v>0</v>
      </c>
      <c r="P70">
        <v>0</v>
      </c>
    </row>
    <row r="71" spans="1:16" x14ac:dyDescent="0.2">
      <c r="A71" t="s">
        <v>882</v>
      </c>
      <c r="B71" t="s">
        <v>1006</v>
      </c>
      <c r="D71" t="s">
        <v>995</v>
      </c>
      <c r="E71">
        <v>20</v>
      </c>
      <c r="F71" t="s">
        <v>881</v>
      </c>
      <c r="G71" t="s">
        <v>897</v>
      </c>
      <c r="H71" t="s">
        <v>152</v>
      </c>
      <c r="O71">
        <v>0</v>
      </c>
      <c r="P71">
        <v>0</v>
      </c>
    </row>
    <row r="72" spans="1:16" x14ac:dyDescent="0.2">
      <c r="A72" t="s">
        <v>882</v>
      </c>
      <c r="B72" t="s">
        <v>1007</v>
      </c>
      <c r="D72" t="s">
        <v>995</v>
      </c>
      <c r="E72">
        <v>21</v>
      </c>
      <c r="F72" t="s">
        <v>881</v>
      </c>
      <c r="G72" t="s">
        <v>898</v>
      </c>
      <c r="H72" t="s">
        <v>152</v>
      </c>
      <c r="O72">
        <v>0</v>
      </c>
      <c r="P72">
        <v>0</v>
      </c>
    </row>
    <row r="73" spans="1:16" x14ac:dyDescent="0.2">
      <c r="A73" t="s">
        <v>882</v>
      </c>
      <c r="B73" t="s">
        <v>1008</v>
      </c>
      <c r="D73" t="s">
        <v>995</v>
      </c>
      <c r="E73">
        <v>22</v>
      </c>
      <c r="F73" t="s">
        <v>881</v>
      </c>
      <c r="G73" t="s">
        <v>899</v>
      </c>
      <c r="H73" t="s">
        <v>152</v>
      </c>
      <c r="I73">
        <v>1</v>
      </c>
      <c r="O73">
        <v>0</v>
      </c>
      <c r="P73">
        <v>0</v>
      </c>
    </row>
    <row r="74" spans="1:16" x14ac:dyDescent="0.2">
      <c r="A74" t="s">
        <v>882</v>
      </c>
      <c r="B74" t="s">
        <v>1009</v>
      </c>
      <c r="D74" t="s">
        <v>995</v>
      </c>
      <c r="E74">
        <v>23</v>
      </c>
      <c r="F74" t="s">
        <v>881</v>
      </c>
      <c r="G74" t="s">
        <v>1612</v>
      </c>
      <c r="H74" t="s">
        <v>148</v>
      </c>
      <c r="O74">
        <v>0</v>
      </c>
      <c r="P74">
        <v>0</v>
      </c>
    </row>
    <row r="75" spans="1:16" x14ac:dyDescent="0.2">
      <c r="A75" t="s">
        <v>882</v>
      </c>
      <c r="B75" t="s">
        <v>1010</v>
      </c>
      <c r="D75" t="s">
        <v>995</v>
      </c>
      <c r="E75">
        <v>24</v>
      </c>
      <c r="F75" t="s">
        <v>881</v>
      </c>
      <c r="G75" t="s">
        <v>1611</v>
      </c>
      <c r="H75" t="s">
        <v>181</v>
      </c>
      <c r="O75">
        <v>0</v>
      </c>
      <c r="P75">
        <v>0</v>
      </c>
    </row>
    <row r="76" spans="1:16" x14ac:dyDescent="0.2">
      <c r="A76" t="s">
        <v>882</v>
      </c>
      <c r="B76" t="s">
        <v>1011</v>
      </c>
      <c r="D76" t="s">
        <v>995</v>
      </c>
      <c r="E76">
        <v>25</v>
      </c>
      <c r="F76" t="s">
        <v>881</v>
      </c>
      <c r="G76" t="s">
        <v>900</v>
      </c>
      <c r="H76" t="s">
        <v>152</v>
      </c>
      <c r="O76">
        <v>0</v>
      </c>
      <c r="P76">
        <v>0</v>
      </c>
    </row>
    <row r="77" spans="1:16" x14ac:dyDescent="0.2">
      <c r="A77" t="s">
        <v>882</v>
      </c>
      <c r="B77" t="s">
        <v>1012</v>
      </c>
      <c r="D77" t="s">
        <v>995</v>
      </c>
      <c r="E77">
        <v>26</v>
      </c>
      <c r="F77" t="s">
        <v>881</v>
      </c>
      <c r="G77" t="s">
        <v>901</v>
      </c>
      <c r="H77" t="s">
        <v>152</v>
      </c>
      <c r="O77">
        <v>0</v>
      </c>
      <c r="P77">
        <v>0</v>
      </c>
    </row>
    <row r="78" spans="1:16" x14ac:dyDescent="0.2">
      <c r="A78" t="s">
        <v>882</v>
      </c>
      <c r="B78" t="s">
        <v>1241</v>
      </c>
      <c r="D78" t="s">
        <v>1013</v>
      </c>
      <c r="E78">
        <v>1</v>
      </c>
      <c r="F78" t="s">
        <v>938</v>
      </c>
      <c r="G78" t="s">
        <v>939</v>
      </c>
      <c r="H78" t="s">
        <v>153</v>
      </c>
      <c r="O78">
        <v>0</v>
      </c>
      <c r="P78">
        <v>0</v>
      </c>
    </row>
    <row r="79" spans="1:16" x14ac:dyDescent="0.2">
      <c r="A79" t="s">
        <v>882</v>
      </c>
      <c r="B79" t="s">
        <v>1242</v>
      </c>
      <c r="D79" t="s">
        <v>1013</v>
      </c>
      <c r="E79">
        <v>2</v>
      </c>
      <c r="F79" t="s">
        <v>938</v>
      </c>
      <c r="G79" t="s">
        <v>940</v>
      </c>
      <c r="H79" t="s">
        <v>153</v>
      </c>
      <c r="O79">
        <v>0</v>
      </c>
      <c r="P79">
        <v>0</v>
      </c>
    </row>
    <row r="80" spans="1:16" x14ac:dyDescent="0.2">
      <c r="A80" t="s">
        <v>882</v>
      </c>
      <c r="B80" t="s">
        <v>1243</v>
      </c>
      <c r="D80" t="s">
        <v>1013</v>
      </c>
      <c r="E80">
        <v>3</v>
      </c>
      <c r="F80" t="s">
        <v>938</v>
      </c>
      <c r="G80" t="s">
        <v>941</v>
      </c>
      <c r="H80" t="s">
        <v>153</v>
      </c>
      <c r="O80">
        <v>0</v>
      </c>
      <c r="P80">
        <v>0</v>
      </c>
    </row>
    <row r="81" spans="1:16" x14ac:dyDescent="0.2">
      <c r="A81" t="s">
        <v>882</v>
      </c>
      <c r="B81" t="s">
        <v>1244</v>
      </c>
      <c r="D81" t="s">
        <v>1013</v>
      </c>
      <c r="E81">
        <v>4</v>
      </c>
      <c r="F81" t="s">
        <v>938</v>
      </c>
      <c r="G81" t="s">
        <v>942</v>
      </c>
      <c r="H81" t="s">
        <v>153</v>
      </c>
      <c r="O81">
        <v>0</v>
      </c>
      <c r="P81">
        <v>0</v>
      </c>
    </row>
    <row r="82" spans="1:16" x14ac:dyDescent="0.2">
      <c r="A82" t="s">
        <v>882</v>
      </c>
      <c r="B82" t="s">
        <v>1245</v>
      </c>
      <c r="D82" t="s">
        <v>1013</v>
      </c>
      <c r="E82">
        <v>5</v>
      </c>
      <c r="F82" t="s">
        <v>938</v>
      </c>
      <c r="G82" t="s">
        <v>943</v>
      </c>
      <c r="H82" t="s">
        <v>153</v>
      </c>
      <c r="O82">
        <v>0</v>
      </c>
      <c r="P82">
        <v>0</v>
      </c>
    </row>
    <row r="83" spans="1:16" x14ac:dyDescent="0.2">
      <c r="A83" t="s">
        <v>882</v>
      </c>
      <c r="B83" t="s">
        <v>1246</v>
      </c>
      <c r="D83" t="s">
        <v>1013</v>
      </c>
      <c r="E83">
        <v>6</v>
      </c>
      <c r="F83" t="s">
        <v>938</v>
      </c>
      <c r="G83" t="s">
        <v>944</v>
      </c>
      <c r="H83" t="s">
        <v>153</v>
      </c>
      <c r="O83">
        <v>0</v>
      </c>
      <c r="P83">
        <v>0</v>
      </c>
    </row>
    <row r="84" spans="1:16" x14ac:dyDescent="0.2">
      <c r="A84" t="s">
        <v>882</v>
      </c>
      <c r="B84" t="s">
        <v>1247</v>
      </c>
      <c r="D84" t="s">
        <v>1013</v>
      </c>
      <c r="E84">
        <v>7</v>
      </c>
      <c r="F84" t="s">
        <v>938</v>
      </c>
      <c r="G84" t="s">
        <v>945</v>
      </c>
      <c r="H84" t="s">
        <v>153</v>
      </c>
      <c r="O84">
        <v>0</v>
      </c>
      <c r="P84">
        <v>0</v>
      </c>
    </row>
    <row r="85" spans="1:16" x14ac:dyDescent="0.2">
      <c r="A85" t="s">
        <v>882</v>
      </c>
      <c r="B85" t="s">
        <v>1248</v>
      </c>
      <c r="D85" t="s">
        <v>1013</v>
      </c>
      <c r="E85">
        <v>8</v>
      </c>
      <c r="F85" t="s">
        <v>938</v>
      </c>
      <c r="G85" t="s">
        <v>946</v>
      </c>
      <c r="H85" t="s">
        <v>153</v>
      </c>
      <c r="O85">
        <v>0</v>
      </c>
      <c r="P85">
        <v>0</v>
      </c>
    </row>
    <row r="86" spans="1:16" x14ac:dyDescent="0.2">
      <c r="A86" t="s">
        <v>882</v>
      </c>
      <c r="B86" t="s">
        <v>1249</v>
      </c>
      <c r="D86" t="s">
        <v>1013</v>
      </c>
      <c r="E86">
        <v>9</v>
      </c>
      <c r="F86" t="s">
        <v>938</v>
      </c>
      <c r="G86" t="s">
        <v>947</v>
      </c>
      <c r="H86" t="s">
        <v>153</v>
      </c>
      <c r="O86">
        <v>0</v>
      </c>
      <c r="P86">
        <v>0</v>
      </c>
    </row>
    <row r="87" spans="1:16" x14ac:dyDescent="0.2">
      <c r="A87" t="s">
        <v>882</v>
      </c>
      <c r="B87" t="s">
        <v>1014</v>
      </c>
      <c r="D87" t="s">
        <v>1013</v>
      </c>
      <c r="E87">
        <v>10</v>
      </c>
      <c r="F87" t="s">
        <v>938</v>
      </c>
      <c r="G87" t="s">
        <v>948</v>
      </c>
      <c r="H87" t="s">
        <v>153</v>
      </c>
      <c r="O87">
        <v>0</v>
      </c>
      <c r="P87">
        <v>0</v>
      </c>
    </row>
    <row r="88" spans="1:16" x14ac:dyDescent="0.2">
      <c r="A88" t="s">
        <v>882</v>
      </c>
      <c r="B88" t="s">
        <v>1015</v>
      </c>
      <c r="D88" t="s">
        <v>1013</v>
      </c>
      <c r="E88">
        <v>11</v>
      </c>
      <c r="F88" t="s">
        <v>938</v>
      </c>
      <c r="G88" t="s">
        <v>949</v>
      </c>
      <c r="H88" t="s">
        <v>181</v>
      </c>
      <c r="O88">
        <v>0</v>
      </c>
      <c r="P88">
        <v>0</v>
      </c>
    </row>
    <row r="89" spans="1:16" x14ac:dyDescent="0.2">
      <c r="A89" t="s">
        <v>882</v>
      </c>
      <c r="B89" t="s">
        <v>1016</v>
      </c>
      <c r="D89" t="s">
        <v>1013</v>
      </c>
      <c r="E89">
        <v>12</v>
      </c>
      <c r="F89" t="s">
        <v>938</v>
      </c>
      <c r="G89" t="s">
        <v>1624</v>
      </c>
      <c r="H89" t="s">
        <v>181</v>
      </c>
      <c r="O89">
        <v>0</v>
      </c>
      <c r="P89">
        <v>0</v>
      </c>
    </row>
    <row r="90" spans="1:16" x14ac:dyDescent="0.2">
      <c r="A90" t="s">
        <v>882</v>
      </c>
      <c r="B90" t="s">
        <v>1017</v>
      </c>
      <c r="D90" t="s">
        <v>1013</v>
      </c>
      <c r="E90">
        <v>13</v>
      </c>
      <c r="F90" t="s">
        <v>938</v>
      </c>
      <c r="G90" t="s">
        <v>950</v>
      </c>
      <c r="H90" t="s">
        <v>181</v>
      </c>
      <c r="O90">
        <v>0</v>
      </c>
      <c r="P90">
        <v>0</v>
      </c>
    </row>
    <row r="91" spans="1:16" x14ac:dyDescent="0.2">
      <c r="A91" t="s">
        <v>882</v>
      </c>
      <c r="B91" t="s">
        <v>1018</v>
      </c>
      <c r="D91" t="s">
        <v>1013</v>
      </c>
      <c r="E91">
        <v>14</v>
      </c>
      <c r="F91" t="s">
        <v>938</v>
      </c>
      <c r="G91" t="s">
        <v>951</v>
      </c>
      <c r="H91" t="s">
        <v>181</v>
      </c>
      <c r="O91">
        <v>0</v>
      </c>
      <c r="P91">
        <v>0</v>
      </c>
    </row>
    <row r="92" spans="1:16" x14ac:dyDescent="0.2">
      <c r="A92" t="s">
        <v>882</v>
      </c>
      <c r="B92" t="s">
        <v>1019</v>
      </c>
      <c r="D92" t="s">
        <v>1013</v>
      </c>
      <c r="E92">
        <v>15</v>
      </c>
      <c r="F92" t="s">
        <v>938</v>
      </c>
      <c r="G92" t="s">
        <v>952</v>
      </c>
      <c r="H92" t="s">
        <v>181</v>
      </c>
      <c r="O92">
        <v>0</v>
      </c>
      <c r="P92">
        <v>0</v>
      </c>
    </row>
    <row r="93" spans="1:16" x14ac:dyDescent="0.2">
      <c r="A93" t="s">
        <v>882</v>
      </c>
      <c r="B93" t="s">
        <v>1020</v>
      </c>
      <c r="D93" t="s">
        <v>1013</v>
      </c>
      <c r="E93">
        <v>16</v>
      </c>
      <c r="F93" t="s">
        <v>938</v>
      </c>
      <c r="G93" t="s">
        <v>953</v>
      </c>
      <c r="H93" t="s">
        <v>181</v>
      </c>
      <c r="O93">
        <v>0</v>
      </c>
      <c r="P93">
        <v>0</v>
      </c>
    </row>
    <row r="94" spans="1:16" x14ac:dyDescent="0.2">
      <c r="A94" t="s">
        <v>882</v>
      </c>
      <c r="B94" t="s">
        <v>1021</v>
      </c>
      <c r="D94" t="s">
        <v>1013</v>
      </c>
      <c r="E94">
        <v>17</v>
      </c>
      <c r="F94" t="s">
        <v>938</v>
      </c>
      <c r="G94" t="s">
        <v>1625</v>
      </c>
      <c r="H94" t="s">
        <v>181</v>
      </c>
      <c r="O94">
        <v>0</v>
      </c>
      <c r="P94">
        <v>0</v>
      </c>
    </row>
    <row r="95" spans="1:16" x14ac:dyDescent="0.2">
      <c r="A95" t="s">
        <v>882</v>
      </c>
      <c r="B95" t="s">
        <v>1022</v>
      </c>
      <c r="D95" t="s">
        <v>1013</v>
      </c>
      <c r="E95">
        <v>18</v>
      </c>
      <c r="F95" t="s">
        <v>938</v>
      </c>
      <c r="G95" t="s">
        <v>1626</v>
      </c>
      <c r="H95" t="s">
        <v>181</v>
      </c>
      <c r="O95">
        <v>0</v>
      </c>
      <c r="P95">
        <v>0</v>
      </c>
    </row>
    <row r="96" spans="1:16" x14ac:dyDescent="0.2">
      <c r="A96" t="s">
        <v>882</v>
      </c>
      <c r="B96" t="s">
        <v>1023</v>
      </c>
      <c r="D96" t="s">
        <v>1013</v>
      </c>
      <c r="E96">
        <v>19</v>
      </c>
      <c r="F96" t="s">
        <v>938</v>
      </c>
      <c r="G96" t="s">
        <v>954</v>
      </c>
      <c r="H96" t="s">
        <v>181</v>
      </c>
      <c r="O96">
        <v>0</v>
      </c>
      <c r="P96">
        <v>0</v>
      </c>
    </row>
    <row r="97" spans="1:18" x14ac:dyDescent="0.2">
      <c r="A97" t="s">
        <v>882</v>
      </c>
      <c r="B97" t="s">
        <v>1024</v>
      </c>
      <c r="D97" t="s">
        <v>1013</v>
      </c>
      <c r="E97">
        <v>20</v>
      </c>
      <c r="F97" t="s">
        <v>938</v>
      </c>
      <c r="G97" t="s">
        <v>1627</v>
      </c>
      <c r="H97" t="s">
        <v>181</v>
      </c>
      <c r="O97">
        <v>0</v>
      </c>
      <c r="P97">
        <v>0</v>
      </c>
    </row>
    <row r="98" spans="1:18" x14ac:dyDescent="0.2">
      <c r="A98" t="s">
        <v>882</v>
      </c>
      <c r="B98" t="s">
        <v>1025</v>
      </c>
      <c r="D98" t="s">
        <v>1013</v>
      </c>
      <c r="E98">
        <v>21</v>
      </c>
      <c r="F98" t="s">
        <v>938</v>
      </c>
      <c r="G98" t="s">
        <v>955</v>
      </c>
      <c r="H98" t="s">
        <v>181</v>
      </c>
      <c r="O98">
        <v>0</v>
      </c>
      <c r="P98">
        <v>0</v>
      </c>
    </row>
    <row r="99" spans="1:18" x14ac:dyDescent="0.2">
      <c r="A99" t="s">
        <v>882</v>
      </c>
      <c r="B99" t="s">
        <v>1026</v>
      </c>
      <c r="D99" t="s">
        <v>1013</v>
      </c>
      <c r="E99">
        <v>22</v>
      </c>
      <c r="F99" t="s">
        <v>938</v>
      </c>
      <c r="G99" t="s">
        <v>956</v>
      </c>
      <c r="H99" t="s">
        <v>181</v>
      </c>
      <c r="O99">
        <v>0</v>
      </c>
      <c r="P99">
        <v>0</v>
      </c>
    </row>
    <row r="100" spans="1:18" x14ac:dyDescent="0.2">
      <c r="A100" t="s">
        <v>882</v>
      </c>
      <c r="B100" t="s">
        <v>1027</v>
      </c>
      <c r="D100" t="s">
        <v>1013</v>
      </c>
      <c r="E100">
        <v>23</v>
      </c>
      <c r="F100" t="s">
        <v>938</v>
      </c>
      <c r="G100" t="s">
        <v>1628</v>
      </c>
      <c r="H100" t="s">
        <v>181</v>
      </c>
      <c r="O100">
        <v>0</v>
      </c>
      <c r="P100">
        <v>0</v>
      </c>
    </row>
    <row r="101" spans="1:18" x14ac:dyDescent="0.2">
      <c r="A101" t="s">
        <v>455</v>
      </c>
      <c r="B101" t="s">
        <v>1250</v>
      </c>
      <c r="D101" t="s">
        <v>781</v>
      </c>
      <c r="E101">
        <v>1</v>
      </c>
      <c r="F101" t="s">
        <v>462</v>
      </c>
      <c r="G101" t="s">
        <v>466</v>
      </c>
      <c r="H101" t="s">
        <v>382</v>
      </c>
      <c r="O101">
        <v>0</v>
      </c>
      <c r="P101">
        <v>0</v>
      </c>
    </row>
    <row r="102" spans="1:18" x14ac:dyDescent="0.2">
      <c r="A102" t="s">
        <v>455</v>
      </c>
      <c r="B102" t="s">
        <v>1251</v>
      </c>
      <c r="D102" t="s">
        <v>781</v>
      </c>
      <c r="E102">
        <v>2</v>
      </c>
      <c r="F102" t="s">
        <v>462</v>
      </c>
      <c r="G102" t="s">
        <v>467</v>
      </c>
      <c r="H102" t="s">
        <v>382</v>
      </c>
      <c r="O102">
        <v>0</v>
      </c>
      <c r="P102">
        <v>0</v>
      </c>
    </row>
    <row r="103" spans="1:18" x14ac:dyDescent="0.2">
      <c r="A103" t="s">
        <v>455</v>
      </c>
      <c r="B103" t="s">
        <v>1252</v>
      </c>
      <c r="D103" t="s">
        <v>782</v>
      </c>
      <c r="E103">
        <v>1</v>
      </c>
      <c r="F103" t="s">
        <v>463</v>
      </c>
      <c r="G103" t="s">
        <v>468</v>
      </c>
      <c r="H103" t="s">
        <v>382</v>
      </c>
      <c r="I103">
        <v>1</v>
      </c>
      <c r="O103">
        <v>0</v>
      </c>
      <c r="P103">
        <v>0</v>
      </c>
    </row>
    <row r="104" spans="1:18" x14ac:dyDescent="0.2">
      <c r="A104" t="s">
        <v>455</v>
      </c>
      <c r="B104" t="s">
        <v>1253</v>
      </c>
      <c r="D104" t="s">
        <v>782</v>
      </c>
      <c r="E104">
        <v>2</v>
      </c>
      <c r="F104" t="s">
        <v>463</v>
      </c>
      <c r="G104" t="s">
        <v>469</v>
      </c>
      <c r="H104" t="s">
        <v>153</v>
      </c>
      <c r="I104">
        <v>1</v>
      </c>
      <c r="O104">
        <v>0</v>
      </c>
      <c r="P104">
        <v>0</v>
      </c>
    </row>
    <row r="105" spans="1:18" x14ac:dyDescent="0.2">
      <c r="A105" t="s">
        <v>455</v>
      </c>
      <c r="B105" t="s">
        <v>1254</v>
      </c>
      <c r="D105" t="s">
        <v>782</v>
      </c>
      <c r="E105">
        <v>3</v>
      </c>
      <c r="F105" t="s">
        <v>463</v>
      </c>
      <c r="G105" t="s">
        <v>470</v>
      </c>
      <c r="H105" t="s">
        <v>153</v>
      </c>
      <c r="I105">
        <v>1</v>
      </c>
      <c r="O105">
        <v>0</v>
      </c>
      <c r="P105">
        <v>0</v>
      </c>
      <c r="R105" t="s">
        <v>497</v>
      </c>
    </row>
    <row r="106" spans="1:18" x14ac:dyDescent="0.2">
      <c r="A106" t="s">
        <v>455</v>
      </c>
      <c r="B106" t="s">
        <v>1255</v>
      </c>
      <c r="D106" t="s">
        <v>782</v>
      </c>
      <c r="E106">
        <v>4</v>
      </c>
      <c r="F106" t="s">
        <v>463</v>
      </c>
      <c r="G106" t="s">
        <v>471</v>
      </c>
      <c r="H106" t="s">
        <v>382</v>
      </c>
      <c r="O106">
        <v>0</v>
      </c>
      <c r="P106">
        <v>0</v>
      </c>
    </row>
    <row r="107" spans="1:18" x14ac:dyDescent="0.2">
      <c r="A107" t="s">
        <v>455</v>
      </c>
      <c r="B107" t="s">
        <v>1256</v>
      </c>
      <c r="D107" t="s">
        <v>782</v>
      </c>
      <c r="E107">
        <v>5</v>
      </c>
      <c r="F107" t="s">
        <v>463</v>
      </c>
      <c r="G107" t="s">
        <v>1639</v>
      </c>
      <c r="H107" t="s">
        <v>382</v>
      </c>
      <c r="I107">
        <v>1</v>
      </c>
      <c r="O107">
        <v>0</v>
      </c>
      <c r="P107">
        <v>0</v>
      </c>
    </row>
    <row r="108" spans="1:18" x14ac:dyDescent="0.2">
      <c r="A108" t="s">
        <v>455</v>
      </c>
      <c r="B108" t="s">
        <v>1257</v>
      </c>
      <c r="D108" t="s">
        <v>782</v>
      </c>
      <c r="E108">
        <v>6</v>
      </c>
      <c r="F108" t="s">
        <v>463</v>
      </c>
      <c r="G108" t="s">
        <v>472</v>
      </c>
      <c r="H108" t="s">
        <v>382</v>
      </c>
      <c r="O108">
        <v>0</v>
      </c>
      <c r="P108">
        <v>0</v>
      </c>
    </row>
    <row r="109" spans="1:18" x14ac:dyDescent="0.2">
      <c r="A109" t="s">
        <v>455</v>
      </c>
      <c r="B109" t="s">
        <v>1258</v>
      </c>
      <c r="D109" t="s">
        <v>782</v>
      </c>
      <c r="E109">
        <v>7</v>
      </c>
      <c r="F109" t="s">
        <v>463</v>
      </c>
      <c r="G109" t="s">
        <v>473</v>
      </c>
      <c r="H109" t="s">
        <v>181</v>
      </c>
      <c r="O109">
        <v>0</v>
      </c>
      <c r="P109">
        <v>0</v>
      </c>
    </row>
    <row r="110" spans="1:18" x14ac:dyDescent="0.2">
      <c r="A110" t="s">
        <v>455</v>
      </c>
      <c r="B110" t="s">
        <v>1259</v>
      </c>
      <c r="D110" t="s">
        <v>782</v>
      </c>
      <c r="E110">
        <v>8</v>
      </c>
      <c r="F110" t="s">
        <v>463</v>
      </c>
      <c r="G110" t="s">
        <v>474</v>
      </c>
      <c r="H110" t="s">
        <v>148</v>
      </c>
      <c r="O110">
        <v>0</v>
      </c>
      <c r="P110">
        <v>0</v>
      </c>
    </row>
    <row r="111" spans="1:18" x14ac:dyDescent="0.2">
      <c r="A111" t="s">
        <v>455</v>
      </c>
      <c r="B111" t="s">
        <v>1260</v>
      </c>
      <c r="D111" t="s">
        <v>783</v>
      </c>
      <c r="E111">
        <v>1</v>
      </c>
      <c r="F111" t="s">
        <v>464</v>
      </c>
      <c r="G111" t="s">
        <v>475</v>
      </c>
      <c r="H111" t="s">
        <v>148</v>
      </c>
      <c r="I111">
        <v>1</v>
      </c>
      <c r="O111">
        <v>0</v>
      </c>
      <c r="P111">
        <v>0</v>
      </c>
    </row>
    <row r="112" spans="1:18" x14ac:dyDescent="0.2">
      <c r="A112" t="s">
        <v>455</v>
      </c>
      <c r="B112" t="s">
        <v>1261</v>
      </c>
      <c r="D112" t="s">
        <v>783</v>
      </c>
      <c r="E112">
        <v>2</v>
      </c>
      <c r="F112" t="s">
        <v>464</v>
      </c>
      <c r="G112" t="s">
        <v>476</v>
      </c>
      <c r="H112" t="s">
        <v>181</v>
      </c>
      <c r="I112">
        <v>1</v>
      </c>
      <c r="O112">
        <v>0</v>
      </c>
      <c r="P112">
        <v>0</v>
      </c>
    </row>
    <row r="113" spans="1:18" x14ac:dyDescent="0.2">
      <c r="A113" t="s">
        <v>455</v>
      </c>
      <c r="B113" t="s">
        <v>1262</v>
      </c>
      <c r="D113" t="s">
        <v>783</v>
      </c>
      <c r="E113">
        <v>3</v>
      </c>
      <c r="F113" t="s">
        <v>464</v>
      </c>
      <c r="G113" t="s">
        <v>1640</v>
      </c>
      <c r="H113" t="s">
        <v>382</v>
      </c>
      <c r="I113">
        <v>1</v>
      </c>
      <c r="O113">
        <v>0</v>
      </c>
      <c r="P113">
        <v>0</v>
      </c>
    </row>
    <row r="114" spans="1:18" x14ac:dyDescent="0.2">
      <c r="A114" t="s">
        <v>455</v>
      </c>
      <c r="B114" t="s">
        <v>1263</v>
      </c>
      <c r="D114" t="s">
        <v>783</v>
      </c>
      <c r="E114">
        <v>4</v>
      </c>
      <c r="F114" t="s">
        <v>464</v>
      </c>
      <c r="G114" t="s">
        <v>481</v>
      </c>
      <c r="H114" t="s">
        <v>382</v>
      </c>
      <c r="I114">
        <v>1</v>
      </c>
      <c r="O114">
        <v>0</v>
      </c>
      <c r="P114">
        <v>0</v>
      </c>
    </row>
    <row r="115" spans="1:18" x14ac:dyDescent="0.2">
      <c r="A115" t="s">
        <v>455</v>
      </c>
      <c r="B115" t="s">
        <v>1264</v>
      </c>
      <c r="D115" t="s">
        <v>783</v>
      </c>
      <c r="E115">
        <v>5</v>
      </c>
      <c r="F115" t="s">
        <v>464</v>
      </c>
      <c r="G115" t="s">
        <v>477</v>
      </c>
      <c r="H115" t="s">
        <v>152</v>
      </c>
      <c r="I115">
        <v>1</v>
      </c>
      <c r="O115">
        <v>0</v>
      </c>
      <c r="P115">
        <v>0</v>
      </c>
    </row>
    <row r="116" spans="1:18" x14ac:dyDescent="0.2">
      <c r="A116" t="s">
        <v>455</v>
      </c>
      <c r="B116" t="s">
        <v>1265</v>
      </c>
      <c r="D116" t="s">
        <v>783</v>
      </c>
      <c r="E116">
        <v>6</v>
      </c>
      <c r="F116" t="s">
        <v>464</v>
      </c>
      <c r="G116" t="s">
        <v>478</v>
      </c>
      <c r="H116" t="s">
        <v>152</v>
      </c>
      <c r="O116">
        <v>0</v>
      </c>
      <c r="P116">
        <v>0</v>
      </c>
    </row>
    <row r="117" spans="1:18" x14ac:dyDescent="0.2">
      <c r="A117" t="s">
        <v>455</v>
      </c>
      <c r="B117" t="s">
        <v>1266</v>
      </c>
      <c r="D117" t="s">
        <v>783</v>
      </c>
      <c r="E117">
        <v>7</v>
      </c>
      <c r="F117" t="s">
        <v>464</v>
      </c>
      <c r="G117" t="s">
        <v>479</v>
      </c>
      <c r="H117" t="s">
        <v>382</v>
      </c>
      <c r="I117">
        <v>1</v>
      </c>
      <c r="O117">
        <v>0</v>
      </c>
      <c r="P117">
        <v>0</v>
      </c>
    </row>
    <row r="118" spans="1:18" x14ac:dyDescent="0.2">
      <c r="A118" t="s">
        <v>455</v>
      </c>
      <c r="B118" t="s">
        <v>1267</v>
      </c>
      <c r="D118" t="s">
        <v>783</v>
      </c>
      <c r="E118">
        <v>8</v>
      </c>
      <c r="F118" t="s">
        <v>464</v>
      </c>
      <c r="G118" t="s">
        <v>480</v>
      </c>
      <c r="H118" t="s">
        <v>152</v>
      </c>
      <c r="I118">
        <v>1</v>
      </c>
      <c r="O118">
        <v>0</v>
      </c>
      <c r="P118">
        <v>0</v>
      </c>
    </row>
    <row r="119" spans="1:18" x14ac:dyDescent="0.2">
      <c r="A119" t="s">
        <v>455</v>
      </c>
      <c r="B119" t="s">
        <v>1268</v>
      </c>
      <c r="D119" t="s">
        <v>783</v>
      </c>
      <c r="E119">
        <v>9</v>
      </c>
      <c r="F119" t="s">
        <v>464</v>
      </c>
      <c r="G119" t="s">
        <v>482</v>
      </c>
      <c r="H119" t="s">
        <v>181</v>
      </c>
      <c r="O119">
        <v>0</v>
      </c>
      <c r="P119">
        <v>0</v>
      </c>
    </row>
    <row r="120" spans="1:18" x14ac:dyDescent="0.2">
      <c r="A120" t="s">
        <v>455</v>
      </c>
      <c r="B120" t="s">
        <v>1028</v>
      </c>
      <c r="D120" t="s">
        <v>783</v>
      </c>
      <c r="E120">
        <v>10</v>
      </c>
      <c r="F120" t="s">
        <v>464</v>
      </c>
      <c r="G120" t="s">
        <v>483</v>
      </c>
      <c r="H120" t="s">
        <v>148</v>
      </c>
      <c r="O120">
        <v>0</v>
      </c>
      <c r="P120">
        <v>0</v>
      </c>
    </row>
    <row r="121" spans="1:18" x14ac:dyDescent="0.2">
      <c r="A121" t="s">
        <v>455</v>
      </c>
      <c r="B121" t="s">
        <v>1269</v>
      </c>
      <c r="D121" t="s">
        <v>784</v>
      </c>
      <c r="E121">
        <v>1</v>
      </c>
      <c r="F121" t="s">
        <v>465</v>
      </c>
      <c r="O121">
        <v>0</v>
      </c>
      <c r="P121">
        <v>0</v>
      </c>
    </row>
    <row r="122" spans="1:18" x14ac:dyDescent="0.2">
      <c r="A122" t="s">
        <v>455</v>
      </c>
      <c r="B122" t="s">
        <v>1270</v>
      </c>
      <c r="D122" t="s">
        <v>784</v>
      </c>
      <c r="E122">
        <v>2</v>
      </c>
      <c r="F122" t="s">
        <v>465</v>
      </c>
      <c r="G122" t="s">
        <v>801</v>
      </c>
      <c r="H122" t="s">
        <v>382</v>
      </c>
      <c r="O122">
        <v>0</v>
      </c>
      <c r="P122">
        <v>0</v>
      </c>
    </row>
    <row r="123" spans="1:18" x14ac:dyDescent="0.2">
      <c r="A123" t="s">
        <v>455</v>
      </c>
      <c r="B123" t="s">
        <v>1271</v>
      </c>
      <c r="D123" t="s">
        <v>784</v>
      </c>
      <c r="E123">
        <v>3</v>
      </c>
      <c r="F123" t="s">
        <v>465</v>
      </c>
      <c r="G123" t="s">
        <v>802</v>
      </c>
      <c r="H123" t="s">
        <v>382</v>
      </c>
      <c r="O123">
        <v>0</v>
      </c>
      <c r="P123">
        <v>0</v>
      </c>
    </row>
    <row r="124" spans="1:18" x14ac:dyDescent="0.2">
      <c r="A124" t="s">
        <v>455</v>
      </c>
      <c r="B124" t="s">
        <v>1272</v>
      </c>
      <c r="D124" t="s">
        <v>784</v>
      </c>
      <c r="E124">
        <v>4</v>
      </c>
      <c r="F124" t="s">
        <v>465</v>
      </c>
      <c r="G124" t="s">
        <v>803</v>
      </c>
      <c r="H124" t="s">
        <v>382</v>
      </c>
      <c r="O124">
        <v>0</v>
      </c>
      <c r="P124">
        <v>0</v>
      </c>
      <c r="R124" t="s">
        <v>805</v>
      </c>
    </row>
    <row r="125" spans="1:18" x14ac:dyDescent="0.2">
      <c r="A125" t="s">
        <v>455</v>
      </c>
      <c r="B125" t="s">
        <v>1273</v>
      </c>
      <c r="D125" t="s">
        <v>784</v>
      </c>
      <c r="E125">
        <v>5</v>
      </c>
      <c r="F125" t="s">
        <v>465</v>
      </c>
      <c r="G125" t="s">
        <v>804</v>
      </c>
      <c r="H125" t="s">
        <v>152</v>
      </c>
      <c r="O125">
        <v>0</v>
      </c>
      <c r="P125">
        <v>0</v>
      </c>
    </row>
    <row r="126" spans="1:18" x14ac:dyDescent="0.2">
      <c r="A126" t="s">
        <v>455</v>
      </c>
      <c r="B126" t="s">
        <v>1274</v>
      </c>
      <c r="D126" t="s">
        <v>784</v>
      </c>
      <c r="E126">
        <v>6</v>
      </c>
      <c r="F126" t="s">
        <v>465</v>
      </c>
      <c r="G126" t="s">
        <v>806</v>
      </c>
      <c r="H126" t="s">
        <v>382</v>
      </c>
      <c r="O126">
        <v>0</v>
      </c>
      <c r="P126">
        <v>0</v>
      </c>
    </row>
    <row r="127" spans="1:18" x14ac:dyDescent="0.2">
      <c r="A127" t="s">
        <v>455</v>
      </c>
      <c r="B127" t="s">
        <v>1275</v>
      </c>
      <c r="D127" t="s">
        <v>784</v>
      </c>
      <c r="E127">
        <v>7</v>
      </c>
      <c r="F127" t="s">
        <v>465</v>
      </c>
      <c r="G127" t="s">
        <v>807</v>
      </c>
      <c r="H127" t="s">
        <v>382</v>
      </c>
      <c r="O127">
        <v>0</v>
      </c>
      <c r="P127">
        <v>0</v>
      </c>
    </row>
    <row r="128" spans="1:18" x14ac:dyDescent="0.2">
      <c r="A128" t="s">
        <v>455</v>
      </c>
      <c r="B128" t="s">
        <v>1276</v>
      </c>
      <c r="D128" t="s">
        <v>784</v>
      </c>
      <c r="E128">
        <v>8</v>
      </c>
      <c r="F128" t="s">
        <v>465</v>
      </c>
      <c r="G128" t="s">
        <v>808</v>
      </c>
      <c r="H128" t="s">
        <v>152</v>
      </c>
      <c r="O128">
        <v>0</v>
      </c>
      <c r="P128">
        <v>0</v>
      </c>
    </row>
    <row r="129" spans="1:16" x14ac:dyDescent="0.2">
      <c r="A129" t="s">
        <v>455</v>
      </c>
      <c r="B129" t="s">
        <v>1277</v>
      </c>
      <c r="D129" t="s">
        <v>784</v>
      </c>
      <c r="E129">
        <v>9</v>
      </c>
      <c r="F129" t="s">
        <v>465</v>
      </c>
      <c r="G129" t="s">
        <v>809</v>
      </c>
      <c r="H129" t="s">
        <v>382</v>
      </c>
      <c r="O129">
        <v>0</v>
      </c>
      <c r="P129">
        <v>0</v>
      </c>
    </row>
    <row r="130" spans="1:16" x14ac:dyDescent="0.2">
      <c r="A130" t="s">
        <v>455</v>
      </c>
      <c r="B130" t="s">
        <v>1029</v>
      </c>
      <c r="D130" t="s">
        <v>784</v>
      </c>
      <c r="E130">
        <v>10</v>
      </c>
      <c r="F130" t="s">
        <v>465</v>
      </c>
      <c r="G130" t="s">
        <v>810</v>
      </c>
      <c r="H130" t="s">
        <v>382</v>
      </c>
      <c r="O130">
        <v>0</v>
      </c>
      <c r="P130">
        <v>0</v>
      </c>
    </row>
    <row r="131" spans="1:16" x14ac:dyDescent="0.2">
      <c r="A131" t="s">
        <v>455</v>
      </c>
      <c r="B131" t="s">
        <v>1278</v>
      </c>
      <c r="D131" t="s">
        <v>785</v>
      </c>
      <c r="E131">
        <v>1</v>
      </c>
      <c r="F131" t="s">
        <v>484</v>
      </c>
      <c r="G131" t="s">
        <v>485</v>
      </c>
      <c r="H131" t="s">
        <v>382</v>
      </c>
      <c r="I131">
        <v>1</v>
      </c>
      <c r="O131">
        <v>0</v>
      </c>
      <c r="P131">
        <v>0</v>
      </c>
    </row>
    <row r="132" spans="1:16" x14ac:dyDescent="0.2">
      <c r="A132" t="s">
        <v>455</v>
      </c>
      <c r="B132" t="s">
        <v>1279</v>
      </c>
      <c r="D132" t="s">
        <v>785</v>
      </c>
      <c r="E132">
        <v>2</v>
      </c>
      <c r="F132" t="s">
        <v>484</v>
      </c>
      <c r="G132" t="s">
        <v>486</v>
      </c>
      <c r="H132" t="s">
        <v>382</v>
      </c>
      <c r="I132">
        <v>1</v>
      </c>
      <c r="O132">
        <v>0</v>
      </c>
      <c r="P132">
        <v>0</v>
      </c>
    </row>
    <row r="133" spans="1:16" x14ac:dyDescent="0.2">
      <c r="A133" t="s">
        <v>455</v>
      </c>
      <c r="B133" t="s">
        <v>1280</v>
      </c>
      <c r="D133" t="s">
        <v>785</v>
      </c>
      <c r="E133">
        <v>3</v>
      </c>
      <c r="F133" t="s">
        <v>484</v>
      </c>
      <c r="G133" t="s">
        <v>487</v>
      </c>
      <c r="H133" t="s">
        <v>153</v>
      </c>
      <c r="I133">
        <v>1</v>
      </c>
      <c r="O133">
        <v>0</v>
      </c>
      <c r="P133">
        <v>0</v>
      </c>
    </row>
    <row r="134" spans="1:16" x14ac:dyDescent="0.2">
      <c r="A134" t="s">
        <v>455</v>
      </c>
      <c r="B134" t="s">
        <v>1281</v>
      </c>
      <c r="D134" t="s">
        <v>785</v>
      </c>
      <c r="E134">
        <v>4</v>
      </c>
      <c r="F134" t="s">
        <v>484</v>
      </c>
      <c r="G134" t="s">
        <v>488</v>
      </c>
      <c r="H134" t="s">
        <v>153</v>
      </c>
      <c r="I134">
        <v>1</v>
      </c>
      <c r="O134">
        <v>0</v>
      </c>
      <c r="P134">
        <v>0</v>
      </c>
    </row>
    <row r="135" spans="1:16" x14ac:dyDescent="0.2">
      <c r="A135" t="s">
        <v>455</v>
      </c>
      <c r="B135" t="s">
        <v>1282</v>
      </c>
      <c r="D135" t="s">
        <v>785</v>
      </c>
      <c r="E135">
        <v>5</v>
      </c>
      <c r="F135" t="s">
        <v>484</v>
      </c>
      <c r="G135" t="s">
        <v>489</v>
      </c>
      <c r="H135" t="s">
        <v>382</v>
      </c>
      <c r="I135">
        <v>1</v>
      </c>
      <c r="O135">
        <v>0</v>
      </c>
      <c r="P135">
        <v>0</v>
      </c>
    </row>
    <row r="136" spans="1:16" x14ac:dyDescent="0.2">
      <c r="A136" t="s">
        <v>455</v>
      </c>
      <c r="B136" t="s">
        <v>1283</v>
      </c>
      <c r="D136" t="s">
        <v>785</v>
      </c>
      <c r="E136">
        <v>6</v>
      </c>
      <c r="F136" t="s">
        <v>484</v>
      </c>
      <c r="G136" t="s">
        <v>490</v>
      </c>
      <c r="H136" t="s">
        <v>382</v>
      </c>
      <c r="I136">
        <v>1</v>
      </c>
      <c r="O136">
        <v>0</v>
      </c>
      <c r="P136">
        <v>0</v>
      </c>
    </row>
    <row r="137" spans="1:16" x14ac:dyDescent="0.2">
      <c r="A137" t="s">
        <v>455</v>
      </c>
      <c r="B137" t="s">
        <v>1284</v>
      </c>
      <c r="D137" t="s">
        <v>786</v>
      </c>
      <c r="E137">
        <v>1</v>
      </c>
      <c r="F137" t="s">
        <v>492</v>
      </c>
      <c r="G137" t="s">
        <v>493</v>
      </c>
      <c r="H137" t="s">
        <v>494</v>
      </c>
      <c r="O137">
        <v>0</v>
      </c>
      <c r="P137">
        <v>0</v>
      </c>
    </row>
    <row r="138" spans="1:16" x14ac:dyDescent="0.2">
      <c r="A138" t="s">
        <v>455</v>
      </c>
      <c r="B138" t="s">
        <v>1285</v>
      </c>
      <c r="D138" t="s">
        <v>786</v>
      </c>
      <c r="E138">
        <v>2</v>
      </c>
      <c r="F138" t="s">
        <v>492</v>
      </c>
      <c r="G138" t="s">
        <v>495</v>
      </c>
      <c r="H138" t="s">
        <v>494</v>
      </c>
      <c r="O138">
        <v>0</v>
      </c>
      <c r="P138">
        <v>0</v>
      </c>
    </row>
    <row r="139" spans="1:16" x14ac:dyDescent="0.2">
      <c r="A139" t="s">
        <v>455</v>
      </c>
      <c r="B139" t="s">
        <v>1286</v>
      </c>
      <c r="D139" t="s">
        <v>786</v>
      </c>
      <c r="E139">
        <v>3</v>
      </c>
      <c r="F139" t="s">
        <v>492</v>
      </c>
      <c r="G139" t="s">
        <v>1587</v>
      </c>
      <c r="H139" t="s">
        <v>494</v>
      </c>
      <c r="O139">
        <v>0</v>
      </c>
      <c r="P139">
        <v>0</v>
      </c>
    </row>
    <row r="140" spans="1:16" x14ac:dyDescent="0.2">
      <c r="A140" t="s">
        <v>455</v>
      </c>
      <c r="B140" t="s">
        <v>1287</v>
      </c>
      <c r="D140" t="s">
        <v>786</v>
      </c>
      <c r="E140">
        <v>4</v>
      </c>
      <c r="F140" t="s">
        <v>492</v>
      </c>
      <c r="G140" t="s">
        <v>496</v>
      </c>
      <c r="H140" t="s">
        <v>494</v>
      </c>
      <c r="O140">
        <v>0</v>
      </c>
      <c r="P140">
        <v>0</v>
      </c>
    </row>
    <row r="141" spans="1:16" x14ac:dyDescent="0.2">
      <c r="A141" t="s">
        <v>20</v>
      </c>
      <c r="B141" t="s">
        <v>1288</v>
      </c>
      <c r="D141" t="s">
        <v>787</v>
      </c>
      <c r="E141">
        <v>1</v>
      </c>
      <c r="F141" t="s">
        <v>598</v>
      </c>
      <c r="G141" t="s">
        <v>606</v>
      </c>
      <c r="H141" t="s">
        <v>153</v>
      </c>
      <c r="O141">
        <v>0</v>
      </c>
      <c r="P141">
        <v>0</v>
      </c>
    </row>
    <row r="142" spans="1:16" x14ac:dyDescent="0.2">
      <c r="A142" t="s">
        <v>20</v>
      </c>
      <c r="B142" t="s">
        <v>1289</v>
      </c>
      <c r="D142" t="s">
        <v>787</v>
      </c>
      <c r="E142">
        <v>2</v>
      </c>
      <c r="F142" t="s">
        <v>598</v>
      </c>
      <c r="G142" t="s">
        <v>607</v>
      </c>
      <c r="H142" t="s">
        <v>153</v>
      </c>
      <c r="O142">
        <v>0</v>
      </c>
      <c r="P142">
        <v>0</v>
      </c>
    </row>
    <row r="143" spans="1:16" x14ac:dyDescent="0.2">
      <c r="A143" t="s">
        <v>20</v>
      </c>
      <c r="B143" t="s">
        <v>1290</v>
      </c>
      <c r="D143" t="s">
        <v>787</v>
      </c>
      <c r="E143">
        <v>3</v>
      </c>
      <c r="F143" t="s">
        <v>598</v>
      </c>
      <c r="G143" t="s">
        <v>608</v>
      </c>
      <c r="H143" t="s">
        <v>181</v>
      </c>
      <c r="O143">
        <v>0</v>
      </c>
      <c r="P143">
        <v>0</v>
      </c>
    </row>
    <row r="144" spans="1:16" x14ac:dyDescent="0.2">
      <c r="A144" t="s">
        <v>20</v>
      </c>
      <c r="B144" t="s">
        <v>1291</v>
      </c>
      <c r="D144" t="s">
        <v>787</v>
      </c>
      <c r="E144">
        <v>4</v>
      </c>
      <c r="F144" t="s">
        <v>598</v>
      </c>
      <c r="G144" t="s">
        <v>609</v>
      </c>
      <c r="H144" t="s">
        <v>181</v>
      </c>
      <c r="O144">
        <v>0</v>
      </c>
      <c r="P144">
        <v>0</v>
      </c>
    </row>
    <row r="145" spans="1:16" x14ac:dyDescent="0.2">
      <c r="A145" t="s">
        <v>20</v>
      </c>
      <c r="B145" t="s">
        <v>1292</v>
      </c>
      <c r="D145" t="s">
        <v>787</v>
      </c>
      <c r="E145">
        <v>5</v>
      </c>
      <c r="F145" t="s">
        <v>598</v>
      </c>
      <c r="G145" t="s">
        <v>1590</v>
      </c>
      <c r="H145" t="s">
        <v>181</v>
      </c>
      <c r="O145">
        <v>0</v>
      </c>
      <c r="P145">
        <v>0</v>
      </c>
    </row>
    <row r="146" spans="1:16" x14ac:dyDescent="0.2">
      <c r="A146" t="s">
        <v>20</v>
      </c>
      <c r="B146" t="s">
        <v>1293</v>
      </c>
      <c r="D146" t="s">
        <v>787</v>
      </c>
      <c r="E146">
        <v>6</v>
      </c>
      <c r="F146" t="s">
        <v>598</v>
      </c>
      <c r="G146" t="s">
        <v>1591</v>
      </c>
      <c r="H146" t="s">
        <v>181</v>
      </c>
      <c r="O146">
        <v>0</v>
      </c>
      <c r="P146">
        <v>0</v>
      </c>
    </row>
    <row r="147" spans="1:16" x14ac:dyDescent="0.2">
      <c r="A147" t="s">
        <v>20</v>
      </c>
      <c r="B147" t="s">
        <v>1294</v>
      </c>
      <c r="D147" t="s">
        <v>787</v>
      </c>
      <c r="E147">
        <v>7</v>
      </c>
      <c r="F147" t="s">
        <v>598</v>
      </c>
      <c r="G147" t="s">
        <v>610</v>
      </c>
      <c r="H147" t="s">
        <v>153</v>
      </c>
      <c r="O147">
        <v>0</v>
      </c>
      <c r="P147">
        <v>0</v>
      </c>
    </row>
    <row r="148" spans="1:16" x14ac:dyDescent="0.2">
      <c r="A148" t="s">
        <v>20</v>
      </c>
      <c r="B148" t="s">
        <v>1295</v>
      </c>
      <c r="D148" t="s">
        <v>787</v>
      </c>
      <c r="E148">
        <v>8</v>
      </c>
      <c r="F148" t="s">
        <v>598</v>
      </c>
      <c r="G148" t="s">
        <v>611</v>
      </c>
      <c r="H148" t="s">
        <v>153</v>
      </c>
      <c r="O148">
        <v>0</v>
      </c>
      <c r="P148">
        <v>0</v>
      </c>
    </row>
    <row r="149" spans="1:16" x14ac:dyDescent="0.2">
      <c r="A149" t="s">
        <v>20</v>
      </c>
      <c r="B149" t="s">
        <v>1296</v>
      </c>
      <c r="D149" t="s">
        <v>787</v>
      </c>
      <c r="E149">
        <v>9</v>
      </c>
      <c r="F149" t="s">
        <v>598</v>
      </c>
      <c r="G149" t="s">
        <v>612</v>
      </c>
      <c r="H149" t="s">
        <v>153</v>
      </c>
      <c r="O149">
        <v>0</v>
      </c>
      <c r="P149">
        <v>0</v>
      </c>
    </row>
    <row r="150" spans="1:16" x14ac:dyDescent="0.2">
      <c r="A150" t="s">
        <v>20</v>
      </c>
      <c r="B150" t="s">
        <v>1030</v>
      </c>
      <c r="D150" t="s">
        <v>787</v>
      </c>
      <c r="E150">
        <v>10</v>
      </c>
      <c r="F150" t="s">
        <v>598</v>
      </c>
      <c r="G150" t="s">
        <v>613</v>
      </c>
      <c r="H150" t="s">
        <v>153</v>
      </c>
      <c r="O150">
        <v>0</v>
      </c>
      <c r="P150">
        <v>0</v>
      </c>
    </row>
    <row r="151" spans="1:16" x14ac:dyDescent="0.2">
      <c r="A151" t="s">
        <v>20</v>
      </c>
      <c r="B151" t="s">
        <v>1031</v>
      </c>
      <c r="D151" t="s">
        <v>787</v>
      </c>
      <c r="E151">
        <v>11</v>
      </c>
      <c r="F151" t="s">
        <v>598</v>
      </c>
      <c r="G151" t="s">
        <v>614</v>
      </c>
      <c r="H151" t="s">
        <v>153</v>
      </c>
      <c r="O151">
        <v>0</v>
      </c>
      <c r="P151">
        <v>0</v>
      </c>
    </row>
    <row r="152" spans="1:16" x14ac:dyDescent="0.2">
      <c r="A152" t="s">
        <v>20</v>
      </c>
      <c r="B152" t="s">
        <v>1032</v>
      </c>
      <c r="D152" t="s">
        <v>787</v>
      </c>
      <c r="E152">
        <v>12</v>
      </c>
      <c r="F152" t="s">
        <v>598</v>
      </c>
      <c r="G152" t="s">
        <v>615</v>
      </c>
      <c r="H152" t="s">
        <v>153</v>
      </c>
      <c r="O152">
        <v>0</v>
      </c>
      <c r="P152">
        <v>0</v>
      </c>
    </row>
    <row r="153" spans="1:16" x14ac:dyDescent="0.2">
      <c r="A153" t="s">
        <v>20</v>
      </c>
      <c r="B153" t="s">
        <v>1033</v>
      </c>
      <c r="D153" t="s">
        <v>787</v>
      </c>
      <c r="E153">
        <v>13</v>
      </c>
      <c r="F153" t="s">
        <v>598</v>
      </c>
      <c r="G153" t="s">
        <v>616</v>
      </c>
      <c r="H153" t="s">
        <v>153</v>
      </c>
      <c r="O153">
        <v>0</v>
      </c>
      <c r="P153">
        <v>0</v>
      </c>
    </row>
    <row r="154" spans="1:16" x14ac:dyDescent="0.2">
      <c r="A154" t="s">
        <v>20</v>
      </c>
      <c r="B154" t="s">
        <v>1034</v>
      </c>
      <c r="D154" t="s">
        <v>787</v>
      </c>
      <c r="E154">
        <v>14</v>
      </c>
      <c r="F154" t="s">
        <v>598</v>
      </c>
      <c r="G154" t="s">
        <v>617</v>
      </c>
      <c r="H154" t="s">
        <v>153</v>
      </c>
      <c r="O154">
        <v>0</v>
      </c>
      <c r="P154">
        <v>0</v>
      </c>
    </row>
    <row r="155" spans="1:16" x14ac:dyDescent="0.2">
      <c r="A155" t="s">
        <v>20</v>
      </c>
      <c r="B155" t="s">
        <v>1035</v>
      </c>
      <c r="D155" t="s">
        <v>787</v>
      </c>
      <c r="E155">
        <v>15</v>
      </c>
      <c r="F155" t="s">
        <v>598</v>
      </c>
      <c r="G155" t="s">
        <v>618</v>
      </c>
      <c r="H155" t="s">
        <v>148</v>
      </c>
      <c r="O155">
        <v>0</v>
      </c>
      <c r="P155">
        <v>0</v>
      </c>
    </row>
    <row r="156" spans="1:16" x14ac:dyDescent="0.2">
      <c r="A156" t="s">
        <v>20</v>
      </c>
      <c r="B156" t="s">
        <v>1036</v>
      </c>
      <c r="D156" t="s">
        <v>787</v>
      </c>
      <c r="E156">
        <v>16</v>
      </c>
      <c r="F156" t="s">
        <v>598</v>
      </c>
      <c r="G156" t="s">
        <v>619</v>
      </c>
      <c r="H156" t="s">
        <v>153</v>
      </c>
      <c r="O156">
        <v>0</v>
      </c>
      <c r="P156">
        <v>0</v>
      </c>
    </row>
    <row r="157" spans="1:16" x14ac:dyDescent="0.2">
      <c r="A157" t="s">
        <v>20</v>
      </c>
      <c r="B157" t="s">
        <v>1037</v>
      </c>
      <c r="D157" t="s">
        <v>787</v>
      </c>
      <c r="E157">
        <v>17</v>
      </c>
      <c r="F157" t="s">
        <v>598</v>
      </c>
      <c r="G157" t="s">
        <v>620</v>
      </c>
      <c r="H157" t="s">
        <v>153</v>
      </c>
      <c r="O157">
        <v>0</v>
      </c>
      <c r="P157">
        <v>0</v>
      </c>
    </row>
    <row r="158" spans="1:16" x14ac:dyDescent="0.2">
      <c r="A158" t="s">
        <v>20</v>
      </c>
      <c r="B158" t="s">
        <v>1038</v>
      </c>
      <c r="D158" t="s">
        <v>787</v>
      </c>
      <c r="E158">
        <v>18</v>
      </c>
      <c r="F158" t="s">
        <v>598</v>
      </c>
      <c r="G158" t="s">
        <v>621</v>
      </c>
      <c r="H158" t="s">
        <v>181</v>
      </c>
      <c r="O158">
        <v>0</v>
      </c>
      <c r="P158">
        <v>0</v>
      </c>
    </row>
    <row r="159" spans="1:16" x14ac:dyDescent="0.2">
      <c r="A159" t="s">
        <v>20</v>
      </c>
      <c r="B159" t="s">
        <v>1039</v>
      </c>
      <c r="D159" t="s">
        <v>787</v>
      </c>
      <c r="E159">
        <v>19</v>
      </c>
      <c r="F159" t="s">
        <v>598</v>
      </c>
      <c r="G159" t="s">
        <v>622</v>
      </c>
      <c r="H159" t="s">
        <v>181</v>
      </c>
      <c r="O159">
        <v>0</v>
      </c>
      <c r="P159">
        <v>0</v>
      </c>
    </row>
    <row r="160" spans="1:16" x14ac:dyDescent="0.2">
      <c r="A160" t="s">
        <v>20</v>
      </c>
      <c r="B160" t="s">
        <v>1040</v>
      </c>
      <c r="D160" t="s">
        <v>787</v>
      </c>
      <c r="E160">
        <v>20</v>
      </c>
      <c r="F160" t="s">
        <v>598</v>
      </c>
      <c r="G160" t="s">
        <v>1592</v>
      </c>
      <c r="H160" t="s">
        <v>181</v>
      </c>
      <c r="O160">
        <v>0</v>
      </c>
      <c r="P160">
        <v>0</v>
      </c>
    </row>
    <row r="161" spans="1:16" x14ac:dyDescent="0.2">
      <c r="A161" t="s">
        <v>20</v>
      </c>
      <c r="B161" t="s">
        <v>1041</v>
      </c>
      <c r="D161" t="s">
        <v>787</v>
      </c>
      <c r="E161">
        <v>21</v>
      </c>
      <c r="F161" t="s">
        <v>598</v>
      </c>
      <c r="G161" t="s">
        <v>623</v>
      </c>
      <c r="H161" t="s">
        <v>181</v>
      </c>
      <c r="O161">
        <v>0</v>
      </c>
      <c r="P161">
        <v>0</v>
      </c>
    </row>
    <row r="162" spans="1:16" x14ac:dyDescent="0.2">
      <c r="A162" t="s">
        <v>20</v>
      </c>
      <c r="B162" t="s">
        <v>1042</v>
      </c>
      <c r="D162" t="s">
        <v>787</v>
      </c>
      <c r="E162">
        <v>22</v>
      </c>
      <c r="F162" t="s">
        <v>598</v>
      </c>
      <c r="G162" t="s">
        <v>1593</v>
      </c>
      <c r="H162" t="s">
        <v>181</v>
      </c>
      <c r="O162">
        <v>0</v>
      </c>
      <c r="P162">
        <v>0</v>
      </c>
    </row>
    <row r="163" spans="1:16" x14ac:dyDescent="0.2">
      <c r="A163" t="s">
        <v>20</v>
      </c>
      <c r="B163" t="s">
        <v>1043</v>
      </c>
      <c r="D163" t="s">
        <v>787</v>
      </c>
      <c r="E163">
        <v>23</v>
      </c>
      <c r="F163" t="s">
        <v>598</v>
      </c>
      <c r="G163" t="s">
        <v>624</v>
      </c>
      <c r="H163" t="s">
        <v>148</v>
      </c>
      <c r="O163">
        <v>0</v>
      </c>
      <c r="P163">
        <v>0</v>
      </c>
    </row>
    <row r="164" spans="1:16" x14ac:dyDescent="0.2">
      <c r="A164" t="s">
        <v>20</v>
      </c>
      <c r="B164" t="s">
        <v>1044</v>
      </c>
      <c r="D164" t="s">
        <v>787</v>
      </c>
      <c r="E164">
        <v>24</v>
      </c>
      <c r="F164" t="s">
        <v>598</v>
      </c>
      <c r="G164" t="s">
        <v>625</v>
      </c>
      <c r="H164" t="s">
        <v>148</v>
      </c>
      <c r="O164">
        <v>0</v>
      </c>
      <c r="P164">
        <v>0</v>
      </c>
    </row>
    <row r="165" spans="1:16" x14ac:dyDescent="0.2">
      <c r="A165" t="s">
        <v>20</v>
      </c>
      <c r="B165" t="s">
        <v>1045</v>
      </c>
      <c r="D165" t="s">
        <v>787</v>
      </c>
      <c r="E165">
        <v>25</v>
      </c>
      <c r="F165" t="s">
        <v>598</v>
      </c>
      <c r="G165" t="s">
        <v>626</v>
      </c>
      <c r="H165" t="s">
        <v>148</v>
      </c>
      <c r="O165">
        <v>0</v>
      </c>
      <c r="P165">
        <v>0</v>
      </c>
    </row>
    <row r="166" spans="1:16" x14ac:dyDescent="0.2">
      <c r="A166" t="s">
        <v>20</v>
      </c>
      <c r="B166" t="s">
        <v>1046</v>
      </c>
      <c r="D166" t="s">
        <v>787</v>
      </c>
      <c r="E166">
        <v>26</v>
      </c>
      <c r="F166" t="s">
        <v>598</v>
      </c>
      <c r="G166" t="s">
        <v>627</v>
      </c>
      <c r="H166" t="s">
        <v>148</v>
      </c>
      <c r="O166">
        <v>0</v>
      </c>
      <c r="P166">
        <v>0</v>
      </c>
    </row>
    <row r="167" spans="1:16" x14ac:dyDescent="0.2">
      <c r="A167" t="s">
        <v>20</v>
      </c>
      <c r="B167" t="s">
        <v>1047</v>
      </c>
      <c r="D167" t="s">
        <v>787</v>
      </c>
      <c r="E167">
        <v>27</v>
      </c>
      <c r="F167" t="s">
        <v>598</v>
      </c>
      <c r="G167" t="s">
        <v>628</v>
      </c>
      <c r="H167" t="s">
        <v>148</v>
      </c>
      <c r="O167">
        <v>0</v>
      </c>
      <c r="P167">
        <v>0</v>
      </c>
    </row>
    <row r="168" spans="1:16" x14ac:dyDescent="0.2">
      <c r="A168" t="s">
        <v>20</v>
      </c>
      <c r="B168" t="s">
        <v>1048</v>
      </c>
      <c r="D168" t="s">
        <v>787</v>
      </c>
      <c r="E168">
        <v>28</v>
      </c>
      <c r="F168" t="s">
        <v>598</v>
      </c>
      <c r="G168" t="s">
        <v>1594</v>
      </c>
      <c r="H168" t="s">
        <v>152</v>
      </c>
      <c r="O168">
        <v>0</v>
      </c>
      <c r="P168">
        <v>0</v>
      </c>
    </row>
    <row r="169" spans="1:16" x14ac:dyDescent="0.2">
      <c r="A169" t="s">
        <v>20</v>
      </c>
      <c r="B169" t="s">
        <v>1049</v>
      </c>
      <c r="D169" t="s">
        <v>787</v>
      </c>
      <c r="E169">
        <v>29</v>
      </c>
      <c r="F169" t="s">
        <v>598</v>
      </c>
      <c r="G169" t="s">
        <v>629</v>
      </c>
      <c r="H169" t="s">
        <v>181</v>
      </c>
      <c r="O169">
        <v>0</v>
      </c>
      <c r="P169">
        <v>0</v>
      </c>
    </row>
    <row r="170" spans="1:16" x14ac:dyDescent="0.2">
      <c r="A170" t="s">
        <v>20</v>
      </c>
      <c r="B170" t="s">
        <v>1050</v>
      </c>
      <c r="D170" t="s">
        <v>787</v>
      </c>
      <c r="E170">
        <v>30</v>
      </c>
      <c r="F170" t="s">
        <v>598</v>
      </c>
      <c r="G170" t="s">
        <v>630</v>
      </c>
      <c r="H170" t="s">
        <v>181</v>
      </c>
      <c r="O170">
        <v>0</v>
      </c>
      <c r="P170">
        <v>0</v>
      </c>
    </row>
    <row r="171" spans="1:16" x14ac:dyDescent="0.2">
      <c r="A171" t="s">
        <v>20</v>
      </c>
      <c r="B171" t="s">
        <v>1051</v>
      </c>
      <c r="D171" t="s">
        <v>787</v>
      </c>
      <c r="E171">
        <v>31</v>
      </c>
      <c r="F171" t="s">
        <v>598</v>
      </c>
      <c r="G171" t="s">
        <v>1595</v>
      </c>
      <c r="H171" t="s">
        <v>181</v>
      </c>
      <c r="O171">
        <v>0</v>
      </c>
      <c r="P171">
        <v>0</v>
      </c>
    </row>
    <row r="172" spans="1:16" x14ac:dyDescent="0.2">
      <c r="A172" t="s">
        <v>20</v>
      </c>
      <c r="B172" t="s">
        <v>1052</v>
      </c>
      <c r="D172" t="s">
        <v>787</v>
      </c>
      <c r="E172">
        <v>32</v>
      </c>
      <c r="F172" t="s">
        <v>598</v>
      </c>
      <c r="G172" t="s">
        <v>631</v>
      </c>
      <c r="H172" t="s">
        <v>149</v>
      </c>
      <c r="O172">
        <v>0</v>
      </c>
      <c r="P172">
        <v>0</v>
      </c>
    </row>
    <row r="173" spans="1:16" x14ac:dyDescent="0.2">
      <c r="A173" t="s">
        <v>20</v>
      </c>
      <c r="B173" t="s">
        <v>1053</v>
      </c>
      <c r="D173" t="s">
        <v>787</v>
      </c>
      <c r="E173">
        <v>33</v>
      </c>
      <c r="F173" t="s">
        <v>598</v>
      </c>
      <c r="G173" t="s">
        <v>632</v>
      </c>
      <c r="H173" t="s">
        <v>181</v>
      </c>
      <c r="O173">
        <v>0</v>
      </c>
      <c r="P173">
        <v>0</v>
      </c>
    </row>
    <row r="174" spans="1:16" x14ac:dyDescent="0.2">
      <c r="A174" t="s">
        <v>20</v>
      </c>
      <c r="B174" t="s">
        <v>1054</v>
      </c>
      <c r="D174" t="s">
        <v>787</v>
      </c>
      <c r="E174">
        <v>34</v>
      </c>
      <c r="F174" t="s">
        <v>598</v>
      </c>
      <c r="G174" t="s">
        <v>633</v>
      </c>
      <c r="H174" t="s">
        <v>181</v>
      </c>
      <c r="O174">
        <v>0</v>
      </c>
      <c r="P174">
        <v>0</v>
      </c>
    </row>
    <row r="175" spans="1:16" x14ac:dyDescent="0.2">
      <c r="A175" t="s">
        <v>20</v>
      </c>
      <c r="B175" t="s">
        <v>1055</v>
      </c>
      <c r="D175" t="s">
        <v>787</v>
      </c>
      <c r="E175">
        <v>35</v>
      </c>
      <c r="F175" t="s">
        <v>598</v>
      </c>
      <c r="G175" t="s">
        <v>634</v>
      </c>
      <c r="H175" t="s">
        <v>181</v>
      </c>
      <c r="O175">
        <v>0</v>
      </c>
      <c r="P175">
        <v>0</v>
      </c>
    </row>
    <row r="176" spans="1:16" x14ac:dyDescent="0.2">
      <c r="A176" t="s">
        <v>20</v>
      </c>
      <c r="B176" t="s">
        <v>1056</v>
      </c>
      <c r="D176" t="s">
        <v>787</v>
      </c>
      <c r="E176">
        <v>36</v>
      </c>
      <c r="F176" t="s">
        <v>598</v>
      </c>
      <c r="G176" t="s">
        <v>635</v>
      </c>
      <c r="H176" t="s">
        <v>181</v>
      </c>
      <c r="O176">
        <v>0</v>
      </c>
      <c r="P176">
        <v>0</v>
      </c>
    </row>
    <row r="177" spans="1:16" x14ac:dyDescent="0.2">
      <c r="A177" t="s">
        <v>20</v>
      </c>
      <c r="B177" t="s">
        <v>1057</v>
      </c>
      <c r="D177" t="s">
        <v>787</v>
      </c>
      <c r="E177">
        <v>37</v>
      </c>
      <c r="F177" t="s">
        <v>598</v>
      </c>
      <c r="G177" t="s">
        <v>1596</v>
      </c>
      <c r="H177" t="s">
        <v>153</v>
      </c>
      <c r="O177">
        <v>0</v>
      </c>
      <c r="P177">
        <v>0</v>
      </c>
    </row>
    <row r="178" spans="1:16" x14ac:dyDescent="0.2">
      <c r="A178" t="s">
        <v>20</v>
      </c>
      <c r="B178" t="s">
        <v>1058</v>
      </c>
      <c r="D178" t="s">
        <v>787</v>
      </c>
      <c r="E178">
        <v>38</v>
      </c>
      <c r="F178" t="s">
        <v>598</v>
      </c>
      <c r="G178" t="s">
        <v>636</v>
      </c>
      <c r="H178" t="s">
        <v>181</v>
      </c>
      <c r="O178">
        <v>0</v>
      </c>
      <c r="P178">
        <v>0</v>
      </c>
    </row>
    <row r="179" spans="1:16" x14ac:dyDescent="0.2">
      <c r="A179" t="s">
        <v>20</v>
      </c>
      <c r="B179" t="s">
        <v>1059</v>
      </c>
      <c r="D179" t="s">
        <v>787</v>
      </c>
      <c r="E179">
        <v>39</v>
      </c>
      <c r="F179" t="s">
        <v>598</v>
      </c>
      <c r="G179" t="s">
        <v>1597</v>
      </c>
      <c r="H179" t="s">
        <v>181</v>
      </c>
      <c r="O179">
        <v>0</v>
      </c>
      <c r="P179">
        <v>0</v>
      </c>
    </row>
    <row r="180" spans="1:16" x14ac:dyDescent="0.2">
      <c r="A180" t="s">
        <v>20</v>
      </c>
      <c r="B180" t="s">
        <v>1060</v>
      </c>
      <c r="D180" t="s">
        <v>787</v>
      </c>
      <c r="E180">
        <v>40</v>
      </c>
      <c r="F180" t="s">
        <v>598</v>
      </c>
      <c r="G180" t="s">
        <v>637</v>
      </c>
      <c r="H180" t="s">
        <v>153</v>
      </c>
      <c r="O180">
        <v>0</v>
      </c>
      <c r="P180">
        <v>0</v>
      </c>
    </row>
    <row r="181" spans="1:16" x14ac:dyDescent="0.2">
      <c r="A181" t="s">
        <v>20</v>
      </c>
      <c r="B181" t="s">
        <v>1061</v>
      </c>
      <c r="D181" t="s">
        <v>787</v>
      </c>
      <c r="E181">
        <v>41</v>
      </c>
      <c r="F181" t="s">
        <v>598</v>
      </c>
      <c r="G181" t="s">
        <v>1598</v>
      </c>
      <c r="H181" t="s">
        <v>181</v>
      </c>
      <c r="O181">
        <v>0</v>
      </c>
      <c r="P181">
        <v>0</v>
      </c>
    </row>
    <row r="182" spans="1:16" x14ac:dyDescent="0.2">
      <c r="A182" t="s">
        <v>20</v>
      </c>
      <c r="B182" t="s">
        <v>1062</v>
      </c>
      <c r="D182" t="s">
        <v>787</v>
      </c>
      <c r="E182">
        <v>42</v>
      </c>
      <c r="F182" t="s">
        <v>598</v>
      </c>
      <c r="G182" t="s">
        <v>638</v>
      </c>
      <c r="O182">
        <v>0</v>
      </c>
      <c r="P182">
        <v>0</v>
      </c>
    </row>
    <row r="183" spans="1:16" x14ac:dyDescent="0.2">
      <c r="A183" t="s">
        <v>20</v>
      </c>
      <c r="B183" t="s">
        <v>1063</v>
      </c>
      <c r="D183" t="s">
        <v>787</v>
      </c>
      <c r="E183">
        <v>43</v>
      </c>
      <c r="F183" t="s">
        <v>598</v>
      </c>
      <c r="G183" t="s">
        <v>639</v>
      </c>
      <c r="H183" t="s">
        <v>153</v>
      </c>
      <c r="O183">
        <v>0</v>
      </c>
      <c r="P183">
        <v>0</v>
      </c>
    </row>
    <row r="184" spans="1:16" x14ac:dyDescent="0.2">
      <c r="A184" t="s">
        <v>20</v>
      </c>
      <c r="B184" t="s">
        <v>1064</v>
      </c>
      <c r="D184" t="s">
        <v>787</v>
      </c>
      <c r="E184">
        <v>44</v>
      </c>
      <c r="F184" t="s">
        <v>598</v>
      </c>
      <c r="G184" t="s">
        <v>640</v>
      </c>
      <c r="H184" t="s">
        <v>153</v>
      </c>
      <c r="O184">
        <v>0</v>
      </c>
      <c r="P184">
        <v>0</v>
      </c>
    </row>
    <row r="185" spans="1:16" x14ac:dyDescent="0.2">
      <c r="A185" t="s">
        <v>20</v>
      </c>
      <c r="B185" t="s">
        <v>1065</v>
      </c>
      <c r="D185" t="s">
        <v>787</v>
      </c>
      <c r="E185">
        <v>45</v>
      </c>
      <c r="F185" t="s">
        <v>598</v>
      </c>
      <c r="G185" t="s">
        <v>642</v>
      </c>
      <c r="H185" t="s">
        <v>153</v>
      </c>
      <c r="O185">
        <v>0</v>
      </c>
      <c r="P185">
        <v>0</v>
      </c>
    </row>
    <row r="186" spans="1:16" x14ac:dyDescent="0.2">
      <c r="A186" t="s">
        <v>20</v>
      </c>
      <c r="B186" t="s">
        <v>1066</v>
      </c>
      <c r="D186" t="s">
        <v>787</v>
      </c>
      <c r="E186">
        <v>46</v>
      </c>
      <c r="F186" t="s">
        <v>598</v>
      </c>
      <c r="G186" t="s">
        <v>641</v>
      </c>
      <c r="H186" t="s">
        <v>153</v>
      </c>
      <c r="O186">
        <v>0</v>
      </c>
      <c r="P186">
        <v>0</v>
      </c>
    </row>
    <row r="187" spans="1:16" x14ac:dyDescent="0.2">
      <c r="A187" t="s">
        <v>20</v>
      </c>
      <c r="B187" t="s">
        <v>1067</v>
      </c>
      <c r="D187" t="s">
        <v>787</v>
      </c>
      <c r="E187">
        <v>47</v>
      </c>
      <c r="F187" t="s">
        <v>598</v>
      </c>
      <c r="G187" t="s">
        <v>1644</v>
      </c>
      <c r="H187" t="s">
        <v>181</v>
      </c>
      <c r="O187">
        <v>0</v>
      </c>
      <c r="P187">
        <v>0</v>
      </c>
    </row>
    <row r="188" spans="1:16" x14ac:dyDescent="0.2">
      <c r="A188" t="s">
        <v>20</v>
      </c>
      <c r="B188" t="s">
        <v>1068</v>
      </c>
      <c r="D188" t="s">
        <v>787</v>
      </c>
      <c r="E188">
        <v>48</v>
      </c>
      <c r="F188" t="s">
        <v>598</v>
      </c>
      <c r="G188" t="s">
        <v>643</v>
      </c>
      <c r="H188" t="s">
        <v>153</v>
      </c>
      <c r="O188">
        <v>0</v>
      </c>
      <c r="P188">
        <v>0</v>
      </c>
    </row>
    <row r="189" spans="1:16" x14ac:dyDescent="0.2">
      <c r="A189" t="s">
        <v>20</v>
      </c>
      <c r="B189" t="s">
        <v>1069</v>
      </c>
      <c r="D189" t="s">
        <v>787</v>
      </c>
      <c r="E189">
        <v>49</v>
      </c>
      <c r="F189" t="s">
        <v>598</v>
      </c>
      <c r="G189" t="s">
        <v>1645</v>
      </c>
      <c r="H189" t="s">
        <v>152</v>
      </c>
      <c r="O189">
        <v>0</v>
      </c>
      <c r="P189">
        <v>0</v>
      </c>
    </row>
    <row r="190" spans="1:16" x14ac:dyDescent="0.2">
      <c r="A190" t="s">
        <v>20</v>
      </c>
      <c r="B190" t="s">
        <v>1070</v>
      </c>
      <c r="D190" t="s">
        <v>787</v>
      </c>
      <c r="E190">
        <v>50</v>
      </c>
      <c r="F190" t="s">
        <v>598</v>
      </c>
      <c r="G190" t="s">
        <v>644</v>
      </c>
      <c r="H190" t="s">
        <v>181</v>
      </c>
      <c r="O190">
        <v>0</v>
      </c>
      <c r="P190">
        <v>0</v>
      </c>
    </row>
    <row r="191" spans="1:16" x14ac:dyDescent="0.2">
      <c r="A191" t="s">
        <v>20</v>
      </c>
      <c r="B191" t="s">
        <v>1071</v>
      </c>
      <c r="D191" t="s">
        <v>787</v>
      </c>
      <c r="E191">
        <v>51</v>
      </c>
      <c r="F191" t="s">
        <v>598</v>
      </c>
      <c r="G191" t="s">
        <v>645</v>
      </c>
      <c r="H191" t="s">
        <v>181</v>
      </c>
      <c r="O191">
        <v>0</v>
      </c>
      <c r="P191">
        <v>0</v>
      </c>
    </row>
    <row r="192" spans="1:16" x14ac:dyDescent="0.2">
      <c r="A192" t="s">
        <v>20</v>
      </c>
      <c r="B192" t="s">
        <v>1072</v>
      </c>
      <c r="D192" t="s">
        <v>787</v>
      </c>
      <c r="E192">
        <v>52</v>
      </c>
      <c r="F192" t="s">
        <v>598</v>
      </c>
      <c r="G192" t="s">
        <v>646</v>
      </c>
      <c r="H192" t="s">
        <v>148</v>
      </c>
      <c r="O192">
        <v>0</v>
      </c>
      <c r="P192">
        <v>0</v>
      </c>
    </row>
    <row r="193" spans="1:16" x14ac:dyDescent="0.2">
      <c r="A193" t="s">
        <v>20</v>
      </c>
      <c r="B193" t="s">
        <v>1073</v>
      </c>
      <c r="D193" t="s">
        <v>787</v>
      </c>
      <c r="E193">
        <v>53</v>
      </c>
      <c r="F193" t="s">
        <v>598</v>
      </c>
      <c r="G193" t="s">
        <v>647</v>
      </c>
      <c r="H193" t="s">
        <v>149</v>
      </c>
      <c r="O193">
        <v>0</v>
      </c>
      <c r="P193">
        <v>0</v>
      </c>
    </row>
    <row r="194" spans="1:16" x14ac:dyDescent="0.2">
      <c r="A194" t="s">
        <v>20</v>
      </c>
      <c r="B194" t="s">
        <v>1074</v>
      </c>
      <c r="D194" t="s">
        <v>787</v>
      </c>
      <c r="E194">
        <v>54</v>
      </c>
      <c r="F194" t="s">
        <v>598</v>
      </c>
      <c r="G194" t="s">
        <v>648</v>
      </c>
      <c r="H194" t="s">
        <v>153</v>
      </c>
      <c r="O194">
        <v>0</v>
      </c>
      <c r="P194">
        <v>0</v>
      </c>
    </row>
    <row r="195" spans="1:16" x14ac:dyDescent="0.2">
      <c r="A195" t="s">
        <v>20</v>
      </c>
      <c r="B195" t="s">
        <v>1075</v>
      </c>
      <c r="D195" t="s">
        <v>787</v>
      </c>
      <c r="E195">
        <v>55</v>
      </c>
      <c r="F195" t="s">
        <v>598</v>
      </c>
      <c r="G195" t="s">
        <v>649</v>
      </c>
      <c r="H195" t="s">
        <v>153</v>
      </c>
      <c r="O195">
        <v>0</v>
      </c>
      <c r="P195">
        <v>0</v>
      </c>
    </row>
    <row r="196" spans="1:16" x14ac:dyDescent="0.2">
      <c r="A196" t="s">
        <v>20</v>
      </c>
      <c r="B196" t="s">
        <v>1076</v>
      </c>
      <c r="D196" t="s">
        <v>787</v>
      </c>
      <c r="E196">
        <v>56</v>
      </c>
      <c r="F196" t="s">
        <v>598</v>
      </c>
      <c r="G196" t="s">
        <v>650</v>
      </c>
      <c r="H196" t="s">
        <v>148</v>
      </c>
      <c r="O196">
        <v>0</v>
      </c>
      <c r="P196">
        <v>0</v>
      </c>
    </row>
    <row r="197" spans="1:16" x14ac:dyDescent="0.2">
      <c r="A197" t="s">
        <v>20</v>
      </c>
      <c r="B197" t="s">
        <v>1077</v>
      </c>
      <c r="D197" t="s">
        <v>787</v>
      </c>
      <c r="E197">
        <v>57</v>
      </c>
      <c r="F197" t="s">
        <v>598</v>
      </c>
      <c r="G197" t="s">
        <v>651</v>
      </c>
      <c r="H197" t="s">
        <v>148</v>
      </c>
      <c r="O197">
        <v>0</v>
      </c>
      <c r="P197">
        <v>0</v>
      </c>
    </row>
    <row r="198" spans="1:16" x14ac:dyDescent="0.2">
      <c r="A198" t="s">
        <v>20</v>
      </c>
      <c r="B198" t="s">
        <v>1078</v>
      </c>
      <c r="D198" t="s">
        <v>787</v>
      </c>
      <c r="E198">
        <v>58</v>
      </c>
      <c r="F198" t="s">
        <v>598</v>
      </c>
      <c r="G198" t="s">
        <v>652</v>
      </c>
      <c r="H198" t="s">
        <v>148</v>
      </c>
      <c r="O198">
        <v>0</v>
      </c>
      <c r="P198">
        <v>0</v>
      </c>
    </row>
    <row r="199" spans="1:16" x14ac:dyDescent="0.2">
      <c r="A199" t="s">
        <v>20</v>
      </c>
      <c r="B199" t="s">
        <v>1079</v>
      </c>
      <c r="D199" t="s">
        <v>787</v>
      </c>
      <c r="E199">
        <v>59</v>
      </c>
      <c r="F199" t="s">
        <v>598</v>
      </c>
      <c r="G199" t="s">
        <v>653</v>
      </c>
      <c r="H199" t="s">
        <v>148</v>
      </c>
      <c r="O199">
        <v>0</v>
      </c>
      <c r="P199">
        <v>0</v>
      </c>
    </row>
    <row r="200" spans="1:16" x14ac:dyDescent="0.2">
      <c r="A200" t="s">
        <v>20</v>
      </c>
      <c r="B200" t="s">
        <v>1080</v>
      </c>
      <c r="D200" t="s">
        <v>787</v>
      </c>
      <c r="E200">
        <v>60</v>
      </c>
      <c r="F200" t="s">
        <v>598</v>
      </c>
      <c r="G200" t="s">
        <v>654</v>
      </c>
      <c r="H200" t="s">
        <v>148</v>
      </c>
      <c r="O200">
        <v>0</v>
      </c>
      <c r="P200">
        <v>0</v>
      </c>
    </row>
    <row r="201" spans="1:16" x14ac:dyDescent="0.2">
      <c r="A201" t="s">
        <v>20</v>
      </c>
      <c r="B201" t="s">
        <v>1081</v>
      </c>
      <c r="D201" t="s">
        <v>787</v>
      </c>
      <c r="E201">
        <v>61</v>
      </c>
      <c r="F201" t="s">
        <v>598</v>
      </c>
      <c r="G201" t="s">
        <v>655</v>
      </c>
      <c r="H201" t="s">
        <v>152</v>
      </c>
      <c r="O201">
        <v>0</v>
      </c>
      <c r="P201">
        <v>0</v>
      </c>
    </row>
    <row r="202" spans="1:16" x14ac:dyDescent="0.2">
      <c r="A202" t="s">
        <v>20</v>
      </c>
      <c r="B202" t="s">
        <v>1082</v>
      </c>
      <c r="D202" t="s">
        <v>787</v>
      </c>
      <c r="E202">
        <v>62</v>
      </c>
      <c r="F202" t="s">
        <v>598</v>
      </c>
      <c r="G202" t="s">
        <v>656</v>
      </c>
      <c r="H202" t="s">
        <v>149</v>
      </c>
      <c r="O202">
        <v>0</v>
      </c>
      <c r="P202">
        <v>0</v>
      </c>
    </row>
    <row r="203" spans="1:16" x14ac:dyDescent="0.2">
      <c r="A203" t="s">
        <v>20</v>
      </c>
      <c r="B203" t="s">
        <v>1083</v>
      </c>
      <c r="D203" t="s">
        <v>787</v>
      </c>
      <c r="E203">
        <v>63</v>
      </c>
      <c r="F203" t="s">
        <v>598</v>
      </c>
      <c r="G203" t="s">
        <v>657</v>
      </c>
      <c r="H203" t="s">
        <v>153</v>
      </c>
      <c r="O203">
        <v>0</v>
      </c>
      <c r="P203">
        <v>0</v>
      </c>
    </row>
    <row r="204" spans="1:16" x14ac:dyDescent="0.2">
      <c r="A204" t="s">
        <v>20</v>
      </c>
      <c r="B204" t="s">
        <v>1084</v>
      </c>
      <c r="D204" t="s">
        <v>787</v>
      </c>
      <c r="E204">
        <v>64</v>
      </c>
      <c r="F204" t="s">
        <v>598</v>
      </c>
      <c r="G204" t="s">
        <v>658</v>
      </c>
      <c r="H204" t="s">
        <v>181</v>
      </c>
      <c r="O204">
        <v>0</v>
      </c>
      <c r="P204">
        <v>0</v>
      </c>
    </row>
    <row r="205" spans="1:16" x14ac:dyDescent="0.2">
      <c r="A205" t="s">
        <v>20</v>
      </c>
      <c r="B205" t="s">
        <v>1085</v>
      </c>
      <c r="D205" t="s">
        <v>787</v>
      </c>
      <c r="E205">
        <v>65</v>
      </c>
      <c r="F205" t="s">
        <v>598</v>
      </c>
      <c r="G205" t="s">
        <v>659</v>
      </c>
      <c r="H205" t="s">
        <v>152</v>
      </c>
      <c r="O205">
        <v>0</v>
      </c>
      <c r="P205">
        <v>0</v>
      </c>
    </row>
    <row r="206" spans="1:16" x14ac:dyDescent="0.2">
      <c r="A206" t="s">
        <v>20</v>
      </c>
      <c r="B206" t="s">
        <v>1577</v>
      </c>
      <c r="D206" t="s">
        <v>787</v>
      </c>
      <c r="E206">
        <v>66</v>
      </c>
      <c r="F206" t="s">
        <v>598</v>
      </c>
      <c r="G206" t="s">
        <v>1576</v>
      </c>
      <c r="H206" t="s">
        <v>153</v>
      </c>
      <c r="O206">
        <v>0</v>
      </c>
      <c r="P206">
        <v>0</v>
      </c>
    </row>
    <row r="207" spans="1:16" x14ac:dyDescent="0.2">
      <c r="A207" t="s">
        <v>20</v>
      </c>
      <c r="B207" t="s">
        <v>1579</v>
      </c>
      <c r="D207" t="s">
        <v>787</v>
      </c>
      <c r="E207">
        <v>67</v>
      </c>
      <c r="F207" t="s">
        <v>598</v>
      </c>
      <c r="G207" t="s">
        <v>1578</v>
      </c>
      <c r="H207" t="s">
        <v>153</v>
      </c>
      <c r="O207">
        <v>0</v>
      </c>
      <c r="P207">
        <v>0</v>
      </c>
    </row>
    <row r="208" spans="1:16" x14ac:dyDescent="0.2">
      <c r="A208" t="s">
        <v>20</v>
      </c>
      <c r="B208" t="s">
        <v>1583</v>
      </c>
      <c r="D208" t="s">
        <v>787</v>
      </c>
      <c r="E208">
        <v>68</v>
      </c>
      <c r="F208" t="s">
        <v>598</v>
      </c>
      <c r="G208" t="s">
        <v>1582</v>
      </c>
      <c r="H208" t="s">
        <v>153</v>
      </c>
      <c r="O208">
        <v>0</v>
      </c>
      <c r="P208">
        <v>0</v>
      </c>
    </row>
    <row r="209" spans="1:16" x14ac:dyDescent="0.2">
      <c r="A209" t="s">
        <v>106</v>
      </c>
      <c r="B209" t="s">
        <v>1297</v>
      </c>
      <c r="D209" t="s">
        <v>788</v>
      </c>
      <c r="E209">
        <v>1</v>
      </c>
      <c r="F209" t="s">
        <v>333</v>
      </c>
      <c r="G209" t="s">
        <v>352</v>
      </c>
      <c r="H209" t="s">
        <v>153</v>
      </c>
      <c r="I209">
        <v>1</v>
      </c>
      <c r="O209">
        <v>0</v>
      </c>
      <c r="P209">
        <v>0</v>
      </c>
    </row>
    <row r="210" spans="1:16" x14ac:dyDescent="0.2">
      <c r="A210" t="s">
        <v>106</v>
      </c>
      <c r="B210" t="s">
        <v>1298</v>
      </c>
      <c r="D210" t="s">
        <v>788</v>
      </c>
      <c r="E210">
        <v>2</v>
      </c>
      <c r="F210" t="s">
        <v>333</v>
      </c>
      <c r="G210" t="s">
        <v>336</v>
      </c>
      <c r="H210" t="s">
        <v>153</v>
      </c>
      <c r="O210">
        <v>0</v>
      </c>
      <c r="P210">
        <v>0</v>
      </c>
    </row>
    <row r="211" spans="1:16" x14ac:dyDescent="0.2">
      <c r="A211" t="s">
        <v>106</v>
      </c>
      <c r="B211" t="s">
        <v>1299</v>
      </c>
      <c r="D211" t="s">
        <v>788</v>
      </c>
      <c r="E211">
        <v>3</v>
      </c>
      <c r="F211" t="s">
        <v>333</v>
      </c>
      <c r="G211" t="s">
        <v>337</v>
      </c>
      <c r="H211" t="s">
        <v>153</v>
      </c>
      <c r="I211">
        <v>1</v>
      </c>
      <c r="O211">
        <v>0</v>
      </c>
      <c r="P211">
        <v>0</v>
      </c>
    </row>
    <row r="212" spans="1:16" x14ac:dyDescent="0.2">
      <c r="A212" t="s">
        <v>106</v>
      </c>
      <c r="B212" t="s">
        <v>1300</v>
      </c>
      <c r="D212" t="s">
        <v>788</v>
      </c>
      <c r="E212">
        <v>4</v>
      </c>
      <c r="F212" t="s">
        <v>333</v>
      </c>
      <c r="G212" t="s">
        <v>338</v>
      </c>
      <c r="H212" t="s">
        <v>153</v>
      </c>
      <c r="O212">
        <v>0</v>
      </c>
      <c r="P212">
        <v>0</v>
      </c>
    </row>
    <row r="213" spans="1:16" x14ac:dyDescent="0.2">
      <c r="A213" t="s">
        <v>106</v>
      </c>
      <c r="B213" t="s">
        <v>1301</v>
      </c>
      <c r="D213" t="s">
        <v>788</v>
      </c>
      <c r="E213">
        <v>5</v>
      </c>
      <c r="F213" t="s">
        <v>333</v>
      </c>
      <c r="G213" t="s">
        <v>339</v>
      </c>
      <c r="H213" t="s">
        <v>153</v>
      </c>
      <c r="O213">
        <v>0</v>
      </c>
      <c r="P213">
        <v>0</v>
      </c>
    </row>
    <row r="214" spans="1:16" x14ac:dyDescent="0.2">
      <c r="A214" t="s">
        <v>106</v>
      </c>
      <c r="B214" t="s">
        <v>1302</v>
      </c>
      <c r="D214" t="s">
        <v>788</v>
      </c>
      <c r="E214">
        <v>6</v>
      </c>
      <c r="F214" t="s">
        <v>333</v>
      </c>
      <c r="G214" t="s">
        <v>340</v>
      </c>
      <c r="H214" t="s">
        <v>153</v>
      </c>
      <c r="O214">
        <v>0</v>
      </c>
      <c r="P214">
        <v>0</v>
      </c>
    </row>
    <row r="215" spans="1:16" x14ac:dyDescent="0.2">
      <c r="A215" t="s">
        <v>106</v>
      </c>
      <c r="B215" t="s">
        <v>1303</v>
      </c>
      <c r="D215" t="s">
        <v>788</v>
      </c>
      <c r="E215">
        <v>7</v>
      </c>
      <c r="F215" t="s">
        <v>333</v>
      </c>
      <c r="G215" t="s">
        <v>341</v>
      </c>
      <c r="H215" t="s">
        <v>153</v>
      </c>
      <c r="I215">
        <v>1</v>
      </c>
      <c r="O215">
        <v>0</v>
      </c>
      <c r="P215">
        <v>0</v>
      </c>
    </row>
    <row r="216" spans="1:16" x14ac:dyDescent="0.2">
      <c r="A216" t="s">
        <v>106</v>
      </c>
      <c r="B216" t="s">
        <v>1304</v>
      </c>
      <c r="D216" t="s">
        <v>788</v>
      </c>
      <c r="E216">
        <v>8</v>
      </c>
      <c r="F216" t="s">
        <v>333</v>
      </c>
      <c r="G216" t="s">
        <v>343</v>
      </c>
      <c r="H216" t="s">
        <v>153</v>
      </c>
      <c r="I216">
        <v>1</v>
      </c>
      <c r="O216">
        <v>0</v>
      </c>
      <c r="P216">
        <v>0</v>
      </c>
    </row>
    <row r="217" spans="1:16" x14ac:dyDescent="0.2">
      <c r="A217" t="s">
        <v>106</v>
      </c>
      <c r="B217" t="s">
        <v>1305</v>
      </c>
      <c r="D217" t="s">
        <v>788</v>
      </c>
      <c r="E217">
        <v>9</v>
      </c>
      <c r="F217" t="s">
        <v>333</v>
      </c>
      <c r="G217" t="s">
        <v>342</v>
      </c>
      <c r="H217" t="s">
        <v>153</v>
      </c>
      <c r="I217">
        <v>1</v>
      </c>
      <c r="O217">
        <v>0</v>
      </c>
      <c r="P217">
        <v>0</v>
      </c>
    </row>
    <row r="218" spans="1:16" x14ac:dyDescent="0.2">
      <c r="A218" t="s">
        <v>106</v>
      </c>
      <c r="B218" t="s">
        <v>1086</v>
      </c>
      <c r="D218" t="s">
        <v>788</v>
      </c>
      <c r="E218">
        <v>10</v>
      </c>
      <c r="F218" t="s">
        <v>333</v>
      </c>
      <c r="G218" t="s">
        <v>344</v>
      </c>
      <c r="H218" t="s">
        <v>153</v>
      </c>
      <c r="I218">
        <v>1</v>
      </c>
      <c r="O218">
        <v>0</v>
      </c>
      <c r="P218">
        <v>0</v>
      </c>
    </row>
    <row r="219" spans="1:16" x14ac:dyDescent="0.2">
      <c r="A219" t="s">
        <v>106</v>
      </c>
      <c r="B219" t="s">
        <v>1087</v>
      </c>
      <c r="D219" t="s">
        <v>788</v>
      </c>
      <c r="E219">
        <v>11</v>
      </c>
      <c r="F219" t="s">
        <v>333</v>
      </c>
      <c r="G219" t="s">
        <v>345</v>
      </c>
      <c r="H219" t="s">
        <v>153</v>
      </c>
      <c r="I219">
        <v>1</v>
      </c>
      <c r="O219">
        <v>0</v>
      </c>
      <c r="P219">
        <v>0</v>
      </c>
    </row>
    <row r="220" spans="1:16" x14ac:dyDescent="0.2">
      <c r="A220" t="s">
        <v>106</v>
      </c>
      <c r="B220" t="s">
        <v>1088</v>
      </c>
      <c r="D220" t="s">
        <v>788</v>
      </c>
      <c r="E220">
        <v>12</v>
      </c>
      <c r="F220" t="s">
        <v>333</v>
      </c>
      <c r="G220" t="s">
        <v>812</v>
      </c>
      <c r="H220" t="s">
        <v>153</v>
      </c>
      <c r="I220">
        <v>1</v>
      </c>
      <c r="O220">
        <v>0</v>
      </c>
      <c r="P220">
        <v>0</v>
      </c>
    </row>
    <row r="221" spans="1:16" x14ac:dyDescent="0.2">
      <c r="A221" t="s">
        <v>106</v>
      </c>
      <c r="B221" t="s">
        <v>1089</v>
      </c>
      <c r="D221" t="s">
        <v>788</v>
      </c>
      <c r="E221">
        <v>13</v>
      </c>
      <c r="F221" t="s">
        <v>333</v>
      </c>
      <c r="G221" t="s">
        <v>813</v>
      </c>
      <c r="H221" t="s">
        <v>153</v>
      </c>
      <c r="I221">
        <v>1</v>
      </c>
      <c r="O221">
        <v>0</v>
      </c>
      <c r="P221">
        <v>0</v>
      </c>
    </row>
    <row r="222" spans="1:16" x14ac:dyDescent="0.2">
      <c r="A222" t="s">
        <v>106</v>
      </c>
      <c r="B222" t="s">
        <v>1090</v>
      </c>
      <c r="D222" t="s">
        <v>788</v>
      </c>
      <c r="E222">
        <v>14</v>
      </c>
      <c r="F222" t="s">
        <v>333</v>
      </c>
      <c r="G222" t="s">
        <v>814</v>
      </c>
      <c r="H222" t="s">
        <v>153</v>
      </c>
      <c r="I222">
        <v>1</v>
      </c>
      <c r="O222">
        <v>0</v>
      </c>
      <c r="P222">
        <v>0</v>
      </c>
    </row>
    <row r="223" spans="1:16" x14ac:dyDescent="0.2">
      <c r="A223" t="s">
        <v>106</v>
      </c>
      <c r="B223" t="s">
        <v>1091</v>
      </c>
      <c r="D223" t="s">
        <v>788</v>
      </c>
      <c r="E223">
        <v>15</v>
      </c>
      <c r="F223" t="s">
        <v>333</v>
      </c>
      <c r="G223" t="s">
        <v>815</v>
      </c>
      <c r="H223" t="s">
        <v>153</v>
      </c>
      <c r="I223">
        <v>1</v>
      </c>
      <c r="O223">
        <v>0</v>
      </c>
      <c r="P223">
        <v>0</v>
      </c>
    </row>
    <row r="224" spans="1:16" x14ac:dyDescent="0.2">
      <c r="A224" t="s">
        <v>106</v>
      </c>
      <c r="B224" t="s">
        <v>1092</v>
      </c>
      <c r="D224" t="s">
        <v>788</v>
      </c>
      <c r="E224">
        <v>16</v>
      </c>
      <c r="F224" t="s">
        <v>333</v>
      </c>
      <c r="G224" t="s">
        <v>816</v>
      </c>
      <c r="H224" t="s">
        <v>181</v>
      </c>
      <c r="I224">
        <v>1</v>
      </c>
      <c r="O224">
        <v>0</v>
      </c>
      <c r="P224">
        <v>0</v>
      </c>
    </row>
    <row r="225" spans="1:16" x14ac:dyDescent="0.2">
      <c r="A225" t="s">
        <v>106</v>
      </c>
      <c r="B225" t="s">
        <v>1093</v>
      </c>
      <c r="D225" t="s">
        <v>788</v>
      </c>
      <c r="E225">
        <v>17</v>
      </c>
      <c r="F225" t="s">
        <v>333</v>
      </c>
      <c r="G225" t="s">
        <v>818</v>
      </c>
      <c r="H225" t="s">
        <v>181</v>
      </c>
      <c r="I225">
        <v>1</v>
      </c>
      <c r="O225">
        <v>0</v>
      </c>
      <c r="P225">
        <v>0</v>
      </c>
    </row>
    <row r="226" spans="1:16" x14ac:dyDescent="0.2">
      <c r="A226" t="s">
        <v>106</v>
      </c>
      <c r="B226" t="s">
        <v>1094</v>
      </c>
      <c r="D226" t="s">
        <v>788</v>
      </c>
      <c r="E226">
        <v>18</v>
      </c>
      <c r="F226" t="s">
        <v>333</v>
      </c>
      <c r="G226" t="s">
        <v>817</v>
      </c>
      <c r="H226" t="s">
        <v>181</v>
      </c>
      <c r="I226">
        <v>1</v>
      </c>
      <c r="O226">
        <v>0</v>
      </c>
      <c r="P226">
        <v>0</v>
      </c>
    </row>
    <row r="227" spans="1:16" x14ac:dyDescent="0.2">
      <c r="A227" t="s">
        <v>106</v>
      </c>
      <c r="B227" t="s">
        <v>1095</v>
      </c>
      <c r="D227" t="s">
        <v>788</v>
      </c>
      <c r="E227">
        <v>19</v>
      </c>
      <c r="F227" t="s">
        <v>333</v>
      </c>
      <c r="G227" t="s">
        <v>819</v>
      </c>
      <c r="H227" t="s">
        <v>153</v>
      </c>
      <c r="I227">
        <v>1</v>
      </c>
      <c r="O227">
        <v>0</v>
      </c>
      <c r="P227">
        <v>0</v>
      </c>
    </row>
    <row r="228" spans="1:16" x14ac:dyDescent="0.2">
      <c r="A228" t="s">
        <v>106</v>
      </c>
      <c r="B228" t="s">
        <v>1096</v>
      </c>
      <c r="D228" t="s">
        <v>788</v>
      </c>
      <c r="E228">
        <v>20</v>
      </c>
      <c r="F228" t="s">
        <v>333</v>
      </c>
      <c r="G228" t="s">
        <v>821</v>
      </c>
      <c r="H228" t="s">
        <v>153</v>
      </c>
      <c r="I228">
        <v>1</v>
      </c>
      <c r="O228">
        <v>0</v>
      </c>
      <c r="P228">
        <v>0</v>
      </c>
    </row>
    <row r="229" spans="1:16" x14ac:dyDescent="0.2">
      <c r="A229" t="s">
        <v>106</v>
      </c>
      <c r="B229" t="s">
        <v>1097</v>
      </c>
      <c r="D229" t="s">
        <v>788</v>
      </c>
      <c r="E229">
        <v>21</v>
      </c>
      <c r="F229" t="s">
        <v>333</v>
      </c>
      <c r="G229" t="s">
        <v>820</v>
      </c>
      <c r="H229" t="s">
        <v>153</v>
      </c>
      <c r="I229">
        <v>1</v>
      </c>
      <c r="O229">
        <v>0</v>
      </c>
      <c r="P229">
        <v>0</v>
      </c>
    </row>
    <row r="230" spans="1:16" x14ac:dyDescent="0.2">
      <c r="A230" t="s">
        <v>106</v>
      </c>
      <c r="B230" t="s">
        <v>1098</v>
      </c>
      <c r="D230" t="s">
        <v>788</v>
      </c>
      <c r="E230">
        <v>22</v>
      </c>
      <c r="F230" t="s">
        <v>333</v>
      </c>
      <c r="G230" t="s">
        <v>822</v>
      </c>
      <c r="H230" t="s">
        <v>181</v>
      </c>
      <c r="I230">
        <v>1</v>
      </c>
      <c r="O230">
        <v>0</v>
      </c>
      <c r="P230">
        <v>0</v>
      </c>
    </row>
    <row r="231" spans="1:16" x14ac:dyDescent="0.2">
      <c r="A231" t="s">
        <v>106</v>
      </c>
      <c r="B231" t="s">
        <v>1099</v>
      </c>
      <c r="D231" t="s">
        <v>788</v>
      </c>
      <c r="E231">
        <v>23</v>
      </c>
      <c r="F231" t="s">
        <v>333</v>
      </c>
      <c r="G231" t="s">
        <v>825</v>
      </c>
      <c r="H231" t="s">
        <v>382</v>
      </c>
      <c r="I231">
        <v>1</v>
      </c>
      <c r="O231">
        <v>0</v>
      </c>
      <c r="P231">
        <v>0</v>
      </c>
    </row>
    <row r="232" spans="1:16" x14ac:dyDescent="0.2">
      <c r="A232" t="s">
        <v>106</v>
      </c>
      <c r="B232" t="s">
        <v>1100</v>
      </c>
      <c r="D232" t="s">
        <v>788</v>
      </c>
      <c r="E232">
        <v>24</v>
      </c>
      <c r="F232" t="s">
        <v>333</v>
      </c>
      <c r="G232" t="s">
        <v>936</v>
      </c>
      <c r="H232" t="s">
        <v>382</v>
      </c>
      <c r="I232">
        <v>1</v>
      </c>
      <c r="O232">
        <v>0</v>
      </c>
      <c r="P232">
        <v>0</v>
      </c>
    </row>
    <row r="233" spans="1:16" x14ac:dyDescent="0.2">
      <c r="A233" t="s">
        <v>106</v>
      </c>
      <c r="B233" t="s">
        <v>1306</v>
      </c>
      <c r="D233" t="s">
        <v>789</v>
      </c>
      <c r="E233">
        <v>1</v>
      </c>
      <c r="F233" t="s">
        <v>330</v>
      </c>
      <c r="G233" t="s">
        <v>346</v>
      </c>
      <c r="H233" t="s">
        <v>153</v>
      </c>
      <c r="O233">
        <v>0</v>
      </c>
      <c r="P233">
        <v>0</v>
      </c>
    </row>
    <row r="234" spans="1:16" x14ac:dyDescent="0.2">
      <c r="A234" t="s">
        <v>106</v>
      </c>
      <c r="B234" t="s">
        <v>1307</v>
      </c>
      <c r="D234" t="s">
        <v>789</v>
      </c>
      <c r="E234">
        <v>2</v>
      </c>
      <c r="F234" t="s">
        <v>330</v>
      </c>
      <c r="G234" t="s">
        <v>348</v>
      </c>
      <c r="H234" t="s">
        <v>153</v>
      </c>
      <c r="O234">
        <v>0</v>
      </c>
      <c r="P234">
        <v>0</v>
      </c>
    </row>
    <row r="235" spans="1:16" x14ac:dyDescent="0.2">
      <c r="A235" t="s">
        <v>106</v>
      </c>
      <c r="B235" t="s">
        <v>1308</v>
      </c>
      <c r="D235" t="s">
        <v>789</v>
      </c>
      <c r="E235">
        <v>3</v>
      </c>
      <c r="F235" t="s">
        <v>330</v>
      </c>
      <c r="G235" t="s">
        <v>349</v>
      </c>
      <c r="H235" t="s">
        <v>153</v>
      </c>
      <c r="O235">
        <v>0</v>
      </c>
      <c r="P235">
        <v>0</v>
      </c>
    </row>
    <row r="236" spans="1:16" x14ac:dyDescent="0.2">
      <c r="A236" t="s">
        <v>106</v>
      </c>
      <c r="B236" t="s">
        <v>1309</v>
      </c>
      <c r="D236" t="s">
        <v>789</v>
      </c>
      <c r="E236">
        <v>4</v>
      </c>
      <c r="F236" t="s">
        <v>330</v>
      </c>
      <c r="G236" t="s">
        <v>350</v>
      </c>
      <c r="H236" t="s">
        <v>153</v>
      </c>
      <c r="O236">
        <v>0</v>
      </c>
      <c r="P236">
        <v>0</v>
      </c>
    </row>
    <row r="237" spans="1:16" x14ac:dyDescent="0.2">
      <c r="A237" t="s">
        <v>106</v>
      </c>
      <c r="B237" t="s">
        <v>1310</v>
      </c>
      <c r="D237" t="s">
        <v>789</v>
      </c>
      <c r="E237">
        <v>5</v>
      </c>
      <c r="F237" t="s">
        <v>330</v>
      </c>
      <c r="G237" t="s">
        <v>351</v>
      </c>
      <c r="H237" t="s">
        <v>153</v>
      </c>
      <c r="O237">
        <v>0</v>
      </c>
      <c r="P237">
        <v>0</v>
      </c>
    </row>
    <row r="238" spans="1:16" x14ac:dyDescent="0.2">
      <c r="A238" t="s">
        <v>106</v>
      </c>
      <c r="B238" t="s">
        <v>1311</v>
      </c>
      <c r="D238" t="s">
        <v>790</v>
      </c>
      <c r="E238">
        <v>1</v>
      </c>
      <c r="F238" t="s">
        <v>334</v>
      </c>
      <c r="G238" t="s">
        <v>353</v>
      </c>
      <c r="H238" t="s">
        <v>148</v>
      </c>
      <c r="O238">
        <v>0</v>
      </c>
      <c r="P238">
        <v>0</v>
      </c>
    </row>
    <row r="239" spans="1:16" x14ac:dyDescent="0.2">
      <c r="A239" t="s">
        <v>106</v>
      </c>
      <c r="B239" t="s">
        <v>1312</v>
      </c>
      <c r="D239" t="s">
        <v>790</v>
      </c>
      <c r="E239">
        <v>2</v>
      </c>
      <c r="F239" t="s">
        <v>334</v>
      </c>
      <c r="G239" t="s">
        <v>354</v>
      </c>
      <c r="H239" t="s">
        <v>153</v>
      </c>
      <c r="I239">
        <v>1</v>
      </c>
      <c r="O239">
        <v>0</v>
      </c>
      <c r="P239">
        <v>0</v>
      </c>
    </row>
    <row r="240" spans="1:16" x14ac:dyDescent="0.2">
      <c r="A240" t="s">
        <v>106</v>
      </c>
      <c r="B240" t="s">
        <v>1313</v>
      </c>
      <c r="D240" t="s">
        <v>790</v>
      </c>
      <c r="E240">
        <v>3</v>
      </c>
      <c r="F240" t="s">
        <v>334</v>
      </c>
      <c r="G240" t="s">
        <v>355</v>
      </c>
      <c r="H240" t="s">
        <v>151</v>
      </c>
      <c r="I240">
        <v>1</v>
      </c>
      <c r="O240">
        <v>0</v>
      </c>
      <c r="P240">
        <v>0</v>
      </c>
    </row>
    <row r="241" spans="1:16" x14ac:dyDescent="0.2">
      <c r="A241" t="s">
        <v>106</v>
      </c>
      <c r="B241" t="s">
        <v>1314</v>
      </c>
      <c r="D241" t="s">
        <v>790</v>
      </c>
      <c r="E241">
        <v>4</v>
      </c>
      <c r="F241" t="s">
        <v>334</v>
      </c>
      <c r="G241" t="s">
        <v>356</v>
      </c>
      <c r="H241" t="s">
        <v>149</v>
      </c>
      <c r="I241">
        <v>1</v>
      </c>
      <c r="O241">
        <v>0</v>
      </c>
      <c r="P241">
        <v>0</v>
      </c>
    </row>
    <row r="242" spans="1:16" x14ac:dyDescent="0.2">
      <c r="A242" t="s">
        <v>106</v>
      </c>
      <c r="B242" t="s">
        <v>1315</v>
      </c>
      <c r="D242" t="s">
        <v>790</v>
      </c>
      <c r="E242">
        <v>5</v>
      </c>
      <c r="F242" t="s">
        <v>334</v>
      </c>
      <c r="G242" t="s">
        <v>357</v>
      </c>
      <c r="H242" t="s">
        <v>151</v>
      </c>
      <c r="I242">
        <v>1</v>
      </c>
      <c r="O242">
        <v>0</v>
      </c>
      <c r="P242">
        <v>0</v>
      </c>
    </row>
    <row r="243" spans="1:16" x14ac:dyDescent="0.2">
      <c r="A243" t="s">
        <v>106</v>
      </c>
      <c r="B243" t="s">
        <v>1316</v>
      </c>
      <c r="D243" t="s">
        <v>790</v>
      </c>
      <c r="E243">
        <v>6</v>
      </c>
      <c r="F243" t="s">
        <v>334</v>
      </c>
      <c r="G243" t="s">
        <v>358</v>
      </c>
      <c r="H243" t="s">
        <v>149</v>
      </c>
      <c r="I243">
        <v>1</v>
      </c>
      <c r="O243">
        <v>0</v>
      </c>
      <c r="P243">
        <v>0</v>
      </c>
    </row>
    <row r="244" spans="1:16" x14ac:dyDescent="0.2">
      <c r="A244" t="s">
        <v>106</v>
      </c>
      <c r="B244" t="s">
        <v>1317</v>
      </c>
      <c r="D244" t="s">
        <v>791</v>
      </c>
      <c r="E244">
        <v>1</v>
      </c>
      <c r="F244" t="s">
        <v>335</v>
      </c>
      <c r="G244" t="s">
        <v>359</v>
      </c>
      <c r="H244" t="s">
        <v>148</v>
      </c>
      <c r="O244">
        <v>0</v>
      </c>
      <c r="P244">
        <v>0</v>
      </c>
    </row>
    <row r="245" spans="1:16" x14ac:dyDescent="0.2">
      <c r="A245" t="s">
        <v>106</v>
      </c>
      <c r="B245" t="s">
        <v>1318</v>
      </c>
      <c r="D245" t="s">
        <v>791</v>
      </c>
      <c r="E245">
        <v>2</v>
      </c>
      <c r="F245" t="s">
        <v>335</v>
      </c>
      <c r="G245" t="s">
        <v>360</v>
      </c>
      <c r="H245" t="s">
        <v>150</v>
      </c>
      <c r="I245">
        <v>1</v>
      </c>
      <c r="O245">
        <v>0</v>
      </c>
      <c r="P245">
        <v>0</v>
      </c>
    </row>
    <row r="246" spans="1:16" x14ac:dyDescent="0.2">
      <c r="A246" t="s">
        <v>106</v>
      </c>
      <c r="B246" t="s">
        <v>1319</v>
      </c>
      <c r="D246" t="s">
        <v>791</v>
      </c>
      <c r="E246">
        <v>3</v>
      </c>
      <c r="F246" t="s">
        <v>335</v>
      </c>
      <c r="G246" t="s">
        <v>362</v>
      </c>
      <c r="H246" t="s">
        <v>151</v>
      </c>
      <c r="I246">
        <v>1</v>
      </c>
      <c r="O246">
        <v>0</v>
      </c>
      <c r="P246">
        <v>0</v>
      </c>
    </row>
    <row r="247" spans="1:16" x14ac:dyDescent="0.2">
      <c r="A247" t="s">
        <v>106</v>
      </c>
      <c r="B247" t="s">
        <v>1320</v>
      </c>
      <c r="D247" t="s">
        <v>791</v>
      </c>
      <c r="E247">
        <v>4</v>
      </c>
      <c r="F247" t="s">
        <v>335</v>
      </c>
      <c r="G247" t="s">
        <v>361</v>
      </c>
      <c r="H247" t="s">
        <v>151</v>
      </c>
      <c r="I247">
        <v>1</v>
      </c>
      <c r="O247">
        <v>0</v>
      </c>
      <c r="P247">
        <v>0</v>
      </c>
    </row>
    <row r="248" spans="1:16" x14ac:dyDescent="0.2">
      <c r="A248" t="s">
        <v>106</v>
      </c>
      <c r="B248" t="s">
        <v>1321</v>
      </c>
      <c r="D248" t="s">
        <v>792</v>
      </c>
      <c r="E248">
        <v>1</v>
      </c>
      <c r="F248" t="s">
        <v>458</v>
      </c>
      <c r="G248" t="s">
        <v>588</v>
      </c>
      <c r="H248" t="s">
        <v>150</v>
      </c>
      <c r="I248">
        <v>1</v>
      </c>
      <c r="O248">
        <v>0</v>
      </c>
      <c r="P248">
        <v>0</v>
      </c>
    </row>
    <row r="249" spans="1:16" x14ac:dyDescent="0.2">
      <c r="A249" t="s">
        <v>106</v>
      </c>
      <c r="B249" t="s">
        <v>1322</v>
      </c>
      <c r="D249" t="s">
        <v>792</v>
      </c>
      <c r="E249">
        <v>2</v>
      </c>
      <c r="F249" t="s">
        <v>458</v>
      </c>
      <c r="G249" t="s">
        <v>591</v>
      </c>
      <c r="H249" t="s">
        <v>150</v>
      </c>
      <c r="I249">
        <v>1</v>
      </c>
      <c r="O249">
        <v>0</v>
      </c>
      <c r="P249">
        <v>0</v>
      </c>
    </row>
    <row r="250" spans="1:16" x14ac:dyDescent="0.2">
      <c r="A250" t="s">
        <v>106</v>
      </c>
      <c r="B250" t="s">
        <v>1323</v>
      </c>
      <c r="D250" t="s">
        <v>792</v>
      </c>
      <c r="E250">
        <v>3</v>
      </c>
      <c r="F250" t="s">
        <v>458</v>
      </c>
      <c r="G250" t="s">
        <v>589</v>
      </c>
      <c r="H250" t="s">
        <v>153</v>
      </c>
      <c r="I250">
        <v>1</v>
      </c>
      <c r="O250">
        <v>0</v>
      </c>
      <c r="P250">
        <v>0</v>
      </c>
    </row>
    <row r="251" spans="1:16" x14ac:dyDescent="0.2">
      <c r="A251" t="s">
        <v>106</v>
      </c>
      <c r="B251" t="s">
        <v>1324</v>
      </c>
      <c r="D251" t="s">
        <v>792</v>
      </c>
      <c r="E251">
        <v>4</v>
      </c>
      <c r="F251" t="s">
        <v>458</v>
      </c>
      <c r="G251" t="s">
        <v>590</v>
      </c>
      <c r="H251" t="s">
        <v>149</v>
      </c>
      <c r="I251">
        <v>1</v>
      </c>
      <c r="O251">
        <v>0</v>
      </c>
      <c r="P251">
        <v>0</v>
      </c>
    </row>
    <row r="252" spans="1:16" x14ac:dyDescent="0.2">
      <c r="A252" t="s">
        <v>106</v>
      </c>
      <c r="B252" t="s">
        <v>1325</v>
      </c>
      <c r="D252" t="s">
        <v>1101</v>
      </c>
      <c r="E252">
        <v>1</v>
      </c>
      <c r="F252" t="s">
        <v>459</v>
      </c>
      <c r="G252" t="s">
        <v>823</v>
      </c>
      <c r="H252" t="s">
        <v>151</v>
      </c>
      <c r="I252">
        <v>1</v>
      </c>
      <c r="O252">
        <v>0</v>
      </c>
      <c r="P252">
        <v>0</v>
      </c>
    </row>
    <row r="253" spans="1:16" x14ac:dyDescent="0.2">
      <c r="A253" t="s">
        <v>106</v>
      </c>
      <c r="B253" t="s">
        <v>1326</v>
      </c>
      <c r="D253" t="s">
        <v>1101</v>
      </c>
      <c r="E253">
        <v>2</v>
      </c>
      <c r="F253" t="s">
        <v>459</v>
      </c>
      <c r="G253" t="s">
        <v>824</v>
      </c>
      <c r="H253" t="s">
        <v>151</v>
      </c>
      <c r="I253">
        <v>1</v>
      </c>
      <c r="O253">
        <v>0</v>
      </c>
      <c r="P253">
        <v>0</v>
      </c>
    </row>
    <row r="254" spans="1:16" x14ac:dyDescent="0.2">
      <c r="A254" t="s">
        <v>119</v>
      </c>
      <c r="B254" t="s">
        <v>1327</v>
      </c>
      <c r="D254" t="s">
        <v>321</v>
      </c>
      <c r="E254">
        <v>1</v>
      </c>
      <c r="F254" t="s">
        <v>159</v>
      </c>
      <c r="G254" t="s">
        <v>188</v>
      </c>
      <c r="H254" t="s">
        <v>153</v>
      </c>
      <c r="I254">
        <v>1</v>
      </c>
      <c r="J254">
        <v>1</v>
      </c>
      <c r="K254">
        <v>2</v>
      </c>
      <c r="L254">
        <v>5</v>
      </c>
      <c r="M254">
        <v>5</v>
      </c>
      <c r="O254">
        <v>7.4707698403599609</v>
      </c>
      <c r="P254">
        <v>7.4707698403599609</v>
      </c>
    </row>
    <row r="255" spans="1:16" x14ac:dyDescent="0.2">
      <c r="A255" t="s">
        <v>119</v>
      </c>
      <c r="B255" t="s">
        <v>1328</v>
      </c>
      <c r="D255" t="s">
        <v>321</v>
      </c>
      <c r="E255">
        <v>2</v>
      </c>
      <c r="F255" t="s">
        <v>159</v>
      </c>
      <c r="G255" t="s">
        <v>180</v>
      </c>
      <c r="H255" t="s">
        <v>181</v>
      </c>
      <c r="I255">
        <v>1</v>
      </c>
      <c r="J255">
        <v>1</v>
      </c>
      <c r="K255">
        <v>2</v>
      </c>
      <c r="L255">
        <v>4</v>
      </c>
      <c r="M255">
        <v>5</v>
      </c>
      <c r="O255">
        <v>4.8094761878996088</v>
      </c>
      <c r="P255">
        <v>7.4707698403599609</v>
      </c>
    </row>
    <row r="256" spans="1:16" x14ac:dyDescent="0.2">
      <c r="A256" t="s">
        <v>119</v>
      </c>
      <c r="B256" t="s">
        <v>1329</v>
      </c>
      <c r="D256" t="s">
        <v>321</v>
      </c>
      <c r="E256">
        <v>3</v>
      </c>
      <c r="F256" t="s">
        <v>159</v>
      </c>
      <c r="G256" t="s">
        <v>187</v>
      </c>
      <c r="H256" t="s">
        <v>153</v>
      </c>
      <c r="I256">
        <v>1</v>
      </c>
      <c r="J256">
        <v>2</v>
      </c>
      <c r="K256">
        <v>2</v>
      </c>
      <c r="L256">
        <v>4</v>
      </c>
      <c r="M256">
        <v>5</v>
      </c>
      <c r="O256">
        <v>3.4675646088337704</v>
      </c>
      <c r="P256">
        <v>5.1952304715697029</v>
      </c>
    </row>
    <row r="257" spans="1:16" x14ac:dyDescent="0.2">
      <c r="A257" t="s">
        <v>119</v>
      </c>
      <c r="B257" t="s">
        <v>1330</v>
      </c>
      <c r="D257" t="s">
        <v>321</v>
      </c>
      <c r="E257">
        <v>4</v>
      </c>
      <c r="F257" t="s">
        <v>159</v>
      </c>
      <c r="G257" t="s">
        <v>186</v>
      </c>
      <c r="H257" t="s">
        <v>153</v>
      </c>
      <c r="I257">
        <v>1</v>
      </c>
      <c r="J257">
        <v>2</v>
      </c>
      <c r="K257">
        <v>2</v>
      </c>
      <c r="L257">
        <v>4</v>
      </c>
      <c r="M257">
        <v>5</v>
      </c>
      <c r="O257">
        <v>3.4675646088337704</v>
      </c>
      <c r="P257">
        <v>5.1952304715697029</v>
      </c>
    </row>
    <row r="258" spans="1:16" x14ac:dyDescent="0.2">
      <c r="A258" t="s">
        <v>119</v>
      </c>
      <c r="B258" t="s">
        <v>1331</v>
      </c>
      <c r="D258" t="s">
        <v>321</v>
      </c>
      <c r="E258">
        <v>5</v>
      </c>
      <c r="F258" t="s">
        <v>159</v>
      </c>
      <c r="G258" t="s">
        <v>182</v>
      </c>
      <c r="H258" t="s">
        <v>181</v>
      </c>
      <c r="I258">
        <v>1</v>
      </c>
      <c r="J258">
        <v>3</v>
      </c>
      <c r="K258">
        <v>2</v>
      </c>
      <c r="L258">
        <v>3</v>
      </c>
      <c r="M258">
        <v>5</v>
      </c>
      <c r="O258">
        <v>1.9508265581762823</v>
      </c>
      <c r="P258">
        <v>3.8150460770152788</v>
      </c>
    </row>
    <row r="259" spans="1:16" x14ac:dyDescent="0.2">
      <c r="A259" t="s">
        <v>119</v>
      </c>
      <c r="B259" t="s">
        <v>1332</v>
      </c>
      <c r="D259" t="s">
        <v>321</v>
      </c>
      <c r="E259">
        <v>6</v>
      </c>
      <c r="F259" t="s">
        <v>159</v>
      </c>
      <c r="G259" t="s">
        <v>183</v>
      </c>
      <c r="H259" t="s">
        <v>153</v>
      </c>
      <c r="I259">
        <v>1</v>
      </c>
      <c r="J259">
        <v>1</v>
      </c>
      <c r="K259">
        <v>3</v>
      </c>
      <c r="L259">
        <v>5</v>
      </c>
      <c r="M259">
        <v>5</v>
      </c>
      <c r="O259">
        <v>8.3439300121397828</v>
      </c>
      <c r="P259">
        <v>8.3439300121397828</v>
      </c>
    </row>
    <row r="260" spans="1:16" x14ac:dyDescent="0.2">
      <c r="A260" t="s">
        <v>119</v>
      </c>
      <c r="B260" t="s">
        <v>1333</v>
      </c>
      <c r="D260" t="s">
        <v>321</v>
      </c>
      <c r="E260">
        <v>7</v>
      </c>
      <c r="F260" t="s">
        <v>159</v>
      </c>
      <c r="G260" t="s">
        <v>184</v>
      </c>
      <c r="H260" t="s">
        <v>181</v>
      </c>
      <c r="I260">
        <v>1</v>
      </c>
      <c r="J260">
        <v>2</v>
      </c>
      <c r="K260">
        <v>4</v>
      </c>
      <c r="L260">
        <v>4</v>
      </c>
      <c r="M260">
        <v>5</v>
      </c>
      <c r="O260">
        <v>5.7352849367469618</v>
      </c>
      <c r="P260">
        <v>7.9305662093421851</v>
      </c>
    </row>
    <row r="261" spans="1:16" x14ac:dyDescent="0.2">
      <c r="A261" t="s">
        <v>119</v>
      </c>
      <c r="B261" t="s">
        <v>1334</v>
      </c>
      <c r="D261" t="s">
        <v>321</v>
      </c>
      <c r="E261">
        <v>8</v>
      </c>
      <c r="F261" t="s">
        <v>159</v>
      </c>
      <c r="G261" t="s">
        <v>185</v>
      </c>
      <c r="H261" t="s">
        <v>153</v>
      </c>
      <c r="I261">
        <v>1</v>
      </c>
      <c r="J261">
        <v>1</v>
      </c>
      <c r="K261">
        <v>2</v>
      </c>
      <c r="L261">
        <v>5</v>
      </c>
      <c r="M261">
        <v>5</v>
      </c>
      <c r="O261">
        <v>7.4707698403599609</v>
      </c>
      <c r="P261">
        <v>7.4707698403599609</v>
      </c>
    </row>
    <row r="262" spans="1:16" x14ac:dyDescent="0.2">
      <c r="A262" t="s">
        <v>119</v>
      </c>
      <c r="B262" t="s">
        <v>1335</v>
      </c>
      <c r="D262" t="s">
        <v>321</v>
      </c>
      <c r="E262">
        <v>9</v>
      </c>
      <c r="F262" t="s">
        <v>159</v>
      </c>
      <c r="G262" t="s">
        <v>189</v>
      </c>
      <c r="H262" t="s">
        <v>153</v>
      </c>
      <c r="I262">
        <v>1</v>
      </c>
      <c r="J262">
        <v>1</v>
      </c>
      <c r="K262">
        <v>2</v>
      </c>
      <c r="L262">
        <v>5</v>
      </c>
      <c r="M262">
        <v>5</v>
      </c>
      <c r="O262">
        <v>7.4707698403599609</v>
      </c>
      <c r="P262">
        <v>7.4707698403599609</v>
      </c>
    </row>
    <row r="263" spans="1:16" x14ac:dyDescent="0.2">
      <c r="A263" t="s">
        <v>119</v>
      </c>
      <c r="B263" t="s">
        <v>1102</v>
      </c>
      <c r="D263" t="s">
        <v>321</v>
      </c>
      <c r="E263">
        <v>10</v>
      </c>
      <c r="F263" t="s">
        <v>159</v>
      </c>
      <c r="G263" t="s">
        <v>190</v>
      </c>
      <c r="H263" t="s">
        <v>153</v>
      </c>
      <c r="I263">
        <v>1</v>
      </c>
      <c r="J263">
        <v>2</v>
      </c>
      <c r="K263">
        <v>2</v>
      </c>
      <c r="L263">
        <v>4</v>
      </c>
      <c r="M263">
        <v>5</v>
      </c>
      <c r="O263">
        <v>3.4675646088337704</v>
      </c>
      <c r="P263">
        <v>5.1952304715697029</v>
      </c>
    </row>
    <row r="264" spans="1:16" x14ac:dyDescent="0.2">
      <c r="A264" t="s">
        <v>119</v>
      </c>
      <c r="B264" t="s">
        <v>1103</v>
      </c>
      <c r="D264" t="s">
        <v>321</v>
      </c>
      <c r="E264">
        <v>11</v>
      </c>
      <c r="F264" t="s">
        <v>159</v>
      </c>
      <c r="G264" t="s">
        <v>191</v>
      </c>
      <c r="H264" t="s">
        <v>153</v>
      </c>
      <c r="I264">
        <v>1</v>
      </c>
      <c r="J264">
        <v>2</v>
      </c>
      <c r="K264">
        <v>2</v>
      </c>
      <c r="L264">
        <v>4</v>
      </c>
      <c r="M264">
        <v>5</v>
      </c>
      <c r="O264">
        <v>3.4675646088337704</v>
      </c>
      <c r="P264">
        <v>5.1952304715697029</v>
      </c>
    </row>
    <row r="265" spans="1:16" x14ac:dyDescent="0.2">
      <c r="A265" t="s">
        <v>119</v>
      </c>
      <c r="B265" t="s">
        <v>1104</v>
      </c>
      <c r="D265" t="s">
        <v>321</v>
      </c>
      <c r="E265">
        <v>12</v>
      </c>
      <c r="F265" t="s">
        <v>159</v>
      </c>
      <c r="G265" t="s">
        <v>192</v>
      </c>
      <c r="H265" t="s">
        <v>153</v>
      </c>
      <c r="I265">
        <v>1</v>
      </c>
      <c r="J265">
        <v>2</v>
      </c>
      <c r="K265">
        <v>2</v>
      </c>
      <c r="L265">
        <v>4</v>
      </c>
      <c r="M265">
        <v>5</v>
      </c>
      <c r="O265">
        <v>3.4675646088337704</v>
      </c>
      <c r="P265">
        <v>5.1952304715697029</v>
      </c>
    </row>
    <row r="266" spans="1:16" x14ac:dyDescent="0.2">
      <c r="A266" t="s">
        <v>119</v>
      </c>
      <c r="B266" t="s">
        <v>1105</v>
      </c>
      <c r="D266" t="s">
        <v>321</v>
      </c>
      <c r="E266">
        <v>13</v>
      </c>
      <c r="F266" t="s">
        <v>159</v>
      </c>
      <c r="G266" t="s">
        <v>193</v>
      </c>
      <c r="H266" t="s">
        <v>153</v>
      </c>
      <c r="I266">
        <v>1</v>
      </c>
      <c r="J266">
        <v>1</v>
      </c>
      <c r="K266">
        <v>2</v>
      </c>
      <c r="L266">
        <v>5</v>
      </c>
      <c r="M266">
        <v>5</v>
      </c>
      <c r="O266">
        <v>7.4707698403599609</v>
      </c>
      <c r="P266">
        <v>7.4707698403599609</v>
      </c>
    </row>
    <row r="267" spans="1:16" x14ac:dyDescent="0.2">
      <c r="A267" t="s">
        <v>119</v>
      </c>
      <c r="B267" t="s">
        <v>1106</v>
      </c>
      <c r="D267" t="s">
        <v>321</v>
      </c>
      <c r="E267">
        <v>14</v>
      </c>
      <c r="F267" t="s">
        <v>159</v>
      </c>
      <c r="G267" t="s">
        <v>194</v>
      </c>
      <c r="H267" t="s">
        <v>153</v>
      </c>
      <c r="I267">
        <v>1</v>
      </c>
      <c r="J267">
        <v>1</v>
      </c>
      <c r="K267">
        <v>3</v>
      </c>
      <c r="L267">
        <v>2</v>
      </c>
      <c r="M267">
        <v>5</v>
      </c>
      <c r="O267">
        <v>3.0350160387235787</v>
      </c>
      <c r="P267">
        <v>8.3439300121397828</v>
      </c>
    </row>
    <row r="268" spans="1:16" x14ac:dyDescent="0.2">
      <c r="A268" t="s">
        <v>119</v>
      </c>
      <c r="B268" t="s">
        <v>1107</v>
      </c>
      <c r="D268" t="s">
        <v>321</v>
      </c>
      <c r="E268">
        <v>15</v>
      </c>
      <c r="F268" t="s">
        <v>159</v>
      </c>
      <c r="G268" t="s">
        <v>195</v>
      </c>
      <c r="H268" t="s">
        <v>153</v>
      </c>
      <c r="I268">
        <v>1</v>
      </c>
      <c r="J268">
        <v>2</v>
      </c>
      <c r="K268">
        <v>2</v>
      </c>
      <c r="L268">
        <v>4</v>
      </c>
      <c r="M268">
        <v>5</v>
      </c>
      <c r="O268">
        <v>3.4675646088337704</v>
      </c>
      <c r="P268">
        <v>5.1952304715697029</v>
      </c>
    </row>
    <row r="269" spans="1:16" x14ac:dyDescent="0.2">
      <c r="A269" t="s">
        <v>119</v>
      </c>
      <c r="B269" t="s">
        <v>1108</v>
      </c>
      <c r="D269" t="s">
        <v>321</v>
      </c>
      <c r="E269">
        <v>16</v>
      </c>
      <c r="F269" t="s">
        <v>159</v>
      </c>
      <c r="G269" t="s">
        <v>196</v>
      </c>
      <c r="H269" t="s">
        <v>153</v>
      </c>
      <c r="I269">
        <v>1</v>
      </c>
      <c r="J269">
        <v>1</v>
      </c>
      <c r="K269">
        <v>3</v>
      </c>
      <c r="L269">
        <v>5</v>
      </c>
      <c r="M269">
        <v>5</v>
      </c>
      <c r="O269">
        <v>8.3439300121397828</v>
      </c>
      <c r="P269">
        <v>8.3439300121397828</v>
      </c>
    </row>
    <row r="270" spans="1:16" x14ac:dyDescent="0.2">
      <c r="A270" t="s">
        <v>119</v>
      </c>
      <c r="B270" t="s">
        <v>1109</v>
      </c>
      <c r="D270" t="s">
        <v>321</v>
      </c>
      <c r="E270">
        <v>17</v>
      </c>
      <c r="F270" t="s">
        <v>159</v>
      </c>
      <c r="G270" t="s">
        <v>197</v>
      </c>
      <c r="H270" t="s">
        <v>153</v>
      </c>
      <c r="I270">
        <v>1</v>
      </c>
      <c r="J270">
        <v>2</v>
      </c>
      <c r="K270">
        <v>2</v>
      </c>
      <c r="L270">
        <v>4</v>
      </c>
      <c r="M270">
        <v>5</v>
      </c>
      <c r="O270">
        <v>3.4675646088337704</v>
      </c>
      <c r="P270">
        <v>5.1952304715697029</v>
      </c>
    </row>
    <row r="271" spans="1:16" x14ac:dyDescent="0.2">
      <c r="A271" t="s">
        <v>119</v>
      </c>
      <c r="B271" t="s">
        <v>1110</v>
      </c>
      <c r="D271" t="s">
        <v>321</v>
      </c>
      <c r="E271">
        <v>18</v>
      </c>
      <c r="F271" t="s">
        <v>159</v>
      </c>
      <c r="G271" t="s">
        <v>198</v>
      </c>
      <c r="H271" t="s">
        <v>153</v>
      </c>
      <c r="I271">
        <v>1</v>
      </c>
      <c r="J271">
        <v>2</v>
      </c>
      <c r="K271">
        <v>2</v>
      </c>
      <c r="L271">
        <v>4</v>
      </c>
      <c r="M271">
        <v>5</v>
      </c>
      <c r="O271">
        <v>3.4675646088337704</v>
      </c>
      <c r="P271">
        <v>5.1952304715697029</v>
      </c>
    </row>
    <row r="272" spans="1:16" x14ac:dyDescent="0.2">
      <c r="A272" t="s">
        <v>119</v>
      </c>
      <c r="B272" t="s">
        <v>1111</v>
      </c>
      <c r="D272" t="s">
        <v>321</v>
      </c>
      <c r="E272">
        <v>19</v>
      </c>
      <c r="F272" t="s">
        <v>159</v>
      </c>
      <c r="G272" t="s">
        <v>199</v>
      </c>
      <c r="H272" t="s">
        <v>153</v>
      </c>
      <c r="I272">
        <v>1</v>
      </c>
      <c r="J272">
        <v>1</v>
      </c>
      <c r="K272">
        <v>3</v>
      </c>
      <c r="L272">
        <v>5</v>
      </c>
      <c r="M272">
        <v>5</v>
      </c>
      <c r="O272">
        <v>8.3439300121397828</v>
      </c>
      <c r="P272">
        <v>8.3439300121397828</v>
      </c>
    </row>
    <row r="273" spans="1:16" x14ac:dyDescent="0.2">
      <c r="A273" t="s">
        <v>119</v>
      </c>
      <c r="B273" t="s">
        <v>1112</v>
      </c>
      <c r="D273" t="s">
        <v>321</v>
      </c>
      <c r="E273">
        <v>20</v>
      </c>
      <c r="F273" t="s">
        <v>159</v>
      </c>
      <c r="G273" t="s">
        <v>200</v>
      </c>
      <c r="H273" t="s">
        <v>181</v>
      </c>
      <c r="I273">
        <v>1</v>
      </c>
      <c r="J273">
        <v>2</v>
      </c>
      <c r="K273">
        <v>3</v>
      </c>
      <c r="L273">
        <v>5</v>
      </c>
      <c r="M273">
        <v>5</v>
      </c>
      <c r="O273">
        <v>6.0683906433495247</v>
      </c>
      <c r="P273">
        <v>6.0683906433495247</v>
      </c>
    </row>
    <row r="274" spans="1:16" x14ac:dyDescent="0.2">
      <c r="A274" t="s">
        <v>119</v>
      </c>
      <c r="B274" t="s">
        <v>1113</v>
      </c>
      <c r="D274" t="s">
        <v>321</v>
      </c>
      <c r="E274">
        <v>21</v>
      </c>
      <c r="F274" t="s">
        <v>159</v>
      </c>
      <c r="G274" t="s">
        <v>201</v>
      </c>
      <c r="H274" t="s">
        <v>153</v>
      </c>
      <c r="I274">
        <v>1</v>
      </c>
      <c r="J274">
        <v>1</v>
      </c>
      <c r="K274">
        <v>2</v>
      </c>
      <c r="L274">
        <v>5</v>
      </c>
      <c r="M274">
        <v>5</v>
      </c>
      <c r="O274">
        <v>7.4707698403599609</v>
      </c>
      <c r="P274">
        <v>7.4707698403599609</v>
      </c>
    </row>
    <row r="275" spans="1:16" x14ac:dyDescent="0.2">
      <c r="A275" t="s">
        <v>119</v>
      </c>
      <c r="B275" t="s">
        <v>1114</v>
      </c>
      <c r="D275" t="s">
        <v>321</v>
      </c>
      <c r="E275">
        <v>22</v>
      </c>
      <c r="F275" t="s">
        <v>159</v>
      </c>
      <c r="G275" t="s">
        <v>274</v>
      </c>
      <c r="H275" t="s">
        <v>273</v>
      </c>
      <c r="O275">
        <v>0</v>
      </c>
      <c r="P275">
        <v>0</v>
      </c>
    </row>
    <row r="276" spans="1:16" x14ac:dyDescent="0.2">
      <c r="A276" t="s">
        <v>119</v>
      </c>
      <c r="B276" t="s">
        <v>1115</v>
      </c>
      <c r="D276" t="s">
        <v>321</v>
      </c>
      <c r="E276">
        <v>23</v>
      </c>
      <c r="F276" t="s">
        <v>159</v>
      </c>
      <c r="G276" t="s">
        <v>275</v>
      </c>
      <c r="H276" t="s">
        <v>273</v>
      </c>
      <c r="O276">
        <v>0</v>
      </c>
      <c r="P276">
        <v>0</v>
      </c>
    </row>
    <row r="277" spans="1:16" x14ac:dyDescent="0.2">
      <c r="A277" t="s">
        <v>119</v>
      </c>
      <c r="B277" t="s">
        <v>1336</v>
      </c>
      <c r="D277" t="s">
        <v>328</v>
      </c>
      <c r="E277">
        <v>1</v>
      </c>
      <c r="F277" t="s">
        <v>132</v>
      </c>
      <c r="G277" t="s">
        <v>202</v>
      </c>
      <c r="H277" t="s">
        <v>153</v>
      </c>
      <c r="I277">
        <v>1</v>
      </c>
      <c r="J277">
        <v>1</v>
      </c>
      <c r="K277">
        <v>3</v>
      </c>
      <c r="L277">
        <v>2</v>
      </c>
      <c r="M277">
        <v>5</v>
      </c>
      <c r="O277">
        <v>3.0350160387235787</v>
      </c>
      <c r="P277">
        <v>8.3439300121397828</v>
      </c>
    </row>
    <row r="278" spans="1:16" x14ac:dyDescent="0.2">
      <c r="A278" t="s">
        <v>119</v>
      </c>
      <c r="B278" t="s">
        <v>1337</v>
      </c>
      <c r="D278" t="s">
        <v>328</v>
      </c>
      <c r="E278">
        <v>2</v>
      </c>
      <c r="F278" t="s">
        <v>132</v>
      </c>
      <c r="G278" t="s">
        <v>203</v>
      </c>
      <c r="H278" t="s">
        <v>153</v>
      </c>
      <c r="I278">
        <v>1</v>
      </c>
      <c r="J278">
        <v>1</v>
      </c>
      <c r="K278">
        <v>2</v>
      </c>
      <c r="L278">
        <v>5</v>
      </c>
      <c r="M278">
        <v>5</v>
      </c>
      <c r="O278">
        <v>7.4707698403599609</v>
      </c>
      <c r="P278">
        <v>7.4707698403599609</v>
      </c>
    </row>
    <row r="279" spans="1:16" x14ac:dyDescent="0.2">
      <c r="A279" t="s">
        <v>119</v>
      </c>
      <c r="B279" t="s">
        <v>1338</v>
      </c>
      <c r="D279" t="s">
        <v>328</v>
      </c>
      <c r="E279">
        <v>3</v>
      </c>
      <c r="F279" t="s">
        <v>132</v>
      </c>
      <c r="G279" t="s">
        <v>204</v>
      </c>
      <c r="I279">
        <v>1</v>
      </c>
      <c r="J279">
        <v>1</v>
      </c>
      <c r="K279">
        <v>2</v>
      </c>
      <c r="L279">
        <v>5</v>
      </c>
      <c r="M279">
        <v>5</v>
      </c>
      <c r="O279">
        <v>7.4707698403599609</v>
      </c>
      <c r="P279">
        <v>7.4707698403599609</v>
      </c>
    </row>
    <row r="280" spans="1:16" x14ac:dyDescent="0.2">
      <c r="A280" t="s">
        <v>119</v>
      </c>
      <c r="B280" t="s">
        <v>1339</v>
      </c>
      <c r="D280" t="s">
        <v>328</v>
      </c>
      <c r="E280">
        <v>4</v>
      </c>
      <c r="F280" t="s">
        <v>132</v>
      </c>
      <c r="G280" t="s">
        <v>205</v>
      </c>
      <c r="H280" t="s">
        <v>153</v>
      </c>
      <c r="I280">
        <v>1</v>
      </c>
      <c r="J280">
        <v>2</v>
      </c>
      <c r="K280">
        <v>1</v>
      </c>
      <c r="L280">
        <v>4</v>
      </c>
      <c r="M280">
        <v>5</v>
      </c>
      <c r="O280">
        <v>3.3121184032319735</v>
      </c>
      <c r="P280">
        <v>5.0077304715697029</v>
      </c>
    </row>
    <row r="281" spans="1:16" x14ac:dyDescent="0.2">
      <c r="A281" t="s">
        <v>119</v>
      </c>
      <c r="B281" t="s">
        <v>1340</v>
      </c>
      <c r="D281" t="s">
        <v>328</v>
      </c>
      <c r="E281">
        <v>5</v>
      </c>
      <c r="F281" t="s">
        <v>132</v>
      </c>
      <c r="G281" t="s">
        <v>206</v>
      </c>
      <c r="H281" t="s">
        <v>151</v>
      </c>
      <c r="I281">
        <v>1</v>
      </c>
      <c r="J281">
        <v>2</v>
      </c>
      <c r="K281">
        <v>3</v>
      </c>
      <c r="L281">
        <v>2</v>
      </c>
      <c r="M281">
        <v>5</v>
      </c>
      <c r="O281">
        <v>2.5230196807457705</v>
      </c>
      <c r="P281">
        <v>6.0683906433495247</v>
      </c>
    </row>
    <row r="282" spans="1:16" x14ac:dyDescent="0.2">
      <c r="A282" t="s">
        <v>119</v>
      </c>
      <c r="B282" t="s">
        <v>1341</v>
      </c>
      <c r="D282" t="s">
        <v>328</v>
      </c>
      <c r="E282">
        <v>6</v>
      </c>
      <c r="F282" t="s">
        <v>132</v>
      </c>
      <c r="G282" t="s">
        <v>208</v>
      </c>
      <c r="H282" t="s">
        <v>153</v>
      </c>
      <c r="I282">
        <v>1</v>
      </c>
      <c r="J282">
        <v>2</v>
      </c>
      <c r="K282">
        <v>3</v>
      </c>
      <c r="L282">
        <v>4</v>
      </c>
      <c r="M282">
        <v>5</v>
      </c>
      <c r="O282">
        <v>4.1914549319579635</v>
      </c>
      <c r="P282">
        <v>6.0683906433495247</v>
      </c>
    </row>
    <row r="283" spans="1:16" x14ac:dyDescent="0.2">
      <c r="A283" t="s">
        <v>119</v>
      </c>
      <c r="B283" t="s">
        <v>1342</v>
      </c>
      <c r="D283" t="s">
        <v>328</v>
      </c>
      <c r="E283">
        <v>7</v>
      </c>
      <c r="F283" t="s">
        <v>132</v>
      </c>
      <c r="G283" t="s">
        <v>207</v>
      </c>
      <c r="H283" t="s">
        <v>153</v>
      </c>
      <c r="I283">
        <v>1</v>
      </c>
      <c r="J283">
        <v>2</v>
      </c>
      <c r="K283">
        <v>3</v>
      </c>
      <c r="L283">
        <v>4</v>
      </c>
      <c r="M283">
        <v>5</v>
      </c>
      <c r="O283">
        <v>4.1914549319579635</v>
      </c>
      <c r="P283">
        <v>6.0683906433495247</v>
      </c>
    </row>
    <row r="284" spans="1:16" x14ac:dyDescent="0.2">
      <c r="A284" t="s">
        <v>119</v>
      </c>
      <c r="B284" t="s">
        <v>1343</v>
      </c>
      <c r="D284" t="s">
        <v>323</v>
      </c>
      <c r="E284">
        <v>1</v>
      </c>
      <c r="F284" t="s">
        <v>134</v>
      </c>
      <c r="G284" t="s">
        <v>212</v>
      </c>
      <c r="H284" t="s">
        <v>153</v>
      </c>
      <c r="I284">
        <v>1</v>
      </c>
      <c r="J284">
        <v>1</v>
      </c>
      <c r="K284">
        <v>3</v>
      </c>
      <c r="L284">
        <v>5</v>
      </c>
      <c r="M284">
        <v>5</v>
      </c>
      <c r="O284">
        <v>8.3439300121397828</v>
      </c>
      <c r="P284">
        <v>8.3439300121397828</v>
      </c>
    </row>
    <row r="285" spans="1:16" x14ac:dyDescent="0.2">
      <c r="A285" t="s">
        <v>119</v>
      </c>
      <c r="B285" t="s">
        <v>1344</v>
      </c>
      <c r="D285" t="s">
        <v>323</v>
      </c>
      <c r="E285">
        <v>2</v>
      </c>
      <c r="F285" t="s">
        <v>134</v>
      </c>
      <c r="G285" t="s">
        <v>213</v>
      </c>
      <c r="H285" t="s">
        <v>153</v>
      </c>
      <c r="I285">
        <v>1</v>
      </c>
      <c r="J285">
        <v>1</v>
      </c>
      <c r="K285">
        <v>3</v>
      </c>
      <c r="L285">
        <v>5</v>
      </c>
      <c r="M285">
        <v>5</v>
      </c>
      <c r="O285">
        <v>8.3439300121397828</v>
      </c>
      <c r="P285">
        <v>8.3439300121397828</v>
      </c>
    </row>
    <row r="286" spans="1:16" x14ac:dyDescent="0.2">
      <c r="A286" t="s">
        <v>119</v>
      </c>
      <c r="B286" t="s">
        <v>1345</v>
      </c>
      <c r="D286" t="s">
        <v>323</v>
      </c>
      <c r="E286">
        <v>3</v>
      </c>
      <c r="F286" t="s">
        <v>134</v>
      </c>
      <c r="G286" t="s">
        <v>214</v>
      </c>
      <c r="H286" t="s">
        <v>153</v>
      </c>
      <c r="I286">
        <v>1</v>
      </c>
      <c r="J286">
        <v>2</v>
      </c>
      <c r="K286">
        <v>2</v>
      </c>
      <c r="L286">
        <v>2</v>
      </c>
      <c r="M286">
        <v>4</v>
      </c>
      <c r="O286">
        <v>1.9318174811031832</v>
      </c>
      <c r="P286">
        <v>3.4675646088337704</v>
      </c>
    </row>
    <row r="287" spans="1:16" x14ac:dyDescent="0.2">
      <c r="A287" t="s">
        <v>119</v>
      </c>
      <c r="B287" t="s">
        <v>1346</v>
      </c>
      <c r="D287" t="s">
        <v>323</v>
      </c>
      <c r="E287">
        <v>4</v>
      </c>
      <c r="F287" t="s">
        <v>134</v>
      </c>
      <c r="G287" t="s">
        <v>215</v>
      </c>
      <c r="H287" t="s">
        <v>153</v>
      </c>
      <c r="I287">
        <v>1</v>
      </c>
      <c r="J287">
        <v>2</v>
      </c>
      <c r="K287">
        <v>4</v>
      </c>
      <c r="L287">
        <v>4</v>
      </c>
      <c r="M287">
        <v>5</v>
      </c>
      <c r="O287">
        <v>5.7352849367469618</v>
      </c>
      <c r="P287">
        <v>7.9305662093421851</v>
      </c>
    </row>
    <row r="288" spans="1:16" x14ac:dyDescent="0.2">
      <c r="A288" t="s">
        <v>119</v>
      </c>
      <c r="B288" t="s">
        <v>1347</v>
      </c>
      <c r="D288" t="s">
        <v>323</v>
      </c>
      <c r="E288">
        <v>5</v>
      </c>
      <c r="F288" t="s">
        <v>134</v>
      </c>
      <c r="G288" t="s">
        <v>216</v>
      </c>
      <c r="H288" t="s">
        <v>153</v>
      </c>
      <c r="I288">
        <v>1</v>
      </c>
      <c r="J288">
        <v>2</v>
      </c>
      <c r="K288">
        <v>4</v>
      </c>
      <c r="L288">
        <v>4</v>
      </c>
      <c r="M288">
        <v>5</v>
      </c>
      <c r="O288">
        <v>5.7352849367469618</v>
      </c>
      <c r="P288">
        <v>7.9305662093421851</v>
      </c>
    </row>
    <row r="289" spans="1:18" x14ac:dyDescent="0.2">
      <c r="A289" t="s">
        <v>119</v>
      </c>
      <c r="B289" t="s">
        <v>1348</v>
      </c>
      <c r="D289" t="s">
        <v>323</v>
      </c>
      <c r="E289">
        <v>6</v>
      </c>
      <c r="F289" t="s">
        <v>134</v>
      </c>
      <c r="G289" t="s">
        <v>217</v>
      </c>
      <c r="H289" t="s">
        <v>153</v>
      </c>
      <c r="I289">
        <v>1</v>
      </c>
      <c r="J289">
        <v>2</v>
      </c>
      <c r="K289">
        <v>3</v>
      </c>
      <c r="L289">
        <v>4</v>
      </c>
      <c r="M289">
        <v>5</v>
      </c>
      <c r="O289">
        <v>4.1914549319579635</v>
      </c>
      <c r="P289">
        <v>6.0683906433495247</v>
      </c>
    </row>
    <row r="290" spans="1:18" x14ac:dyDescent="0.2">
      <c r="A290" t="s">
        <v>119</v>
      </c>
      <c r="B290" t="s">
        <v>1349</v>
      </c>
      <c r="D290" t="s">
        <v>323</v>
      </c>
      <c r="E290">
        <v>7</v>
      </c>
      <c r="F290" t="s">
        <v>134</v>
      </c>
      <c r="G290" t="s">
        <v>218</v>
      </c>
      <c r="H290" t="s">
        <v>153</v>
      </c>
      <c r="I290">
        <v>1</v>
      </c>
      <c r="J290">
        <v>2</v>
      </c>
      <c r="K290">
        <v>4</v>
      </c>
      <c r="L290">
        <v>4</v>
      </c>
      <c r="M290">
        <v>5</v>
      </c>
      <c r="O290">
        <v>5.7352849367469618</v>
      </c>
      <c r="P290">
        <v>7.9305662093421851</v>
      </c>
    </row>
    <row r="291" spans="1:18" x14ac:dyDescent="0.2">
      <c r="A291" t="s">
        <v>119</v>
      </c>
      <c r="B291" t="s">
        <v>1350</v>
      </c>
      <c r="D291" t="s">
        <v>323</v>
      </c>
      <c r="E291">
        <v>8</v>
      </c>
      <c r="F291" t="s">
        <v>134</v>
      </c>
      <c r="G291" t="s">
        <v>219</v>
      </c>
      <c r="H291" t="s">
        <v>152</v>
      </c>
      <c r="I291">
        <v>1</v>
      </c>
      <c r="J291">
        <v>2</v>
      </c>
      <c r="K291">
        <v>2</v>
      </c>
      <c r="L291">
        <v>4</v>
      </c>
      <c r="M291">
        <v>5</v>
      </c>
      <c r="O291">
        <v>3.4675646088337704</v>
      </c>
      <c r="P291">
        <v>5.1952304715697029</v>
      </c>
    </row>
    <row r="292" spans="1:18" x14ac:dyDescent="0.2">
      <c r="A292" t="s">
        <v>119</v>
      </c>
      <c r="B292" t="s">
        <v>1351</v>
      </c>
      <c r="D292" t="s">
        <v>323</v>
      </c>
      <c r="E292">
        <v>9</v>
      </c>
      <c r="F292" t="s">
        <v>134</v>
      </c>
      <c r="G292" t="s">
        <v>220</v>
      </c>
      <c r="H292" t="s">
        <v>153</v>
      </c>
      <c r="I292">
        <v>1</v>
      </c>
      <c r="J292">
        <v>2</v>
      </c>
      <c r="K292">
        <v>4</v>
      </c>
      <c r="L292">
        <v>4</v>
      </c>
      <c r="M292">
        <v>5</v>
      </c>
      <c r="O292">
        <v>5.7352849367469618</v>
      </c>
      <c r="P292">
        <v>7.9305662093421851</v>
      </c>
    </row>
    <row r="293" spans="1:18" x14ac:dyDescent="0.2">
      <c r="A293" t="s">
        <v>119</v>
      </c>
      <c r="B293" t="s">
        <v>1116</v>
      </c>
      <c r="D293" t="s">
        <v>323</v>
      </c>
      <c r="E293">
        <v>10</v>
      </c>
      <c r="F293" t="s">
        <v>134</v>
      </c>
      <c r="G293" t="s">
        <v>221</v>
      </c>
      <c r="H293" t="s">
        <v>153</v>
      </c>
      <c r="I293">
        <v>1</v>
      </c>
      <c r="J293">
        <v>2</v>
      </c>
      <c r="K293">
        <v>3</v>
      </c>
      <c r="L293">
        <v>2</v>
      </c>
      <c r="M293">
        <v>4</v>
      </c>
      <c r="O293">
        <v>2.5230196807457705</v>
      </c>
      <c r="P293">
        <v>4.1914549319579635</v>
      </c>
    </row>
    <row r="294" spans="1:18" x14ac:dyDescent="0.2">
      <c r="A294" t="s">
        <v>119</v>
      </c>
      <c r="B294" t="s">
        <v>1117</v>
      </c>
      <c r="D294" t="s">
        <v>323</v>
      </c>
      <c r="E294">
        <v>11</v>
      </c>
      <c r="F294" t="s">
        <v>134</v>
      </c>
      <c r="G294" t="s">
        <v>222</v>
      </c>
      <c r="H294" t="s">
        <v>153</v>
      </c>
      <c r="I294">
        <v>1</v>
      </c>
      <c r="J294">
        <v>1</v>
      </c>
      <c r="K294">
        <v>4</v>
      </c>
      <c r="L294">
        <v>5</v>
      </c>
      <c r="M294">
        <v>5</v>
      </c>
      <c r="O294">
        <v>10.206105578132444</v>
      </c>
      <c r="P294">
        <v>10.206105578132444</v>
      </c>
    </row>
    <row r="295" spans="1:18" x14ac:dyDescent="0.2">
      <c r="A295" t="s">
        <v>119</v>
      </c>
      <c r="B295" t="s">
        <v>1118</v>
      </c>
      <c r="D295" t="s">
        <v>323</v>
      </c>
      <c r="E295">
        <v>12</v>
      </c>
      <c r="F295" t="s">
        <v>134</v>
      </c>
      <c r="G295" t="s">
        <v>223</v>
      </c>
      <c r="H295" t="s">
        <v>181</v>
      </c>
      <c r="I295">
        <v>1</v>
      </c>
      <c r="J295">
        <v>2</v>
      </c>
      <c r="K295">
        <v>3</v>
      </c>
      <c r="L295">
        <v>4</v>
      </c>
      <c r="M295">
        <v>5</v>
      </c>
      <c r="O295">
        <v>4.1914549319579635</v>
      </c>
      <c r="P295">
        <v>6.0683906433495247</v>
      </c>
    </row>
    <row r="296" spans="1:18" x14ac:dyDescent="0.2">
      <c r="A296" t="s">
        <v>119</v>
      </c>
      <c r="B296" t="s">
        <v>1119</v>
      </c>
      <c r="D296" t="s">
        <v>323</v>
      </c>
      <c r="E296">
        <v>13</v>
      </c>
      <c r="F296" t="s">
        <v>134</v>
      </c>
      <c r="G296" t="s">
        <v>224</v>
      </c>
      <c r="H296" t="s">
        <v>153</v>
      </c>
      <c r="I296">
        <v>1</v>
      </c>
      <c r="J296">
        <v>3</v>
      </c>
      <c r="K296">
        <v>3</v>
      </c>
      <c r="L296">
        <v>3</v>
      </c>
      <c r="M296">
        <v>5</v>
      </c>
      <c r="O296">
        <v>2.5843847959067898</v>
      </c>
      <c r="P296">
        <v>4.6882062487951002</v>
      </c>
    </row>
    <row r="297" spans="1:18" x14ac:dyDescent="0.2">
      <c r="A297" t="s">
        <v>119</v>
      </c>
      <c r="B297" t="s">
        <v>1120</v>
      </c>
      <c r="D297" t="s">
        <v>323</v>
      </c>
      <c r="E297">
        <v>14</v>
      </c>
      <c r="F297" t="s">
        <v>134</v>
      </c>
      <c r="G297" t="s">
        <v>225</v>
      </c>
      <c r="H297" t="s">
        <v>181</v>
      </c>
      <c r="I297">
        <v>1</v>
      </c>
      <c r="J297">
        <v>3</v>
      </c>
      <c r="K297">
        <v>3</v>
      </c>
      <c r="L297">
        <v>3</v>
      </c>
      <c r="M297">
        <v>4</v>
      </c>
      <c r="O297">
        <v>2.5843847959067898</v>
      </c>
      <c r="P297">
        <v>3.3775444166311392</v>
      </c>
    </row>
    <row r="298" spans="1:18" x14ac:dyDescent="0.2">
      <c r="A298" t="s">
        <v>119</v>
      </c>
      <c r="B298" t="s">
        <v>1121</v>
      </c>
      <c r="D298" t="s">
        <v>323</v>
      </c>
      <c r="E298">
        <v>15</v>
      </c>
      <c r="F298" t="s">
        <v>134</v>
      </c>
      <c r="G298" t="s">
        <v>226</v>
      </c>
      <c r="H298" t="s">
        <v>148</v>
      </c>
      <c r="I298">
        <v>1</v>
      </c>
      <c r="J298">
        <v>2</v>
      </c>
      <c r="K298">
        <v>3</v>
      </c>
      <c r="L298">
        <v>4</v>
      </c>
      <c r="M298">
        <v>5</v>
      </c>
      <c r="O298">
        <v>4.1914549319579635</v>
      </c>
      <c r="P298">
        <v>6.0683906433495247</v>
      </c>
    </row>
    <row r="299" spans="1:18" x14ac:dyDescent="0.2">
      <c r="A299" t="s">
        <v>119</v>
      </c>
      <c r="B299" t="s">
        <v>1122</v>
      </c>
      <c r="D299" t="s">
        <v>323</v>
      </c>
      <c r="E299">
        <v>16</v>
      </c>
      <c r="F299" t="s">
        <v>134</v>
      </c>
      <c r="G299" t="s">
        <v>227</v>
      </c>
      <c r="H299" t="s">
        <v>153</v>
      </c>
      <c r="I299">
        <v>1</v>
      </c>
      <c r="J299">
        <v>2</v>
      </c>
      <c r="K299">
        <v>3</v>
      </c>
      <c r="L299">
        <v>4</v>
      </c>
      <c r="M299">
        <v>5</v>
      </c>
      <c r="O299">
        <v>4.1914549319579635</v>
      </c>
      <c r="P299">
        <v>6.0683906433495247</v>
      </c>
    </row>
    <row r="300" spans="1:18" x14ac:dyDescent="0.2">
      <c r="A300" t="s">
        <v>119</v>
      </c>
      <c r="B300" t="s">
        <v>1123</v>
      </c>
      <c r="D300" t="s">
        <v>323</v>
      </c>
      <c r="E300">
        <v>17</v>
      </c>
      <c r="F300" t="s">
        <v>134</v>
      </c>
      <c r="G300" t="s">
        <v>228</v>
      </c>
      <c r="H300" t="s">
        <v>152</v>
      </c>
      <c r="I300">
        <v>1</v>
      </c>
      <c r="J300">
        <v>2</v>
      </c>
      <c r="K300">
        <v>2</v>
      </c>
      <c r="L300">
        <v>5</v>
      </c>
      <c r="M300">
        <v>5</v>
      </c>
      <c r="O300">
        <v>5.1952304715697029</v>
      </c>
      <c r="P300">
        <v>5.1952304715697029</v>
      </c>
    </row>
    <row r="301" spans="1:18" x14ac:dyDescent="0.2">
      <c r="A301" t="s">
        <v>119</v>
      </c>
      <c r="B301" t="s">
        <v>1124</v>
      </c>
      <c r="D301" t="s">
        <v>323</v>
      </c>
      <c r="E301">
        <v>18</v>
      </c>
      <c r="F301" t="s">
        <v>134</v>
      </c>
      <c r="G301" t="s">
        <v>229</v>
      </c>
      <c r="H301" t="s">
        <v>153</v>
      </c>
      <c r="I301">
        <v>0</v>
      </c>
      <c r="O301">
        <v>0</v>
      </c>
      <c r="P301">
        <v>0</v>
      </c>
    </row>
    <row r="302" spans="1:18" x14ac:dyDescent="0.2">
      <c r="A302" t="s">
        <v>119</v>
      </c>
      <c r="B302" t="s">
        <v>1125</v>
      </c>
      <c r="D302" t="s">
        <v>323</v>
      </c>
      <c r="E302">
        <v>19</v>
      </c>
      <c r="F302" t="s">
        <v>134</v>
      </c>
      <c r="G302" t="s">
        <v>230</v>
      </c>
      <c r="H302" t="s">
        <v>153</v>
      </c>
      <c r="I302">
        <v>0</v>
      </c>
      <c r="O302">
        <v>0</v>
      </c>
      <c r="P302">
        <v>0</v>
      </c>
    </row>
    <row r="303" spans="1:18" x14ac:dyDescent="0.2">
      <c r="A303" t="s">
        <v>119</v>
      </c>
      <c r="B303" t="s">
        <v>1126</v>
      </c>
      <c r="D303" t="s">
        <v>323</v>
      </c>
      <c r="E303">
        <v>20</v>
      </c>
      <c r="F303" t="s">
        <v>134</v>
      </c>
      <c r="G303" t="s">
        <v>276</v>
      </c>
      <c r="H303" t="s">
        <v>273</v>
      </c>
      <c r="O303">
        <v>0</v>
      </c>
      <c r="P303">
        <v>0</v>
      </c>
      <c r="R303" t="s">
        <v>277</v>
      </c>
    </row>
    <row r="304" spans="1:18" x14ac:dyDescent="0.2">
      <c r="A304" t="s">
        <v>119</v>
      </c>
      <c r="B304" t="s">
        <v>1352</v>
      </c>
      <c r="D304" t="s">
        <v>320</v>
      </c>
      <c r="E304">
        <v>1</v>
      </c>
      <c r="F304" t="s">
        <v>141</v>
      </c>
      <c r="G304" t="s">
        <v>241</v>
      </c>
      <c r="H304" t="s">
        <v>148</v>
      </c>
      <c r="I304">
        <v>1</v>
      </c>
      <c r="J304">
        <v>1</v>
      </c>
      <c r="K304">
        <v>2</v>
      </c>
      <c r="L304">
        <v>5</v>
      </c>
      <c r="M304">
        <v>5</v>
      </c>
      <c r="O304">
        <v>7.4707698403599609</v>
      </c>
      <c r="P304">
        <v>7.4707698403599609</v>
      </c>
    </row>
    <row r="305" spans="1:16" x14ac:dyDescent="0.2">
      <c r="A305" t="s">
        <v>119</v>
      </c>
      <c r="B305" t="s">
        <v>1353</v>
      </c>
      <c r="D305" t="s">
        <v>320</v>
      </c>
      <c r="E305">
        <v>2</v>
      </c>
      <c r="F305" t="s">
        <v>141</v>
      </c>
      <c r="G305" t="s">
        <v>242</v>
      </c>
      <c r="H305" t="s">
        <v>148</v>
      </c>
      <c r="I305">
        <v>1</v>
      </c>
      <c r="J305">
        <v>1</v>
      </c>
      <c r="K305">
        <v>2</v>
      </c>
      <c r="L305">
        <v>5</v>
      </c>
      <c r="M305">
        <v>5</v>
      </c>
      <c r="O305">
        <v>7.4707698403599609</v>
      </c>
      <c r="P305">
        <v>7.4707698403599609</v>
      </c>
    </row>
    <row r="306" spans="1:16" x14ac:dyDescent="0.2">
      <c r="A306" t="s">
        <v>119</v>
      </c>
      <c r="B306" t="s">
        <v>1354</v>
      </c>
      <c r="D306" t="s">
        <v>320</v>
      </c>
      <c r="E306">
        <v>3</v>
      </c>
      <c r="F306" t="s">
        <v>141</v>
      </c>
      <c r="G306" t="s">
        <v>243</v>
      </c>
      <c r="H306" t="s">
        <v>153</v>
      </c>
      <c r="I306">
        <v>1</v>
      </c>
      <c r="J306">
        <v>2</v>
      </c>
      <c r="K306">
        <v>2</v>
      </c>
      <c r="L306">
        <v>3</v>
      </c>
      <c r="M306">
        <v>4</v>
      </c>
      <c r="O306">
        <v>2.4220509860226236</v>
      </c>
      <c r="P306">
        <v>3.4675646088337704</v>
      </c>
    </row>
    <row r="307" spans="1:16" x14ac:dyDescent="0.2">
      <c r="A307" t="s">
        <v>119</v>
      </c>
      <c r="B307" t="s">
        <v>1355</v>
      </c>
      <c r="D307" t="s">
        <v>320</v>
      </c>
      <c r="E307">
        <v>4</v>
      </c>
      <c r="F307" t="s">
        <v>141</v>
      </c>
      <c r="G307" t="s">
        <v>244</v>
      </c>
      <c r="H307" t="s">
        <v>153</v>
      </c>
      <c r="I307">
        <v>1</v>
      </c>
      <c r="J307">
        <v>2</v>
      </c>
      <c r="K307">
        <v>1</v>
      </c>
      <c r="L307">
        <v>3</v>
      </c>
      <c r="M307">
        <v>3</v>
      </c>
      <c r="O307">
        <v>2.2860024425665837</v>
      </c>
      <c r="P307">
        <v>2.2860024425665837</v>
      </c>
    </row>
    <row r="308" spans="1:16" x14ac:dyDescent="0.2">
      <c r="A308" t="s">
        <v>119</v>
      </c>
      <c r="B308" t="s">
        <v>1356</v>
      </c>
      <c r="D308" t="s">
        <v>320</v>
      </c>
      <c r="E308">
        <v>5</v>
      </c>
      <c r="F308" t="s">
        <v>141</v>
      </c>
      <c r="G308" t="s">
        <v>245</v>
      </c>
      <c r="H308" t="s">
        <v>153</v>
      </c>
      <c r="I308">
        <v>1</v>
      </c>
      <c r="J308">
        <v>1</v>
      </c>
      <c r="K308">
        <v>2</v>
      </c>
      <c r="L308">
        <v>5</v>
      </c>
      <c r="M308">
        <v>5</v>
      </c>
      <c r="O308">
        <v>7.4707698403599609</v>
      </c>
      <c r="P308">
        <v>7.4707698403599609</v>
      </c>
    </row>
    <row r="309" spans="1:16" x14ac:dyDescent="0.2">
      <c r="A309" t="s">
        <v>119</v>
      </c>
      <c r="B309" t="s">
        <v>1357</v>
      </c>
      <c r="D309" t="s">
        <v>320</v>
      </c>
      <c r="E309">
        <v>6</v>
      </c>
      <c r="F309" t="s">
        <v>141</v>
      </c>
      <c r="G309" t="s">
        <v>246</v>
      </c>
      <c r="H309" t="s">
        <v>153</v>
      </c>
      <c r="I309">
        <v>1</v>
      </c>
      <c r="J309">
        <v>1</v>
      </c>
      <c r="K309">
        <v>3</v>
      </c>
      <c r="L309">
        <v>5</v>
      </c>
      <c r="M309">
        <v>5</v>
      </c>
      <c r="O309">
        <v>8.3439300121397828</v>
      </c>
      <c r="P309">
        <v>8.3439300121397828</v>
      </c>
    </row>
    <row r="310" spans="1:16" x14ac:dyDescent="0.2">
      <c r="A310" t="s">
        <v>119</v>
      </c>
      <c r="B310" t="s">
        <v>1358</v>
      </c>
      <c r="D310" t="s">
        <v>320</v>
      </c>
      <c r="E310">
        <v>7</v>
      </c>
      <c r="F310" t="s">
        <v>141</v>
      </c>
      <c r="G310" t="s">
        <v>247</v>
      </c>
      <c r="H310" t="s">
        <v>148</v>
      </c>
      <c r="I310">
        <v>1</v>
      </c>
      <c r="J310">
        <v>1</v>
      </c>
      <c r="K310">
        <v>3</v>
      </c>
      <c r="L310">
        <v>5</v>
      </c>
      <c r="M310">
        <v>5</v>
      </c>
      <c r="O310">
        <v>8.3439300121397828</v>
      </c>
      <c r="P310">
        <v>8.3439300121397828</v>
      </c>
    </row>
    <row r="311" spans="1:16" x14ac:dyDescent="0.2">
      <c r="A311" t="s">
        <v>119</v>
      </c>
      <c r="B311" t="s">
        <v>1359</v>
      </c>
      <c r="D311" t="s">
        <v>320</v>
      </c>
      <c r="E311">
        <v>8</v>
      </c>
      <c r="F311" t="s">
        <v>141</v>
      </c>
      <c r="G311" t="s">
        <v>248</v>
      </c>
      <c r="H311" t="s">
        <v>181</v>
      </c>
      <c r="I311">
        <v>1</v>
      </c>
      <c r="J311">
        <v>2</v>
      </c>
      <c r="K311">
        <v>3</v>
      </c>
      <c r="L311">
        <v>4</v>
      </c>
      <c r="M311">
        <v>5</v>
      </c>
      <c r="O311">
        <v>4.1914549319579635</v>
      </c>
      <c r="P311">
        <v>6.0683906433495247</v>
      </c>
    </row>
    <row r="312" spans="1:16" x14ac:dyDescent="0.2">
      <c r="A312" t="s">
        <v>119</v>
      </c>
      <c r="B312" t="s">
        <v>1360</v>
      </c>
      <c r="D312" t="s">
        <v>320</v>
      </c>
      <c r="E312">
        <v>9</v>
      </c>
      <c r="F312" t="s">
        <v>141</v>
      </c>
      <c r="G312" t="s">
        <v>249</v>
      </c>
      <c r="H312" t="s">
        <v>152</v>
      </c>
      <c r="I312">
        <v>1</v>
      </c>
      <c r="J312">
        <v>2</v>
      </c>
      <c r="K312">
        <v>3</v>
      </c>
      <c r="L312">
        <v>4</v>
      </c>
      <c r="M312">
        <v>5</v>
      </c>
      <c r="O312">
        <v>4.1914549319579635</v>
      </c>
      <c r="P312">
        <v>6.0683906433495247</v>
      </c>
    </row>
    <row r="313" spans="1:16" x14ac:dyDescent="0.2">
      <c r="A313" t="s">
        <v>119</v>
      </c>
      <c r="B313" t="s">
        <v>1127</v>
      </c>
      <c r="D313" t="s">
        <v>320</v>
      </c>
      <c r="E313">
        <v>10</v>
      </c>
      <c r="F313" t="s">
        <v>141</v>
      </c>
      <c r="G313" t="s">
        <v>250</v>
      </c>
      <c r="H313" t="s">
        <v>147</v>
      </c>
      <c r="I313">
        <v>1</v>
      </c>
      <c r="J313">
        <v>3</v>
      </c>
      <c r="K313">
        <v>4</v>
      </c>
      <c r="L313">
        <v>3</v>
      </c>
      <c r="M313">
        <v>4</v>
      </c>
      <c r="O313">
        <v>3.9355649207746723</v>
      </c>
      <c r="P313">
        <v>4.921374421420138</v>
      </c>
    </row>
    <row r="314" spans="1:16" x14ac:dyDescent="0.2">
      <c r="A314" t="s">
        <v>119</v>
      </c>
      <c r="B314" t="s">
        <v>1128</v>
      </c>
      <c r="D314" t="s">
        <v>320</v>
      </c>
      <c r="E314">
        <v>11</v>
      </c>
      <c r="F314" t="s">
        <v>141</v>
      </c>
      <c r="G314" t="s">
        <v>1585</v>
      </c>
      <c r="H314" t="s">
        <v>151</v>
      </c>
      <c r="I314">
        <v>1</v>
      </c>
      <c r="J314">
        <v>2</v>
      </c>
      <c r="K314">
        <v>3</v>
      </c>
      <c r="L314">
        <v>4</v>
      </c>
      <c r="M314">
        <v>5</v>
      </c>
      <c r="O314">
        <v>4.1914549319579635</v>
      </c>
      <c r="P314">
        <v>6.0683906433495247</v>
      </c>
    </row>
    <row r="315" spans="1:16" x14ac:dyDescent="0.2">
      <c r="A315" t="s">
        <v>119</v>
      </c>
      <c r="B315" t="s">
        <v>1129</v>
      </c>
      <c r="D315" t="s">
        <v>320</v>
      </c>
      <c r="E315">
        <v>12</v>
      </c>
      <c r="F315" t="s">
        <v>141</v>
      </c>
      <c r="G315" t="s">
        <v>1632</v>
      </c>
      <c r="H315" t="s">
        <v>147</v>
      </c>
      <c r="I315">
        <v>0</v>
      </c>
      <c r="O315">
        <v>0</v>
      </c>
      <c r="P315">
        <v>0</v>
      </c>
    </row>
    <row r="316" spans="1:16" x14ac:dyDescent="0.2">
      <c r="A316" t="s">
        <v>119</v>
      </c>
      <c r="B316" t="s">
        <v>1130</v>
      </c>
      <c r="D316" t="s">
        <v>320</v>
      </c>
      <c r="E316">
        <v>13</v>
      </c>
      <c r="F316" t="s">
        <v>141</v>
      </c>
      <c r="G316" t="s">
        <v>255</v>
      </c>
      <c r="H316" t="s">
        <v>151</v>
      </c>
      <c r="I316">
        <v>1</v>
      </c>
      <c r="J316">
        <v>2</v>
      </c>
      <c r="K316">
        <v>3</v>
      </c>
      <c r="L316">
        <v>5</v>
      </c>
      <c r="M316">
        <v>5</v>
      </c>
      <c r="O316">
        <v>6.0683906433495247</v>
      </c>
      <c r="P316">
        <v>6.0683906433495247</v>
      </c>
    </row>
    <row r="317" spans="1:16" x14ac:dyDescent="0.2">
      <c r="A317" t="s">
        <v>119</v>
      </c>
      <c r="B317" t="s">
        <v>1131</v>
      </c>
      <c r="D317" t="s">
        <v>320</v>
      </c>
      <c r="E317">
        <v>14</v>
      </c>
      <c r="F317" t="s">
        <v>141</v>
      </c>
      <c r="G317" t="s">
        <v>256</v>
      </c>
      <c r="H317" t="s">
        <v>147</v>
      </c>
      <c r="I317">
        <v>0</v>
      </c>
      <c r="O317">
        <v>0</v>
      </c>
      <c r="P317">
        <v>0</v>
      </c>
    </row>
    <row r="318" spans="1:16" x14ac:dyDescent="0.2">
      <c r="A318" t="s">
        <v>119</v>
      </c>
      <c r="B318" t="s">
        <v>1132</v>
      </c>
      <c r="D318" t="s">
        <v>320</v>
      </c>
      <c r="E318">
        <v>15</v>
      </c>
      <c r="F318" t="s">
        <v>141</v>
      </c>
      <c r="G318" t="s">
        <v>251</v>
      </c>
      <c r="H318" t="s">
        <v>151</v>
      </c>
      <c r="I318">
        <v>1</v>
      </c>
      <c r="J318">
        <v>2</v>
      </c>
      <c r="K318">
        <v>4</v>
      </c>
      <c r="L318">
        <v>4</v>
      </c>
      <c r="M318">
        <v>5</v>
      </c>
      <c r="O318">
        <v>5.7352849367469618</v>
      </c>
      <c r="P318">
        <v>7.9305662093421851</v>
      </c>
    </row>
    <row r="319" spans="1:16" x14ac:dyDescent="0.2">
      <c r="A319" t="s">
        <v>119</v>
      </c>
      <c r="B319" t="s">
        <v>1133</v>
      </c>
      <c r="D319" t="s">
        <v>320</v>
      </c>
      <c r="E319">
        <v>16</v>
      </c>
      <c r="F319" t="s">
        <v>141</v>
      </c>
      <c r="G319" t="s">
        <v>252</v>
      </c>
      <c r="H319" t="s">
        <v>147</v>
      </c>
      <c r="I319">
        <v>1</v>
      </c>
      <c r="J319">
        <v>3</v>
      </c>
      <c r="K319">
        <v>4</v>
      </c>
      <c r="L319">
        <v>3</v>
      </c>
      <c r="M319">
        <v>4</v>
      </c>
      <c r="O319">
        <v>3.9355649207746723</v>
      </c>
      <c r="P319">
        <v>4.921374421420138</v>
      </c>
    </row>
    <row r="320" spans="1:16" x14ac:dyDescent="0.2">
      <c r="A320" t="s">
        <v>119</v>
      </c>
      <c r="B320" t="s">
        <v>1134</v>
      </c>
      <c r="D320" t="s">
        <v>320</v>
      </c>
      <c r="E320">
        <v>17</v>
      </c>
      <c r="F320" t="s">
        <v>141</v>
      </c>
      <c r="G320" t="s">
        <v>253</v>
      </c>
      <c r="H320" t="s">
        <v>153</v>
      </c>
      <c r="I320">
        <v>1</v>
      </c>
      <c r="J320">
        <v>2</v>
      </c>
      <c r="K320">
        <v>3</v>
      </c>
      <c r="L320">
        <v>3</v>
      </c>
      <c r="M320">
        <v>4</v>
      </c>
      <c r="O320">
        <v>3.0556092237531312</v>
      </c>
      <c r="P320">
        <v>4.1914549319579635</v>
      </c>
    </row>
    <row r="321" spans="1:18" x14ac:dyDescent="0.2">
      <c r="A321" t="s">
        <v>119</v>
      </c>
      <c r="B321" t="s">
        <v>1135</v>
      </c>
      <c r="D321" t="s">
        <v>320</v>
      </c>
      <c r="E321">
        <v>18</v>
      </c>
      <c r="F321" t="s">
        <v>141</v>
      </c>
      <c r="G321" t="s">
        <v>254</v>
      </c>
      <c r="H321" t="s">
        <v>148</v>
      </c>
      <c r="I321">
        <v>1</v>
      </c>
      <c r="J321">
        <v>2</v>
      </c>
      <c r="K321">
        <v>3</v>
      </c>
      <c r="L321">
        <v>4</v>
      </c>
      <c r="M321">
        <v>5</v>
      </c>
      <c r="O321">
        <v>4.1914549319579635</v>
      </c>
      <c r="P321">
        <v>6.0683906433495247</v>
      </c>
    </row>
    <row r="322" spans="1:18" x14ac:dyDescent="0.2">
      <c r="A322" t="s">
        <v>119</v>
      </c>
      <c r="B322" t="s">
        <v>1136</v>
      </c>
      <c r="D322" t="s">
        <v>320</v>
      </c>
      <c r="E322">
        <v>19</v>
      </c>
      <c r="F322" t="s">
        <v>141</v>
      </c>
      <c r="G322" t="s">
        <v>257</v>
      </c>
      <c r="H322" t="s">
        <v>153</v>
      </c>
      <c r="I322">
        <v>1</v>
      </c>
      <c r="J322">
        <v>2</v>
      </c>
      <c r="K322">
        <v>3</v>
      </c>
      <c r="L322">
        <v>4</v>
      </c>
      <c r="M322">
        <v>5</v>
      </c>
      <c r="O322">
        <v>4.1914549319579635</v>
      </c>
      <c r="P322">
        <v>6.0683906433495247</v>
      </c>
    </row>
    <row r="323" spans="1:18" x14ac:dyDescent="0.2">
      <c r="A323" t="s">
        <v>119</v>
      </c>
      <c r="B323" t="s">
        <v>1137</v>
      </c>
      <c r="D323" t="s">
        <v>320</v>
      </c>
      <c r="E323">
        <v>20</v>
      </c>
      <c r="F323" t="s">
        <v>141</v>
      </c>
      <c r="G323" t="s">
        <v>258</v>
      </c>
      <c r="H323" t="s">
        <v>181</v>
      </c>
      <c r="J323">
        <v>2</v>
      </c>
      <c r="K323">
        <v>3</v>
      </c>
      <c r="L323">
        <v>3</v>
      </c>
      <c r="M323">
        <v>4</v>
      </c>
      <c r="O323">
        <v>3.0556092237531312</v>
      </c>
      <c r="P323">
        <v>4.1914549319579635</v>
      </c>
    </row>
    <row r="324" spans="1:18" x14ac:dyDescent="0.2">
      <c r="A324" t="s">
        <v>119</v>
      </c>
      <c r="B324" t="s">
        <v>1138</v>
      </c>
      <c r="D324" t="s">
        <v>320</v>
      </c>
      <c r="E324">
        <v>21</v>
      </c>
      <c r="F324" t="s">
        <v>141</v>
      </c>
      <c r="G324" t="s">
        <v>259</v>
      </c>
      <c r="H324" t="s">
        <v>153</v>
      </c>
      <c r="J324">
        <v>2</v>
      </c>
      <c r="K324">
        <v>3</v>
      </c>
      <c r="L324">
        <v>5</v>
      </c>
      <c r="M324">
        <v>5</v>
      </c>
      <c r="O324">
        <v>6.0683906433495247</v>
      </c>
      <c r="P324">
        <v>6.0683906433495247</v>
      </c>
    </row>
    <row r="325" spans="1:18" x14ac:dyDescent="0.2">
      <c r="A325" t="s">
        <v>119</v>
      </c>
      <c r="B325" t="s">
        <v>1139</v>
      </c>
      <c r="D325" t="s">
        <v>320</v>
      </c>
      <c r="E325">
        <v>22</v>
      </c>
      <c r="F325" t="s">
        <v>141</v>
      </c>
      <c r="G325" t="s">
        <v>260</v>
      </c>
      <c r="H325" t="s">
        <v>152</v>
      </c>
      <c r="J325">
        <v>2</v>
      </c>
      <c r="K325">
        <v>2</v>
      </c>
      <c r="L325">
        <v>4</v>
      </c>
      <c r="M325">
        <v>5</v>
      </c>
      <c r="O325">
        <v>3.4675646088337704</v>
      </c>
      <c r="P325">
        <v>5.1952304715697029</v>
      </c>
    </row>
    <row r="326" spans="1:18" x14ac:dyDescent="0.2">
      <c r="A326" t="s">
        <v>119</v>
      </c>
      <c r="B326" t="s">
        <v>1140</v>
      </c>
      <c r="D326" t="s">
        <v>320</v>
      </c>
      <c r="E326">
        <v>23</v>
      </c>
      <c r="F326" t="s">
        <v>141</v>
      </c>
      <c r="G326" t="s">
        <v>261</v>
      </c>
      <c r="H326" t="s">
        <v>147</v>
      </c>
      <c r="J326">
        <v>2</v>
      </c>
      <c r="K326">
        <v>2</v>
      </c>
      <c r="L326">
        <v>4</v>
      </c>
      <c r="M326">
        <v>5</v>
      </c>
      <c r="O326">
        <v>3.4675646088337704</v>
      </c>
      <c r="P326">
        <v>5.1952304715697029</v>
      </c>
    </row>
    <row r="327" spans="1:18" x14ac:dyDescent="0.2">
      <c r="A327" t="s">
        <v>119</v>
      </c>
      <c r="B327" t="s">
        <v>1141</v>
      </c>
      <c r="D327" t="s">
        <v>320</v>
      </c>
      <c r="E327">
        <v>24</v>
      </c>
      <c r="F327" t="s">
        <v>141</v>
      </c>
      <c r="G327" t="s">
        <v>262</v>
      </c>
      <c r="H327" t="s">
        <v>153</v>
      </c>
      <c r="J327">
        <v>2</v>
      </c>
      <c r="K327">
        <v>3</v>
      </c>
      <c r="L327">
        <v>4</v>
      </c>
      <c r="M327">
        <v>5</v>
      </c>
      <c r="O327">
        <v>4.1914549319579635</v>
      </c>
      <c r="P327">
        <v>6.0683906433495247</v>
      </c>
    </row>
    <row r="328" spans="1:18" x14ac:dyDescent="0.2">
      <c r="A328" t="s">
        <v>119</v>
      </c>
      <c r="B328" t="s">
        <v>1142</v>
      </c>
      <c r="D328" t="s">
        <v>320</v>
      </c>
      <c r="E328">
        <v>25</v>
      </c>
      <c r="F328" t="s">
        <v>141</v>
      </c>
      <c r="G328" t="s">
        <v>263</v>
      </c>
      <c r="H328" t="s">
        <v>152</v>
      </c>
      <c r="J328">
        <v>2</v>
      </c>
      <c r="K328">
        <v>3</v>
      </c>
      <c r="L328">
        <v>4</v>
      </c>
      <c r="M328">
        <v>5</v>
      </c>
      <c r="O328">
        <v>4.1914549319579635</v>
      </c>
      <c r="P328">
        <v>6.0683906433495247</v>
      </c>
    </row>
    <row r="329" spans="1:18" x14ac:dyDescent="0.2">
      <c r="A329" t="s">
        <v>119</v>
      </c>
      <c r="B329" t="s">
        <v>1143</v>
      </c>
      <c r="D329" t="s">
        <v>320</v>
      </c>
      <c r="E329">
        <v>26</v>
      </c>
      <c r="F329" t="s">
        <v>141</v>
      </c>
      <c r="G329" t="s">
        <v>280</v>
      </c>
      <c r="H329" t="s">
        <v>273</v>
      </c>
      <c r="O329">
        <v>0</v>
      </c>
      <c r="P329">
        <v>0</v>
      </c>
      <c r="R329" t="s">
        <v>279</v>
      </c>
    </row>
    <row r="330" spans="1:18" x14ac:dyDescent="0.2">
      <c r="A330" t="s">
        <v>119</v>
      </c>
      <c r="B330" t="s">
        <v>1144</v>
      </c>
      <c r="D330" t="s">
        <v>320</v>
      </c>
      <c r="E330">
        <v>27</v>
      </c>
      <c r="F330" t="s">
        <v>141</v>
      </c>
      <c r="G330" t="s">
        <v>281</v>
      </c>
      <c r="H330" t="s">
        <v>273</v>
      </c>
      <c r="O330">
        <v>0</v>
      </c>
      <c r="P330">
        <v>0</v>
      </c>
    </row>
    <row r="331" spans="1:18" x14ac:dyDescent="0.2">
      <c r="A331" t="s">
        <v>119</v>
      </c>
      <c r="B331" t="s">
        <v>1145</v>
      </c>
      <c r="D331" t="s">
        <v>320</v>
      </c>
      <c r="E331">
        <v>28</v>
      </c>
      <c r="F331" t="s">
        <v>141</v>
      </c>
      <c r="G331" t="s">
        <v>289</v>
      </c>
      <c r="H331" t="s">
        <v>273</v>
      </c>
      <c r="O331">
        <v>0</v>
      </c>
      <c r="P331">
        <v>0</v>
      </c>
    </row>
    <row r="332" spans="1:18" x14ac:dyDescent="0.2">
      <c r="A332" t="s">
        <v>119</v>
      </c>
      <c r="B332" t="s">
        <v>1146</v>
      </c>
      <c r="D332" t="s">
        <v>320</v>
      </c>
      <c r="E332">
        <v>29</v>
      </c>
      <c r="F332" t="s">
        <v>141</v>
      </c>
      <c r="G332" t="s">
        <v>292</v>
      </c>
      <c r="H332" t="s">
        <v>273</v>
      </c>
      <c r="O332">
        <v>0</v>
      </c>
      <c r="P332">
        <v>0</v>
      </c>
    </row>
    <row r="333" spans="1:18" x14ac:dyDescent="0.2">
      <c r="A333" t="s">
        <v>119</v>
      </c>
      <c r="B333" t="s">
        <v>1361</v>
      </c>
      <c r="D333" t="s">
        <v>324</v>
      </c>
      <c r="E333">
        <v>1</v>
      </c>
      <c r="F333" t="s">
        <v>140</v>
      </c>
      <c r="G333" t="s">
        <v>231</v>
      </c>
      <c r="H333" t="s">
        <v>153</v>
      </c>
      <c r="I333">
        <v>1</v>
      </c>
      <c r="J333">
        <v>1</v>
      </c>
      <c r="K333">
        <v>3</v>
      </c>
      <c r="L333">
        <v>5</v>
      </c>
      <c r="M333">
        <v>5</v>
      </c>
      <c r="O333">
        <v>8.3439300121397828</v>
      </c>
      <c r="P333">
        <v>8.3439300121397828</v>
      </c>
    </row>
    <row r="334" spans="1:18" x14ac:dyDescent="0.2">
      <c r="A334" t="s">
        <v>119</v>
      </c>
      <c r="B334" t="s">
        <v>1362</v>
      </c>
      <c r="D334" t="s">
        <v>324</v>
      </c>
      <c r="E334">
        <v>2</v>
      </c>
      <c r="F334" t="s">
        <v>140</v>
      </c>
      <c r="G334" t="s">
        <v>232</v>
      </c>
      <c r="H334" t="s">
        <v>153</v>
      </c>
      <c r="I334">
        <v>1</v>
      </c>
      <c r="J334">
        <v>1</v>
      </c>
      <c r="K334">
        <v>3</v>
      </c>
      <c r="L334">
        <v>5</v>
      </c>
      <c r="M334">
        <v>5</v>
      </c>
      <c r="O334">
        <v>8.3439300121397828</v>
      </c>
      <c r="P334">
        <v>8.3439300121397828</v>
      </c>
    </row>
    <row r="335" spans="1:18" x14ac:dyDescent="0.2">
      <c r="A335" t="s">
        <v>119</v>
      </c>
      <c r="B335" t="s">
        <v>1363</v>
      </c>
      <c r="D335" t="s">
        <v>324</v>
      </c>
      <c r="E335">
        <v>3</v>
      </c>
      <c r="F335" t="s">
        <v>140</v>
      </c>
      <c r="G335" t="s">
        <v>233</v>
      </c>
      <c r="H335" t="s">
        <v>153</v>
      </c>
      <c r="I335">
        <v>1</v>
      </c>
      <c r="J335">
        <v>1</v>
      </c>
      <c r="K335">
        <v>3</v>
      </c>
      <c r="L335">
        <v>5</v>
      </c>
      <c r="M335">
        <v>5</v>
      </c>
      <c r="O335">
        <v>8.3439300121397828</v>
      </c>
      <c r="P335">
        <v>8.3439300121397828</v>
      </c>
    </row>
    <row r="336" spans="1:18" x14ac:dyDescent="0.2">
      <c r="A336" t="s">
        <v>119</v>
      </c>
      <c r="B336" t="s">
        <v>1364</v>
      </c>
      <c r="D336" t="s">
        <v>324</v>
      </c>
      <c r="E336">
        <v>4</v>
      </c>
      <c r="F336" t="s">
        <v>140</v>
      </c>
      <c r="G336" t="s">
        <v>234</v>
      </c>
      <c r="H336" t="s">
        <v>153</v>
      </c>
      <c r="I336">
        <v>1</v>
      </c>
      <c r="J336">
        <v>2</v>
      </c>
      <c r="K336">
        <v>3</v>
      </c>
      <c r="L336">
        <v>4</v>
      </c>
      <c r="M336">
        <v>5</v>
      </c>
      <c r="O336">
        <v>4.1914549319579635</v>
      </c>
      <c r="P336">
        <v>6.0683906433495247</v>
      </c>
    </row>
    <row r="337" spans="1:16" x14ac:dyDescent="0.2">
      <c r="A337" t="s">
        <v>119</v>
      </c>
      <c r="B337" t="s">
        <v>1365</v>
      </c>
      <c r="D337" t="s">
        <v>324</v>
      </c>
      <c r="E337">
        <v>5</v>
      </c>
      <c r="F337" t="s">
        <v>140</v>
      </c>
      <c r="G337" t="s">
        <v>235</v>
      </c>
      <c r="H337" t="s">
        <v>152</v>
      </c>
      <c r="I337">
        <v>1</v>
      </c>
      <c r="J337">
        <v>2</v>
      </c>
      <c r="K337">
        <v>2</v>
      </c>
      <c r="L337">
        <v>5</v>
      </c>
      <c r="M337">
        <v>5</v>
      </c>
      <c r="O337">
        <v>5.1952304715697029</v>
      </c>
      <c r="P337">
        <v>5.1952304715697029</v>
      </c>
    </row>
    <row r="338" spans="1:16" x14ac:dyDescent="0.2">
      <c r="A338" t="s">
        <v>119</v>
      </c>
      <c r="B338" t="s">
        <v>1366</v>
      </c>
      <c r="D338" t="s">
        <v>324</v>
      </c>
      <c r="E338">
        <v>6</v>
      </c>
      <c r="F338" t="s">
        <v>140</v>
      </c>
      <c r="G338" t="s">
        <v>236</v>
      </c>
      <c r="H338" t="s">
        <v>147</v>
      </c>
      <c r="I338">
        <v>1</v>
      </c>
      <c r="J338">
        <v>3</v>
      </c>
      <c r="K338">
        <v>3</v>
      </c>
      <c r="L338">
        <v>4</v>
      </c>
      <c r="M338">
        <v>5</v>
      </c>
      <c r="O338">
        <v>3.3775444166311392</v>
      </c>
      <c r="P338">
        <v>4.6882062487951002</v>
      </c>
    </row>
    <row r="339" spans="1:16" x14ac:dyDescent="0.2">
      <c r="A339" t="s">
        <v>119</v>
      </c>
      <c r="B339" t="s">
        <v>1367</v>
      </c>
      <c r="D339" t="s">
        <v>324</v>
      </c>
      <c r="E339">
        <v>7</v>
      </c>
      <c r="F339" t="s">
        <v>140</v>
      </c>
      <c r="G339" t="s">
        <v>237</v>
      </c>
      <c r="H339" t="s">
        <v>153</v>
      </c>
      <c r="I339">
        <v>1</v>
      </c>
      <c r="J339">
        <v>2</v>
      </c>
      <c r="K339">
        <v>2</v>
      </c>
      <c r="L339">
        <v>4</v>
      </c>
      <c r="M339">
        <v>5</v>
      </c>
      <c r="O339">
        <v>3.4675646088337704</v>
      </c>
      <c r="P339">
        <v>5.1952304715697029</v>
      </c>
    </row>
    <row r="340" spans="1:16" x14ac:dyDescent="0.2">
      <c r="A340" t="s">
        <v>119</v>
      </c>
      <c r="B340" t="s">
        <v>1368</v>
      </c>
      <c r="D340" t="s">
        <v>324</v>
      </c>
      <c r="E340">
        <v>8</v>
      </c>
      <c r="F340" t="s">
        <v>140</v>
      </c>
      <c r="G340" t="s">
        <v>238</v>
      </c>
      <c r="H340" t="s">
        <v>153</v>
      </c>
      <c r="I340">
        <v>1</v>
      </c>
      <c r="J340">
        <v>3</v>
      </c>
      <c r="K340">
        <v>2</v>
      </c>
      <c r="L340">
        <v>3</v>
      </c>
      <c r="M340">
        <v>4</v>
      </c>
      <c r="O340">
        <v>1.9508265581762823</v>
      </c>
      <c r="P340">
        <v>2.6536540935069457</v>
      </c>
    </row>
    <row r="341" spans="1:16" x14ac:dyDescent="0.2">
      <c r="A341" t="s">
        <v>119</v>
      </c>
      <c r="B341" t="s">
        <v>1369</v>
      </c>
      <c r="D341" t="s">
        <v>324</v>
      </c>
      <c r="E341">
        <v>9</v>
      </c>
      <c r="F341" t="s">
        <v>140</v>
      </c>
      <c r="G341" t="s">
        <v>239</v>
      </c>
      <c r="H341" t="s">
        <v>153</v>
      </c>
      <c r="I341">
        <v>1</v>
      </c>
      <c r="J341">
        <v>2</v>
      </c>
      <c r="K341">
        <v>3</v>
      </c>
      <c r="L341">
        <v>5</v>
      </c>
      <c r="M341">
        <v>5</v>
      </c>
      <c r="O341">
        <v>6.0683906433495247</v>
      </c>
      <c r="P341">
        <v>6.0683906433495247</v>
      </c>
    </row>
    <row r="342" spans="1:16" x14ac:dyDescent="0.2">
      <c r="A342" t="s">
        <v>119</v>
      </c>
      <c r="B342" t="s">
        <v>1147</v>
      </c>
      <c r="D342" t="s">
        <v>324</v>
      </c>
      <c r="E342">
        <v>10</v>
      </c>
      <c r="F342" t="s">
        <v>140</v>
      </c>
      <c r="G342" t="s">
        <v>240</v>
      </c>
      <c r="H342" t="s">
        <v>153</v>
      </c>
      <c r="I342">
        <v>1</v>
      </c>
      <c r="J342">
        <v>2</v>
      </c>
      <c r="K342">
        <v>3</v>
      </c>
      <c r="L342">
        <v>5</v>
      </c>
      <c r="M342">
        <v>5</v>
      </c>
      <c r="O342">
        <v>6.0683906433495247</v>
      </c>
      <c r="P342">
        <v>6.0683906433495247</v>
      </c>
    </row>
    <row r="343" spans="1:16" x14ac:dyDescent="0.2">
      <c r="A343" t="s">
        <v>119</v>
      </c>
      <c r="B343" t="s">
        <v>1148</v>
      </c>
      <c r="D343" t="s">
        <v>324</v>
      </c>
      <c r="E343">
        <v>11</v>
      </c>
      <c r="F343" t="s">
        <v>140</v>
      </c>
      <c r="G343" t="s">
        <v>290</v>
      </c>
      <c r="H343" t="s">
        <v>153</v>
      </c>
      <c r="I343">
        <v>1</v>
      </c>
      <c r="J343">
        <v>2</v>
      </c>
      <c r="K343">
        <v>2</v>
      </c>
      <c r="L343">
        <v>5</v>
      </c>
      <c r="M343">
        <v>5</v>
      </c>
      <c r="O343">
        <v>5.1952304715697029</v>
      </c>
      <c r="P343">
        <v>5.1952304715697029</v>
      </c>
    </row>
    <row r="344" spans="1:16" x14ac:dyDescent="0.2">
      <c r="A344" t="s">
        <v>119</v>
      </c>
      <c r="B344" t="s">
        <v>1149</v>
      </c>
      <c r="D344" t="s">
        <v>324</v>
      </c>
      <c r="E344">
        <v>12</v>
      </c>
      <c r="F344" t="s">
        <v>140</v>
      </c>
      <c r="G344" t="s">
        <v>291</v>
      </c>
      <c r="H344" t="s">
        <v>152</v>
      </c>
      <c r="I344">
        <v>1</v>
      </c>
      <c r="J344">
        <v>2</v>
      </c>
      <c r="K344">
        <v>3</v>
      </c>
      <c r="L344">
        <v>4</v>
      </c>
      <c r="M344">
        <v>5</v>
      </c>
      <c r="O344">
        <v>4.1914549319579635</v>
      </c>
      <c r="P344">
        <v>6.0683906433495247</v>
      </c>
    </row>
    <row r="345" spans="1:16" x14ac:dyDescent="0.2">
      <c r="A345" t="s">
        <v>119</v>
      </c>
      <c r="B345" t="s">
        <v>1150</v>
      </c>
      <c r="D345" t="s">
        <v>324</v>
      </c>
      <c r="E345">
        <v>13</v>
      </c>
      <c r="F345" t="s">
        <v>140</v>
      </c>
      <c r="G345" t="s">
        <v>278</v>
      </c>
      <c r="H345" t="s">
        <v>273</v>
      </c>
      <c r="O345">
        <v>0</v>
      </c>
      <c r="P345">
        <v>0</v>
      </c>
    </row>
    <row r="346" spans="1:16" x14ac:dyDescent="0.2">
      <c r="A346" t="s">
        <v>119</v>
      </c>
      <c r="B346" t="s">
        <v>1370</v>
      </c>
      <c r="D346" t="s">
        <v>327</v>
      </c>
      <c r="E346">
        <v>1</v>
      </c>
      <c r="F346" t="s">
        <v>171</v>
      </c>
      <c r="G346" t="s">
        <v>173</v>
      </c>
      <c r="H346" t="s">
        <v>150</v>
      </c>
      <c r="I346">
        <v>1</v>
      </c>
      <c r="J346">
        <v>1</v>
      </c>
      <c r="K346">
        <v>2</v>
      </c>
      <c r="L346">
        <v>5</v>
      </c>
      <c r="M346">
        <v>5</v>
      </c>
      <c r="O346">
        <v>7.4707698403599609</v>
      </c>
      <c r="P346">
        <v>7.4707698403599609</v>
      </c>
    </row>
    <row r="347" spans="1:16" x14ac:dyDescent="0.2">
      <c r="A347" t="s">
        <v>119</v>
      </c>
      <c r="B347" t="s">
        <v>1371</v>
      </c>
      <c r="D347" t="s">
        <v>327</v>
      </c>
      <c r="E347">
        <v>2</v>
      </c>
      <c r="F347" t="s">
        <v>171</v>
      </c>
      <c r="G347" t="s">
        <v>174</v>
      </c>
      <c r="H347" t="s">
        <v>150</v>
      </c>
      <c r="I347">
        <v>1</v>
      </c>
      <c r="J347">
        <v>1</v>
      </c>
      <c r="K347">
        <v>2</v>
      </c>
      <c r="L347">
        <v>5</v>
      </c>
      <c r="M347">
        <v>5</v>
      </c>
      <c r="O347">
        <v>7.4707698403599609</v>
      </c>
      <c r="P347">
        <v>7.4707698403599609</v>
      </c>
    </row>
    <row r="348" spans="1:16" x14ac:dyDescent="0.2">
      <c r="A348" t="s">
        <v>119</v>
      </c>
      <c r="B348" t="s">
        <v>1372</v>
      </c>
      <c r="D348" t="s">
        <v>327</v>
      </c>
      <c r="E348">
        <v>3</v>
      </c>
      <c r="F348" t="s">
        <v>171</v>
      </c>
      <c r="G348" t="s">
        <v>1630</v>
      </c>
      <c r="H348" t="s">
        <v>150</v>
      </c>
      <c r="I348">
        <v>1</v>
      </c>
      <c r="J348">
        <v>1</v>
      </c>
      <c r="K348">
        <v>3</v>
      </c>
      <c r="L348">
        <v>3</v>
      </c>
      <c r="M348">
        <v>3</v>
      </c>
      <c r="O348">
        <v>3.8325269612168924</v>
      </c>
      <c r="P348">
        <v>3.8325269612168924</v>
      </c>
    </row>
    <row r="349" spans="1:16" x14ac:dyDescent="0.2">
      <c r="A349" t="s">
        <v>119</v>
      </c>
      <c r="B349" t="s">
        <v>1373</v>
      </c>
      <c r="D349" t="s">
        <v>327</v>
      </c>
      <c r="E349">
        <v>4</v>
      </c>
      <c r="F349" t="s">
        <v>171</v>
      </c>
      <c r="G349" t="s">
        <v>175</v>
      </c>
      <c r="H349" t="s">
        <v>150</v>
      </c>
      <c r="I349">
        <v>1</v>
      </c>
      <c r="J349">
        <v>1</v>
      </c>
      <c r="K349">
        <v>3</v>
      </c>
      <c r="L349">
        <v>4</v>
      </c>
      <c r="M349">
        <v>4</v>
      </c>
      <c r="O349">
        <v>5.5333665110238019</v>
      </c>
      <c r="P349">
        <v>5.5333665110238019</v>
      </c>
    </row>
    <row r="350" spans="1:16" x14ac:dyDescent="0.2">
      <c r="A350" t="s">
        <v>119</v>
      </c>
      <c r="B350" t="s">
        <v>1374</v>
      </c>
      <c r="D350" t="s">
        <v>327</v>
      </c>
      <c r="E350">
        <v>5</v>
      </c>
      <c r="F350" t="s">
        <v>171</v>
      </c>
      <c r="G350" t="s">
        <v>1584</v>
      </c>
      <c r="H350" t="s">
        <v>150</v>
      </c>
      <c r="I350">
        <v>1</v>
      </c>
      <c r="J350">
        <v>1</v>
      </c>
      <c r="K350">
        <v>3</v>
      </c>
      <c r="L350">
        <v>3</v>
      </c>
      <c r="M350">
        <v>3</v>
      </c>
      <c r="O350">
        <v>3.8325269612168924</v>
      </c>
      <c r="P350">
        <v>3.8325269612168924</v>
      </c>
    </row>
    <row r="351" spans="1:16" x14ac:dyDescent="0.2">
      <c r="A351" t="s">
        <v>119</v>
      </c>
      <c r="B351" t="s">
        <v>1375</v>
      </c>
      <c r="D351" t="s">
        <v>327</v>
      </c>
      <c r="E351">
        <v>6</v>
      </c>
      <c r="F351" t="s">
        <v>171</v>
      </c>
      <c r="G351" t="s">
        <v>1631</v>
      </c>
      <c r="H351" t="s">
        <v>150</v>
      </c>
      <c r="I351">
        <v>1</v>
      </c>
      <c r="J351">
        <v>1</v>
      </c>
      <c r="K351">
        <v>3</v>
      </c>
      <c r="L351">
        <v>4</v>
      </c>
      <c r="M351">
        <v>4</v>
      </c>
      <c r="O351">
        <v>5.5333665110238019</v>
      </c>
      <c r="P351">
        <v>5.5333665110238019</v>
      </c>
    </row>
    <row r="352" spans="1:16" x14ac:dyDescent="0.2">
      <c r="A352" t="s">
        <v>119</v>
      </c>
      <c r="B352" t="s">
        <v>1376</v>
      </c>
      <c r="D352" t="s">
        <v>327</v>
      </c>
      <c r="E352">
        <v>7</v>
      </c>
      <c r="F352" t="s">
        <v>171</v>
      </c>
      <c r="G352" t="s">
        <v>177</v>
      </c>
      <c r="H352" t="s">
        <v>150</v>
      </c>
      <c r="I352">
        <v>1</v>
      </c>
      <c r="J352">
        <v>2</v>
      </c>
      <c r="K352">
        <v>3</v>
      </c>
      <c r="L352">
        <v>2</v>
      </c>
      <c r="M352">
        <v>2</v>
      </c>
      <c r="O352">
        <v>2.5230196807457705</v>
      </c>
      <c r="P352">
        <v>2.5230196807457705</v>
      </c>
    </row>
    <row r="353" spans="1:16" x14ac:dyDescent="0.2">
      <c r="A353" t="s">
        <v>119</v>
      </c>
      <c r="B353" t="s">
        <v>1377</v>
      </c>
      <c r="D353" t="s">
        <v>327</v>
      </c>
      <c r="E353">
        <v>8</v>
      </c>
      <c r="F353" t="s">
        <v>171</v>
      </c>
      <c r="G353" t="s">
        <v>176</v>
      </c>
      <c r="H353" t="s">
        <v>150</v>
      </c>
      <c r="I353">
        <v>1</v>
      </c>
      <c r="J353">
        <v>1</v>
      </c>
      <c r="K353">
        <v>3</v>
      </c>
      <c r="L353">
        <v>4</v>
      </c>
      <c r="M353">
        <v>4</v>
      </c>
      <c r="O353">
        <v>5.5333665110238019</v>
      </c>
      <c r="P353">
        <v>5.5333665110238019</v>
      </c>
    </row>
    <row r="354" spans="1:16" x14ac:dyDescent="0.2">
      <c r="A354" t="s">
        <v>119</v>
      </c>
      <c r="B354" t="s">
        <v>1378</v>
      </c>
      <c r="D354" t="s">
        <v>264</v>
      </c>
      <c r="E354">
        <v>1</v>
      </c>
      <c r="F354" t="s">
        <v>121</v>
      </c>
      <c r="G354" t="s">
        <v>178</v>
      </c>
      <c r="H354" t="s">
        <v>153</v>
      </c>
      <c r="I354">
        <v>1</v>
      </c>
      <c r="J354">
        <v>1</v>
      </c>
      <c r="K354">
        <v>3</v>
      </c>
      <c r="L354">
        <v>5</v>
      </c>
      <c r="M354">
        <v>5</v>
      </c>
      <c r="O354">
        <v>8.3439300121397828</v>
      </c>
      <c r="P354">
        <v>8.3439300121397828</v>
      </c>
    </row>
    <row r="355" spans="1:16" x14ac:dyDescent="0.2">
      <c r="A355" t="s">
        <v>119</v>
      </c>
      <c r="B355" t="s">
        <v>1379</v>
      </c>
      <c r="D355" t="s">
        <v>264</v>
      </c>
      <c r="E355">
        <v>2</v>
      </c>
      <c r="F355" t="s">
        <v>121</v>
      </c>
      <c r="G355" t="s">
        <v>179</v>
      </c>
      <c r="H355" t="s">
        <v>150</v>
      </c>
      <c r="I355">
        <v>1</v>
      </c>
      <c r="J355">
        <v>1</v>
      </c>
      <c r="K355">
        <v>3</v>
      </c>
      <c r="L355">
        <v>5</v>
      </c>
      <c r="M355">
        <v>5</v>
      </c>
      <c r="O355">
        <v>8.3439300121397828</v>
      </c>
      <c r="P355">
        <v>8.3439300121397828</v>
      </c>
    </row>
    <row r="356" spans="1:16" x14ac:dyDescent="0.2">
      <c r="A356" t="s">
        <v>119</v>
      </c>
      <c r="B356" t="s">
        <v>1380</v>
      </c>
      <c r="C356" t="s">
        <v>169</v>
      </c>
      <c r="D356" t="s">
        <v>265</v>
      </c>
      <c r="E356">
        <v>1</v>
      </c>
      <c r="F356" t="s">
        <v>123</v>
      </c>
      <c r="G356" t="s">
        <v>170</v>
      </c>
      <c r="H356" t="s">
        <v>153</v>
      </c>
      <c r="I356">
        <v>1</v>
      </c>
      <c r="J356">
        <v>1</v>
      </c>
      <c r="K356">
        <v>1</v>
      </c>
      <c r="L356">
        <v>5</v>
      </c>
      <c r="M356">
        <v>5</v>
      </c>
      <c r="O356">
        <v>7.2832698403599609</v>
      </c>
      <c r="P356">
        <v>7.2832698403599609</v>
      </c>
    </row>
    <row r="357" spans="1:16" x14ac:dyDescent="0.2">
      <c r="A357" t="s">
        <v>363</v>
      </c>
      <c r="B357" t="s">
        <v>1381</v>
      </c>
      <c r="D357" t="s">
        <v>765</v>
      </c>
      <c r="E357">
        <v>1</v>
      </c>
      <c r="F357" t="s">
        <v>365</v>
      </c>
      <c r="G357" t="s">
        <v>383</v>
      </c>
      <c r="H357" t="s">
        <v>382</v>
      </c>
      <c r="I357">
        <v>1</v>
      </c>
      <c r="J357">
        <v>1</v>
      </c>
      <c r="O357">
        <v>0</v>
      </c>
      <c r="P357">
        <v>0</v>
      </c>
    </row>
    <row r="358" spans="1:16" x14ac:dyDescent="0.2">
      <c r="A358" t="s">
        <v>363</v>
      </c>
      <c r="B358" t="s">
        <v>1382</v>
      </c>
      <c r="D358" t="s">
        <v>766</v>
      </c>
      <c r="E358">
        <v>1</v>
      </c>
      <c r="F358" t="s">
        <v>366</v>
      </c>
      <c r="G358" t="s">
        <v>384</v>
      </c>
      <c r="H358" t="s">
        <v>153</v>
      </c>
      <c r="I358">
        <v>1</v>
      </c>
      <c r="O358">
        <v>0</v>
      </c>
      <c r="P358">
        <v>0</v>
      </c>
    </row>
    <row r="359" spans="1:16" x14ac:dyDescent="0.2">
      <c r="A359" t="s">
        <v>363</v>
      </c>
      <c r="B359" t="s">
        <v>1383</v>
      </c>
      <c r="D359" t="s">
        <v>766</v>
      </c>
      <c r="E359">
        <v>2</v>
      </c>
      <c r="F359" t="s">
        <v>366</v>
      </c>
      <c r="G359" t="s">
        <v>385</v>
      </c>
      <c r="H359" t="s">
        <v>153</v>
      </c>
      <c r="I359">
        <v>1</v>
      </c>
      <c r="O359">
        <v>0</v>
      </c>
      <c r="P359">
        <v>0</v>
      </c>
    </row>
    <row r="360" spans="1:16" x14ac:dyDescent="0.2">
      <c r="A360" t="s">
        <v>363</v>
      </c>
      <c r="B360" t="s">
        <v>1384</v>
      </c>
      <c r="D360" t="s">
        <v>766</v>
      </c>
      <c r="E360">
        <v>3</v>
      </c>
      <c r="F360" t="s">
        <v>366</v>
      </c>
      <c r="G360" t="s">
        <v>386</v>
      </c>
      <c r="H360" t="s">
        <v>181</v>
      </c>
      <c r="O360">
        <v>0</v>
      </c>
      <c r="P360">
        <v>0</v>
      </c>
    </row>
    <row r="361" spans="1:16" x14ac:dyDescent="0.2">
      <c r="A361" t="s">
        <v>363</v>
      </c>
      <c r="B361" t="s">
        <v>1385</v>
      </c>
      <c r="D361" t="s">
        <v>766</v>
      </c>
      <c r="E361">
        <v>4</v>
      </c>
      <c r="F361" t="s">
        <v>366</v>
      </c>
      <c r="G361" t="s">
        <v>387</v>
      </c>
      <c r="H361" t="s">
        <v>153</v>
      </c>
      <c r="I361">
        <v>1</v>
      </c>
      <c r="O361">
        <v>0</v>
      </c>
      <c r="P361">
        <v>0</v>
      </c>
    </row>
    <row r="362" spans="1:16" x14ac:dyDescent="0.2">
      <c r="A362" t="s">
        <v>363</v>
      </c>
      <c r="B362" t="s">
        <v>1386</v>
      </c>
      <c r="D362" t="s">
        <v>766</v>
      </c>
      <c r="E362">
        <v>5</v>
      </c>
      <c r="F362" t="s">
        <v>366</v>
      </c>
      <c r="G362" t="s">
        <v>388</v>
      </c>
      <c r="H362" t="s">
        <v>382</v>
      </c>
      <c r="I362">
        <v>1</v>
      </c>
      <c r="O362">
        <v>0</v>
      </c>
      <c r="P362">
        <v>0</v>
      </c>
    </row>
    <row r="363" spans="1:16" x14ac:dyDescent="0.2">
      <c r="A363" t="s">
        <v>363</v>
      </c>
      <c r="B363" t="s">
        <v>1387</v>
      </c>
      <c r="D363" t="s">
        <v>766</v>
      </c>
      <c r="E363">
        <v>6</v>
      </c>
      <c r="F363" t="s">
        <v>366</v>
      </c>
      <c r="G363" t="s">
        <v>389</v>
      </c>
      <c r="H363" t="s">
        <v>153</v>
      </c>
      <c r="I363">
        <v>1</v>
      </c>
      <c r="O363">
        <v>0</v>
      </c>
      <c r="P363">
        <v>0</v>
      </c>
    </row>
    <row r="364" spans="1:16" x14ac:dyDescent="0.2">
      <c r="A364" t="s">
        <v>363</v>
      </c>
      <c r="B364" t="s">
        <v>1388</v>
      </c>
      <c r="D364" t="s">
        <v>766</v>
      </c>
      <c r="E364">
        <v>7</v>
      </c>
      <c r="F364" t="s">
        <v>366</v>
      </c>
      <c r="G364" t="s">
        <v>390</v>
      </c>
      <c r="H364" t="s">
        <v>153</v>
      </c>
      <c r="I364">
        <v>1</v>
      </c>
      <c r="O364">
        <v>0</v>
      </c>
      <c r="P364">
        <v>0</v>
      </c>
    </row>
    <row r="365" spans="1:16" x14ac:dyDescent="0.2">
      <c r="A365" t="s">
        <v>363</v>
      </c>
      <c r="B365" t="s">
        <v>1389</v>
      </c>
      <c r="D365" t="s">
        <v>766</v>
      </c>
      <c r="E365">
        <v>8</v>
      </c>
      <c r="F365" t="s">
        <v>366</v>
      </c>
      <c r="G365" t="s">
        <v>391</v>
      </c>
      <c r="H365" t="s">
        <v>181</v>
      </c>
      <c r="I365">
        <v>1</v>
      </c>
      <c r="K365">
        <v>4</v>
      </c>
      <c r="O365">
        <v>0</v>
      </c>
      <c r="P365">
        <v>0</v>
      </c>
    </row>
    <row r="366" spans="1:16" x14ac:dyDescent="0.2">
      <c r="A366" t="s">
        <v>363</v>
      </c>
      <c r="B366" t="s">
        <v>1390</v>
      </c>
      <c r="D366" t="s">
        <v>766</v>
      </c>
      <c r="E366">
        <v>9</v>
      </c>
      <c r="F366" t="s">
        <v>366</v>
      </c>
      <c r="G366" t="s">
        <v>392</v>
      </c>
      <c r="H366" t="s">
        <v>153</v>
      </c>
      <c r="I366">
        <v>1</v>
      </c>
      <c r="O366">
        <v>0</v>
      </c>
      <c r="P366">
        <v>0</v>
      </c>
    </row>
    <row r="367" spans="1:16" x14ac:dyDescent="0.2">
      <c r="A367" t="s">
        <v>363</v>
      </c>
      <c r="B367" t="s">
        <v>1151</v>
      </c>
      <c r="D367" t="s">
        <v>766</v>
      </c>
      <c r="E367">
        <v>10</v>
      </c>
      <c r="F367" t="s">
        <v>366</v>
      </c>
      <c r="G367" t="s">
        <v>393</v>
      </c>
      <c r="H367" t="s">
        <v>153</v>
      </c>
      <c r="I367">
        <v>1</v>
      </c>
      <c r="O367">
        <v>0</v>
      </c>
      <c r="P367">
        <v>0</v>
      </c>
    </row>
    <row r="368" spans="1:16" x14ac:dyDescent="0.2">
      <c r="A368" t="s">
        <v>363</v>
      </c>
      <c r="B368" t="s">
        <v>1152</v>
      </c>
      <c r="D368" t="s">
        <v>766</v>
      </c>
      <c r="E368">
        <v>11</v>
      </c>
      <c r="F368" t="s">
        <v>366</v>
      </c>
      <c r="G368" t="s">
        <v>688</v>
      </c>
      <c r="H368" t="s">
        <v>382</v>
      </c>
      <c r="I368">
        <v>1</v>
      </c>
      <c r="O368">
        <v>0</v>
      </c>
      <c r="P368">
        <v>0</v>
      </c>
    </row>
    <row r="369" spans="1:16" x14ac:dyDescent="0.2">
      <c r="A369" t="s">
        <v>363</v>
      </c>
      <c r="B369" t="s">
        <v>1153</v>
      </c>
      <c r="D369" t="s">
        <v>766</v>
      </c>
      <c r="E369">
        <v>12</v>
      </c>
      <c r="F369" t="s">
        <v>366</v>
      </c>
      <c r="G369" t="s">
        <v>394</v>
      </c>
      <c r="H369" t="s">
        <v>382</v>
      </c>
      <c r="I369">
        <v>1</v>
      </c>
      <c r="O369">
        <v>0</v>
      </c>
      <c r="P369">
        <v>0</v>
      </c>
    </row>
    <row r="370" spans="1:16" x14ac:dyDescent="0.2">
      <c r="A370" t="s">
        <v>363</v>
      </c>
      <c r="B370" t="s">
        <v>1391</v>
      </c>
      <c r="D370" t="s">
        <v>767</v>
      </c>
      <c r="E370">
        <v>1</v>
      </c>
      <c r="F370" t="s">
        <v>368</v>
      </c>
      <c r="G370" t="s">
        <v>395</v>
      </c>
      <c r="H370" t="s">
        <v>153</v>
      </c>
      <c r="I370">
        <v>1</v>
      </c>
      <c r="O370">
        <v>0</v>
      </c>
      <c r="P370">
        <v>0</v>
      </c>
    </row>
    <row r="371" spans="1:16" x14ac:dyDescent="0.2">
      <c r="A371" t="s">
        <v>363</v>
      </c>
      <c r="B371" t="s">
        <v>1392</v>
      </c>
      <c r="D371" t="s">
        <v>767</v>
      </c>
      <c r="E371">
        <v>2</v>
      </c>
      <c r="F371" t="s">
        <v>368</v>
      </c>
      <c r="G371" t="s">
        <v>396</v>
      </c>
      <c r="H371" t="s">
        <v>153</v>
      </c>
      <c r="I371">
        <v>1</v>
      </c>
      <c r="O371">
        <v>0</v>
      </c>
      <c r="P371">
        <v>0</v>
      </c>
    </row>
    <row r="372" spans="1:16" x14ac:dyDescent="0.2">
      <c r="A372" t="s">
        <v>363</v>
      </c>
      <c r="B372" t="s">
        <v>1393</v>
      </c>
      <c r="D372" t="s">
        <v>767</v>
      </c>
      <c r="E372">
        <v>3</v>
      </c>
      <c r="F372" t="s">
        <v>368</v>
      </c>
      <c r="G372" t="s">
        <v>397</v>
      </c>
      <c r="H372" t="s">
        <v>382</v>
      </c>
      <c r="I372">
        <v>1</v>
      </c>
      <c r="O372">
        <v>0</v>
      </c>
      <c r="P372">
        <v>0</v>
      </c>
    </row>
    <row r="373" spans="1:16" x14ac:dyDescent="0.2">
      <c r="A373" t="s">
        <v>363</v>
      </c>
      <c r="B373" t="s">
        <v>1394</v>
      </c>
      <c r="D373" t="s">
        <v>767</v>
      </c>
      <c r="E373">
        <v>4</v>
      </c>
      <c r="F373" t="s">
        <v>368</v>
      </c>
      <c r="G373" t="s">
        <v>365</v>
      </c>
      <c r="H373" t="s">
        <v>153</v>
      </c>
      <c r="I373">
        <v>1</v>
      </c>
      <c r="O373">
        <v>0</v>
      </c>
      <c r="P373">
        <v>0</v>
      </c>
    </row>
    <row r="374" spans="1:16" x14ac:dyDescent="0.2">
      <c r="A374" t="s">
        <v>363</v>
      </c>
      <c r="B374" t="s">
        <v>1395</v>
      </c>
      <c r="D374" t="s">
        <v>767</v>
      </c>
      <c r="E374">
        <v>5</v>
      </c>
      <c r="F374" t="s">
        <v>368</v>
      </c>
      <c r="G374" t="s">
        <v>398</v>
      </c>
      <c r="H374" t="s">
        <v>148</v>
      </c>
      <c r="I374">
        <v>1</v>
      </c>
      <c r="O374">
        <v>0</v>
      </c>
      <c r="P374">
        <v>0</v>
      </c>
    </row>
    <row r="375" spans="1:16" x14ac:dyDescent="0.2">
      <c r="A375" t="s">
        <v>363</v>
      </c>
      <c r="B375" t="s">
        <v>1396</v>
      </c>
      <c r="D375" t="s">
        <v>767</v>
      </c>
      <c r="E375">
        <v>6</v>
      </c>
      <c r="F375" t="s">
        <v>368</v>
      </c>
      <c r="G375" t="s">
        <v>399</v>
      </c>
      <c r="H375" t="s">
        <v>382</v>
      </c>
      <c r="I375">
        <v>1</v>
      </c>
      <c r="O375">
        <v>0</v>
      </c>
      <c r="P375">
        <v>0</v>
      </c>
    </row>
    <row r="376" spans="1:16" x14ac:dyDescent="0.2">
      <c r="A376" t="s">
        <v>363</v>
      </c>
      <c r="B376" t="s">
        <v>1397</v>
      </c>
      <c r="D376" t="s">
        <v>768</v>
      </c>
      <c r="E376">
        <v>1</v>
      </c>
      <c r="F376" t="s">
        <v>369</v>
      </c>
      <c r="G376" t="s">
        <v>689</v>
      </c>
      <c r="H376" t="s">
        <v>382</v>
      </c>
      <c r="I376">
        <v>1</v>
      </c>
      <c r="O376">
        <v>0</v>
      </c>
      <c r="P376">
        <v>0</v>
      </c>
    </row>
    <row r="377" spans="1:16" x14ac:dyDescent="0.2">
      <c r="A377" t="s">
        <v>363</v>
      </c>
      <c r="B377" t="s">
        <v>1398</v>
      </c>
      <c r="D377" t="s">
        <v>768</v>
      </c>
      <c r="E377">
        <v>2</v>
      </c>
      <c r="F377" t="s">
        <v>369</v>
      </c>
      <c r="G377" t="s">
        <v>690</v>
      </c>
      <c r="H377" t="s">
        <v>382</v>
      </c>
      <c r="I377">
        <v>1</v>
      </c>
      <c r="O377">
        <v>0</v>
      </c>
      <c r="P377">
        <v>0</v>
      </c>
    </row>
    <row r="378" spans="1:16" x14ac:dyDescent="0.2">
      <c r="A378" t="s">
        <v>363</v>
      </c>
      <c r="B378" t="s">
        <v>1399</v>
      </c>
      <c r="D378" t="s">
        <v>768</v>
      </c>
      <c r="E378">
        <v>3</v>
      </c>
      <c r="F378" t="s">
        <v>369</v>
      </c>
      <c r="G378" t="s">
        <v>691</v>
      </c>
      <c r="H378" t="s">
        <v>148</v>
      </c>
      <c r="I378">
        <v>1</v>
      </c>
      <c r="O378">
        <v>0</v>
      </c>
      <c r="P378">
        <v>0</v>
      </c>
    </row>
    <row r="379" spans="1:16" x14ac:dyDescent="0.2">
      <c r="A379" t="s">
        <v>363</v>
      </c>
      <c r="B379" t="s">
        <v>1400</v>
      </c>
      <c r="D379" t="s">
        <v>769</v>
      </c>
      <c r="E379">
        <v>1</v>
      </c>
      <c r="F379" t="s">
        <v>370</v>
      </c>
      <c r="G379" t="s">
        <v>426</v>
      </c>
      <c r="H379" t="s">
        <v>153</v>
      </c>
      <c r="O379">
        <v>0</v>
      </c>
      <c r="P379">
        <v>0</v>
      </c>
    </row>
    <row r="380" spans="1:16" x14ac:dyDescent="0.2">
      <c r="A380" t="s">
        <v>363</v>
      </c>
      <c r="B380" t="s">
        <v>1401</v>
      </c>
      <c r="D380" t="s">
        <v>769</v>
      </c>
      <c r="E380">
        <v>2</v>
      </c>
      <c r="F380" t="s">
        <v>370</v>
      </c>
      <c r="G380" t="s">
        <v>427</v>
      </c>
      <c r="H380" t="s">
        <v>181</v>
      </c>
      <c r="O380">
        <v>0</v>
      </c>
      <c r="P380">
        <v>0</v>
      </c>
    </row>
    <row r="381" spans="1:16" x14ac:dyDescent="0.2">
      <c r="A381" t="s">
        <v>363</v>
      </c>
      <c r="B381" t="s">
        <v>1402</v>
      </c>
      <c r="D381" t="s">
        <v>769</v>
      </c>
      <c r="E381">
        <v>3</v>
      </c>
      <c r="F381" t="s">
        <v>370</v>
      </c>
      <c r="G381" t="s">
        <v>428</v>
      </c>
      <c r="H381" t="s">
        <v>153</v>
      </c>
      <c r="O381">
        <v>0</v>
      </c>
      <c r="P381">
        <v>0</v>
      </c>
    </row>
    <row r="382" spans="1:16" x14ac:dyDescent="0.2">
      <c r="A382" t="s">
        <v>363</v>
      </c>
      <c r="B382" t="s">
        <v>1403</v>
      </c>
      <c r="D382" t="s">
        <v>769</v>
      </c>
      <c r="E382">
        <v>4</v>
      </c>
      <c r="F382" t="s">
        <v>370</v>
      </c>
      <c r="G382" t="s">
        <v>429</v>
      </c>
      <c r="H382" t="s">
        <v>148</v>
      </c>
      <c r="O382">
        <v>0</v>
      </c>
      <c r="P382">
        <v>0</v>
      </c>
    </row>
    <row r="383" spans="1:16" x14ac:dyDescent="0.2">
      <c r="A383" t="s">
        <v>363</v>
      </c>
      <c r="B383" t="s">
        <v>1404</v>
      </c>
      <c r="D383" t="s">
        <v>769</v>
      </c>
      <c r="E383">
        <v>5</v>
      </c>
      <c r="F383" t="s">
        <v>370</v>
      </c>
      <c r="G383" t="s">
        <v>430</v>
      </c>
      <c r="H383" t="s">
        <v>153</v>
      </c>
      <c r="O383">
        <v>0</v>
      </c>
      <c r="P383">
        <v>0</v>
      </c>
    </row>
    <row r="384" spans="1:16" x14ac:dyDescent="0.2">
      <c r="A384" t="s">
        <v>363</v>
      </c>
      <c r="B384" t="s">
        <v>1405</v>
      </c>
      <c r="D384" t="s">
        <v>769</v>
      </c>
      <c r="E384">
        <v>6</v>
      </c>
      <c r="F384" t="s">
        <v>370</v>
      </c>
      <c r="G384" t="s">
        <v>431</v>
      </c>
      <c r="H384" t="s">
        <v>153</v>
      </c>
      <c r="O384">
        <v>0</v>
      </c>
      <c r="P384">
        <v>0</v>
      </c>
    </row>
    <row r="385" spans="1:16" x14ac:dyDescent="0.2">
      <c r="A385" t="s">
        <v>363</v>
      </c>
      <c r="B385" t="s">
        <v>1406</v>
      </c>
      <c r="D385" t="s">
        <v>770</v>
      </c>
      <c r="E385">
        <v>1</v>
      </c>
      <c r="F385" t="s">
        <v>371</v>
      </c>
      <c r="G385" t="s">
        <v>435</v>
      </c>
      <c r="H385" t="s">
        <v>153</v>
      </c>
      <c r="I385">
        <v>1</v>
      </c>
      <c r="O385">
        <v>0</v>
      </c>
      <c r="P385">
        <v>0</v>
      </c>
    </row>
    <row r="386" spans="1:16" x14ac:dyDescent="0.2">
      <c r="A386" t="s">
        <v>363</v>
      </c>
      <c r="B386" t="s">
        <v>1407</v>
      </c>
      <c r="D386" t="s">
        <v>770</v>
      </c>
      <c r="E386">
        <v>2</v>
      </c>
      <c r="F386" t="s">
        <v>371</v>
      </c>
      <c r="G386" t="s">
        <v>436</v>
      </c>
      <c r="H386" t="s">
        <v>153</v>
      </c>
      <c r="I386">
        <v>1</v>
      </c>
      <c r="O386">
        <v>0</v>
      </c>
      <c r="P386">
        <v>0</v>
      </c>
    </row>
    <row r="387" spans="1:16" x14ac:dyDescent="0.2">
      <c r="A387" t="s">
        <v>363</v>
      </c>
      <c r="B387" t="s">
        <v>1408</v>
      </c>
      <c r="D387" t="s">
        <v>770</v>
      </c>
      <c r="E387">
        <v>3</v>
      </c>
      <c r="F387" t="s">
        <v>371</v>
      </c>
      <c r="G387" t="s">
        <v>432</v>
      </c>
      <c r="H387" t="s">
        <v>153</v>
      </c>
      <c r="I387">
        <v>1</v>
      </c>
      <c r="O387">
        <v>0</v>
      </c>
      <c r="P387">
        <v>0</v>
      </c>
    </row>
    <row r="388" spans="1:16" x14ac:dyDescent="0.2">
      <c r="A388" t="s">
        <v>363</v>
      </c>
      <c r="B388" t="s">
        <v>1409</v>
      </c>
      <c r="D388" t="s">
        <v>770</v>
      </c>
      <c r="E388">
        <v>4</v>
      </c>
      <c r="F388" t="s">
        <v>371</v>
      </c>
      <c r="G388" t="s">
        <v>433</v>
      </c>
      <c r="H388" t="s">
        <v>148</v>
      </c>
      <c r="I388">
        <v>1</v>
      </c>
      <c r="O388">
        <v>0</v>
      </c>
      <c r="P388">
        <v>0</v>
      </c>
    </row>
    <row r="389" spans="1:16" x14ac:dyDescent="0.2">
      <c r="A389" t="s">
        <v>363</v>
      </c>
      <c r="B389" t="s">
        <v>1410</v>
      </c>
      <c r="D389" t="s">
        <v>770</v>
      </c>
      <c r="E389">
        <v>5</v>
      </c>
      <c r="F389" t="s">
        <v>371</v>
      </c>
      <c r="G389" t="s">
        <v>434</v>
      </c>
      <c r="H389" t="s">
        <v>148</v>
      </c>
      <c r="I389">
        <v>1</v>
      </c>
      <c r="O389">
        <v>0</v>
      </c>
      <c r="P389">
        <v>0</v>
      </c>
    </row>
    <row r="390" spans="1:16" x14ac:dyDescent="0.2">
      <c r="A390" t="s">
        <v>363</v>
      </c>
      <c r="B390" t="s">
        <v>1411</v>
      </c>
      <c r="D390" t="s">
        <v>770</v>
      </c>
      <c r="E390">
        <v>6</v>
      </c>
      <c r="F390" t="s">
        <v>371</v>
      </c>
      <c r="G390" t="s">
        <v>437</v>
      </c>
      <c r="H390" t="s">
        <v>148</v>
      </c>
      <c r="I390">
        <v>1</v>
      </c>
      <c r="O390">
        <v>0</v>
      </c>
      <c r="P390">
        <v>0</v>
      </c>
    </row>
    <row r="391" spans="1:16" x14ac:dyDescent="0.2">
      <c r="A391" t="s">
        <v>363</v>
      </c>
      <c r="B391" t="s">
        <v>1412</v>
      </c>
      <c r="D391" t="s">
        <v>770</v>
      </c>
      <c r="E391">
        <v>7</v>
      </c>
      <c r="F391" t="s">
        <v>371</v>
      </c>
      <c r="G391" t="s">
        <v>438</v>
      </c>
      <c r="H391" t="s">
        <v>148</v>
      </c>
      <c r="I391">
        <v>1</v>
      </c>
      <c r="O391">
        <v>0</v>
      </c>
      <c r="P391">
        <v>0</v>
      </c>
    </row>
    <row r="392" spans="1:16" x14ac:dyDescent="0.2">
      <c r="A392" t="s">
        <v>363</v>
      </c>
      <c r="B392" t="s">
        <v>1413</v>
      </c>
      <c r="D392" t="s">
        <v>770</v>
      </c>
      <c r="E392">
        <v>8</v>
      </c>
      <c r="F392" t="s">
        <v>371</v>
      </c>
      <c r="G392" t="s">
        <v>439</v>
      </c>
      <c r="H392" t="s">
        <v>382</v>
      </c>
      <c r="I392">
        <v>1</v>
      </c>
      <c r="O392">
        <v>0</v>
      </c>
      <c r="P392">
        <v>0</v>
      </c>
    </row>
    <row r="393" spans="1:16" x14ac:dyDescent="0.2">
      <c r="A393" t="s">
        <v>363</v>
      </c>
      <c r="B393" t="s">
        <v>1414</v>
      </c>
      <c r="D393" t="s">
        <v>770</v>
      </c>
      <c r="E393">
        <v>9</v>
      </c>
      <c r="F393" t="s">
        <v>371</v>
      </c>
      <c r="G393" t="s">
        <v>440</v>
      </c>
      <c r="H393" t="s">
        <v>153</v>
      </c>
      <c r="I393">
        <v>1</v>
      </c>
      <c r="O393">
        <v>0</v>
      </c>
      <c r="P393">
        <v>0</v>
      </c>
    </row>
    <row r="394" spans="1:16" x14ac:dyDescent="0.2">
      <c r="A394" t="s">
        <v>363</v>
      </c>
      <c r="B394" t="s">
        <v>1415</v>
      </c>
      <c r="D394" t="s">
        <v>771</v>
      </c>
      <c r="E394">
        <v>1</v>
      </c>
      <c r="F394" t="s">
        <v>373</v>
      </c>
      <c r="G394" t="s">
        <v>441</v>
      </c>
      <c r="H394" t="s">
        <v>153</v>
      </c>
      <c r="I394">
        <v>1</v>
      </c>
      <c r="O394">
        <v>0</v>
      </c>
      <c r="P394">
        <v>0</v>
      </c>
    </row>
    <row r="395" spans="1:16" x14ac:dyDescent="0.2">
      <c r="A395" t="s">
        <v>363</v>
      </c>
      <c r="B395" t="s">
        <v>1416</v>
      </c>
      <c r="D395" t="s">
        <v>771</v>
      </c>
      <c r="E395">
        <v>2</v>
      </c>
      <c r="F395" t="s">
        <v>373</v>
      </c>
      <c r="G395" t="s">
        <v>442</v>
      </c>
      <c r="H395" t="s">
        <v>148</v>
      </c>
      <c r="I395">
        <v>1</v>
      </c>
      <c r="O395">
        <v>0</v>
      </c>
      <c r="P395">
        <v>0</v>
      </c>
    </row>
    <row r="396" spans="1:16" x14ac:dyDescent="0.2">
      <c r="A396" t="s">
        <v>363</v>
      </c>
      <c r="B396" t="s">
        <v>1417</v>
      </c>
      <c r="D396" t="s">
        <v>771</v>
      </c>
      <c r="E396">
        <v>3</v>
      </c>
      <c r="F396" t="s">
        <v>373</v>
      </c>
      <c r="G396" t="s">
        <v>1637</v>
      </c>
      <c r="H396" t="s">
        <v>181</v>
      </c>
      <c r="I396">
        <v>1</v>
      </c>
      <c r="O396">
        <v>0</v>
      </c>
      <c r="P396">
        <v>0</v>
      </c>
    </row>
    <row r="397" spans="1:16" x14ac:dyDescent="0.2">
      <c r="A397" t="s">
        <v>363</v>
      </c>
      <c r="B397" t="s">
        <v>1418</v>
      </c>
      <c r="D397" t="s">
        <v>772</v>
      </c>
      <c r="E397">
        <v>1</v>
      </c>
      <c r="F397" t="s">
        <v>374</v>
      </c>
      <c r="G397" t="s">
        <v>444</v>
      </c>
      <c r="H397" t="s">
        <v>148</v>
      </c>
      <c r="I397">
        <v>1</v>
      </c>
      <c r="O397">
        <v>0</v>
      </c>
      <c r="P397">
        <v>0</v>
      </c>
    </row>
    <row r="398" spans="1:16" x14ac:dyDescent="0.2">
      <c r="A398" t="s">
        <v>363</v>
      </c>
      <c r="B398" t="s">
        <v>1419</v>
      </c>
      <c r="D398" t="s">
        <v>772</v>
      </c>
      <c r="E398">
        <v>2</v>
      </c>
      <c r="F398" t="s">
        <v>374</v>
      </c>
      <c r="G398" t="s">
        <v>447</v>
      </c>
      <c r="H398" t="s">
        <v>153</v>
      </c>
      <c r="I398">
        <v>1</v>
      </c>
      <c r="O398">
        <v>0</v>
      </c>
      <c r="P398">
        <v>0</v>
      </c>
    </row>
    <row r="399" spans="1:16" x14ac:dyDescent="0.2">
      <c r="A399" t="s">
        <v>363</v>
      </c>
      <c r="B399" t="s">
        <v>1420</v>
      </c>
      <c r="D399" t="s">
        <v>772</v>
      </c>
      <c r="E399">
        <v>3</v>
      </c>
      <c r="F399" t="s">
        <v>374</v>
      </c>
      <c r="G399" t="s">
        <v>445</v>
      </c>
      <c r="H399" t="s">
        <v>382</v>
      </c>
      <c r="I399">
        <v>1</v>
      </c>
      <c r="O399">
        <v>0</v>
      </c>
      <c r="P399">
        <v>0</v>
      </c>
    </row>
    <row r="400" spans="1:16" x14ac:dyDescent="0.2">
      <c r="A400" t="s">
        <v>363</v>
      </c>
      <c r="B400" t="s">
        <v>1421</v>
      </c>
      <c r="D400" t="s">
        <v>772</v>
      </c>
      <c r="E400">
        <v>4</v>
      </c>
      <c r="F400" t="s">
        <v>374</v>
      </c>
      <c r="G400" t="s">
        <v>446</v>
      </c>
      <c r="H400" t="s">
        <v>148</v>
      </c>
      <c r="I400">
        <v>1</v>
      </c>
      <c r="O400">
        <v>0</v>
      </c>
      <c r="P400">
        <v>0</v>
      </c>
    </row>
    <row r="401" spans="1:18" x14ac:dyDescent="0.2">
      <c r="A401" t="s">
        <v>363</v>
      </c>
      <c r="B401" t="s">
        <v>1422</v>
      </c>
      <c r="D401" t="s">
        <v>772</v>
      </c>
      <c r="E401">
        <v>5</v>
      </c>
      <c r="F401" t="s">
        <v>374</v>
      </c>
      <c r="G401" t="s">
        <v>448</v>
      </c>
      <c r="H401" t="s">
        <v>382</v>
      </c>
      <c r="K401">
        <v>4</v>
      </c>
      <c r="O401">
        <v>0</v>
      </c>
      <c r="P401">
        <v>0</v>
      </c>
    </row>
    <row r="402" spans="1:18" x14ac:dyDescent="0.2">
      <c r="A402" t="s">
        <v>363</v>
      </c>
      <c r="B402" t="s">
        <v>1423</v>
      </c>
      <c r="D402" t="s">
        <v>772</v>
      </c>
      <c r="E402">
        <v>6</v>
      </c>
      <c r="F402" t="s">
        <v>374</v>
      </c>
      <c r="G402" t="s">
        <v>449</v>
      </c>
      <c r="H402" t="s">
        <v>181</v>
      </c>
      <c r="O402">
        <v>0</v>
      </c>
      <c r="P402">
        <v>0</v>
      </c>
    </row>
    <row r="403" spans="1:18" x14ac:dyDescent="0.2">
      <c r="A403" t="s">
        <v>363</v>
      </c>
      <c r="B403" t="s">
        <v>1424</v>
      </c>
      <c r="D403" t="s">
        <v>772</v>
      </c>
      <c r="E403">
        <v>7</v>
      </c>
      <c r="F403" t="s">
        <v>374</v>
      </c>
      <c r="G403" t="s">
        <v>1638</v>
      </c>
      <c r="H403" t="s">
        <v>148</v>
      </c>
      <c r="O403">
        <v>0</v>
      </c>
      <c r="P403">
        <v>0</v>
      </c>
    </row>
    <row r="404" spans="1:18" x14ac:dyDescent="0.2">
      <c r="A404" t="s">
        <v>363</v>
      </c>
      <c r="B404" t="s">
        <v>1425</v>
      </c>
      <c r="D404" t="s">
        <v>773</v>
      </c>
      <c r="E404">
        <v>1</v>
      </c>
      <c r="F404" t="s">
        <v>375</v>
      </c>
      <c r="G404" t="s">
        <v>450</v>
      </c>
      <c r="H404" t="s">
        <v>181</v>
      </c>
      <c r="I404">
        <v>1</v>
      </c>
      <c r="O404">
        <v>0</v>
      </c>
      <c r="P404">
        <v>0</v>
      </c>
    </row>
    <row r="405" spans="1:18" x14ac:dyDescent="0.2">
      <c r="A405" t="s">
        <v>363</v>
      </c>
      <c r="B405" t="s">
        <v>1426</v>
      </c>
      <c r="D405" t="s">
        <v>773</v>
      </c>
      <c r="E405">
        <v>2</v>
      </c>
      <c r="F405" t="s">
        <v>375</v>
      </c>
      <c r="G405" t="s">
        <v>451</v>
      </c>
      <c r="H405" t="s">
        <v>153</v>
      </c>
      <c r="I405">
        <v>1</v>
      </c>
      <c r="O405">
        <v>0</v>
      </c>
      <c r="P405">
        <v>0</v>
      </c>
    </row>
    <row r="406" spans="1:18" x14ac:dyDescent="0.2">
      <c r="A406" t="s">
        <v>363</v>
      </c>
      <c r="B406" t="s">
        <v>1427</v>
      </c>
      <c r="D406" t="s">
        <v>773</v>
      </c>
      <c r="E406">
        <v>3</v>
      </c>
      <c r="F406" t="s">
        <v>375</v>
      </c>
      <c r="G406" t="s">
        <v>452</v>
      </c>
      <c r="H406" t="s">
        <v>148</v>
      </c>
      <c r="I406">
        <v>1</v>
      </c>
      <c r="O406">
        <v>0</v>
      </c>
      <c r="P406">
        <v>0</v>
      </c>
    </row>
    <row r="407" spans="1:18" x14ac:dyDescent="0.2">
      <c r="A407" t="s">
        <v>363</v>
      </c>
      <c r="B407" t="s">
        <v>1428</v>
      </c>
      <c r="D407" t="s">
        <v>773</v>
      </c>
      <c r="E407">
        <v>4</v>
      </c>
      <c r="F407" t="s">
        <v>375</v>
      </c>
      <c r="G407" t="s">
        <v>453</v>
      </c>
      <c r="H407" t="s">
        <v>382</v>
      </c>
      <c r="I407">
        <v>1</v>
      </c>
      <c r="O407">
        <v>0</v>
      </c>
      <c r="P407">
        <v>0</v>
      </c>
      <c r="R407" t="s">
        <v>454</v>
      </c>
    </row>
    <row r="408" spans="1:18" x14ac:dyDescent="0.2">
      <c r="A408" t="s">
        <v>363</v>
      </c>
      <c r="B408" t="s">
        <v>1429</v>
      </c>
      <c r="D408" t="s">
        <v>774</v>
      </c>
      <c r="E408">
        <v>1</v>
      </c>
      <c r="F408" t="s">
        <v>376</v>
      </c>
      <c r="G408" t="s">
        <v>660</v>
      </c>
      <c r="H408" t="s">
        <v>153</v>
      </c>
      <c r="O408">
        <v>0</v>
      </c>
      <c r="P408">
        <v>0</v>
      </c>
    </row>
    <row r="409" spans="1:18" x14ac:dyDescent="0.2">
      <c r="A409" t="s">
        <v>363</v>
      </c>
      <c r="B409" t="s">
        <v>1430</v>
      </c>
      <c r="D409" t="s">
        <v>774</v>
      </c>
      <c r="E409">
        <v>2</v>
      </c>
      <c r="F409" t="s">
        <v>376</v>
      </c>
      <c r="G409" t="s">
        <v>906</v>
      </c>
      <c r="H409" t="s">
        <v>382</v>
      </c>
      <c r="I409">
        <v>1</v>
      </c>
      <c r="O409">
        <v>0</v>
      </c>
      <c r="P409">
        <v>0</v>
      </c>
    </row>
    <row r="410" spans="1:18" x14ac:dyDescent="0.2">
      <c r="A410" t="s">
        <v>363</v>
      </c>
      <c r="B410" t="s">
        <v>1431</v>
      </c>
      <c r="D410" t="s">
        <v>774</v>
      </c>
      <c r="E410">
        <v>3</v>
      </c>
      <c r="F410" t="s">
        <v>376</v>
      </c>
      <c r="G410" t="s">
        <v>662</v>
      </c>
      <c r="H410" t="s">
        <v>382</v>
      </c>
      <c r="I410">
        <v>1</v>
      </c>
      <c r="O410">
        <v>0</v>
      </c>
      <c r="P410">
        <v>0</v>
      </c>
    </row>
    <row r="411" spans="1:18" x14ac:dyDescent="0.2">
      <c r="A411" t="s">
        <v>363</v>
      </c>
      <c r="B411" t="s">
        <v>1432</v>
      </c>
      <c r="D411" t="s">
        <v>774</v>
      </c>
      <c r="E411">
        <v>4</v>
      </c>
      <c r="F411" t="s">
        <v>376</v>
      </c>
      <c r="G411" t="s">
        <v>661</v>
      </c>
      <c r="H411" t="s">
        <v>382</v>
      </c>
      <c r="I411">
        <v>1</v>
      </c>
      <c r="O411">
        <v>0</v>
      </c>
      <c r="P411">
        <v>0</v>
      </c>
    </row>
    <row r="412" spans="1:18" x14ac:dyDescent="0.2">
      <c r="A412" t="s">
        <v>363</v>
      </c>
      <c r="B412" t="s">
        <v>1433</v>
      </c>
      <c r="D412" t="s">
        <v>774</v>
      </c>
      <c r="E412">
        <v>5</v>
      </c>
      <c r="F412" t="s">
        <v>376</v>
      </c>
      <c r="G412" t="s">
        <v>663</v>
      </c>
      <c r="H412" t="s">
        <v>148</v>
      </c>
      <c r="I412">
        <v>1</v>
      </c>
      <c r="O412">
        <v>0</v>
      </c>
      <c r="P412">
        <v>0</v>
      </c>
    </row>
    <row r="413" spans="1:18" x14ac:dyDescent="0.2">
      <c r="A413" t="s">
        <v>363</v>
      </c>
      <c r="B413" t="s">
        <v>1434</v>
      </c>
      <c r="D413" t="s">
        <v>774</v>
      </c>
      <c r="E413">
        <v>6</v>
      </c>
      <c r="F413" t="s">
        <v>376</v>
      </c>
      <c r="G413" t="s">
        <v>664</v>
      </c>
      <c r="H413" t="s">
        <v>153</v>
      </c>
      <c r="I413">
        <v>1</v>
      </c>
      <c r="O413">
        <v>0</v>
      </c>
      <c r="P413">
        <v>0</v>
      </c>
    </row>
    <row r="414" spans="1:18" x14ac:dyDescent="0.2">
      <c r="A414" t="s">
        <v>363</v>
      </c>
      <c r="B414" t="s">
        <v>1435</v>
      </c>
      <c r="D414" t="s">
        <v>774</v>
      </c>
      <c r="E414">
        <v>7</v>
      </c>
      <c r="F414" t="s">
        <v>376</v>
      </c>
      <c r="G414" t="s">
        <v>665</v>
      </c>
      <c r="H414" t="s">
        <v>382</v>
      </c>
      <c r="I414">
        <v>1</v>
      </c>
      <c r="O414">
        <v>0</v>
      </c>
      <c r="P414">
        <v>0</v>
      </c>
    </row>
    <row r="415" spans="1:18" x14ac:dyDescent="0.2">
      <c r="A415" t="s">
        <v>363</v>
      </c>
      <c r="B415" t="s">
        <v>1436</v>
      </c>
      <c r="D415" t="s">
        <v>775</v>
      </c>
      <c r="E415">
        <v>1</v>
      </c>
      <c r="F415" t="s">
        <v>377</v>
      </c>
      <c r="G415" t="s">
        <v>666</v>
      </c>
      <c r="H415" t="s">
        <v>382</v>
      </c>
      <c r="I415">
        <v>1</v>
      </c>
      <c r="O415">
        <v>0</v>
      </c>
      <c r="P415">
        <v>0</v>
      </c>
      <c r="R415" t="s">
        <v>667</v>
      </c>
    </row>
    <row r="416" spans="1:18" x14ac:dyDescent="0.2">
      <c r="A416" t="s">
        <v>363</v>
      </c>
      <c r="B416" t="s">
        <v>1437</v>
      </c>
      <c r="D416" t="s">
        <v>775</v>
      </c>
      <c r="E416">
        <v>2</v>
      </c>
      <c r="F416" t="s">
        <v>377</v>
      </c>
      <c r="G416" t="s">
        <v>668</v>
      </c>
      <c r="H416" t="s">
        <v>382</v>
      </c>
      <c r="I416">
        <v>1</v>
      </c>
      <c r="O416">
        <v>0</v>
      </c>
      <c r="P416">
        <v>0</v>
      </c>
    </row>
    <row r="417" spans="1:16" x14ac:dyDescent="0.2">
      <c r="A417" t="s">
        <v>363</v>
      </c>
      <c r="B417" t="s">
        <v>1438</v>
      </c>
      <c r="D417" t="s">
        <v>775</v>
      </c>
      <c r="E417">
        <v>3</v>
      </c>
      <c r="F417" t="s">
        <v>377</v>
      </c>
      <c r="G417" t="s">
        <v>669</v>
      </c>
      <c r="H417" t="s">
        <v>382</v>
      </c>
      <c r="I417">
        <v>1</v>
      </c>
      <c r="O417">
        <v>0</v>
      </c>
      <c r="P417">
        <v>0</v>
      </c>
    </row>
    <row r="418" spans="1:16" x14ac:dyDescent="0.2">
      <c r="A418" t="s">
        <v>363</v>
      </c>
      <c r="B418" t="s">
        <v>1439</v>
      </c>
      <c r="D418" t="s">
        <v>776</v>
      </c>
      <c r="E418">
        <v>1</v>
      </c>
      <c r="F418" t="s">
        <v>379</v>
      </c>
      <c r="G418" t="s">
        <v>670</v>
      </c>
      <c r="H418" t="s">
        <v>153</v>
      </c>
      <c r="I418">
        <v>1</v>
      </c>
      <c r="O418">
        <v>0</v>
      </c>
      <c r="P418">
        <v>0</v>
      </c>
    </row>
    <row r="419" spans="1:16" x14ac:dyDescent="0.2">
      <c r="A419" t="s">
        <v>363</v>
      </c>
      <c r="B419" t="s">
        <v>1440</v>
      </c>
      <c r="D419" t="s">
        <v>776</v>
      </c>
      <c r="E419">
        <v>2</v>
      </c>
      <c r="F419" t="s">
        <v>379</v>
      </c>
      <c r="G419" t="s">
        <v>1599</v>
      </c>
      <c r="H419" t="s">
        <v>152</v>
      </c>
      <c r="I419">
        <v>1</v>
      </c>
      <c r="O419">
        <v>0</v>
      </c>
      <c r="P419">
        <v>0</v>
      </c>
    </row>
    <row r="420" spans="1:16" x14ac:dyDescent="0.2">
      <c r="A420" t="s">
        <v>363</v>
      </c>
      <c r="B420" t="s">
        <v>1441</v>
      </c>
      <c r="D420" t="s">
        <v>776</v>
      </c>
      <c r="E420">
        <v>3</v>
      </c>
      <c r="F420" t="s">
        <v>379</v>
      </c>
      <c r="G420" t="s">
        <v>672</v>
      </c>
      <c r="H420" t="s">
        <v>382</v>
      </c>
      <c r="O420">
        <v>0</v>
      </c>
      <c r="P420">
        <v>0</v>
      </c>
    </row>
    <row r="421" spans="1:16" x14ac:dyDescent="0.2">
      <c r="A421" t="s">
        <v>363</v>
      </c>
      <c r="B421" t="s">
        <v>1580</v>
      </c>
      <c r="D421" t="s">
        <v>776</v>
      </c>
      <c r="E421">
        <v>4</v>
      </c>
      <c r="F421" t="s">
        <v>379</v>
      </c>
      <c r="G421" t="s">
        <v>673</v>
      </c>
      <c r="H421" t="s">
        <v>153</v>
      </c>
      <c r="O421">
        <v>0</v>
      </c>
      <c r="P421">
        <v>0</v>
      </c>
    </row>
    <row r="422" spans="1:16" x14ac:dyDescent="0.2">
      <c r="A422" t="s">
        <v>363</v>
      </c>
      <c r="B422" t="s">
        <v>1581</v>
      </c>
      <c r="D422" t="s">
        <v>776</v>
      </c>
      <c r="E422">
        <v>5</v>
      </c>
      <c r="F422" t="s">
        <v>379</v>
      </c>
      <c r="G422" t="s">
        <v>907</v>
      </c>
      <c r="H422" t="s">
        <v>382</v>
      </c>
      <c r="I422">
        <v>1</v>
      </c>
      <c r="O422">
        <v>0</v>
      </c>
      <c r="P422">
        <v>0</v>
      </c>
    </row>
    <row r="423" spans="1:16" x14ac:dyDescent="0.2">
      <c r="A423" t="s">
        <v>363</v>
      </c>
      <c r="B423" t="s">
        <v>1442</v>
      </c>
      <c r="D423" t="s">
        <v>777</v>
      </c>
      <c r="E423">
        <v>1</v>
      </c>
      <c r="F423" t="s">
        <v>380</v>
      </c>
      <c r="G423" t="s">
        <v>674</v>
      </c>
      <c r="H423" t="s">
        <v>382</v>
      </c>
      <c r="I423">
        <v>1</v>
      </c>
      <c r="O423">
        <v>0</v>
      </c>
      <c r="P423">
        <v>0</v>
      </c>
    </row>
    <row r="424" spans="1:16" x14ac:dyDescent="0.2">
      <c r="A424" t="s">
        <v>363</v>
      </c>
      <c r="B424" t="s">
        <v>1443</v>
      </c>
      <c r="D424" t="s">
        <v>777</v>
      </c>
      <c r="E424">
        <v>2</v>
      </c>
      <c r="F424" t="s">
        <v>380</v>
      </c>
      <c r="G424" t="s">
        <v>675</v>
      </c>
      <c r="H424" t="s">
        <v>382</v>
      </c>
      <c r="I424">
        <v>1</v>
      </c>
      <c r="O424">
        <v>0</v>
      </c>
      <c r="P424">
        <v>0</v>
      </c>
    </row>
    <row r="425" spans="1:16" x14ac:dyDescent="0.2">
      <c r="A425" t="s">
        <v>363</v>
      </c>
      <c r="B425" t="s">
        <v>1444</v>
      </c>
      <c r="D425" t="s">
        <v>778</v>
      </c>
      <c r="E425">
        <v>1</v>
      </c>
      <c r="F425" t="s">
        <v>381</v>
      </c>
      <c r="G425" t="s">
        <v>676</v>
      </c>
      <c r="H425" t="s">
        <v>382</v>
      </c>
      <c r="I425">
        <v>1</v>
      </c>
      <c r="O425">
        <v>0</v>
      </c>
      <c r="P425">
        <v>0</v>
      </c>
    </row>
    <row r="426" spans="1:16" x14ac:dyDescent="0.2">
      <c r="A426" t="s">
        <v>363</v>
      </c>
      <c r="B426" t="s">
        <v>1445</v>
      </c>
      <c r="D426" t="s">
        <v>778</v>
      </c>
      <c r="E426">
        <v>2</v>
      </c>
      <c r="F426" t="s">
        <v>381</v>
      </c>
      <c r="G426" t="s">
        <v>677</v>
      </c>
      <c r="H426" t="s">
        <v>382</v>
      </c>
      <c r="I426">
        <v>1</v>
      </c>
      <c r="O426">
        <v>0</v>
      </c>
      <c r="P426">
        <v>0</v>
      </c>
    </row>
    <row r="427" spans="1:16" x14ac:dyDescent="0.2">
      <c r="A427" t="s">
        <v>363</v>
      </c>
      <c r="B427" t="s">
        <v>1446</v>
      </c>
      <c r="D427" t="s">
        <v>779</v>
      </c>
      <c r="E427">
        <v>1</v>
      </c>
      <c r="F427" t="s">
        <v>456</v>
      </c>
      <c r="H427" t="s">
        <v>494</v>
      </c>
      <c r="I427">
        <v>1</v>
      </c>
      <c r="O427">
        <v>0</v>
      </c>
      <c r="P427">
        <v>0</v>
      </c>
    </row>
    <row r="428" spans="1:16" x14ac:dyDescent="0.2">
      <c r="A428" t="s">
        <v>363</v>
      </c>
      <c r="B428" t="s">
        <v>1447</v>
      </c>
      <c r="D428" t="s">
        <v>1154</v>
      </c>
      <c r="E428">
        <v>1</v>
      </c>
      <c r="F428" t="s">
        <v>679</v>
      </c>
      <c r="G428" t="s">
        <v>909</v>
      </c>
      <c r="H428" t="s">
        <v>382</v>
      </c>
      <c r="O428">
        <v>0</v>
      </c>
      <c r="P428">
        <v>0</v>
      </c>
    </row>
    <row r="429" spans="1:16" x14ac:dyDescent="0.2">
      <c r="A429" t="s">
        <v>363</v>
      </c>
      <c r="B429" t="s">
        <v>1448</v>
      </c>
      <c r="D429" t="s">
        <v>1154</v>
      </c>
      <c r="E429">
        <v>2</v>
      </c>
      <c r="F429" t="s">
        <v>679</v>
      </c>
      <c r="G429" t="s">
        <v>910</v>
      </c>
      <c r="H429" t="s">
        <v>382</v>
      </c>
      <c r="O429">
        <v>0</v>
      </c>
      <c r="P429">
        <v>0</v>
      </c>
    </row>
    <row r="430" spans="1:16" x14ac:dyDescent="0.2">
      <c r="A430" t="s">
        <v>363</v>
      </c>
      <c r="B430" t="s">
        <v>1449</v>
      </c>
      <c r="D430" t="s">
        <v>1154</v>
      </c>
      <c r="E430">
        <v>3</v>
      </c>
      <c r="F430" t="s">
        <v>679</v>
      </c>
      <c r="G430" t="s">
        <v>911</v>
      </c>
      <c r="H430" t="s">
        <v>153</v>
      </c>
      <c r="O430">
        <v>0</v>
      </c>
      <c r="P430">
        <v>0</v>
      </c>
    </row>
    <row r="431" spans="1:16" x14ac:dyDescent="0.2">
      <c r="A431" t="s">
        <v>363</v>
      </c>
      <c r="B431" t="s">
        <v>1450</v>
      </c>
      <c r="D431" t="s">
        <v>1154</v>
      </c>
      <c r="E431">
        <v>4</v>
      </c>
      <c r="F431" t="s">
        <v>679</v>
      </c>
      <c r="G431" t="s">
        <v>912</v>
      </c>
      <c r="H431" t="s">
        <v>382</v>
      </c>
      <c r="O431">
        <v>0</v>
      </c>
      <c r="P431">
        <v>0</v>
      </c>
    </row>
    <row r="432" spans="1:16" x14ac:dyDescent="0.2">
      <c r="A432" t="s">
        <v>363</v>
      </c>
      <c r="B432" t="s">
        <v>1451</v>
      </c>
      <c r="D432" t="s">
        <v>1154</v>
      </c>
      <c r="E432">
        <v>5</v>
      </c>
      <c r="F432" t="s">
        <v>679</v>
      </c>
      <c r="G432" t="s">
        <v>913</v>
      </c>
      <c r="H432" t="s">
        <v>153</v>
      </c>
      <c r="O432">
        <v>0</v>
      </c>
      <c r="P432">
        <v>0</v>
      </c>
    </row>
    <row r="433" spans="1:16" x14ac:dyDescent="0.2">
      <c r="A433" t="s">
        <v>363</v>
      </c>
      <c r="B433" t="s">
        <v>1452</v>
      </c>
      <c r="D433" t="s">
        <v>1154</v>
      </c>
      <c r="E433">
        <v>6</v>
      </c>
      <c r="F433" t="s">
        <v>679</v>
      </c>
      <c r="G433" t="s">
        <v>914</v>
      </c>
      <c r="H433" t="s">
        <v>382</v>
      </c>
      <c r="O433">
        <v>0</v>
      </c>
      <c r="P433">
        <v>0</v>
      </c>
    </row>
    <row r="434" spans="1:16" x14ac:dyDescent="0.2">
      <c r="A434" t="s">
        <v>363</v>
      </c>
      <c r="B434" t="s">
        <v>1453</v>
      </c>
      <c r="D434" t="s">
        <v>1154</v>
      </c>
      <c r="E434">
        <v>7</v>
      </c>
      <c r="F434" t="s">
        <v>679</v>
      </c>
      <c r="G434" t="s">
        <v>915</v>
      </c>
      <c r="H434" t="s">
        <v>181</v>
      </c>
      <c r="O434">
        <v>0</v>
      </c>
      <c r="P434">
        <v>0</v>
      </c>
    </row>
    <row r="435" spans="1:16" x14ac:dyDescent="0.2">
      <c r="A435" t="s">
        <v>363</v>
      </c>
      <c r="B435" t="s">
        <v>1454</v>
      </c>
      <c r="D435" t="s">
        <v>1155</v>
      </c>
      <c r="E435">
        <v>1</v>
      </c>
      <c r="F435" t="s">
        <v>680</v>
      </c>
      <c r="G435" t="s">
        <v>916</v>
      </c>
      <c r="H435" t="s">
        <v>382</v>
      </c>
      <c r="O435">
        <v>0</v>
      </c>
      <c r="P435">
        <v>0</v>
      </c>
    </row>
    <row r="436" spans="1:16" x14ac:dyDescent="0.2">
      <c r="A436" t="s">
        <v>363</v>
      </c>
      <c r="B436" t="s">
        <v>1455</v>
      </c>
      <c r="D436" t="s">
        <v>1155</v>
      </c>
      <c r="E436">
        <v>2</v>
      </c>
      <c r="F436" t="s">
        <v>680</v>
      </c>
      <c r="G436" t="s">
        <v>917</v>
      </c>
      <c r="H436" t="s">
        <v>148</v>
      </c>
      <c r="O436">
        <v>0</v>
      </c>
      <c r="P436">
        <v>0</v>
      </c>
    </row>
    <row r="437" spans="1:16" x14ac:dyDescent="0.2">
      <c r="A437" t="s">
        <v>363</v>
      </c>
      <c r="B437" t="s">
        <v>1456</v>
      </c>
      <c r="D437" t="s">
        <v>1155</v>
      </c>
      <c r="E437">
        <v>3</v>
      </c>
      <c r="F437" t="s">
        <v>680</v>
      </c>
      <c r="G437" t="s">
        <v>918</v>
      </c>
      <c r="H437" t="s">
        <v>148</v>
      </c>
      <c r="O437">
        <v>0</v>
      </c>
      <c r="P437">
        <v>0</v>
      </c>
    </row>
    <row r="438" spans="1:16" x14ac:dyDescent="0.2">
      <c r="A438" t="s">
        <v>363</v>
      </c>
      <c r="B438" t="s">
        <v>1457</v>
      </c>
      <c r="D438" t="s">
        <v>1156</v>
      </c>
      <c r="E438">
        <v>1</v>
      </c>
      <c r="F438" t="s">
        <v>681</v>
      </c>
      <c r="G438" t="s">
        <v>919</v>
      </c>
      <c r="H438" t="s">
        <v>148</v>
      </c>
      <c r="O438">
        <v>0</v>
      </c>
      <c r="P438">
        <v>0</v>
      </c>
    </row>
    <row r="439" spans="1:16" x14ac:dyDescent="0.2">
      <c r="A439" t="s">
        <v>363</v>
      </c>
      <c r="B439" t="s">
        <v>1458</v>
      </c>
      <c r="D439" t="s">
        <v>1156</v>
      </c>
      <c r="E439">
        <v>2</v>
      </c>
      <c r="F439" t="s">
        <v>681</v>
      </c>
      <c r="G439" t="s">
        <v>1613</v>
      </c>
      <c r="H439" t="s">
        <v>382</v>
      </c>
      <c r="O439">
        <v>0</v>
      </c>
      <c r="P439">
        <v>0</v>
      </c>
    </row>
    <row r="440" spans="1:16" x14ac:dyDescent="0.2">
      <c r="A440" t="s">
        <v>363</v>
      </c>
      <c r="B440" t="s">
        <v>1459</v>
      </c>
      <c r="D440" t="s">
        <v>1156</v>
      </c>
      <c r="E440">
        <v>3</v>
      </c>
      <c r="F440" t="s">
        <v>681</v>
      </c>
      <c r="G440" t="s">
        <v>1614</v>
      </c>
      <c r="H440" t="s">
        <v>382</v>
      </c>
      <c r="O440">
        <v>0</v>
      </c>
      <c r="P440">
        <v>0</v>
      </c>
    </row>
    <row r="441" spans="1:16" x14ac:dyDescent="0.2">
      <c r="A441" t="s">
        <v>363</v>
      </c>
      <c r="B441" t="s">
        <v>1460</v>
      </c>
      <c r="D441" t="s">
        <v>1156</v>
      </c>
      <c r="E441">
        <v>4</v>
      </c>
      <c r="F441" t="s">
        <v>681</v>
      </c>
      <c r="G441" t="s">
        <v>920</v>
      </c>
      <c r="H441" t="s">
        <v>382</v>
      </c>
      <c r="O441">
        <v>0</v>
      </c>
      <c r="P441">
        <v>0</v>
      </c>
    </row>
    <row r="442" spans="1:16" x14ac:dyDescent="0.2">
      <c r="A442" t="s">
        <v>363</v>
      </c>
      <c r="B442" t="s">
        <v>1461</v>
      </c>
      <c r="D442" t="s">
        <v>1156</v>
      </c>
      <c r="E442">
        <v>5</v>
      </c>
      <c r="F442" t="s">
        <v>681</v>
      </c>
      <c r="G442" t="s">
        <v>1615</v>
      </c>
      <c r="H442" t="s">
        <v>382</v>
      </c>
      <c r="O442">
        <v>0</v>
      </c>
      <c r="P442">
        <v>0</v>
      </c>
    </row>
    <row r="443" spans="1:16" x14ac:dyDescent="0.2">
      <c r="A443" t="s">
        <v>363</v>
      </c>
      <c r="B443" t="s">
        <v>1462</v>
      </c>
      <c r="D443" t="s">
        <v>1156</v>
      </c>
      <c r="E443">
        <v>6</v>
      </c>
      <c r="F443" t="s">
        <v>681</v>
      </c>
      <c r="G443" t="s">
        <v>923</v>
      </c>
      <c r="H443" t="s">
        <v>382</v>
      </c>
      <c r="O443">
        <v>0</v>
      </c>
      <c r="P443">
        <v>0</v>
      </c>
    </row>
    <row r="444" spans="1:16" x14ac:dyDescent="0.2">
      <c r="A444" t="s">
        <v>363</v>
      </c>
      <c r="B444" t="s">
        <v>1463</v>
      </c>
      <c r="D444" t="s">
        <v>1156</v>
      </c>
      <c r="E444">
        <v>7</v>
      </c>
      <c r="F444" t="s">
        <v>681</v>
      </c>
      <c r="G444" t="s">
        <v>1616</v>
      </c>
      <c r="H444" t="s">
        <v>382</v>
      </c>
      <c r="O444">
        <v>0</v>
      </c>
      <c r="P444">
        <v>0</v>
      </c>
    </row>
    <row r="445" spans="1:16" x14ac:dyDescent="0.2">
      <c r="A445" t="s">
        <v>363</v>
      </c>
      <c r="B445" t="s">
        <v>1464</v>
      </c>
      <c r="D445" t="s">
        <v>1156</v>
      </c>
      <c r="E445">
        <v>8</v>
      </c>
      <c r="F445" t="s">
        <v>681</v>
      </c>
      <c r="G445" t="s">
        <v>1617</v>
      </c>
      <c r="H445" t="s">
        <v>382</v>
      </c>
      <c r="O445">
        <v>0</v>
      </c>
      <c r="P445">
        <v>0</v>
      </c>
    </row>
    <row r="446" spans="1:16" x14ac:dyDescent="0.2">
      <c r="A446" t="s">
        <v>363</v>
      </c>
      <c r="B446" t="s">
        <v>1465</v>
      </c>
      <c r="D446" t="s">
        <v>1157</v>
      </c>
      <c r="E446">
        <v>1</v>
      </c>
      <c r="F446" t="s">
        <v>682</v>
      </c>
      <c r="G446" t="s">
        <v>1618</v>
      </c>
      <c r="H446" t="s">
        <v>148</v>
      </c>
      <c r="O446">
        <v>0</v>
      </c>
      <c r="P446">
        <v>0</v>
      </c>
    </row>
    <row r="447" spans="1:16" x14ac:dyDescent="0.2">
      <c r="A447" t="s">
        <v>363</v>
      </c>
      <c r="B447" t="s">
        <v>1466</v>
      </c>
      <c r="D447" t="s">
        <v>1157</v>
      </c>
      <c r="E447">
        <v>2</v>
      </c>
      <c r="F447" t="s">
        <v>682</v>
      </c>
      <c r="G447" t="s">
        <v>1619</v>
      </c>
      <c r="H447" t="s">
        <v>382</v>
      </c>
      <c r="O447">
        <v>0</v>
      </c>
      <c r="P447">
        <v>0</v>
      </c>
    </row>
    <row r="448" spans="1:16" x14ac:dyDescent="0.2">
      <c r="A448" t="s">
        <v>363</v>
      </c>
      <c r="B448" t="s">
        <v>1467</v>
      </c>
      <c r="D448" t="s">
        <v>1157</v>
      </c>
      <c r="E448">
        <v>3</v>
      </c>
      <c r="F448" t="s">
        <v>682</v>
      </c>
      <c r="G448" t="s">
        <v>1620</v>
      </c>
      <c r="H448" t="s">
        <v>382</v>
      </c>
      <c r="O448">
        <v>0</v>
      </c>
      <c r="P448">
        <v>0</v>
      </c>
    </row>
    <row r="449" spans="1:16" x14ac:dyDescent="0.2">
      <c r="A449" t="s">
        <v>363</v>
      </c>
      <c r="B449" t="s">
        <v>1468</v>
      </c>
      <c r="D449" t="s">
        <v>1157</v>
      </c>
      <c r="E449">
        <v>4</v>
      </c>
      <c r="F449" t="s">
        <v>682</v>
      </c>
      <c r="G449" t="s">
        <v>1621</v>
      </c>
      <c r="H449" t="s">
        <v>382</v>
      </c>
      <c r="O449">
        <v>0</v>
      </c>
      <c r="P449">
        <v>0</v>
      </c>
    </row>
    <row r="450" spans="1:16" x14ac:dyDescent="0.2">
      <c r="A450" t="s">
        <v>363</v>
      </c>
      <c r="B450" t="s">
        <v>1469</v>
      </c>
      <c r="D450" t="s">
        <v>1157</v>
      </c>
      <c r="E450">
        <v>5</v>
      </c>
      <c r="F450" t="s">
        <v>682</v>
      </c>
      <c r="G450" t="s">
        <v>1622</v>
      </c>
      <c r="H450" t="s">
        <v>382</v>
      </c>
      <c r="O450">
        <v>0</v>
      </c>
      <c r="P450">
        <v>0</v>
      </c>
    </row>
    <row r="451" spans="1:16" x14ac:dyDescent="0.2">
      <c r="A451" t="s">
        <v>363</v>
      </c>
      <c r="B451" t="s">
        <v>1470</v>
      </c>
      <c r="D451" t="s">
        <v>1157</v>
      </c>
      <c r="E451">
        <v>6</v>
      </c>
      <c r="F451" t="s">
        <v>682</v>
      </c>
      <c r="G451" t="s">
        <v>932</v>
      </c>
      <c r="H451" t="s">
        <v>382</v>
      </c>
      <c r="O451">
        <v>0</v>
      </c>
      <c r="P451">
        <v>0</v>
      </c>
    </row>
    <row r="452" spans="1:16" x14ac:dyDescent="0.2">
      <c r="A452" t="s">
        <v>363</v>
      </c>
      <c r="B452" t="s">
        <v>1471</v>
      </c>
      <c r="D452" t="s">
        <v>1157</v>
      </c>
      <c r="E452">
        <v>7</v>
      </c>
      <c r="F452" t="s">
        <v>682</v>
      </c>
      <c r="G452" t="s">
        <v>1623</v>
      </c>
      <c r="H452" t="s">
        <v>382</v>
      </c>
      <c r="O452">
        <v>0</v>
      </c>
      <c r="P452">
        <v>0</v>
      </c>
    </row>
    <row r="453" spans="1:16" x14ac:dyDescent="0.2">
      <c r="A453" t="s">
        <v>363</v>
      </c>
      <c r="B453" t="s">
        <v>1472</v>
      </c>
      <c r="D453" t="s">
        <v>780</v>
      </c>
      <c r="E453">
        <v>1</v>
      </c>
      <c r="F453" t="s">
        <v>693</v>
      </c>
      <c r="G453" t="s">
        <v>760</v>
      </c>
      <c r="H453" t="s">
        <v>494</v>
      </c>
      <c r="I453">
        <v>1</v>
      </c>
      <c r="O453">
        <v>0</v>
      </c>
      <c r="P453">
        <v>0</v>
      </c>
    </row>
    <row r="454" spans="1:16" x14ac:dyDescent="0.2">
      <c r="A454" t="s">
        <v>363</v>
      </c>
      <c r="B454" t="s">
        <v>1473</v>
      </c>
      <c r="D454" t="s">
        <v>780</v>
      </c>
      <c r="E454">
        <v>2</v>
      </c>
      <c r="F454" t="s">
        <v>693</v>
      </c>
      <c r="G454" t="s">
        <v>761</v>
      </c>
      <c r="H454" t="s">
        <v>494</v>
      </c>
      <c r="I454">
        <v>1</v>
      </c>
      <c r="O454">
        <v>0</v>
      </c>
      <c r="P454">
        <v>0</v>
      </c>
    </row>
    <row r="455" spans="1:16" x14ac:dyDescent="0.2">
      <c r="A455" t="s">
        <v>363</v>
      </c>
      <c r="B455" t="s">
        <v>1474</v>
      </c>
      <c r="D455" t="s">
        <v>780</v>
      </c>
      <c r="E455">
        <v>3</v>
      </c>
      <c r="F455" t="s">
        <v>693</v>
      </c>
      <c r="G455" t="s">
        <v>762</v>
      </c>
      <c r="H455" t="s">
        <v>494</v>
      </c>
      <c r="I455">
        <v>1</v>
      </c>
      <c r="O455">
        <v>0</v>
      </c>
      <c r="P455">
        <v>0</v>
      </c>
    </row>
    <row r="456" spans="1:16" x14ac:dyDescent="0.2">
      <c r="A456" t="s">
        <v>363</v>
      </c>
      <c r="B456" t="s">
        <v>1475</v>
      </c>
      <c r="D456" t="s">
        <v>780</v>
      </c>
      <c r="E456">
        <v>4</v>
      </c>
      <c r="F456" t="s">
        <v>693</v>
      </c>
      <c r="G456" t="s">
        <v>763</v>
      </c>
      <c r="H456" t="s">
        <v>494</v>
      </c>
      <c r="I456">
        <v>1</v>
      </c>
      <c r="O456">
        <v>0</v>
      </c>
      <c r="P456">
        <v>0</v>
      </c>
    </row>
    <row r="457" spans="1:16" x14ac:dyDescent="0.2">
      <c r="A457" t="s">
        <v>363</v>
      </c>
      <c r="B457" t="s">
        <v>1476</v>
      </c>
      <c r="D457" t="s">
        <v>780</v>
      </c>
      <c r="E457">
        <v>5</v>
      </c>
      <c r="F457" t="s">
        <v>693</v>
      </c>
      <c r="G457" t="s">
        <v>1600</v>
      </c>
      <c r="H457" t="s">
        <v>494</v>
      </c>
      <c r="I457">
        <v>1</v>
      </c>
      <c r="O457">
        <v>0</v>
      </c>
      <c r="P457">
        <v>0</v>
      </c>
    </row>
    <row r="458" spans="1:16" x14ac:dyDescent="0.2">
      <c r="A458" t="s">
        <v>363</v>
      </c>
      <c r="B458" t="s">
        <v>1477</v>
      </c>
      <c r="D458" t="s">
        <v>780</v>
      </c>
      <c r="E458">
        <v>6</v>
      </c>
      <c r="F458" t="s">
        <v>693</v>
      </c>
      <c r="G458" t="s">
        <v>1601</v>
      </c>
      <c r="H458" t="s">
        <v>494</v>
      </c>
      <c r="I458">
        <v>1</v>
      </c>
      <c r="O458">
        <v>0</v>
      </c>
      <c r="P458">
        <v>0</v>
      </c>
    </row>
    <row r="459" spans="1:16" x14ac:dyDescent="0.2">
      <c r="A459" t="s">
        <v>24</v>
      </c>
      <c r="B459" t="s">
        <v>1478</v>
      </c>
      <c r="D459" t="s">
        <v>793</v>
      </c>
      <c r="E459">
        <v>1</v>
      </c>
      <c r="F459" t="s">
        <v>401</v>
      </c>
      <c r="G459" t="s">
        <v>415</v>
      </c>
      <c r="H459" t="s">
        <v>382</v>
      </c>
      <c r="I459">
        <v>1</v>
      </c>
      <c r="O459">
        <v>0</v>
      </c>
      <c r="P459">
        <v>0</v>
      </c>
    </row>
    <row r="460" spans="1:16" x14ac:dyDescent="0.2">
      <c r="A460" t="s">
        <v>24</v>
      </c>
      <c r="B460" t="s">
        <v>1479</v>
      </c>
      <c r="D460" t="s">
        <v>793</v>
      </c>
      <c r="E460">
        <v>2</v>
      </c>
      <c r="F460" t="s">
        <v>401</v>
      </c>
      <c r="G460" t="s">
        <v>401</v>
      </c>
      <c r="H460" t="s">
        <v>153</v>
      </c>
      <c r="I460">
        <v>1</v>
      </c>
      <c r="O460">
        <v>0</v>
      </c>
      <c r="P460">
        <v>0</v>
      </c>
    </row>
    <row r="461" spans="1:16" x14ac:dyDescent="0.2">
      <c r="A461" t="s">
        <v>24</v>
      </c>
      <c r="B461" t="s">
        <v>1480</v>
      </c>
      <c r="D461" t="s">
        <v>793</v>
      </c>
      <c r="E461">
        <v>3</v>
      </c>
      <c r="F461" t="s">
        <v>401</v>
      </c>
      <c r="G461" t="s">
        <v>416</v>
      </c>
      <c r="H461" t="s">
        <v>153</v>
      </c>
      <c r="I461">
        <v>1</v>
      </c>
      <c r="O461">
        <v>0</v>
      </c>
      <c r="P461">
        <v>0</v>
      </c>
    </row>
    <row r="462" spans="1:16" x14ac:dyDescent="0.2">
      <c r="A462" t="s">
        <v>24</v>
      </c>
      <c r="B462" t="s">
        <v>1481</v>
      </c>
      <c r="D462" t="s">
        <v>793</v>
      </c>
      <c r="E462">
        <v>4</v>
      </c>
      <c r="F462" t="s">
        <v>401</v>
      </c>
      <c r="G462" t="s">
        <v>418</v>
      </c>
      <c r="H462" t="s">
        <v>153</v>
      </c>
      <c r="I462">
        <v>1</v>
      </c>
      <c r="O462">
        <v>0</v>
      </c>
      <c r="P462">
        <v>0</v>
      </c>
    </row>
    <row r="463" spans="1:16" x14ac:dyDescent="0.2">
      <c r="A463" t="s">
        <v>24</v>
      </c>
      <c r="B463" t="s">
        <v>1482</v>
      </c>
      <c r="D463" t="s">
        <v>793</v>
      </c>
      <c r="E463">
        <v>5</v>
      </c>
      <c r="F463" t="s">
        <v>401</v>
      </c>
      <c r="G463" t="s">
        <v>419</v>
      </c>
      <c r="H463" t="s">
        <v>382</v>
      </c>
      <c r="O463">
        <v>0</v>
      </c>
      <c r="P463">
        <v>0</v>
      </c>
    </row>
    <row r="464" spans="1:16" x14ac:dyDescent="0.2">
      <c r="A464" t="s">
        <v>24</v>
      </c>
      <c r="B464" t="s">
        <v>1483</v>
      </c>
      <c r="D464" t="s">
        <v>793</v>
      </c>
      <c r="E464">
        <v>6</v>
      </c>
      <c r="F464" t="s">
        <v>401</v>
      </c>
      <c r="G464" t="s">
        <v>421</v>
      </c>
      <c r="H464" t="s">
        <v>152</v>
      </c>
      <c r="I464">
        <v>1</v>
      </c>
      <c r="O464">
        <v>0</v>
      </c>
      <c r="P464">
        <v>0</v>
      </c>
    </row>
    <row r="465" spans="1:18" x14ac:dyDescent="0.2">
      <c r="A465" t="s">
        <v>24</v>
      </c>
      <c r="B465" t="s">
        <v>1484</v>
      </c>
      <c r="D465" t="s">
        <v>793</v>
      </c>
      <c r="E465">
        <v>7</v>
      </c>
      <c r="F465" t="s">
        <v>401</v>
      </c>
      <c r="G465" t="s">
        <v>420</v>
      </c>
      <c r="H465" t="s">
        <v>152</v>
      </c>
      <c r="I465">
        <v>1</v>
      </c>
      <c r="O465">
        <v>0</v>
      </c>
      <c r="P465">
        <v>0</v>
      </c>
    </row>
    <row r="466" spans="1:18" x14ac:dyDescent="0.2">
      <c r="A466" t="s">
        <v>24</v>
      </c>
      <c r="B466" t="s">
        <v>1485</v>
      </c>
      <c r="D466" t="s">
        <v>793</v>
      </c>
      <c r="E466">
        <v>8</v>
      </c>
      <c r="F466" t="s">
        <v>401</v>
      </c>
      <c r="G466" t="s">
        <v>422</v>
      </c>
      <c r="H466" t="s">
        <v>152</v>
      </c>
      <c r="O466">
        <v>0</v>
      </c>
      <c r="P466">
        <v>0</v>
      </c>
    </row>
    <row r="467" spans="1:18" x14ac:dyDescent="0.2">
      <c r="A467" t="s">
        <v>24</v>
      </c>
      <c r="B467" t="s">
        <v>1486</v>
      </c>
      <c r="D467" t="s">
        <v>793</v>
      </c>
      <c r="E467">
        <v>9</v>
      </c>
      <c r="F467" t="s">
        <v>401</v>
      </c>
      <c r="G467" t="s">
        <v>423</v>
      </c>
      <c r="H467" t="s">
        <v>382</v>
      </c>
      <c r="I467">
        <v>1</v>
      </c>
      <c r="O467">
        <v>0</v>
      </c>
      <c r="P467">
        <v>0</v>
      </c>
    </row>
    <row r="468" spans="1:18" x14ac:dyDescent="0.2">
      <c r="A468" t="s">
        <v>24</v>
      </c>
      <c r="B468" t="s">
        <v>1158</v>
      </c>
      <c r="D468" t="s">
        <v>793</v>
      </c>
      <c r="E468">
        <v>10</v>
      </c>
      <c r="F468" t="s">
        <v>401</v>
      </c>
      <c r="G468" t="s">
        <v>424</v>
      </c>
      <c r="H468" t="s">
        <v>382</v>
      </c>
      <c r="I468">
        <v>1</v>
      </c>
      <c r="O468">
        <v>0</v>
      </c>
      <c r="P468">
        <v>0</v>
      </c>
    </row>
    <row r="469" spans="1:18" x14ac:dyDescent="0.2">
      <c r="A469" t="s">
        <v>24</v>
      </c>
      <c r="B469" t="s">
        <v>1159</v>
      </c>
      <c r="D469" t="s">
        <v>793</v>
      </c>
      <c r="E469">
        <v>11</v>
      </c>
      <c r="F469" t="s">
        <v>401</v>
      </c>
      <c r="G469" t="s">
        <v>425</v>
      </c>
      <c r="H469" t="s">
        <v>382</v>
      </c>
      <c r="I469">
        <v>1</v>
      </c>
      <c r="O469">
        <v>0</v>
      </c>
      <c r="P469">
        <v>0</v>
      </c>
      <c r="R469" t="s">
        <v>417</v>
      </c>
    </row>
    <row r="470" spans="1:18" x14ac:dyDescent="0.2">
      <c r="A470" t="s">
        <v>107</v>
      </c>
      <c r="B470" t="s">
        <v>1487</v>
      </c>
      <c r="D470" t="s">
        <v>794</v>
      </c>
      <c r="E470">
        <v>1</v>
      </c>
      <c r="F470" t="s">
        <v>499</v>
      </c>
      <c r="G470" t="s">
        <v>511</v>
      </c>
      <c r="H470" t="s">
        <v>153</v>
      </c>
      <c r="O470">
        <v>0</v>
      </c>
      <c r="P470">
        <v>0</v>
      </c>
    </row>
    <row r="471" spans="1:18" x14ac:dyDescent="0.2">
      <c r="A471" t="s">
        <v>107</v>
      </c>
      <c r="B471" t="s">
        <v>1488</v>
      </c>
      <c r="D471" t="s">
        <v>794</v>
      </c>
      <c r="E471">
        <v>2</v>
      </c>
      <c r="F471" t="s">
        <v>499</v>
      </c>
      <c r="G471" t="s">
        <v>512</v>
      </c>
      <c r="H471" t="s">
        <v>181</v>
      </c>
      <c r="O471">
        <v>0</v>
      </c>
      <c r="P471">
        <v>0</v>
      </c>
    </row>
    <row r="472" spans="1:18" x14ac:dyDescent="0.2">
      <c r="A472" t="s">
        <v>107</v>
      </c>
      <c r="B472" t="s">
        <v>1489</v>
      </c>
      <c r="D472" t="s">
        <v>794</v>
      </c>
      <c r="E472">
        <v>3</v>
      </c>
      <c r="F472" t="s">
        <v>499</v>
      </c>
      <c r="G472" t="s">
        <v>513</v>
      </c>
      <c r="H472" t="s">
        <v>181</v>
      </c>
      <c r="O472">
        <v>0</v>
      </c>
      <c r="P472">
        <v>0</v>
      </c>
    </row>
    <row r="473" spans="1:18" x14ac:dyDescent="0.2">
      <c r="A473" t="s">
        <v>107</v>
      </c>
      <c r="B473" t="s">
        <v>1490</v>
      </c>
      <c r="D473" t="s">
        <v>794</v>
      </c>
      <c r="E473">
        <v>4</v>
      </c>
      <c r="F473" t="s">
        <v>499</v>
      </c>
      <c r="G473" t="s">
        <v>514</v>
      </c>
      <c r="H473" t="s">
        <v>181</v>
      </c>
      <c r="O473">
        <v>0</v>
      </c>
      <c r="P473">
        <v>0</v>
      </c>
    </row>
    <row r="474" spans="1:18" x14ac:dyDescent="0.2">
      <c r="A474" t="s">
        <v>107</v>
      </c>
      <c r="B474" t="s">
        <v>1491</v>
      </c>
      <c r="D474" t="s">
        <v>794</v>
      </c>
      <c r="E474">
        <v>5</v>
      </c>
      <c r="F474" t="s">
        <v>499</v>
      </c>
      <c r="G474" t="s">
        <v>1641</v>
      </c>
      <c r="H474" t="s">
        <v>181</v>
      </c>
      <c r="O474">
        <v>0</v>
      </c>
      <c r="P474">
        <v>0</v>
      </c>
    </row>
    <row r="475" spans="1:18" x14ac:dyDescent="0.2">
      <c r="A475" t="s">
        <v>107</v>
      </c>
      <c r="B475" t="s">
        <v>1492</v>
      </c>
      <c r="D475" t="s">
        <v>794</v>
      </c>
      <c r="E475">
        <v>6</v>
      </c>
      <c r="F475" t="s">
        <v>499</v>
      </c>
      <c r="G475" t="s">
        <v>515</v>
      </c>
      <c r="H475" t="s">
        <v>152</v>
      </c>
      <c r="O475">
        <v>0</v>
      </c>
      <c r="P475">
        <v>0</v>
      </c>
    </row>
    <row r="476" spans="1:18" x14ac:dyDescent="0.2">
      <c r="A476" t="s">
        <v>107</v>
      </c>
      <c r="B476" t="s">
        <v>1493</v>
      </c>
      <c r="D476" t="s">
        <v>794</v>
      </c>
      <c r="E476">
        <v>7</v>
      </c>
      <c r="F476" t="s">
        <v>499</v>
      </c>
      <c r="G476" t="s">
        <v>483</v>
      </c>
      <c r="H476" t="s">
        <v>148</v>
      </c>
      <c r="O476">
        <v>0</v>
      </c>
      <c r="P476">
        <v>0</v>
      </c>
    </row>
    <row r="477" spans="1:18" x14ac:dyDescent="0.2">
      <c r="A477" t="s">
        <v>107</v>
      </c>
      <c r="B477" t="s">
        <v>1494</v>
      </c>
      <c r="D477" t="s">
        <v>795</v>
      </c>
      <c r="E477">
        <v>1</v>
      </c>
      <c r="F477" t="s">
        <v>500</v>
      </c>
      <c r="G477" t="s">
        <v>518</v>
      </c>
      <c r="H477" t="s">
        <v>153</v>
      </c>
      <c r="O477">
        <v>0</v>
      </c>
      <c r="P477">
        <v>0</v>
      </c>
    </row>
    <row r="478" spans="1:18" x14ac:dyDescent="0.2">
      <c r="A478" t="s">
        <v>107</v>
      </c>
      <c r="B478" t="s">
        <v>1495</v>
      </c>
      <c r="D478" t="s">
        <v>795</v>
      </c>
      <c r="E478">
        <v>2</v>
      </c>
      <c r="F478" t="s">
        <v>500</v>
      </c>
      <c r="G478" t="s">
        <v>516</v>
      </c>
      <c r="H478" t="s">
        <v>153</v>
      </c>
      <c r="O478">
        <v>0</v>
      </c>
      <c r="P478">
        <v>0</v>
      </c>
    </row>
    <row r="479" spans="1:18" x14ac:dyDescent="0.2">
      <c r="A479" t="s">
        <v>107</v>
      </c>
      <c r="B479" t="s">
        <v>1496</v>
      </c>
      <c r="D479" t="s">
        <v>795</v>
      </c>
      <c r="E479">
        <v>3</v>
      </c>
      <c r="F479" t="s">
        <v>500</v>
      </c>
      <c r="G479" t="s">
        <v>517</v>
      </c>
      <c r="H479" t="s">
        <v>148</v>
      </c>
      <c r="O479">
        <v>0</v>
      </c>
      <c r="P479">
        <v>0</v>
      </c>
    </row>
    <row r="480" spans="1:18" x14ac:dyDescent="0.2">
      <c r="A480" t="s">
        <v>107</v>
      </c>
      <c r="B480" t="s">
        <v>1497</v>
      </c>
      <c r="D480" t="s">
        <v>795</v>
      </c>
      <c r="E480">
        <v>4</v>
      </c>
      <c r="F480" t="s">
        <v>500</v>
      </c>
      <c r="G480" t="s">
        <v>519</v>
      </c>
      <c r="H480" t="s">
        <v>153</v>
      </c>
      <c r="O480">
        <v>0</v>
      </c>
      <c r="P480">
        <v>0</v>
      </c>
    </row>
    <row r="481" spans="1:18" x14ac:dyDescent="0.2">
      <c r="A481" t="s">
        <v>107</v>
      </c>
      <c r="B481" t="s">
        <v>1498</v>
      </c>
      <c r="D481" t="s">
        <v>795</v>
      </c>
      <c r="E481">
        <v>5</v>
      </c>
      <c r="F481" t="s">
        <v>500</v>
      </c>
      <c r="G481" t="s">
        <v>520</v>
      </c>
      <c r="H481" t="s">
        <v>153</v>
      </c>
      <c r="O481">
        <v>0</v>
      </c>
      <c r="P481">
        <v>0</v>
      </c>
    </row>
    <row r="482" spans="1:18" x14ac:dyDescent="0.2">
      <c r="A482" t="s">
        <v>107</v>
      </c>
      <c r="B482" t="s">
        <v>1499</v>
      </c>
      <c r="D482" t="s">
        <v>795</v>
      </c>
      <c r="E482">
        <v>6</v>
      </c>
      <c r="F482" t="s">
        <v>500</v>
      </c>
      <c r="G482" t="s">
        <v>521</v>
      </c>
      <c r="H482" t="s">
        <v>153</v>
      </c>
      <c r="O482">
        <v>0</v>
      </c>
      <c r="P482">
        <v>0</v>
      </c>
    </row>
    <row r="483" spans="1:18" x14ac:dyDescent="0.2">
      <c r="A483" t="s">
        <v>107</v>
      </c>
      <c r="B483" t="s">
        <v>1500</v>
      </c>
      <c r="D483" t="s">
        <v>795</v>
      </c>
      <c r="E483">
        <v>7</v>
      </c>
      <c r="F483" t="s">
        <v>500</v>
      </c>
      <c r="G483" t="s">
        <v>523</v>
      </c>
      <c r="H483" t="s">
        <v>181</v>
      </c>
      <c r="O483">
        <v>0</v>
      </c>
      <c r="P483">
        <v>0</v>
      </c>
      <c r="R483" t="s">
        <v>596</v>
      </c>
    </row>
    <row r="484" spans="1:18" x14ac:dyDescent="0.2">
      <c r="A484" t="s">
        <v>107</v>
      </c>
      <c r="B484" t="s">
        <v>1501</v>
      </c>
      <c r="D484" t="s">
        <v>795</v>
      </c>
      <c r="E484">
        <v>8</v>
      </c>
      <c r="F484" t="s">
        <v>500</v>
      </c>
      <c r="G484" t="s">
        <v>524</v>
      </c>
      <c r="H484" t="s">
        <v>181</v>
      </c>
      <c r="O484">
        <v>0</v>
      </c>
      <c r="P484">
        <v>0</v>
      </c>
    </row>
    <row r="485" spans="1:18" x14ac:dyDescent="0.2">
      <c r="A485" t="s">
        <v>107</v>
      </c>
      <c r="B485" t="s">
        <v>1502</v>
      </c>
      <c r="D485" t="s">
        <v>795</v>
      </c>
      <c r="E485">
        <v>9</v>
      </c>
      <c r="F485" t="s">
        <v>500</v>
      </c>
      <c r="G485" t="s">
        <v>522</v>
      </c>
      <c r="H485" t="s">
        <v>181</v>
      </c>
      <c r="O485">
        <v>0</v>
      </c>
      <c r="P485">
        <v>0</v>
      </c>
    </row>
    <row r="486" spans="1:18" x14ac:dyDescent="0.2">
      <c r="A486" t="s">
        <v>107</v>
      </c>
      <c r="B486" t="s">
        <v>1160</v>
      </c>
      <c r="D486" t="s">
        <v>795</v>
      </c>
      <c r="E486">
        <v>10</v>
      </c>
      <c r="F486" t="s">
        <v>500</v>
      </c>
      <c r="G486" t="s">
        <v>525</v>
      </c>
      <c r="H486" t="s">
        <v>181</v>
      </c>
      <c r="O486">
        <v>0</v>
      </c>
      <c r="P486">
        <v>0</v>
      </c>
    </row>
    <row r="487" spans="1:18" x14ac:dyDescent="0.2">
      <c r="A487" t="s">
        <v>107</v>
      </c>
      <c r="B487" t="s">
        <v>1161</v>
      </c>
      <c r="D487" t="s">
        <v>795</v>
      </c>
      <c r="E487">
        <v>11</v>
      </c>
      <c r="F487" t="s">
        <v>500</v>
      </c>
      <c r="G487" t="s">
        <v>526</v>
      </c>
      <c r="H487" t="s">
        <v>181</v>
      </c>
      <c r="O487">
        <v>0</v>
      </c>
      <c r="P487">
        <v>0</v>
      </c>
    </row>
    <row r="488" spans="1:18" x14ac:dyDescent="0.2">
      <c r="A488" t="s">
        <v>107</v>
      </c>
      <c r="B488" t="s">
        <v>1162</v>
      </c>
      <c r="D488" t="s">
        <v>795</v>
      </c>
      <c r="E488">
        <v>12</v>
      </c>
      <c r="F488" t="s">
        <v>500</v>
      </c>
      <c r="G488" t="s">
        <v>527</v>
      </c>
      <c r="H488" t="s">
        <v>181</v>
      </c>
      <c r="O488">
        <v>0</v>
      </c>
      <c r="P488">
        <v>0</v>
      </c>
    </row>
    <row r="489" spans="1:18" x14ac:dyDescent="0.2">
      <c r="A489" t="s">
        <v>107</v>
      </c>
      <c r="B489" t="s">
        <v>1163</v>
      </c>
      <c r="D489" t="s">
        <v>795</v>
      </c>
      <c r="E489">
        <v>13</v>
      </c>
      <c r="F489" t="s">
        <v>500</v>
      </c>
      <c r="G489" t="s">
        <v>528</v>
      </c>
      <c r="H489" t="s">
        <v>148</v>
      </c>
      <c r="O489">
        <v>0</v>
      </c>
      <c r="P489">
        <v>0</v>
      </c>
    </row>
    <row r="490" spans="1:18" x14ac:dyDescent="0.2">
      <c r="A490" t="s">
        <v>107</v>
      </c>
      <c r="B490" t="s">
        <v>1164</v>
      </c>
      <c r="D490" t="s">
        <v>795</v>
      </c>
      <c r="E490">
        <v>14</v>
      </c>
      <c r="F490" t="s">
        <v>500</v>
      </c>
      <c r="G490" t="s">
        <v>959</v>
      </c>
      <c r="H490" t="s">
        <v>153</v>
      </c>
      <c r="O490">
        <v>0</v>
      </c>
      <c r="P490">
        <v>0</v>
      </c>
    </row>
    <row r="491" spans="1:18" x14ac:dyDescent="0.2">
      <c r="A491" t="s">
        <v>107</v>
      </c>
      <c r="B491" t="s">
        <v>1573</v>
      </c>
      <c r="D491" t="s">
        <v>795</v>
      </c>
      <c r="E491">
        <v>15</v>
      </c>
      <c r="F491" t="s">
        <v>500</v>
      </c>
      <c r="G491" t="s">
        <v>1572</v>
      </c>
      <c r="H491" t="s">
        <v>153</v>
      </c>
      <c r="O491">
        <v>0</v>
      </c>
      <c r="P491">
        <v>0</v>
      </c>
    </row>
    <row r="492" spans="1:18" x14ac:dyDescent="0.2">
      <c r="A492" t="s">
        <v>107</v>
      </c>
      <c r="B492" t="s">
        <v>1575</v>
      </c>
      <c r="D492" t="s">
        <v>795</v>
      </c>
      <c r="E492">
        <v>16</v>
      </c>
      <c r="F492" t="s">
        <v>500</v>
      </c>
      <c r="G492" t="s">
        <v>1574</v>
      </c>
      <c r="H492" t="s">
        <v>153</v>
      </c>
      <c r="O492">
        <v>0</v>
      </c>
      <c r="P492">
        <v>0</v>
      </c>
    </row>
    <row r="493" spans="1:18" x14ac:dyDescent="0.2">
      <c r="A493" t="s">
        <v>107</v>
      </c>
      <c r="B493" t="s">
        <v>1503</v>
      </c>
      <c r="D493" t="s">
        <v>796</v>
      </c>
      <c r="E493">
        <v>1</v>
      </c>
      <c r="F493" t="s">
        <v>501</v>
      </c>
      <c r="G493" t="s">
        <v>529</v>
      </c>
      <c r="H493" t="s">
        <v>153</v>
      </c>
      <c r="O493">
        <v>0</v>
      </c>
      <c r="P493">
        <v>0</v>
      </c>
    </row>
    <row r="494" spans="1:18" x14ac:dyDescent="0.2">
      <c r="A494" t="s">
        <v>107</v>
      </c>
      <c r="B494" t="s">
        <v>1504</v>
      </c>
      <c r="D494" t="s">
        <v>796</v>
      </c>
      <c r="E494">
        <v>2</v>
      </c>
      <c r="F494" t="s">
        <v>501</v>
      </c>
      <c r="G494" t="s">
        <v>530</v>
      </c>
      <c r="H494" t="s">
        <v>153</v>
      </c>
      <c r="O494">
        <v>0</v>
      </c>
      <c r="P494">
        <v>0</v>
      </c>
    </row>
    <row r="495" spans="1:18" x14ac:dyDescent="0.2">
      <c r="A495" t="s">
        <v>107</v>
      </c>
      <c r="B495" t="s">
        <v>1505</v>
      </c>
      <c r="D495" t="s">
        <v>796</v>
      </c>
      <c r="E495">
        <v>3</v>
      </c>
      <c r="F495" t="s">
        <v>501</v>
      </c>
      <c r="G495" t="s">
        <v>531</v>
      </c>
      <c r="H495" t="s">
        <v>153</v>
      </c>
      <c r="O495">
        <v>0</v>
      </c>
      <c r="P495">
        <v>0</v>
      </c>
    </row>
    <row r="496" spans="1:18" x14ac:dyDescent="0.2">
      <c r="A496" t="s">
        <v>107</v>
      </c>
      <c r="B496" t="s">
        <v>1506</v>
      </c>
      <c r="D496" t="s">
        <v>796</v>
      </c>
      <c r="E496">
        <v>4</v>
      </c>
      <c r="F496" t="s">
        <v>501</v>
      </c>
      <c r="G496" t="s">
        <v>532</v>
      </c>
      <c r="H496" t="s">
        <v>153</v>
      </c>
      <c r="O496">
        <v>0</v>
      </c>
      <c r="P496">
        <v>0</v>
      </c>
    </row>
    <row r="497" spans="1:18" x14ac:dyDescent="0.2">
      <c r="A497" t="s">
        <v>107</v>
      </c>
      <c r="B497" t="s">
        <v>1507</v>
      </c>
      <c r="D497" t="s">
        <v>796</v>
      </c>
      <c r="E497">
        <v>5</v>
      </c>
      <c r="F497" t="s">
        <v>501</v>
      </c>
      <c r="G497" t="s">
        <v>533</v>
      </c>
      <c r="H497" t="s">
        <v>153</v>
      </c>
      <c r="O497">
        <v>0</v>
      </c>
      <c r="P497">
        <v>0</v>
      </c>
    </row>
    <row r="498" spans="1:18" x14ac:dyDescent="0.2">
      <c r="A498" t="s">
        <v>107</v>
      </c>
      <c r="B498" t="s">
        <v>1508</v>
      </c>
      <c r="D498" t="s">
        <v>796</v>
      </c>
      <c r="E498">
        <v>6</v>
      </c>
      <c r="F498" t="s">
        <v>501</v>
      </c>
      <c r="G498" t="s">
        <v>534</v>
      </c>
      <c r="H498" t="s">
        <v>153</v>
      </c>
      <c r="O498">
        <v>0</v>
      </c>
      <c r="P498">
        <v>0</v>
      </c>
    </row>
    <row r="499" spans="1:18" x14ac:dyDescent="0.2">
      <c r="A499" t="s">
        <v>107</v>
      </c>
      <c r="B499" t="s">
        <v>1509</v>
      </c>
      <c r="D499" t="s">
        <v>796</v>
      </c>
      <c r="E499">
        <v>7</v>
      </c>
      <c r="F499" t="s">
        <v>501</v>
      </c>
      <c r="G499" t="s">
        <v>535</v>
      </c>
      <c r="H499" t="s">
        <v>153</v>
      </c>
      <c r="O499">
        <v>0</v>
      </c>
      <c r="P499">
        <v>0</v>
      </c>
    </row>
    <row r="500" spans="1:18" x14ac:dyDescent="0.2">
      <c r="A500" t="s">
        <v>107</v>
      </c>
      <c r="B500" t="s">
        <v>1510</v>
      </c>
      <c r="D500" t="s">
        <v>796</v>
      </c>
      <c r="E500">
        <v>8</v>
      </c>
      <c r="F500" t="s">
        <v>501</v>
      </c>
      <c r="G500" t="s">
        <v>536</v>
      </c>
      <c r="H500" t="s">
        <v>148</v>
      </c>
      <c r="O500">
        <v>0</v>
      </c>
      <c r="P500">
        <v>0</v>
      </c>
    </row>
    <row r="501" spans="1:18" x14ac:dyDescent="0.2">
      <c r="A501" t="s">
        <v>107</v>
      </c>
      <c r="B501" t="s">
        <v>1511</v>
      </c>
      <c r="D501" t="s">
        <v>796</v>
      </c>
      <c r="E501">
        <v>9</v>
      </c>
      <c r="F501" t="s">
        <v>501</v>
      </c>
      <c r="G501" t="s">
        <v>537</v>
      </c>
      <c r="H501" t="s">
        <v>153</v>
      </c>
      <c r="O501">
        <v>0</v>
      </c>
      <c r="P501">
        <v>0</v>
      </c>
    </row>
    <row r="502" spans="1:18" x14ac:dyDescent="0.2">
      <c r="A502" t="s">
        <v>107</v>
      </c>
      <c r="B502" t="s">
        <v>1165</v>
      </c>
      <c r="D502" t="s">
        <v>796</v>
      </c>
      <c r="E502">
        <v>10</v>
      </c>
      <c r="F502" t="s">
        <v>501</v>
      </c>
      <c r="G502" t="s">
        <v>538</v>
      </c>
      <c r="H502" t="s">
        <v>152</v>
      </c>
      <c r="O502">
        <v>0</v>
      </c>
      <c r="P502">
        <v>0</v>
      </c>
    </row>
    <row r="503" spans="1:18" x14ac:dyDescent="0.2">
      <c r="A503" t="s">
        <v>107</v>
      </c>
      <c r="B503" t="s">
        <v>1166</v>
      </c>
      <c r="D503" t="s">
        <v>796</v>
      </c>
      <c r="E503">
        <v>11</v>
      </c>
      <c r="F503" t="s">
        <v>501</v>
      </c>
      <c r="G503" t="s">
        <v>539</v>
      </c>
      <c r="H503" t="s">
        <v>153</v>
      </c>
      <c r="O503">
        <v>0</v>
      </c>
      <c r="P503">
        <v>0</v>
      </c>
    </row>
    <row r="504" spans="1:18" x14ac:dyDescent="0.2">
      <c r="A504" t="s">
        <v>107</v>
      </c>
      <c r="B504" t="s">
        <v>1167</v>
      </c>
      <c r="D504" t="s">
        <v>796</v>
      </c>
      <c r="E504">
        <v>12</v>
      </c>
      <c r="F504" t="s">
        <v>501</v>
      </c>
      <c r="G504" t="s">
        <v>540</v>
      </c>
      <c r="H504" t="s">
        <v>148</v>
      </c>
      <c r="O504">
        <v>0</v>
      </c>
      <c r="P504">
        <v>0</v>
      </c>
    </row>
    <row r="505" spans="1:18" x14ac:dyDescent="0.2">
      <c r="A505" t="s">
        <v>107</v>
      </c>
      <c r="B505" t="s">
        <v>1168</v>
      </c>
      <c r="D505" t="s">
        <v>796</v>
      </c>
      <c r="E505">
        <v>13</v>
      </c>
      <c r="F505" t="s">
        <v>501</v>
      </c>
      <c r="G505" t="s">
        <v>541</v>
      </c>
      <c r="H505" t="s">
        <v>153</v>
      </c>
      <c r="O505">
        <v>0</v>
      </c>
      <c r="P505">
        <v>0</v>
      </c>
      <c r="R505" t="s">
        <v>542</v>
      </c>
    </row>
    <row r="506" spans="1:18" x14ac:dyDescent="0.2">
      <c r="A506" t="s">
        <v>107</v>
      </c>
      <c r="B506" t="s">
        <v>1169</v>
      </c>
      <c r="D506" t="s">
        <v>796</v>
      </c>
      <c r="E506">
        <v>14</v>
      </c>
      <c r="F506" t="s">
        <v>501</v>
      </c>
      <c r="G506" t="s">
        <v>544</v>
      </c>
      <c r="H506" t="s">
        <v>153</v>
      </c>
      <c r="O506">
        <v>0</v>
      </c>
      <c r="P506">
        <v>0</v>
      </c>
    </row>
    <row r="507" spans="1:18" x14ac:dyDescent="0.2">
      <c r="A507" t="s">
        <v>107</v>
      </c>
      <c r="B507" t="s">
        <v>1170</v>
      </c>
      <c r="D507" t="s">
        <v>796</v>
      </c>
      <c r="E507">
        <v>15</v>
      </c>
      <c r="F507" t="s">
        <v>501</v>
      </c>
      <c r="G507" t="s">
        <v>543</v>
      </c>
      <c r="H507" t="s">
        <v>148</v>
      </c>
      <c r="O507">
        <v>0</v>
      </c>
      <c r="P507">
        <v>0</v>
      </c>
    </row>
    <row r="508" spans="1:18" x14ac:dyDescent="0.2">
      <c r="A508" t="s">
        <v>107</v>
      </c>
      <c r="B508" t="s">
        <v>1171</v>
      </c>
      <c r="D508" t="s">
        <v>796</v>
      </c>
      <c r="E508">
        <v>16</v>
      </c>
      <c r="F508" t="s">
        <v>501</v>
      </c>
      <c r="G508" t="s">
        <v>545</v>
      </c>
      <c r="H508" t="s">
        <v>153</v>
      </c>
      <c r="O508">
        <v>0</v>
      </c>
      <c r="P508">
        <v>0</v>
      </c>
    </row>
    <row r="509" spans="1:18" x14ac:dyDescent="0.2">
      <c r="A509" t="s">
        <v>107</v>
      </c>
      <c r="B509" t="s">
        <v>1512</v>
      </c>
      <c r="D509" t="s">
        <v>797</v>
      </c>
      <c r="E509">
        <v>1</v>
      </c>
      <c r="F509" t="s">
        <v>502</v>
      </c>
      <c r="G509" t="s">
        <v>546</v>
      </c>
      <c r="H509" t="s">
        <v>153</v>
      </c>
      <c r="O509">
        <v>0</v>
      </c>
      <c r="P509">
        <v>0</v>
      </c>
    </row>
    <row r="510" spans="1:18" x14ac:dyDescent="0.2">
      <c r="A510" t="s">
        <v>107</v>
      </c>
      <c r="B510" t="s">
        <v>1513</v>
      </c>
      <c r="D510" t="s">
        <v>797</v>
      </c>
      <c r="E510">
        <v>2</v>
      </c>
      <c r="F510" t="s">
        <v>502</v>
      </c>
      <c r="G510" t="s">
        <v>547</v>
      </c>
      <c r="H510" t="s">
        <v>153</v>
      </c>
      <c r="O510">
        <v>0</v>
      </c>
      <c r="P510">
        <v>0</v>
      </c>
    </row>
    <row r="511" spans="1:18" x14ac:dyDescent="0.2">
      <c r="A511" t="s">
        <v>107</v>
      </c>
      <c r="B511" t="s">
        <v>1514</v>
      </c>
      <c r="D511" t="s">
        <v>797</v>
      </c>
      <c r="E511">
        <v>3</v>
      </c>
      <c r="F511" t="s">
        <v>502</v>
      </c>
      <c r="G511" t="s">
        <v>548</v>
      </c>
      <c r="H511" t="s">
        <v>153</v>
      </c>
      <c r="O511">
        <v>0</v>
      </c>
      <c r="P511">
        <v>0</v>
      </c>
    </row>
    <row r="512" spans="1:18" x14ac:dyDescent="0.2">
      <c r="A512" t="s">
        <v>107</v>
      </c>
      <c r="B512" t="s">
        <v>1515</v>
      </c>
      <c r="D512" t="s">
        <v>797</v>
      </c>
      <c r="E512">
        <v>4</v>
      </c>
      <c r="F512" t="s">
        <v>502</v>
      </c>
      <c r="G512" t="s">
        <v>549</v>
      </c>
      <c r="H512" t="s">
        <v>148</v>
      </c>
      <c r="O512">
        <v>0</v>
      </c>
      <c r="P512">
        <v>0</v>
      </c>
    </row>
    <row r="513" spans="1:16" x14ac:dyDescent="0.2">
      <c r="A513" t="s">
        <v>107</v>
      </c>
      <c r="B513" t="s">
        <v>1516</v>
      </c>
      <c r="D513" t="s">
        <v>797</v>
      </c>
      <c r="E513">
        <v>5</v>
      </c>
      <c r="F513" t="s">
        <v>502</v>
      </c>
      <c r="G513" t="s">
        <v>550</v>
      </c>
      <c r="H513" t="s">
        <v>148</v>
      </c>
      <c r="O513">
        <v>0</v>
      </c>
      <c r="P513">
        <v>0</v>
      </c>
    </row>
    <row r="514" spans="1:16" x14ac:dyDescent="0.2">
      <c r="A514" t="s">
        <v>107</v>
      </c>
      <c r="B514" t="s">
        <v>1517</v>
      </c>
      <c r="D514" t="s">
        <v>797</v>
      </c>
      <c r="E514">
        <v>6</v>
      </c>
      <c r="F514" t="s">
        <v>502</v>
      </c>
      <c r="G514" t="s">
        <v>551</v>
      </c>
      <c r="H514" t="s">
        <v>153</v>
      </c>
      <c r="O514">
        <v>0</v>
      </c>
      <c r="P514">
        <v>0</v>
      </c>
    </row>
    <row r="515" spans="1:16" x14ac:dyDescent="0.2">
      <c r="A515" t="s">
        <v>107</v>
      </c>
      <c r="B515" t="s">
        <v>1518</v>
      </c>
      <c r="D515" t="s">
        <v>797</v>
      </c>
      <c r="E515">
        <v>7</v>
      </c>
      <c r="F515" t="s">
        <v>502</v>
      </c>
      <c r="G515" t="s">
        <v>552</v>
      </c>
      <c r="H515" t="s">
        <v>148</v>
      </c>
      <c r="O515">
        <v>0</v>
      </c>
      <c r="P515">
        <v>0</v>
      </c>
    </row>
    <row r="516" spans="1:16" x14ac:dyDescent="0.2">
      <c r="A516" t="s">
        <v>107</v>
      </c>
      <c r="B516" t="s">
        <v>1519</v>
      </c>
      <c r="D516" t="s">
        <v>797</v>
      </c>
      <c r="E516">
        <v>8</v>
      </c>
      <c r="F516" t="s">
        <v>502</v>
      </c>
      <c r="G516" t="s">
        <v>553</v>
      </c>
      <c r="H516" t="s">
        <v>152</v>
      </c>
      <c r="O516">
        <v>0</v>
      </c>
      <c r="P516">
        <v>0</v>
      </c>
    </row>
    <row r="517" spans="1:16" x14ac:dyDescent="0.2">
      <c r="A517" t="s">
        <v>107</v>
      </c>
      <c r="B517" t="s">
        <v>1520</v>
      </c>
      <c r="D517" t="s">
        <v>797</v>
      </c>
      <c r="E517">
        <v>9</v>
      </c>
      <c r="F517" t="s">
        <v>502</v>
      </c>
      <c r="G517" t="s">
        <v>1588</v>
      </c>
      <c r="H517" t="s">
        <v>181</v>
      </c>
      <c r="O517">
        <v>0</v>
      </c>
      <c r="P517">
        <v>0</v>
      </c>
    </row>
    <row r="518" spans="1:16" x14ac:dyDescent="0.2">
      <c r="A518" t="s">
        <v>107</v>
      </c>
      <c r="B518" t="s">
        <v>1172</v>
      </c>
      <c r="D518" t="s">
        <v>797</v>
      </c>
      <c r="E518">
        <v>10</v>
      </c>
      <c r="F518" t="s">
        <v>502</v>
      </c>
      <c r="G518" t="s">
        <v>554</v>
      </c>
      <c r="H518" t="s">
        <v>153</v>
      </c>
      <c r="O518">
        <v>0</v>
      </c>
      <c r="P518">
        <v>0</v>
      </c>
    </row>
    <row r="519" spans="1:16" x14ac:dyDescent="0.2">
      <c r="A519" t="s">
        <v>107</v>
      </c>
      <c r="B519" t="s">
        <v>1173</v>
      </c>
      <c r="D519" t="s">
        <v>797</v>
      </c>
      <c r="E519">
        <v>11</v>
      </c>
      <c r="F519" t="s">
        <v>502</v>
      </c>
      <c r="G519" t="s">
        <v>555</v>
      </c>
      <c r="H519" t="s">
        <v>153</v>
      </c>
      <c r="O519">
        <v>0</v>
      </c>
      <c r="P519">
        <v>0</v>
      </c>
    </row>
    <row r="520" spans="1:16" x14ac:dyDescent="0.2">
      <c r="A520" t="s">
        <v>107</v>
      </c>
      <c r="B520" t="s">
        <v>1174</v>
      </c>
      <c r="D520" t="s">
        <v>797</v>
      </c>
      <c r="E520">
        <v>12</v>
      </c>
      <c r="F520" t="s">
        <v>502</v>
      </c>
      <c r="G520" t="s">
        <v>556</v>
      </c>
      <c r="H520" t="s">
        <v>181</v>
      </c>
      <c r="O520">
        <v>0</v>
      </c>
      <c r="P520">
        <v>0</v>
      </c>
    </row>
    <row r="521" spans="1:16" x14ac:dyDescent="0.2">
      <c r="A521" t="s">
        <v>107</v>
      </c>
      <c r="B521" t="s">
        <v>1175</v>
      </c>
      <c r="D521" t="s">
        <v>797</v>
      </c>
      <c r="E521">
        <v>13</v>
      </c>
      <c r="F521" t="s">
        <v>502</v>
      </c>
      <c r="G521" t="s">
        <v>557</v>
      </c>
      <c r="H521" t="s">
        <v>148</v>
      </c>
      <c r="O521">
        <v>0</v>
      </c>
      <c r="P521">
        <v>0</v>
      </c>
    </row>
    <row r="522" spans="1:16" x14ac:dyDescent="0.2">
      <c r="A522" t="s">
        <v>107</v>
      </c>
      <c r="B522" t="s">
        <v>1176</v>
      </c>
      <c r="D522" t="s">
        <v>797</v>
      </c>
      <c r="E522">
        <v>14</v>
      </c>
      <c r="F522" t="s">
        <v>502</v>
      </c>
      <c r="G522" t="s">
        <v>558</v>
      </c>
      <c r="H522" t="s">
        <v>148</v>
      </c>
      <c r="O522">
        <v>0</v>
      </c>
      <c r="P522">
        <v>0</v>
      </c>
    </row>
    <row r="523" spans="1:16" x14ac:dyDescent="0.2">
      <c r="A523" t="s">
        <v>107</v>
      </c>
      <c r="B523" t="s">
        <v>1177</v>
      </c>
      <c r="D523" t="s">
        <v>797</v>
      </c>
      <c r="E523">
        <v>15</v>
      </c>
      <c r="F523" t="s">
        <v>502</v>
      </c>
      <c r="G523" t="s">
        <v>559</v>
      </c>
      <c r="H523" t="s">
        <v>181</v>
      </c>
      <c r="O523">
        <v>0</v>
      </c>
      <c r="P523">
        <v>0</v>
      </c>
    </row>
    <row r="524" spans="1:16" x14ac:dyDescent="0.2">
      <c r="A524" t="s">
        <v>107</v>
      </c>
      <c r="B524" t="s">
        <v>1178</v>
      </c>
      <c r="D524" t="s">
        <v>797</v>
      </c>
      <c r="E524">
        <v>16</v>
      </c>
      <c r="F524" t="s">
        <v>502</v>
      </c>
      <c r="G524" t="s">
        <v>560</v>
      </c>
      <c r="H524" t="s">
        <v>181</v>
      </c>
      <c r="O524">
        <v>0</v>
      </c>
      <c r="P524">
        <v>0</v>
      </c>
    </row>
    <row r="525" spans="1:16" x14ac:dyDescent="0.2">
      <c r="A525" t="s">
        <v>107</v>
      </c>
      <c r="B525" t="s">
        <v>1179</v>
      </c>
      <c r="D525" t="s">
        <v>797</v>
      </c>
      <c r="E525">
        <v>17</v>
      </c>
      <c r="F525" t="s">
        <v>502</v>
      </c>
      <c r="G525" t="s">
        <v>561</v>
      </c>
      <c r="H525" t="s">
        <v>181</v>
      </c>
      <c r="O525">
        <v>0</v>
      </c>
      <c r="P525">
        <v>0</v>
      </c>
    </row>
    <row r="526" spans="1:16" x14ac:dyDescent="0.2">
      <c r="A526" t="s">
        <v>107</v>
      </c>
      <c r="B526" t="s">
        <v>1180</v>
      </c>
      <c r="D526" t="s">
        <v>797</v>
      </c>
      <c r="E526">
        <v>18</v>
      </c>
      <c r="F526" t="s">
        <v>502</v>
      </c>
      <c r="G526" t="s">
        <v>562</v>
      </c>
      <c r="H526" t="s">
        <v>153</v>
      </c>
      <c r="O526">
        <v>0</v>
      </c>
      <c r="P526">
        <v>0</v>
      </c>
    </row>
    <row r="527" spans="1:16" x14ac:dyDescent="0.2">
      <c r="A527" t="s">
        <v>107</v>
      </c>
      <c r="B527" t="s">
        <v>1181</v>
      </c>
      <c r="D527" t="s">
        <v>797</v>
      </c>
      <c r="E527">
        <v>19</v>
      </c>
      <c r="F527" t="s">
        <v>502</v>
      </c>
      <c r="G527" t="s">
        <v>563</v>
      </c>
      <c r="H527" t="s">
        <v>181</v>
      </c>
      <c r="O527">
        <v>0</v>
      </c>
      <c r="P527">
        <v>0</v>
      </c>
    </row>
    <row r="528" spans="1:16" x14ac:dyDescent="0.2">
      <c r="A528" t="s">
        <v>107</v>
      </c>
      <c r="B528" t="s">
        <v>1182</v>
      </c>
      <c r="D528" t="s">
        <v>797</v>
      </c>
      <c r="E528">
        <v>20</v>
      </c>
      <c r="F528" t="s">
        <v>502</v>
      </c>
      <c r="G528" t="s">
        <v>564</v>
      </c>
      <c r="H528" t="s">
        <v>181</v>
      </c>
      <c r="O528">
        <v>0</v>
      </c>
      <c r="P528">
        <v>0</v>
      </c>
    </row>
    <row r="529" spans="1:16" x14ac:dyDescent="0.2">
      <c r="A529" t="s">
        <v>107</v>
      </c>
      <c r="B529" t="s">
        <v>1183</v>
      </c>
      <c r="D529" t="s">
        <v>797</v>
      </c>
      <c r="E529">
        <v>21</v>
      </c>
      <c r="F529" t="s">
        <v>502</v>
      </c>
      <c r="G529" t="s">
        <v>565</v>
      </c>
      <c r="H529" t="s">
        <v>152</v>
      </c>
      <c r="O529">
        <v>0</v>
      </c>
      <c r="P529">
        <v>0</v>
      </c>
    </row>
    <row r="530" spans="1:16" x14ac:dyDescent="0.2">
      <c r="A530" t="s">
        <v>107</v>
      </c>
      <c r="B530" t="s">
        <v>1184</v>
      </c>
      <c r="D530" t="s">
        <v>797</v>
      </c>
      <c r="E530">
        <v>22</v>
      </c>
      <c r="F530" t="s">
        <v>502</v>
      </c>
      <c r="G530" t="s">
        <v>566</v>
      </c>
      <c r="H530" t="s">
        <v>181</v>
      </c>
      <c r="O530">
        <v>0</v>
      </c>
      <c r="P530">
        <v>0</v>
      </c>
    </row>
    <row r="531" spans="1:16" x14ac:dyDescent="0.2">
      <c r="A531" t="s">
        <v>107</v>
      </c>
      <c r="B531" t="s">
        <v>1521</v>
      </c>
      <c r="D531" t="s">
        <v>798</v>
      </c>
      <c r="E531">
        <v>1</v>
      </c>
      <c r="F531" t="s">
        <v>504</v>
      </c>
      <c r="G531" t="s">
        <v>568</v>
      </c>
      <c r="H531" t="s">
        <v>567</v>
      </c>
      <c r="O531">
        <v>0</v>
      </c>
      <c r="P531">
        <v>0</v>
      </c>
    </row>
    <row r="532" spans="1:16" x14ac:dyDescent="0.2">
      <c r="A532" t="s">
        <v>107</v>
      </c>
      <c r="B532" t="s">
        <v>1522</v>
      </c>
      <c r="D532" t="s">
        <v>798</v>
      </c>
      <c r="E532">
        <v>2</v>
      </c>
      <c r="F532" t="s">
        <v>504</v>
      </c>
      <c r="G532" t="s">
        <v>569</v>
      </c>
      <c r="H532" t="s">
        <v>153</v>
      </c>
      <c r="O532">
        <v>0</v>
      </c>
      <c r="P532">
        <v>0</v>
      </c>
    </row>
    <row r="533" spans="1:16" x14ac:dyDescent="0.2">
      <c r="A533" t="s">
        <v>107</v>
      </c>
      <c r="B533" t="s">
        <v>1523</v>
      </c>
      <c r="D533" t="s">
        <v>798</v>
      </c>
      <c r="E533">
        <v>3</v>
      </c>
      <c r="F533" t="s">
        <v>504</v>
      </c>
      <c r="G533" t="s">
        <v>570</v>
      </c>
      <c r="H533" t="s">
        <v>151</v>
      </c>
      <c r="O533">
        <v>0</v>
      </c>
      <c r="P533">
        <v>0</v>
      </c>
    </row>
    <row r="534" spans="1:16" x14ac:dyDescent="0.2">
      <c r="A534" t="s">
        <v>107</v>
      </c>
      <c r="B534" t="s">
        <v>1524</v>
      </c>
      <c r="D534" t="s">
        <v>798</v>
      </c>
      <c r="E534">
        <v>4</v>
      </c>
      <c r="F534" t="s">
        <v>504</v>
      </c>
      <c r="G534" t="s">
        <v>572</v>
      </c>
      <c r="H534" t="s">
        <v>153</v>
      </c>
      <c r="O534">
        <v>0</v>
      </c>
      <c r="P534">
        <v>0</v>
      </c>
    </row>
    <row r="535" spans="1:16" x14ac:dyDescent="0.2">
      <c r="A535" t="s">
        <v>107</v>
      </c>
      <c r="B535" t="s">
        <v>1525</v>
      </c>
      <c r="D535" t="s">
        <v>798</v>
      </c>
      <c r="E535">
        <v>5</v>
      </c>
      <c r="F535" t="s">
        <v>504</v>
      </c>
      <c r="G535" t="s">
        <v>571</v>
      </c>
      <c r="H535" t="s">
        <v>153</v>
      </c>
      <c r="O535">
        <v>0</v>
      </c>
      <c r="P535">
        <v>0</v>
      </c>
    </row>
    <row r="536" spans="1:16" x14ac:dyDescent="0.2">
      <c r="A536" t="s">
        <v>107</v>
      </c>
      <c r="B536" t="s">
        <v>1526</v>
      </c>
      <c r="D536" t="s">
        <v>798</v>
      </c>
      <c r="E536">
        <v>6</v>
      </c>
      <c r="F536" t="s">
        <v>504</v>
      </c>
      <c r="G536" t="s">
        <v>1589</v>
      </c>
      <c r="H536" t="s">
        <v>148</v>
      </c>
      <c r="O536">
        <v>0</v>
      </c>
      <c r="P536">
        <v>0</v>
      </c>
    </row>
    <row r="537" spans="1:16" x14ac:dyDescent="0.2">
      <c r="A537" t="s">
        <v>107</v>
      </c>
      <c r="B537" t="s">
        <v>1527</v>
      </c>
      <c r="D537" t="s">
        <v>798</v>
      </c>
      <c r="E537">
        <v>7</v>
      </c>
      <c r="F537" t="s">
        <v>504</v>
      </c>
      <c r="G537" t="s">
        <v>573</v>
      </c>
      <c r="H537" t="s">
        <v>150</v>
      </c>
      <c r="O537">
        <v>0</v>
      </c>
      <c r="P537">
        <v>0</v>
      </c>
    </row>
    <row r="538" spans="1:16" x14ac:dyDescent="0.2">
      <c r="A538" t="s">
        <v>107</v>
      </c>
      <c r="B538" t="s">
        <v>1528</v>
      </c>
      <c r="D538" t="s">
        <v>798</v>
      </c>
      <c r="E538">
        <v>8</v>
      </c>
      <c r="F538" t="s">
        <v>504</v>
      </c>
      <c r="G538" t="s">
        <v>574</v>
      </c>
      <c r="H538" t="s">
        <v>181</v>
      </c>
      <c r="O538">
        <v>0</v>
      </c>
      <c r="P538">
        <v>0</v>
      </c>
    </row>
    <row r="539" spans="1:16" x14ac:dyDescent="0.2">
      <c r="A539" t="s">
        <v>107</v>
      </c>
      <c r="B539" t="s">
        <v>1529</v>
      </c>
      <c r="D539" t="s">
        <v>798</v>
      </c>
      <c r="E539">
        <v>9</v>
      </c>
      <c r="F539" t="s">
        <v>504</v>
      </c>
      <c r="G539" t="s">
        <v>1629</v>
      </c>
      <c r="H539" t="s">
        <v>181</v>
      </c>
      <c r="O539">
        <v>0</v>
      </c>
      <c r="P539">
        <v>0</v>
      </c>
    </row>
    <row r="540" spans="1:16" x14ac:dyDescent="0.2">
      <c r="A540" t="s">
        <v>107</v>
      </c>
      <c r="B540" t="s">
        <v>1185</v>
      </c>
      <c r="D540" t="s">
        <v>798</v>
      </c>
      <c r="E540">
        <v>10</v>
      </c>
      <c r="F540" t="s">
        <v>504</v>
      </c>
      <c r="G540" t="s">
        <v>575</v>
      </c>
      <c r="H540" t="s">
        <v>152</v>
      </c>
      <c r="O540">
        <v>0</v>
      </c>
      <c r="P540">
        <v>0</v>
      </c>
    </row>
    <row r="541" spans="1:16" x14ac:dyDescent="0.2">
      <c r="A541" t="s">
        <v>107</v>
      </c>
      <c r="B541" t="s">
        <v>1530</v>
      </c>
      <c r="D541" t="s">
        <v>799</v>
      </c>
      <c r="E541">
        <v>1</v>
      </c>
      <c r="F541" t="s">
        <v>505</v>
      </c>
      <c r="G541" t="s">
        <v>576</v>
      </c>
      <c r="H541" t="s">
        <v>153</v>
      </c>
      <c r="O541">
        <v>0</v>
      </c>
      <c r="P541">
        <v>0</v>
      </c>
    </row>
    <row r="542" spans="1:16" x14ac:dyDescent="0.2">
      <c r="A542" t="s">
        <v>107</v>
      </c>
      <c r="B542" t="s">
        <v>1531</v>
      </c>
      <c r="D542" t="s">
        <v>799</v>
      </c>
      <c r="E542">
        <v>2</v>
      </c>
      <c r="F542" t="s">
        <v>505</v>
      </c>
      <c r="G542" t="s">
        <v>577</v>
      </c>
      <c r="H542" t="s">
        <v>152</v>
      </c>
      <c r="O542">
        <v>0</v>
      </c>
      <c r="P542">
        <v>0</v>
      </c>
    </row>
    <row r="543" spans="1:16" x14ac:dyDescent="0.2">
      <c r="A543" t="s">
        <v>107</v>
      </c>
      <c r="B543" t="s">
        <v>1532</v>
      </c>
      <c r="D543" t="s">
        <v>799</v>
      </c>
      <c r="E543">
        <v>3</v>
      </c>
      <c r="F543" t="s">
        <v>505</v>
      </c>
      <c r="G543" t="s">
        <v>578</v>
      </c>
      <c r="H543" t="s">
        <v>152</v>
      </c>
      <c r="O543">
        <v>0</v>
      </c>
      <c r="P543">
        <v>0</v>
      </c>
    </row>
    <row r="544" spans="1:16" x14ac:dyDescent="0.2">
      <c r="A544" t="s">
        <v>107</v>
      </c>
      <c r="B544" t="s">
        <v>1533</v>
      </c>
      <c r="D544" t="s">
        <v>800</v>
      </c>
      <c r="E544">
        <v>1</v>
      </c>
      <c r="F544" t="s">
        <v>506</v>
      </c>
      <c r="G544" t="s">
        <v>579</v>
      </c>
      <c r="H544" t="s">
        <v>153</v>
      </c>
      <c r="O544">
        <v>0</v>
      </c>
      <c r="P544">
        <v>0</v>
      </c>
    </row>
    <row r="545" spans="1:16" x14ac:dyDescent="0.2">
      <c r="A545" t="s">
        <v>107</v>
      </c>
      <c r="B545" t="s">
        <v>1534</v>
      </c>
      <c r="D545" t="s">
        <v>800</v>
      </c>
      <c r="E545">
        <v>2</v>
      </c>
      <c r="F545" t="s">
        <v>506</v>
      </c>
      <c r="G545" t="s">
        <v>580</v>
      </c>
      <c r="H545" t="s">
        <v>152</v>
      </c>
      <c r="O545">
        <v>0</v>
      </c>
      <c r="P545">
        <v>0</v>
      </c>
    </row>
    <row r="546" spans="1:16" x14ac:dyDescent="0.2">
      <c r="A546" t="s">
        <v>107</v>
      </c>
      <c r="B546" t="s">
        <v>1535</v>
      </c>
      <c r="D546" t="s">
        <v>800</v>
      </c>
      <c r="E546">
        <v>3</v>
      </c>
      <c r="F546" t="s">
        <v>506</v>
      </c>
      <c r="G546" t="s">
        <v>581</v>
      </c>
      <c r="H546" t="s">
        <v>153</v>
      </c>
      <c r="O546">
        <v>0</v>
      </c>
      <c r="P546">
        <v>0</v>
      </c>
    </row>
    <row r="547" spans="1:16" x14ac:dyDescent="0.2">
      <c r="A547" t="s">
        <v>107</v>
      </c>
      <c r="B547" t="s">
        <v>1536</v>
      </c>
      <c r="D547" t="s">
        <v>800</v>
      </c>
      <c r="E547">
        <v>4</v>
      </c>
      <c r="F547" t="s">
        <v>506</v>
      </c>
      <c r="G547" t="s">
        <v>582</v>
      </c>
      <c r="H547" t="s">
        <v>148</v>
      </c>
      <c r="O547">
        <v>0</v>
      </c>
      <c r="P547">
        <v>0</v>
      </c>
    </row>
    <row r="548" spans="1:16" x14ac:dyDescent="0.2">
      <c r="A548" t="s">
        <v>107</v>
      </c>
      <c r="B548" t="s">
        <v>1537</v>
      </c>
      <c r="D548" t="s">
        <v>800</v>
      </c>
      <c r="E548">
        <v>5</v>
      </c>
      <c r="F548" t="s">
        <v>506</v>
      </c>
      <c r="G548" t="s">
        <v>583</v>
      </c>
      <c r="H548" t="s">
        <v>152</v>
      </c>
      <c r="O548">
        <v>0</v>
      </c>
      <c r="P548">
        <v>0</v>
      </c>
    </row>
    <row r="549" spans="1:16" x14ac:dyDescent="0.2">
      <c r="A549" t="s">
        <v>107</v>
      </c>
      <c r="B549" t="s">
        <v>1538</v>
      </c>
      <c r="D549" t="s">
        <v>800</v>
      </c>
      <c r="E549">
        <v>6</v>
      </c>
      <c r="F549" t="s">
        <v>506</v>
      </c>
      <c r="G549" t="s">
        <v>584</v>
      </c>
      <c r="H549" t="s">
        <v>181</v>
      </c>
      <c r="O549">
        <v>0</v>
      </c>
      <c r="P549">
        <v>0</v>
      </c>
    </row>
    <row r="550" spans="1:16" x14ac:dyDescent="0.2">
      <c r="A550" t="s">
        <v>107</v>
      </c>
      <c r="B550" t="s">
        <v>1539</v>
      </c>
      <c r="D550" t="s">
        <v>800</v>
      </c>
      <c r="E550">
        <v>7</v>
      </c>
      <c r="F550" t="s">
        <v>506</v>
      </c>
      <c r="G550" t="s">
        <v>1642</v>
      </c>
      <c r="H550" t="s">
        <v>181</v>
      </c>
      <c r="O550">
        <v>0</v>
      </c>
      <c r="P550">
        <v>0</v>
      </c>
    </row>
    <row r="551" spans="1:16" x14ac:dyDescent="0.2">
      <c r="A551" t="s">
        <v>107</v>
      </c>
      <c r="B551" t="s">
        <v>1540</v>
      </c>
      <c r="D551" t="s">
        <v>1186</v>
      </c>
      <c r="E551">
        <v>1</v>
      </c>
      <c r="F551" t="s">
        <v>593</v>
      </c>
      <c r="G551" t="s">
        <v>594</v>
      </c>
      <c r="H551" t="s">
        <v>494</v>
      </c>
      <c r="O551">
        <v>0</v>
      </c>
      <c r="P551">
        <v>0</v>
      </c>
    </row>
    <row r="552" spans="1:16" x14ac:dyDescent="0.2">
      <c r="A552" t="s">
        <v>107</v>
      </c>
      <c r="B552" t="s">
        <v>1541</v>
      </c>
      <c r="D552" t="s">
        <v>1186</v>
      </c>
      <c r="E552">
        <v>2</v>
      </c>
      <c r="F552" t="s">
        <v>593</v>
      </c>
      <c r="G552" t="s">
        <v>1643</v>
      </c>
      <c r="H552" t="s">
        <v>181</v>
      </c>
      <c r="O552">
        <v>0</v>
      </c>
      <c r="P552">
        <v>0</v>
      </c>
    </row>
    <row r="553" spans="1:16" x14ac:dyDescent="0.2">
      <c r="A553" t="s">
        <v>107</v>
      </c>
      <c r="B553" t="s">
        <v>1542</v>
      </c>
      <c r="D553" t="s">
        <v>1186</v>
      </c>
      <c r="E553">
        <v>3</v>
      </c>
      <c r="F553" t="s">
        <v>593</v>
      </c>
      <c r="G553" t="s">
        <v>595</v>
      </c>
      <c r="H553" t="s">
        <v>181</v>
      </c>
      <c r="O553">
        <v>0</v>
      </c>
      <c r="P553">
        <v>0</v>
      </c>
    </row>
    <row r="554" spans="1:16" x14ac:dyDescent="0.2">
      <c r="A554" t="s">
        <v>107</v>
      </c>
      <c r="B554" t="s">
        <v>1543</v>
      </c>
      <c r="D554" t="s">
        <v>1187</v>
      </c>
      <c r="E554">
        <v>1</v>
      </c>
      <c r="F554" t="s">
        <v>827</v>
      </c>
      <c r="G554" t="s">
        <v>828</v>
      </c>
      <c r="H554" t="s">
        <v>494</v>
      </c>
      <c r="O554">
        <v>0</v>
      </c>
      <c r="P554">
        <v>0</v>
      </c>
    </row>
    <row r="555" spans="1:16" x14ac:dyDescent="0.2">
      <c r="A555" t="s">
        <v>107</v>
      </c>
      <c r="B555" t="s">
        <v>1544</v>
      </c>
      <c r="D555" t="s">
        <v>1187</v>
      </c>
      <c r="E555">
        <v>2</v>
      </c>
      <c r="F555" t="s">
        <v>827</v>
      </c>
      <c r="G555" t="s">
        <v>829</v>
      </c>
      <c r="H555" t="s">
        <v>494</v>
      </c>
      <c r="O555">
        <v>0</v>
      </c>
      <c r="P555">
        <v>0</v>
      </c>
    </row>
    <row r="556" spans="1:16" x14ac:dyDescent="0.2">
      <c r="A556" t="s">
        <v>107</v>
      </c>
      <c r="B556" t="s">
        <v>1545</v>
      </c>
      <c r="D556" t="s">
        <v>1187</v>
      </c>
      <c r="E556">
        <v>3</v>
      </c>
      <c r="F556" t="s">
        <v>827</v>
      </c>
      <c r="G556" t="s">
        <v>830</v>
      </c>
      <c r="H556" t="s">
        <v>494</v>
      </c>
      <c r="O556">
        <v>0</v>
      </c>
      <c r="P556">
        <v>0</v>
      </c>
    </row>
    <row r="557" spans="1:16" x14ac:dyDescent="0.2">
      <c r="A557" t="s">
        <v>107</v>
      </c>
      <c r="B557" t="s">
        <v>1546</v>
      </c>
      <c r="D557" t="s">
        <v>1187</v>
      </c>
      <c r="E557">
        <v>4</v>
      </c>
      <c r="F557" t="s">
        <v>827</v>
      </c>
      <c r="G557" t="s">
        <v>831</v>
      </c>
      <c r="H557" t="s">
        <v>494</v>
      </c>
      <c r="O557">
        <v>0</v>
      </c>
      <c r="P557">
        <v>0</v>
      </c>
    </row>
    <row r="558" spans="1:16" x14ac:dyDescent="0.2">
      <c r="A558" t="s">
        <v>100</v>
      </c>
      <c r="B558" t="s">
        <v>1547</v>
      </c>
      <c r="D558" t="s">
        <v>326</v>
      </c>
      <c r="E558">
        <v>1</v>
      </c>
      <c r="F558" t="s">
        <v>103</v>
      </c>
      <c r="G558" t="s">
        <v>282</v>
      </c>
      <c r="H558" t="s">
        <v>153</v>
      </c>
      <c r="I558">
        <v>1</v>
      </c>
      <c r="J558">
        <v>1</v>
      </c>
      <c r="K558">
        <v>1</v>
      </c>
      <c r="L558">
        <v>5</v>
      </c>
      <c r="M558">
        <v>5</v>
      </c>
      <c r="O558">
        <v>7.2832698403599609</v>
      </c>
      <c r="P558">
        <v>7.2832698403599609</v>
      </c>
    </row>
    <row r="559" spans="1:16" x14ac:dyDescent="0.2">
      <c r="A559" t="s">
        <v>100</v>
      </c>
      <c r="B559" t="s">
        <v>1548</v>
      </c>
      <c r="D559" t="s">
        <v>326</v>
      </c>
      <c r="E559">
        <v>2</v>
      </c>
      <c r="F559" t="s">
        <v>103</v>
      </c>
      <c r="G559" t="s">
        <v>283</v>
      </c>
      <c r="H559" t="s">
        <v>153</v>
      </c>
      <c r="I559">
        <v>1</v>
      </c>
      <c r="J559">
        <v>1</v>
      </c>
      <c r="K559">
        <v>1</v>
      </c>
      <c r="L559">
        <v>5</v>
      </c>
      <c r="M559">
        <v>5</v>
      </c>
      <c r="O559">
        <v>7.2832698403599609</v>
      </c>
      <c r="P559">
        <v>7.2832698403599609</v>
      </c>
    </row>
    <row r="560" spans="1:16" x14ac:dyDescent="0.2">
      <c r="A560" t="s">
        <v>100</v>
      </c>
      <c r="B560" t="s">
        <v>1549</v>
      </c>
      <c r="D560" t="s">
        <v>326</v>
      </c>
      <c r="E560">
        <v>3</v>
      </c>
      <c r="F560" t="s">
        <v>103</v>
      </c>
      <c r="G560" t="s">
        <v>285</v>
      </c>
      <c r="H560" t="s">
        <v>153</v>
      </c>
      <c r="I560">
        <v>1</v>
      </c>
      <c r="J560">
        <v>1</v>
      </c>
      <c r="K560">
        <v>2</v>
      </c>
      <c r="L560">
        <v>5</v>
      </c>
      <c r="M560">
        <v>5</v>
      </c>
      <c r="O560">
        <v>7.4707698403599609</v>
      </c>
      <c r="P560">
        <v>7.4707698403599609</v>
      </c>
    </row>
    <row r="561" spans="1:18" x14ac:dyDescent="0.2">
      <c r="A561" t="s">
        <v>100</v>
      </c>
      <c r="B561" t="s">
        <v>1550</v>
      </c>
      <c r="D561" t="s">
        <v>326</v>
      </c>
      <c r="E561">
        <v>4</v>
      </c>
      <c r="F561" t="s">
        <v>103</v>
      </c>
      <c r="G561" t="s">
        <v>284</v>
      </c>
      <c r="H561" t="s">
        <v>153</v>
      </c>
      <c r="I561">
        <v>1</v>
      </c>
      <c r="J561">
        <v>1</v>
      </c>
      <c r="K561">
        <v>2</v>
      </c>
      <c r="L561">
        <v>5</v>
      </c>
      <c r="M561">
        <v>5</v>
      </c>
      <c r="O561">
        <v>7.4707698403599609</v>
      </c>
      <c r="P561">
        <v>7.4707698403599609</v>
      </c>
    </row>
    <row r="562" spans="1:18" x14ac:dyDescent="0.2">
      <c r="A562" t="s">
        <v>100</v>
      </c>
      <c r="B562" t="s">
        <v>1551</v>
      </c>
      <c r="D562" t="s">
        <v>326</v>
      </c>
      <c r="E562">
        <v>5</v>
      </c>
      <c r="F562" t="s">
        <v>103</v>
      </c>
      <c r="G562" t="s">
        <v>286</v>
      </c>
      <c r="H562" t="s">
        <v>153</v>
      </c>
      <c r="I562">
        <v>1</v>
      </c>
      <c r="J562">
        <v>1</v>
      </c>
      <c r="K562">
        <v>3</v>
      </c>
      <c r="L562">
        <v>5</v>
      </c>
      <c r="M562">
        <v>5</v>
      </c>
      <c r="O562">
        <v>8.3439300121397828</v>
      </c>
      <c r="P562">
        <v>8.3439300121397828</v>
      </c>
    </row>
    <row r="563" spans="1:18" x14ac:dyDescent="0.2">
      <c r="A563" t="s">
        <v>100</v>
      </c>
      <c r="B563" t="s">
        <v>1552</v>
      </c>
      <c r="D563" t="s">
        <v>326</v>
      </c>
      <c r="E563">
        <v>6</v>
      </c>
      <c r="F563" t="s">
        <v>103</v>
      </c>
      <c r="G563" t="s">
        <v>287</v>
      </c>
      <c r="H563" t="s">
        <v>148</v>
      </c>
      <c r="I563">
        <v>1</v>
      </c>
      <c r="J563">
        <v>2</v>
      </c>
      <c r="K563">
        <v>3</v>
      </c>
      <c r="L563">
        <v>4</v>
      </c>
      <c r="M563">
        <v>5</v>
      </c>
      <c r="O563">
        <v>4.1914549319579635</v>
      </c>
      <c r="P563">
        <v>6.0683906433495247</v>
      </c>
    </row>
    <row r="564" spans="1:18" x14ac:dyDescent="0.2">
      <c r="A564" t="s">
        <v>100</v>
      </c>
      <c r="B564" t="s">
        <v>1553</v>
      </c>
      <c r="D564" t="s">
        <v>326</v>
      </c>
      <c r="E564">
        <v>7</v>
      </c>
      <c r="F564" t="s">
        <v>103</v>
      </c>
      <c r="G564" t="s">
        <v>288</v>
      </c>
      <c r="H564" t="s">
        <v>148</v>
      </c>
      <c r="I564">
        <v>1</v>
      </c>
      <c r="J564">
        <v>1</v>
      </c>
      <c r="K564">
        <v>3</v>
      </c>
      <c r="L564">
        <v>5</v>
      </c>
      <c r="M564">
        <v>5</v>
      </c>
      <c r="O564">
        <v>8.3439300121397828</v>
      </c>
      <c r="P564">
        <v>8.3439300121397828</v>
      </c>
    </row>
    <row r="565" spans="1:18" x14ac:dyDescent="0.2">
      <c r="A565" t="s">
        <v>100</v>
      </c>
      <c r="B565" t="s">
        <v>1554</v>
      </c>
      <c r="D565" t="s">
        <v>322</v>
      </c>
      <c r="E565">
        <v>1</v>
      </c>
      <c r="F565" t="s">
        <v>102</v>
      </c>
      <c r="G565" t="s">
        <v>300</v>
      </c>
      <c r="H565" t="s">
        <v>153</v>
      </c>
      <c r="I565">
        <v>1</v>
      </c>
      <c r="J565">
        <v>1</v>
      </c>
      <c r="K565">
        <v>2</v>
      </c>
      <c r="L565">
        <v>5</v>
      </c>
      <c r="M565">
        <v>5</v>
      </c>
      <c r="O565">
        <v>7.4707698403599609</v>
      </c>
      <c r="P565">
        <v>7.4707698403599609</v>
      </c>
    </row>
    <row r="566" spans="1:18" x14ac:dyDescent="0.2">
      <c r="A566" t="s">
        <v>100</v>
      </c>
      <c r="B566" t="s">
        <v>1555</v>
      </c>
      <c r="D566" t="s">
        <v>322</v>
      </c>
      <c r="E566">
        <v>2</v>
      </c>
      <c r="F566" t="s">
        <v>102</v>
      </c>
      <c r="G566" t="s">
        <v>301</v>
      </c>
      <c r="H566" t="s">
        <v>153</v>
      </c>
      <c r="I566">
        <v>1</v>
      </c>
      <c r="J566">
        <v>1</v>
      </c>
      <c r="K566">
        <v>3</v>
      </c>
      <c r="L566">
        <v>5</v>
      </c>
      <c r="M566">
        <v>5</v>
      </c>
      <c r="O566">
        <v>8.3439300121397828</v>
      </c>
      <c r="P566">
        <v>8.3439300121397828</v>
      </c>
    </row>
    <row r="567" spans="1:18" x14ac:dyDescent="0.2">
      <c r="A567" t="s">
        <v>100</v>
      </c>
      <c r="B567" t="s">
        <v>1556</v>
      </c>
      <c r="D567" t="s">
        <v>322</v>
      </c>
      <c r="E567">
        <v>3</v>
      </c>
      <c r="F567" t="s">
        <v>102</v>
      </c>
      <c r="G567" t="s">
        <v>302</v>
      </c>
      <c r="H567" t="s">
        <v>153</v>
      </c>
      <c r="I567">
        <v>1</v>
      </c>
      <c r="J567">
        <v>1</v>
      </c>
      <c r="K567">
        <v>3</v>
      </c>
      <c r="L567">
        <v>4</v>
      </c>
      <c r="M567">
        <v>5</v>
      </c>
      <c r="O567">
        <v>5.5333665110238019</v>
      </c>
      <c r="P567">
        <v>8.3439300121397828</v>
      </c>
    </row>
    <row r="568" spans="1:18" x14ac:dyDescent="0.2">
      <c r="A568" t="s">
        <v>100</v>
      </c>
      <c r="B568" t="s">
        <v>1557</v>
      </c>
      <c r="D568" t="s">
        <v>322</v>
      </c>
      <c r="E568">
        <v>4</v>
      </c>
      <c r="F568" t="s">
        <v>102</v>
      </c>
      <c r="G568" t="s">
        <v>303</v>
      </c>
      <c r="H568" t="s">
        <v>150</v>
      </c>
      <c r="I568">
        <v>1</v>
      </c>
      <c r="J568">
        <v>2</v>
      </c>
      <c r="K568">
        <v>3</v>
      </c>
      <c r="L568">
        <v>3</v>
      </c>
      <c r="M568">
        <v>5</v>
      </c>
      <c r="O568">
        <v>3.0556092237531312</v>
      </c>
      <c r="P568">
        <v>6.0683906433495247</v>
      </c>
    </row>
    <row r="569" spans="1:18" x14ac:dyDescent="0.2">
      <c r="A569" t="s">
        <v>100</v>
      </c>
      <c r="B569" t="s">
        <v>1558</v>
      </c>
      <c r="D569" t="s">
        <v>322</v>
      </c>
      <c r="E569">
        <v>5</v>
      </c>
      <c r="F569" t="s">
        <v>102</v>
      </c>
      <c r="G569" t="s">
        <v>304</v>
      </c>
      <c r="H569" t="s">
        <v>153</v>
      </c>
      <c r="I569">
        <v>1</v>
      </c>
      <c r="J569">
        <v>1</v>
      </c>
      <c r="K569">
        <v>3</v>
      </c>
      <c r="L569">
        <v>5</v>
      </c>
      <c r="M569">
        <v>5</v>
      </c>
      <c r="O569">
        <v>8.3439300121397828</v>
      </c>
      <c r="P569">
        <v>8.3439300121397828</v>
      </c>
    </row>
    <row r="570" spans="1:18" x14ac:dyDescent="0.2">
      <c r="A570" t="s">
        <v>100</v>
      </c>
      <c r="B570" t="s">
        <v>1559</v>
      </c>
      <c r="D570" t="s">
        <v>322</v>
      </c>
      <c r="E570">
        <v>6</v>
      </c>
      <c r="F570" t="s">
        <v>102</v>
      </c>
      <c r="G570" t="s">
        <v>305</v>
      </c>
      <c r="H570" t="s">
        <v>152</v>
      </c>
      <c r="I570">
        <v>1</v>
      </c>
      <c r="J570">
        <v>2</v>
      </c>
      <c r="K570">
        <v>3</v>
      </c>
      <c r="L570">
        <v>4</v>
      </c>
      <c r="M570">
        <v>5</v>
      </c>
      <c r="O570">
        <v>4.1914549319579635</v>
      </c>
      <c r="P570">
        <v>6.0683906433495247</v>
      </c>
    </row>
    <row r="571" spans="1:18" x14ac:dyDescent="0.2">
      <c r="A571" t="s">
        <v>100</v>
      </c>
      <c r="B571" t="s">
        <v>1560</v>
      </c>
      <c r="D571" t="s">
        <v>322</v>
      </c>
      <c r="E571">
        <v>7</v>
      </c>
      <c r="F571" t="s">
        <v>102</v>
      </c>
      <c r="G571" t="s">
        <v>1635</v>
      </c>
      <c r="H571" t="s">
        <v>153</v>
      </c>
      <c r="I571">
        <v>1</v>
      </c>
      <c r="J571">
        <v>1</v>
      </c>
      <c r="K571">
        <v>3</v>
      </c>
      <c r="L571">
        <v>4</v>
      </c>
      <c r="M571">
        <v>5</v>
      </c>
      <c r="O571">
        <v>5.5333665110238019</v>
      </c>
      <c r="P571">
        <v>8.3439300121397828</v>
      </c>
    </row>
    <row r="572" spans="1:18" x14ac:dyDescent="0.2">
      <c r="A572" t="s">
        <v>100</v>
      </c>
      <c r="B572" t="s">
        <v>1561</v>
      </c>
      <c r="D572" t="s">
        <v>322</v>
      </c>
      <c r="E572">
        <v>8</v>
      </c>
      <c r="F572" t="s">
        <v>102</v>
      </c>
      <c r="G572" t="s">
        <v>306</v>
      </c>
      <c r="H572" t="s">
        <v>152</v>
      </c>
      <c r="I572">
        <v>1</v>
      </c>
      <c r="J572">
        <v>1</v>
      </c>
      <c r="K572">
        <v>3</v>
      </c>
      <c r="L572">
        <v>4</v>
      </c>
      <c r="M572">
        <v>5</v>
      </c>
      <c r="O572">
        <v>5.5333665110238019</v>
      </c>
      <c r="P572">
        <v>8.3439300121397828</v>
      </c>
    </row>
    <row r="573" spans="1:18" x14ac:dyDescent="0.2">
      <c r="A573" t="s">
        <v>100</v>
      </c>
      <c r="B573" t="s">
        <v>1562</v>
      </c>
      <c r="D573" t="s">
        <v>322</v>
      </c>
      <c r="E573">
        <v>9</v>
      </c>
      <c r="F573" t="s">
        <v>102</v>
      </c>
      <c r="G573" t="s">
        <v>307</v>
      </c>
      <c r="H573" t="s">
        <v>153</v>
      </c>
      <c r="I573">
        <v>1</v>
      </c>
      <c r="J573">
        <v>1</v>
      </c>
      <c r="K573">
        <v>3</v>
      </c>
      <c r="L573">
        <v>5</v>
      </c>
      <c r="M573">
        <v>5</v>
      </c>
      <c r="O573">
        <v>8.3439300121397828</v>
      </c>
      <c r="P573">
        <v>8.3439300121397828</v>
      </c>
    </row>
    <row r="574" spans="1:18" x14ac:dyDescent="0.2">
      <c r="A574" t="s">
        <v>100</v>
      </c>
      <c r="B574" t="s">
        <v>1188</v>
      </c>
      <c r="D574" t="s">
        <v>322</v>
      </c>
      <c r="E574">
        <v>10</v>
      </c>
      <c r="F574" t="s">
        <v>102</v>
      </c>
      <c r="G574" t="s">
        <v>308</v>
      </c>
      <c r="H574" t="s">
        <v>153</v>
      </c>
      <c r="I574">
        <v>1</v>
      </c>
      <c r="J574">
        <v>1</v>
      </c>
      <c r="K574">
        <v>3</v>
      </c>
      <c r="L574">
        <v>5</v>
      </c>
      <c r="M574">
        <v>5</v>
      </c>
      <c r="O574">
        <v>8.3439300121397828</v>
      </c>
      <c r="P574">
        <v>8.3439300121397828</v>
      </c>
    </row>
    <row r="575" spans="1:18" x14ac:dyDescent="0.2">
      <c r="A575" t="s">
        <v>100</v>
      </c>
      <c r="B575" t="s">
        <v>1189</v>
      </c>
      <c r="D575" t="s">
        <v>322</v>
      </c>
      <c r="E575">
        <v>11</v>
      </c>
      <c r="F575" t="s">
        <v>102</v>
      </c>
      <c r="G575" t="s">
        <v>309</v>
      </c>
      <c r="H575" t="s">
        <v>151</v>
      </c>
      <c r="I575">
        <v>1</v>
      </c>
      <c r="J575">
        <v>2</v>
      </c>
      <c r="K575">
        <v>4</v>
      </c>
      <c r="L575">
        <v>5</v>
      </c>
      <c r="M575">
        <v>5</v>
      </c>
      <c r="O575">
        <v>7.9305662093421851</v>
      </c>
      <c r="P575">
        <v>7.9305662093421851</v>
      </c>
      <c r="R575" t="s">
        <v>311</v>
      </c>
    </row>
    <row r="576" spans="1:18" x14ac:dyDescent="0.2">
      <c r="A576" t="s">
        <v>100</v>
      </c>
      <c r="B576" t="s">
        <v>1190</v>
      </c>
      <c r="D576" t="s">
        <v>322</v>
      </c>
      <c r="E576">
        <v>12</v>
      </c>
      <c r="F576" t="s">
        <v>102</v>
      </c>
      <c r="G576" t="s">
        <v>310</v>
      </c>
      <c r="H576" t="s">
        <v>152</v>
      </c>
      <c r="I576">
        <v>1</v>
      </c>
      <c r="J576">
        <v>2</v>
      </c>
      <c r="K576">
        <v>3</v>
      </c>
      <c r="L576">
        <v>4</v>
      </c>
      <c r="M576">
        <v>5</v>
      </c>
      <c r="O576">
        <v>4.1914549319579635</v>
      </c>
      <c r="P576">
        <v>6.0683906433495247</v>
      </c>
    </row>
    <row r="577" spans="1:18" x14ac:dyDescent="0.2">
      <c r="A577" t="s">
        <v>100</v>
      </c>
      <c r="B577" t="s">
        <v>1191</v>
      </c>
      <c r="D577" t="s">
        <v>322</v>
      </c>
      <c r="E577">
        <v>13</v>
      </c>
      <c r="F577" t="s">
        <v>102</v>
      </c>
      <c r="G577" t="s">
        <v>312</v>
      </c>
      <c r="H577" t="s">
        <v>150</v>
      </c>
      <c r="I577">
        <v>1</v>
      </c>
      <c r="J577">
        <v>2</v>
      </c>
      <c r="K577">
        <v>3</v>
      </c>
      <c r="L577">
        <v>3</v>
      </c>
      <c r="M577">
        <v>4</v>
      </c>
      <c r="O577">
        <v>3.0556092237531312</v>
      </c>
      <c r="P577">
        <v>4.1914549319579635</v>
      </c>
    </row>
    <row r="578" spans="1:18" x14ac:dyDescent="0.2">
      <c r="A578" t="s">
        <v>100</v>
      </c>
      <c r="B578" t="s">
        <v>1192</v>
      </c>
      <c r="D578" t="s">
        <v>322</v>
      </c>
      <c r="E578">
        <v>14</v>
      </c>
      <c r="F578" t="s">
        <v>102</v>
      </c>
      <c r="G578" t="s">
        <v>313</v>
      </c>
      <c r="H578" t="s">
        <v>149</v>
      </c>
      <c r="I578">
        <v>1</v>
      </c>
      <c r="J578">
        <v>2</v>
      </c>
      <c r="K578">
        <v>3</v>
      </c>
      <c r="L578">
        <v>3</v>
      </c>
      <c r="M578">
        <v>4</v>
      </c>
      <c r="O578">
        <v>3.0556092237531312</v>
      </c>
      <c r="P578">
        <v>4.1914549319579635</v>
      </c>
    </row>
    <row r="579" spans="1:18" x14ac:dyDescent="0.2">
      <c r="A579" t="s">
        <v>100</v>
      </c>
      <c r="B579" t="s">
        <v>1193</v>
      </c>
      <c r="D579" t="s">
        <v>322</v>
      </c>
      <c r="E579">
        <v>15</v>
      </c>
      <c r="F579" t="s">
        <v>102</v>
      </c>
      <c r="G579" t="s">
        <v>314</v>
      </c>
      <c r="H579" t="s">
        <v>152</v>
      </c>
      <c r="I579">
        <v>1</v>
      </c>
      <c r="J579">
        <v>2</v>
      </c>
      <c r="K579">
        <v>3</v>
      </c>
      <c r="L579">
        <v>4</v>
      </c>
      <c r="M579">
        <v>5</v>
      </c>
      <c r="O579">
        <v>4.1914549319579635</v>
      </c>
      <c r="P579">
        <v>6.0683906433495247</v>
      </c>
    </row>
    <row r="580" spans="1:18" x14ac:dyDescent="0.2">
      <c r="A580" t="s">
        <v>100</v>
      </c>
      <c r="B580" t="s">
        <v>1194</v>
      </c>
      <c r="D580" t="s">
        <v>322</v>
      </c>
      <c r="E580">
        <v>16</v>
      </c>
      <c r="F580" t="s">
        <v>102</v>
      </c>
      <c r="G580" t="s">
        <v>317</v>
      </c>
      <c r="H580" t="s">
        <v>153</v>
      </c>
      <c r="I580">
        <v>1</v>
      </c>
      <c r="J580">
        <v>1</v>
      </c>
      <c r="K580">
        <v>3</v>
      </c>
      <c r="L580">
        <v>4</v>
      </c>
      <c r="M580">
        <v>5</v>
      </c>
      <c r="O580">
        <v>5.5333665110238019</v>
      </c>
      <c r="P580">
        <v>8.3439300121397828</v>
      </c>
    </row>
    <row r="581" spans="1:18" x14ac:dyDescent="0.2">
      <c r="A581" t="s">
        <v>100</v>
      </c>
      <c r="B581" t="s">
        <v>1195</v>
      </c>
      <c r="D581" t="s">
        <v>322</v>
      </c>
      <c r="E581">
        <v>17</v>
      </c>
      <c r="F581" t="s">
        <v>102</v>
      </c>
      <c r="G581" t="s">
        <v>316</v>
      </c>
      <c r="H581" t="s">
        <v>152</v>
      </c>
      <c r="I581">
        <v>1</v>
      </c>
      <c r="J581">
        <v>1</v>
      </c>
      <c r="K581">
        <v>3</v>
      </c>
      <c r="L581">
        <v>4</v>
      </c>
      <c r="M581">
        <v>5</v>
      </c>
      <c r="O581">
        <v>5.5333665110238019</v>
      </c>
      <c r="P581">
        <v>8.3439300121397828</v>
      </c>
      <c r="R581" t="s">
        <v>315</v>
      </c>
    </row>
    <row r="582" spans="1:18" x14ac:dyDescent="0.2">
      <c r="A582" t="s">
        <v>100</v>
      </c>
      <c r="B582" t="s">
        <v>1196</v>
      </c>
      <c r="D582" t="s">
        <v>322</v>
      </c>
      <c r="E582">
        <v>18</v>
      </c>
      <c r="F582" t="s">
        <v>102</v>
      </c>
      <c r="G582" t="s">
        <v>318</v>
      </c>
      <c r="H582" t="s">
        <v>153</v>
      </c>
      <c r="I582">
        <v>1</v>
      </c>
      <c r="J582">
        <v>1</v>
      </c>
      <c r="K582">
        <v>3</v>
      </c>
      <c r="L582">
        <v>4</v>
      </c>
      <c r="M582">
        <v>5</v>
      </c>
      <c r="O582">
        <v>5.5333665110238019</v>
      </c>
      <c r="P582">
        <v>8.3439300121397828</v>
      </c>
    </row>
    <row r="583" spans="1:18" x14ac:dyDescent="0.2">
      <c r="A583" t="s">
        <v>100</v>
      </c>
      <c r="B583" t="s">
        <v>1197</v>
      </c>
      <c r="D583" t="s">
        <v>322</v>
      </c>
      <c r="E583">
        <v>19</v>
      </c>
      <c r="F583" t="s">
        <v>102</v>
      </c>
      <c r="G583" t="s">
        <v>1636</v>
      </c>
      <c r="H583" t="s">
        <v>151</v>
      </c>
      <c r="I583">
        <v>1</v>
      </c>
      <c r="J583">
        <v>1</v>
      </c>
      <c r="K583">
        <v>3</v>
      </c>
      <c r="L583">
        <v>5</v>
      </c>
      <c r="M583">
        <v>5</v>
      </c>
      <c r="O583">
        <v>8.3439300121397828</v>
      </c>
      <c r="P583">
        <v>8.3439300121397828</v>
      </c>
    </row>
    <row r="584" spans="1:18" x14ac:dyDescent="0.2">
      <c r="A584" t="s">
        <v>100</v>
      </c>
      <c r="B584" t="s">
        <v>1198</v>
      </c>
      <c r="D584" t="s">
        <v>322</v>
      </c>
      <c r="E584">
        <v>20</v>
      </c>
      <c r="F584" t="s">
        <v>102</v>
      </c>
      <c r="G584" t="s">
        <v>319</v>
      </c>
      <c r="H584" t="s">
        <v>151</v>
      </c>
      <c r="I584">
        <v>1</v>
      </c>
      <c r="J584">
        <v>1</v>
      </c>
      <c r="K584">
        <v>2</v>
      </c>
      <c r="L584">
        <v>5</v>
      </c>
      <c r="M584">
        <v>5</v>
      </c>
      <c r="O584">
        <v>7.4707698403599609</v>
      </c>
      <c r="P584">
        <v>7.4707698403599609</v>
      </c>
    </row>
    <row r="585" spans="1:18" x14ac:dyDescent="0.2">
      <c r="A585" t="s">
        <v>100</v>
      </c>
      <c r="B585" t="s">
        <v>1199</v>
      </c>
      <c r="D585" t="s">
        <v>322</v>
      </c>
      <c r="E585">
        <v>21</v>
      </c>
      <c r="F585" t="s">
        <v>102</v>
      </c>
      <c r="G585" t="s">
        <v>329</v>
      </c>
      <c r="H585" t="s">
        <v>273</v>
      </c>
      <c r="O585">
        <v>0</v>
      </c>
      <c r="P585">
        <v>0</v>
      </c>
    </row>
    <row r="586" spans="1:18" x14ac:dyDescent="0.2">
      <c r="A586" t="s">
        <v>100</v>
      </c>
      <c r="B586" t="s">
        <v>1563</v>
      </c>
      <c r="D586" t="s">
        <v>325</v>
      </c>
      <c r="E586">
        <v>1</v>
      </c>
      <c r="F586" t="s">
        <v>122</v>
      </c>
      <c r="G586" t="s">
        <v>295</v>
      </c>
      <c r="H586" t="s">
        <v>153</v>
      </c>
      <c r="I586">
        <v>1</v>
      </c>
      <c r="J586">
        <v>1</v>
      </c>
      <c r="K586">
        <v>2</v>
      </c>
      <c r="L586">
        <v>5</v>
      </c>
      <c r="M586">
        <v>5</v>
      </c>
      <c r="O586">
        <v>7.4707698403599609</v>
      </c>
      <c r="P586">
        <v>7.4707698403599609</v>
      </c>
    </row>
    <row r="587" spans="1:18" x14ac:dyDescent="0.2">
      <c r="A587" t="s">
        <v>100</v>
      </c>
      <c r="B587" t="s">
        <v>1564</v>
      </c>
      <c r="D587" t="s">
        <v>325</v>
      </c>
      <c r="E587">
        <v>2</v>
      </c>
      <c r="F587" t="s">
        <v>122</v>
      </c>
      <c r="G587" t="s">
        <v>1633</v>
      </c>
      <c r="H587" t="s">
        <v>151</v>
      </c>
      <c r="I587">
        <v>1</v>
      </c>
      <c r="J587">
        <v>2</v>
      </c>
      <c r="K587">
        <v>3</v>
      </c>
      <c r="L587">
        <v>5</v>
      </c>
      <c r="M587">
        <v>5</v>
      </c>
      <c r="O587">
        <v>6.0683906433495247</v>
      </c>
      <c r="P587">
        <v>6.0683906433495247</v>
      </c>
    </row>
    <row r="588" spans="1:18" x14ac:dyDescent="0.2">
      <c r="A588" t="s">
        <v>100</v>
      </c>
      <c r="B588" t="s">
        <v>1565</v>
      </c>
      <c r="D588" t="s">
        <v>325</v>
      </c>
      <c r="E588">
        <v>3</v>
      </c>
      <c r="F588" t="s">
        <v>122</v>
      </c>
      <c r="G588" t="s">
        <v>293</v>
      </c>
      <c r="H588" t="s">
        <v>151</v>
      </c>
      <c r="I588">
        <v>1</v>
      </c>
      <c r="J588">
        <v>2</v>
      </c>
      <c r="K588">
        <v>3</v>
      </c>
      <c r="L588">
        <v>5</v>
      </c>
      <c r="M588">
        <v>5</v>
      </c>
      <c r="O588">
        <v>6.0683906433495247</v>
      </c>
      <c r="P588">
        <v>6.0683906433495247</v>
      </c>
    </row>
    <row r="589" spans="1:18" x14ac:dyDescent="0.2">
      <c r="A589" t="s">
        <v>100</v>
      </c>
      <c r="B589" t="s">
        <v>1566</v>
      </c>
      <c r="D589" t="s">
        <v>325</v>
      </c>
      <c r="E589">
        <v>4</v>
      </c>
      <c r="F589" t="s">
        <v>122</v>
      </c>
      <c r="G589" t="s">
        <v>1634</v>
      </c>
      <c r="H589" t="s">
        <v>149</v>
      </c>
      <c r="I589">
        <v>1</v>
      </c>
      <c r="J589">
        <v>2</v>
      </c>
      <c r="K589">
        <v>2</v>
      </c>
      <c r="L589">
        <v>4</v>
      </c>
      <c r="M589">
        <v>5</v>
      </c>
      <c r="O589">
        <v>3.4675646088337704</v>
      </c>
      <c r="P589">
        <v>5.1952304715697029</v>
      </c>
    </row>
    <row r="590" spans="1:18" x14ac:dyDescent="0.2">
      <c r="A590" t="s">
        <v>100</v>
      </c>
      <c r="B590" t="s">
        <v>1567</v>
      </c>
      <c r="D590" t="s">
        <v>325</v>
      </c>
      <c r="E590">
        <v>5</v>
      </c>
      <c r="F590" t="s">
        <v>122</v>
      </c>
      <c r="G590" t="s">
        <v>296</v>
      </c>
      <c r="H590" t="s">
        <v>153</v>
      </c>
      <c r="I590">
        <v>1</v>
      </c>
      <c r="J590">
        <v>1</v>
      </c>
      <c r="K590">
        <v>2</v>
      </c>
      <c r="L590">
        <v>5</v>
      </c>
      <c r="M590">
        <v>5</v>
      </c>
      <c r="O590">
        <v>7.4707698403599609</v>
      </c>
      <c r="P590">
        <v>7.4707698403599609</v>
      </c>
    </row>
    <row r="591" spans="1:18" x14ac:dyDescent="0.2">
      <c r="A591" t="s">
        <v>100</v>
      </c>
      <c r="B591" t="s">
        <v>1568</v>
      </c>
      <c r="D591" t="s">
        <v>325</v>
      </c>
      <c r="E591">
        <v>6</v>
      </c>
      <c r="F591" t="s">
        <v>122</v>
      </c>
      <c r="G591" t="s">
        <v>294</v>
      </c>
      <c r="H591" t="s">
        <v>153</v>
      </c>
      <c r="I591">
        <v>1</v>
      </c>
      <c r="J591">
        <v>1</v>
      </c>
      <c r="K591">
        <v>3</v>
      </c>
      <c r="L591">
        <v>5</v>
      </c>
      <c r="M591">
        <v>5</v>
      </c>
      <c r="O591">
        <v>8.3439300121397828</v>
      </c>
      <c r="P591">
        <v>8.3439300121397828</v>
      </c>
    </row>
    <row r="592" spans="1:18" x14ac:dyDescent="0.2">
      <c r="A592" t="s">
        <v>100</v>
      </c>
      <c r="B592" t="s">
        <v>1569</v>
      </c>
      <c r="D592" t="s">
        <v>325</v>
      </c>
      <c r="E592">
        <v>7</v>
      </c>
      <c r="F592" t="s">
        <v>122</v>
      </c>
      <c r="G592" t="s">
        <v>297</v>
      </c>
      <c r="H592" t="s">
        <v>152</v>
      </c>
      <c r="I592">
        <v>1</v>
      </c>
      <c r="J592">
        <v>2</v>
      </c>
      <c r="K592">
        <v>3</v>
      </c>
      <c r="L592">
        <v>5</v>
      </c>
      <c r="M592">
        <v>5</v>
      </c>
      <c r="O592">
        <v>6.0683906433495247</v>
      </c>
      <c r="P592">
        <v>6.0683906433495247</v>
      </c>
    </row>
    <row r="593" spans="1:16" x14ac:dyDescent="0.2">
      <c r="A593" t="s">
        <v>100</v>
      </c>
      <c r="B593" t="s">
        <v>1570</v>
      </c>
      <c r="D593" t="s">
        <v>325</v>
      </c>
      <c r="E593">
        <v>8</v>
      </c>
      <c r="F593" t="s">
        <v>124</v>
      </c>
      <c r="G593" t="s">
        <v>298</v>
      </c>
      <c r="H593" t="s">
        <v>153</v>
      </c>
      <c r="I593">
        <v>1</v>
      </c>
      <c r="J593">
        <v>1</v>
      </c>
      <c r="K593">
        <v>3</v>
      </c>
      <c r="L593">
        <v>4</v>
      </c>
      <c r="M593">
        <v>5</v>
      </c>
      <c r="O593">
        <v>5.5333665110238019</v>
      </c>
      <c r="P593">
        <v>8.3439300121397828</v>
      </c>
    </row>
    <row r="594" spans="1:16" x14ac:dyDescent="0.2">
      <c r="A594" t="s">
        <v>100</v>
      </c>
      <c r="B594" t="s">
        <v>1571</v>
      </c>
      <c r="D594" t="s">
        <v>325</v>
      </c>
      <c r="E594">
        <v>9</v>
      </c>
      <c r="F594" t="s">
        <v>124</v>
      </c>
      <c r="G594" t="s">
        <v>299</v>
      </c>
      <c r="H594" t="s">
        <v>153</v>
      </c>
      <c r="I594">
        <v>1</v>
      </c>
      <c r="J594">
        <v>1</v>
      </c>
      <c r="K594">
        <v>2</v>
      </c>
      <c r="L594">
        <v>5</v>
      </c>
      <c r="M594">
        <v>5</v>
      </c>
      <c r="O594">
        <v>7.4707698403599609</v>
      </c>
      <c r="P594">
        <v>7.4707698403599609</v>
      </c>
    </row>
    <row r="595" spans="1:16" x14ac:dyDescent="0.2">
      <c r="A595" t="s">
        <v>100</v>
      </c>
      <c r="B595" t="s">
        <v>1200</v>
      </c>
      <c r="D595" t="s">
        <v>325</v>
      </c>
      <c r="E595">
        <v>10</v>
      </c>
      <c r="F595" t="s">
        <v>124</v>
      </c>
      <c r="G595" t="s">
        <v>1586</v>
      </c>
      <c r="H595" t="s">
        <v>152</v>
      </c>
      <c r="I595">
        <v>1</v>
      </c>
      <c r="J595">
        <v>2</v>
      </c>
      <c r="K595">
        <v>3</v>
      </c>
      <c r="L595">
        <v>4</v>
      </c>
      <c r="M595">
        <v>5</v>
      </c>
      <c r="O595">
        <v>4.1914549319579635</v>
      </c>
      <c r="P595">
        <v>6.0683906433495247</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363</v>
      </c>
    </row>
    <row r="10" spans="5:12" ht="17" x14ac:dyDescent="0.2">
      <c r="E10" s="38" t="s">
        <v>10</v>
      </c>
      <c r="F10" t="s">
        <v>266</v>
      </c>
      <c r="G10" t="s">
        <v>267</v>
      </c>
      <c r="H10" t="s">
        <v>268</v>
      </c>
      <c r="I10" t="s">
        <v>269</v>
      </c>
      <c r="J10" t="s">
        <v>271</v>
      </c>
      <c r="K10" t="s">
        <v>272</v>
      </c>
      <c r="L10" t="s">
        <v>270</v>
      </c>
    </row>
    <row r="11" spans="5:12" x14ac:dyDescent="0.2">
      <c r="E11" s="2" t="s">
        <v>765</v>
      </c>
      <c r="F11" s="71">
        <v>1</v>
      </c>
      <c r="G11" s="71"/>
      <c r="H11" s="71"/>
      <c r="I11" s="71"/>
      <c r="J11" s="71"/>
      <c r="K11" s="71">
        <v>0</v>
      </c>
      <c r="L11" s="71">
        <v>0</v>
      </c>
    </row>
    <row r="12" spans="5:12" ht="17" x14ac:dyDescent="0.2">
      <c r="E12" s="39" t="s">
        <v>365</v>
      </c>
      <c r="F12" s="71">
        <v>1</v>
      </c>
      <c r="G12" s="71"/>
      <c r="H12" s="71"/>
      <c r="I12" s="71"/>
      <c r="J12" s="71"/>
      <c r="K12" s="71">
        <v>0</v>
      </c>
      <c r="L12" s="71">
        <v>0</v>
      </c>
    </row>
    <row r="13" spans="5:12" ht="17" x14ac:dyDescent="0.2">
      <c r="E13" s="39" t="s">
        <v>383</v>
      </c>
      <c r="F13" s="71">
        <v>1</v>
      </c>
      <c r="G13" s="71"/>
      <c r="H13" s="71"/>
      <c r="I13" s="71"/>
      <c r="J13" s="71"/>
      <c r="K13" s="71">
        <v>0</v>
      </c>
      <c r="L13" s="71">
        <v>0</v>
      </c>
    </row>
    <row r="14" spans="5:12" x14ac:dyDescent="0.2">
      <c r="E14" s="2" t="s">
        <v>766</v>
      </c>
      <c r="F14" s="71"/>
      <c r="G14" s="71">
        <v>4</v>
      </c>
      <c r="H14" s="71"/>
      <c r="I14" s="71"/>
      <c r="J14" s="71"/>
      <c r="K14" s="71">
        <v>0</v>
      </c>
      <c r="L14" s="71">
        <v>0</v>
      </c>
    </row>
    <row r="15" spans="5:12" ht="17" x14ac:dyDescent="0.2">
      <c r="E15" s="39" t="s">
        <v>366</v>
      </c>
      <c r="F15" s="71"/>
      <c r="G15" s="71">
        <v>4</v>
      </c>
      <c r="H15" s="71"/>
      <c r="I15" s="71"/>
      <c r="J15" s="71"/>
      <c r="K15" s="71">
        <v>0</v>
      </c>
      <c r="L15" s="71">
        <v>0</v>
      </c>
    </row>
    <row r="16" spans="5:12" ht="17" x14ac:dyDescent="0.2">
      <c r="E16" s="39" t="s">
        <v>390</v>
      </c>
      <c r="F16" s="71"/>
      <c r="G16" s="71"/>
      <c r="H16" s="71"/>
      <c r="I16" s="71"/>
      <c r="J16" s="71"/>
      <c r="K16" s="71">
        <v>0</v>
      </c>
      <c r="L16" s="71">
        <v>0</v>
      </c>
    </row>
    <row r="17" spans="5:12" ht="17" x14ac:dyDescent="0.2">
      <c r="E17" s="39" t="s">
        <v>394</v>
      </c>
      <c r="F17" s="71"/>
      <c r="G17" s="71"/>
      <c r="H17" s="71"/>
      <c r="I17" s="71"/>
      <c r="J17" s="71"/>
      <c r="K17" s="71">
        <v>0</v>
      </c>
      <c r="L17" s="71">
        <v>0</v>
      </c>
    </row>
    <row r="18" spans="5:12" ht="17" x14ac:dyDescent="0.2">
      <c r="E18" s="39" t="s">
        <v>393</v>
      </c>
      <c r="F18" s="71"/>
      <c r="G18" s="71"/>
      <c r="H18" s="71"/>
      <c r="I18" s="71"/>
      <c r="J18" s="71"/>
      <c r="K18" s="71">
        <v>0</v>
      </c>
      <c r="L18" s="71">
        <v>0</v>
      </c>
    </row>
    <row r="19" spans="5:12" ht="17" x14ac:dyDescent="0.2">
      <c r="E19" s="39" t="s">
        <v>392</v>
      </c>
      <c r="F19" s="71"/>
      <c r="G19" s="71"/>
      <c r="H19" s="71"/>
      <c r="I19" s="71"/>
      <c r="J19" s="71"/>
      <c r="K19" s="71">
        <v>0</v>
      </c>
      <c r="L19" s="71">
        <v>0</v>
      </c>
    </row>
    <row r="20" spans="5:12" ht="17" x14ac:dyDescent="0.2">
      <c r="E20" s="39" t="s">
        <v>384</v>
      </c>
      <c r="F20" s="71"/>
      <c r="G20" s="71"/>
      <c r="H20" s="71"/>
      <c r="I20" s="71"/>
      <c r="J20" s="71"/>
      <c r="K20" s="71">
        <v>0</v>
      </c>
      <c r="L20" s="71">
        <v>0</v>
      </c>
    </row>
    <row r="21" spans="5:12" ht="17" x14ac:dyDescent="0.2">
      <c r="E21" s="39" t="s">
        <v>391</v>
      </c>
      <c r="F21" s="71"/>
      <c r="G21" s="71">
        <v>4</v>
      </c>
      <c r="H21" s="71"/>
      <c r="I21" s="71"/>
      <c r="J21" s="71"/>
      <c r="K21" s="71">
        <v>0</v>
      </c>
      <c r="L21" s="71">
        <v>0</v>
      </c>
    </row>
    <row r="22" spans="5:12" ht="17" x14ac:dyDescent="0.2">
      <c r="E22" s="39" t="s">
        <v>387</v>
      </c>
      <c r="F22" s="71"/>
      <c r="G22" s="71"/>
      <c r="H22" s="71"/>
      <c r="I22" s="71"/>
      <c r="J22" s="71"/>
      <c r="K22" s="71">
        <v>0</v>
      </c>
      <c r="L22" s="71">
        <v>0</v>
      </c>
    </row>
    <row r="23" spans="5:12" ht="17" x14ac:dyDescent="0.2">
      <c r="E23" s="39" t="s">
        <v>388</v>
      </c>
      <c r="F23" s="71"/>
      <c r="G23" s="71"/>
      <c r="H23" s="71"/>
      <c r="I23" s="71"/>
      <c r="J23" s="71"/>
      <c r="K23" s="71">
        <v>0</v>
      </c>
      <c r="L23" s="71">
        <v>0</v>
      </c>
    </row>
    <row r="24" spans="5:12" ht="17" x14ac:dyDescent="0.2">
      <c r="E24" s="39" t="s">
        <v>389</v>
      </c>
      <c r="F24" s="71"/>
      <c r="G24" s="71"/>
      <c r="H24" s="71"/>
      <c r="I24" s="71"/>
      <c r="J24" s="71"/>
      <c r="K24" s="71">
        <v>0</v>
      </c>
      <c r="L24" s="71">
        <v>0</v>
      </c>
    </row>
    <row r="25" spans="5:12" ht="17" x14ac:dyDescent="0.2">
      <c r="E25" s="39" t="s">
        <v>386</v>
      </c>
      <c r="F25" s="71"/>
      <c r="G25" s="71"/>
      <c r="H25" s="71"/>
      <c r="I25" s="71"/>
      <c r="J25" s="71"/>
      <c r="K25" s="71">
        <v>0</v>
      </c>
      <c r="L25" s="71">
        <v>0</v>
      </c>
    </row>
    <row r="26" spans="5:12" ht="17" x14ac:dyDescent="0.2">
      <c r="E26" s="39" t="s">
        <v>688</v>
      </c>
      <c r="F26" s="71"/>
      <c r="G26" s="71"/>
      <c r="H26" s="71"/>
      <c r="I26" s="71"/>
      <c r="J26" s="71"/>
      <c r="K26" s="71">
        <v>0</v>
      </c>
      <c r="L26" s="71">
        <v>0</v>
      </c>
    </row>
    <row r="27" spans="5:12" ht="17" x14ac:dyDescent="0.2">
      <c r="E27" s="39" t="s">
        <v>385</v>
      </c>
      <c r="F27" s="71"/>
      <c r="G27" s="71"/>
      <c r="H27" s="71"/>
      <c r="I27" s="71"/>
      <c r="J27" s="71"/>
      <c r="K27" s="71">
        <v>0</v>
      </c>
      <c r="L27" s="71">
        <v>0</v>
      </c>
    </row>
    <row r="28" spans="5:12" x14ac:dyDescent="0.2">
      <c r="E28" s="2" t="s">
        <v>767</v>
      </c>
      <c r="F28" s="71"/>
      <c r="G28" s="71"/>
      <c r="H28" s="71"/>
      <c r="I28" s="71"/>
      <c r="J28" s="71"/>
      <c r="K28" s="71">
        <v>0</v>
      </c>
      <c r="L28" s="71">
        <v>0</v>
      </c>
    </row>
    <row r="29" spans="5:12" ht="17" x14ac:dyDescent="0.2">
      <c r="E29" s="39" t="s">
        <v>368</v>
      </c>
      <c r="F29" s="71"/>
      <c r="G29" s="71"/>
      <c r="H29" s="71"/>
      <c r="I29" s="71"/>
      <c r="J29" s="71"/>
      <c r="K29" s="71">
        <v>0</v>
      </c>
      <c r="L29" s="71">
        <v>0</v>
      </c>
    </row>
    <row r="30" spans="5:12" ht="17" x14ac:dyDescent="0.2">
      <c r="E30" s="39" t="s">
        <v>395</v>
      </c>
      <c r="F30" s="71"/>
      <c r="G30" s="71"/>
      <c r="H30" s="71"/>
      <c r="I30" s="71"/>
      <c r="J30" s="71"/>
      <c r="K30" s="71">
        <v>0</v>
      </c>
      <c r="L30" s="71">
        <v>0</v>
      </c>
    </row>
    <row r="31" spans="5:12" ht="17" x14ac:dyDescent="0.2">
      <c r="E31" s="39" t="s">
        <v>396</v>
      </c>
      <c r="F31" s="71"/>
      <c r="G31" s="71"/>
      <c r="H31" s="71"/>
      <c r="I31" s="71"/>
      <c r="J31" s="71"/>
      <c r="K31" s="71">
        <v>0</v>
      </c>
      <c r="L31" s="71">
        <v>0</v>
      </c>
    </row>
    <row r="32" spans="5:12" ht="17" x14ac:dyDescent="0.2">
      <c r="E32" s="39" t="s">
        <v>399</v>
      </c>
      <c r="F32" s="71"/>
      <c r="G32" s="71"/>
      <c r="H32" s="71"/>
      <c r="I32" s="71"/>
      <c r="J32" s="71"/>
      <c r="K32" s="71">
        <v>0</v>
      </c>
      <c r="L32" s="71">
        <v>0</v>
      </c>
    </row>
    <row r="33" spans="5:12" ht="17" x14ac:dyDescent="0.2">
      <c r="E33" s="39" t="s">
        <v>398</v>
      </c>
      <c r="F33" s="71"/>
      <c r="G33" s="71"/>
      <c r="H33" s="71"/>
      <c r="I33" s="71"/>
      <c r="J33" s="71"/>
      <c r="K33" s="71">
        <v>0</v>
      </c>
      <c r="L33" s="71">
        <v>0</v>
      </c>
    </row>
    <row r="34" spans="5:12" ht="17" x14ac:dyDescent="0.2">
      <c r="E34" s="39" t="s">
        <v>365</v>
      </c>
      <c r="F34" s="71"/>
      <c r="G34" s="71"/>
      <c r="H34" s="71"/>
      <c r="I34" s="71"/>
      <c r="J34" s="71"/>
      <c r="K34" s="71">
        <v>0</v>
      </c>
      <c r="L34" s="71">
        <v>0</v>
      </c>
    </row>
    <row r="35" spans="5:12" ht="17" x14ac:dyDescent="0.2">
      <c r="E35" s="39" t="s">
        <v>397</v>
      </c>
      <c r="F35" s="71"/>
      <c r="G35" s="71"/>
      <c r="H35" s="71"/>
      <c r="I35" s="71"/>
      <c r="J35" s="71"/>
      <c r="K35" s="71">
        <v>0</v>
      </c>
      <c r="L35" s="71">
        <v>0</v>
      </c>
    </row>
    <row r="36" spans="5:12" x14ac:dyDescent="0.2">
      <c r="E36" s="2" t="s">
        <v>768</v>
      </c>
      <c r="F36" s="71"/>
      <c r="G36" s="71"/>
      <c r="H36" s="71"/>
      <c r="I36" s="71"/>
      <c r="J36" s="71"/>
      <c r="K36" s="71">
        <v>0</v>
      </c>
      <c r="L36" s="71">
        <v>0</v>
      </c>
    </row>
    <row r="37" spans="5:12" ht="17" x14ac:dyDescent="0.2">
      <c r="E37" s="39" t="s">
        <v>369</v>
      </c>
      <c r="F37" s="71"/>
      <c r="G37" s="71"/>
      <c r="H37" s="71"/>
      <c r="I37" s="71"/>
      <c r="J37" s="71"/>
      <c r="K37" s="71">
        <v>0</v>
      </c>
      <c r="L37" s="71">
        <v>0</v>
      </c>
    </row>
    <row r="38" spans="5:12" ht="17" x14ac:dyDescent="0.2">
      <c r="E38" s="39" t="s">
        <v>689</v>
      </c>
      <c r="F38" s="71"/>
      <c r="G38" s="71"/>
      <c r="H38" s="71"/>
      <c r="I38" s="71"/>
      <c r="J38" s="71"/>
      <c r="K38" s="71">
        <v>0</v>
      </c>
      <c r="L38" s="71">
        <v>0</v>
      </c>
    </row>
    <row r="39" spans="5:12" ht="17" x14ac:dyDescent="0.2">
      <c r="E39" s="39" t="s">
        <v>691</v>
      </c>
      <c r="F39" s="71"/>
      <c r="G39" s="71"/>
      <c r="H39" s="71"/>
      <c r="I39" s="71"/>
      <c r="J39" s="71"/>
      <c r="K39" s="71">
        <v>0</v>
      </c>
      <c r="L39" s="71">
        <v>0</v>
      </c>
    </row>
    <row r="40" spans="5:12" ht="17" x14ac:dyDescent="0.2">
      <c r="E40" s="39" t="s">
        <v>690</v>
      </c>
      <c r="F40" s="71"/>
      <c r="G40" s="71"/>
      <c r="H40" s="71"/>
      <c r="I40" s="71"/>
      <c r="J40" s="71"/>
      <c r="K40" s="71">
        <v>0</v>
      </c>
      <c r="L40" s="71">
        <v>0</v>
      </c>
    </row>
    <row r="41" spans="5:12" x14ac:dyDescent="0.2">
      <c r="E41" s="2" t="s">
        <v>769</v>
      </c>
      <c r="F41" s="71"/>
      <c r="G41" s="71"/>
      <c r="H41" s="71"/>
      <c r="I41" s="71"/>
      <c r="J41" s="71"/>
      <c r="K41" s="71">
        <v>0</v>
      </c>
      <c r="L41" s="71">
        <v>0</v>
      </c>
    </row>
    <row r="42" spans="5:12" ht="17" x14ac:dyDescent="0.2">
      <c r="E42" s="39" t="s">
        <v>370</v>
      </c>
      <c r="F42" s="71"/>
      <c r="G42" s="71"/>
      <c r="H42" s="71"/>
      <c r="I42" s="71"/>
      <c r="J42" s="71"/>
      <c r="K42" s="71">
        <v>0</v>
      </c>
      <c r="L42" s="71">
        <v>0</v>
      </c>
    </row>
    <row r="43" spans="5:12" ht="17" x14ac:dyDescent="0.2">
      <c r="E43" s="39" t="s">
        <v>427</v>
      </c>
      <c r="F43" s="71"/>
      <c r="G43" s="71"/>
      <c r="H43" s="71"/>
      <c r="I43" s="71"/>
      <c r="J43" s="71"/>
      <c r="K43" s="71">
        <v>0</v>
      </c>
      <c r="L43" s="71">
        <v>0</v>
      </c>
    </row>
    <row r="44" spans="5:12" ht="17" x14ac:dyDescent="0.2">
      <c r="E44" s="39" t="s">
        <v>430</v>
      </c>
      <c r="F44" s="71"/>
      <c r="G44" s="71"/>
      <c r="H44" s="71"/>
      <c r="I44" s="71"/>
      <c r="J44" s="71"/>
      <c r="K44" s="71">
        <v>0</v>
      </c>
      <c r="L44" s="71">
        <v>0</v>
      </c>
    </row>
    <row r="45" spans="5:12" ht="17" x14ac:dyDescent="0.2">
      <c r="E45" s="39" t="s">
        <v>429</v>
      </c>
      <c r="F45" s="71"/>
      <c r="G45" s="71"/>
      <c r="H45" s="71"/>
      <c r="I45" s="71"/>
      <c r="J45" s="71"/>
      <c r="K45" s="71">
        <v>0</v>
      </c>
      <c r="L45" s="71">
        <v>0</v>
      </c>
    </row>
    <row r="46" spans="5:12" ht="17" x14ac:dyDescent="0.2">
      <c r="E46" s="39" t="s">
        <v>428</v>
      </c>
      <c r="F46" s="71"/>
      <c r="G46" s="71"/>
      <c r="H46" s="71"/>
      <c r="I46" s="71"/>
      <c r="J46" s="71"/>
      <c r="K46" s="71">
        <v>0</v>
      </c>
      <c r="L46" s="71">
        <v>0</v>
      </c>
    </row>
    <row r="47" spans="5:12" ht="17" x14ac:dyDescent="0.2">
      <c r="E47" s="39" t="s">
        <v>426</v>
      </c>
      <c r="F47" s="71"/>
      <c r="G47" s="71"/>
      <c r="H47" s="71"/>
      <c r="I47" s="71"/>
      <c r="J47" s="71"/>
      <c r="K47" s="71">
        <v>0</v>
      </c>
      <c r="L47" s="71">
        <v>0</v>
      </c>
    </row>
    <row r="48" spans="5:12" ht="17" x14ac:dyDescent="0.2">
      <c r="E48" s="39" t="s">
        <v>431</v>
      </c>
      <c r="F48" s="71"/>
      <c r="G48" s="71"/>
      <c r="H48" s="71"/>
      <c r="I48" s="71"/>
      <c r="J48" s="71"/>
      <c r="K48" s="71">
        <v>0</v>
      </c>
      <c r="L48" s="71">
        <v>0</v>
      </c>
    </row>
    <row r="49" spans="5:12" x14ac:dyDescent="0.2">
      <c r="E49" s="2" t="s">
        <v>770</v>
      </c>
      <c r="F49" s="71"/>
      <c r="G49" s="71"/>
      <c r="H49" s="71"/>
      <c r="I49" s="71"/>
      <c r="J49" s="71"/>
      <c r="K49" s="71">
        <v>0</v>
      </c>
      <c r="L49" s="71">
        <v>0</v>
      </c>
    </row>
    <row r="50" spans="5:12" ht="17" x14ac:dyDescent="0.2">
      <c r="E50" s="39" t="s">
        <v>371</v>
      </c>
      <c r="F50" s="71"/>
      <c r="G50" s="71"/>
      <c r="H50" s="71"/>
      <c r="I50" s="71"/>
      <c r="J50" s="71"/>
      <c r="K50" s="71">
        <v>0</v>
      </c>
      <c r="L50" s="71">
        <v>0</v>
      </c>
    </row>
    <row r="51" spans="5:12" ht="17" x14ac:dyDescent="0.2">
      <c r="E51" s="39" t="s">
        <v>434</v>
      </c>
      <c r="F51" s="71"/>
      <c r="G51" s="71"/>
      <c r="H51" s="71"/>
      <c r="I51" s="71"/>
      <c r="J51" s="71"/>
      <c r="K51" s="71">
        <v>0</v>
      </c>
      <c r="L51" s="71">
        <v>0</v>
      </c>
    </row>
    <row r="52" spans="5:12" ht="17" x14ac:dyDescent="0.2">
      <c r="E52" s="39" t="s">
        <v>436</v>
      </c>
      <c r="F52" s="71"/>
      <c r="G52" s="71"/>
      <c r="H52" s="71"/>
      <c r="I52" s="71"/>
      <c r="J52" s="71"/>
      <c r="K52" s="71">
        <v>0</v>
      </c>
      <c r="L52" s="71">
        <v>0</v>
      </c>
    </row>
    <row r="53" spans="5:12" ht="17" x14ac:dyDescent="0.2">
      <c r="E53" s="39" t="s">
        <v>439</v>
      </c>
      <c r="F53" s="71"/>
      <c r="G53" s="71"/>
      <c r="H53" s="71"/>
      <c r="I53" s="71"/>
      <c r="J53" s="71"/>
      <c r="K53" s="71">
        <v>0</v>
      </c>
      <c r="L53" s="71">
        <v>0</v>
      </c>
    </row>
    <row r="54" spans="5:12" ht="17" x14ac:dyDescent="0.2">
      <c r="E54" s="39" t="s">
        <v>433</v>
      </c>
      <c r="F54" s="71"/>
      <c r="G54" s="71"/>
      <c r="H54" s="71"/>
      <c r="I54" s="71"/>
      <c r="J54" s="71"/>
      <c r="K54" s="71">
        <v>0</v>
      </c>
      <c r="L54" s="71">
        <v>0</v>
      </c>
    </row>
    <row r="55" spans="5:12" ht="17" x14ac:dyDescent="0.2">
      <c r="E55" s="39" t="s">
        <v>435</v>
      </c>
      <c r="F55" s="71"/>
      <c r="G55" s="71"/>
      <c r="H55" s="71"/>
      <c r="I55" s="71"/>
      <c r="J55" s="71"/>
      <c r="K55" s="71">
        <v>0</v>
      </c>
      <c r="L55" s="71">
        <v>0</v>
      </c>
    </row>
    <row r="56" spans="5:12" ht="17" x14ac:dyDescent="0.2">
      <c r="E56" s="39" t="s">
        <v>440</v>
      </c>
      <c r="F56" s="71"/>
      <c r="G56" s="71"/>
      <c r="H56" s="71"/>
      <c r="I56" s="71"/>
      <c r="J56" s="71"/>
      <c r="K56" s="71">
        <v>0</v>
      </c>
      <c r="L56" s="71">
        <v>0</v>
      </c>
    </row>
    <row r="57" spans="5:12" ht="17" x14ac:dyDescent="0.2">
      <c r="E57" s="39" t="s">
        <v>432</v>
      </c>
      <c r="F57" s="71"/>
      <c r="G57" s="71"/>
      <c r="H57" s="71"/>
      <c r="I57" s="71"/>
      <c r="J57" s="71"/>
      <c r="K57" s="71">
        <v>0</v>
      </c>
      <c r="L57" s="71">
        <v>0</v>
      </c>
    </row>
    <row r="58" spans="5:12" ht="17" x14ac:dyDescent="0.2">
      <c r="E58" s="39" t="s">
        <v>438</v>
      </c>
      <c r="F58" s="71"/>
      <c r="G58" s="71"/>
      <c r="H58" s="71"/>
      <c r="I58" s="71"/>
      <c r="J58" s="71"/>
      <c r="K58" s="71">
        <v>0</v>
      </c>
      <c r="L58" s="71">
        <v>0</v>
      </c>
    </row>
    <row r="59" spans="5:12" ht="17" x14ac:dyDescent="0.2">
      <c r="E59" s="39" t="s">
        <v>437</v>
      </c>
      <c r="F59" s="71"/>
      <c r="G59" s="71"/>
      <c r="H59" s="71"/>
      <c r="I59" s="71"/>
      <c r="J59" s="71"/>
      <c r="K59" s="71">
        <v>0</v>
      </c>
      <c r="L59" s="71">
        <v>0</v>
      </c>
    </row>
    <row r="60" spans="5:12" x14ac:dyDescent="0.2">
      <c r="E60" s="2" t="s">
        <v>771</v>
      </c>
      <c r="F60" s="71"/>
      <c r="G60" s="71"/>
      <c r="H60" s="71"/>
      <c r="I60" s="71"/>
      <c r="J60" s="71"/>
      <c r="K60" s="71">
        <v>0</v>
      </c>
      <c r="L60" s="71">
        <v>0</v>
      </c>
    </row>
    <row r="61" spans="5:12" ht="17" x14ac:dyDescent="0.2">
      <c r="E61" s="39" t="s">
        <v>373</v>
      </c>
      <c r="F61" s="71"/>
      <c r="G61" s="71"/>
      <c r="H61" s="71"/>
      <c r="I61" s="71"/>
      <c r="J61" s="71"/>
      <c r="K61" s="71">
        <v>0</v>
      </c>
      <c r="L61" s="71">
        <v>0</v>
      </c>
    </row>
    <row r="62" spans="5:12" ht="17" x14ac:dyDescent="0.2">
      <c r="E62" s="39" t="s">
        <v>442</v>
      </c>
      <c r="F62" s="71"/>
      <c r="G62" s="71"/>
      <c r="H62" s="71"/>
      <c r="I62" s="71"/>
      <c r="J62" s="71"/>
      <c r="K62" s="71">
        <v>0</v>
      </c>
      <c r="L62" s="71">
        <v>0</v>
      </c>
    </row>
    <row r="63" spans="5:12" ht="17" x14ac:dyDescent="0.2">
      <c r="E63" s="39" t="s">
        <v>443</v>
      </c>
      <c r="F63" s="71"/>
      <c r="G63" s="71"/>
      <c r="H63" s="71"/>
      <c r="I63" s="71"/>
      <c r="J63" s="71"/>
      <c r="K63" s="71">
        <v>0</v>
      </c>
      <c r="L63" s="71">
        <v>0</v>
      </c>
    </row>
    <row r="64" spans="5:12" ht="17" x14ac:dyDescent="0.2">
      <c r="E64" s="39" t="s">
        <v>441</v>
      </c>
      <c r="F64" s="71"/>
      <c r="G64" s="71"/>
      <c r="H64" s="71"/>
      <c r="I64" s="71"/>
      <c r="J64" s="71"/>
      <c r="K64" s="71">
        <v>0</v>
      </c>
      <c r="L64" s="71">
        <v>0</v>
      </c>
    </row>
    <row r="65" spans="5:12" x14ac:dyDescent="0.2">
      <c r="E65" s="2" t="s">
        <v>772</v>
      </c>
      <c r="F65" s="71"/>
      <c r="G65" s="71">
        <v>4</v>
      </c>
      <c r="H65" s="71"/>
      <c r="I65" s="71"/>
      <c r="J65" s="71"/>
      <c r="K65" s="71">
        <v>0</v>
      </c>
      <c r="L65" s="71">
        <v>0</v>
      </c>
    </row>
    <row r="66" spans="5:12" ht="17" x14ac:dyDescent="0.2">
      <c r="E66" s="39" t="s">
        <v>374</v>
      </c>
      <c r="F66" s="71"/>
      <c r="G66" s="71">
        <v>4</v>
      </c>
      <c r="H66" s="71"/>
      <c r="I66" s="71"/>
      <c r="J66" s="71"/>
      <c r="K66" s="71">
        <v>0</v>
      </c>
      <c r="L66" s="71">
        <v>0</v>
      </c>
    </row>
    <row r="67" spans="5:12" ht="17" x14ac:dyDescent="0.2">
      <c r="E67" s="39" t="s">
        <v>449</v>
      </c>
      <c r="F67" s="71"/>
      <c r="G67" s="71"/>
      <c r="H67" s="71"/>
      <c r="I67" s="71"/>
      <c r="J67" s="71"/>
      <c r="K67" s="71">
        <v>0</v>
      </c>
      <c r="L67" s="71">
        <v>0</v>
      </c>
    </row>
    <row r="68" spans="5:12" ht="17" x14ac:dyDescent="0.2">
      <c r="E68" s="39" t="s">
        <v>445</v>
      </c>
      <c r="F68" s="71"/>
      <c r="G68" s="71"/>
      <c r="H68" s="71"/>
      <c r="I68" s="71"/>
      <c r="J68" s="71"/>
      <c r="K68" s="71">
        <v>0</v>
      </c>
      <c r="L68" s="71">
        <v>0</v>
      </c>
    </row>
    <row r="69" spans="5:12" ht="17" x14ac:dyDescent="0.2">
      <c r="E69" s="39" t="s">
        <v>448</v>
      </c>
      <c r="F69" s="71"/>
      <c r="G69" s="71">
        <v>4</v>
      </c>
      <c r="H69" s="71"/>
      <c r="I69" s="71"/>
      <c r="J69" s="71"/>
      <c r="K69" s="71">
        <v>0</v>
      </c>
      <c r="L69" s="71">
        <v>0</v>
      </c>
    </row>
    <row r="70" spans="5:12" ht="17" x14ac:dyDescent="0.2">
      <c r="E70" s="39" t="s">
        <v>444</v>
      </c>
      <c r="F70" s="71"/>
      <c r="G70" s="71"/>
      <c r="H70" s="71"/>
      <c r="I70" s="71"/>
      <c r="J70" s="71"/>
      <c r="K70" s="71">
        <v>0</v>
      </c>
      <c r="L70" s="71">
        <v>0</v>
      </c>
    </row>
    <row r="71" spans="5:12" ht="34" x14ac:dyDescent="0.2">
      <c r="E71" s="39" t="s">
        <v>692</v>
      </c>
      <c r="F71" s="71"/>
      <c r="G71" s="71"/>
      <c r="H71" s="71"/>
      <c r="I71" s="71"/>
      <c r="J71" s="71"/>
      <c r="K71" s="71">
        <v>0</v>
      </c>
      <c r="L71" s="71">
        <v>0</v>
      </c>
    </row>
    <row r="72" spans="5:12" ht="17" x14ac:dyDescent="0.2">
      <c r="E72" s="39" t="s">
        <v>446</v>
      </c>
      <c r="F72" s="71"/>
      <c r="G72" s="71"/>
      <c r="H72" s="71"/>
      <c r="I72" s="71"/>
      <c r="J72" s="71"/>
      <c r="K72" s="71">
        <v>0</v>
      </c>
      <c r="L72" s="71">
        <v>0</v>
      </c>
    </row>
    <row r="73" spans="5:12" ht="17" x14ac:dyDescent="0.2">
      <c r="E73" s="39" t="s">
        <v>447</v>
      </c>
      <c r="F73" s="71"/>
      <c r="G73" s="71"/>
      <c r="H73" s="71"/>
      <c r="I73" s="71"/>
      <c r="J73" s="71"/>
      <c r="K73" s="71">
        <v>0</v>
      </c>
      <c r="L73" s="71">
        <v>0</v>
      </c>
    </row>
    <row r="74" spans="5:12" x14ac:dyDescent="0.2">
      <c r="E74" s="2" t="s">
        <v>773</v>
      </c>
      <c r="F74" s="71"/>
      <c r="G74" s="71"/>
      <c r="H74" s="71"/>
      <c r="I74" s="71"/>
      <c r="J74" s="71"/>
      <c r="K74" s="71">
        <v>0</v>
      </c>
      <c r="L74" s="71">
        <v>0</v>
      </c>
    </row>
    <row r="75" spans="5:12" ht="17" x14ac:dyDescent="0.2">
      <c r="E75" s="39" t="s">
        <v>375</v>
      </c>
      <c r="F75" s="71"/>
      <c r="G75" s="71"/>
      <c r="H75" s="71"/>
      <c r="I75" s="71"/>
      <c r="J75" s="71"/>
      <c r="K75" s="71">
        <v>0</v>
      </c>
      <c r="L75" s="71">
        <v>0</v>
      </c>
    </row>
    <row r="76" spans="5:12" ht="17" x14ac:dyDescent="0.2">
      <c r="E76" s="39" t="s">
        <v>451</v>
      </c>
      <c r="F76" s="71"/>
      <c r="G76" s="71"/>
      <c r="H76" s="71"/>
      <c r="I76" s="71"/>
      <c r="J76" s="71"/>
      <c r="K76" s="71">
        <v>0</v>
      </c>
      <c r="L76" s="71">
        <v>0</v>
      </c>
    </row>
    <row r="77" spans="5:12" ht="17" x14ac:dyDescent="0.2">
      <c r="E77" s="39" t="s">
        <v>452</v>
      </c>
      <c r="F77" s="71"/>
      <c r="G77" s="71"/>
      <c r="H77" s="71"/>
      <c r="I77" s="71"/>
      <c r="J77" s="71"/>
      <c r="K77" s="71">
        <v>0</v>
      </c>
      <c r="L77" s="71">
        <v>0</v>
      </c>
    </row>
    <row r="78" spans="5:12" ht="17" x14ac:dyDescent="0.2">
      <c r="E78" s="39" t="s">
        <v>453</v>
      </c>
      <c r="F78" s="71"/>
      <c r="G78" s="71"/>
      <c r="H78" s="71"/>
      <c r="I78" s="71"/>
      <c r="J78" s="71"/>
      <c r="K78" s="71">
        <v>0</v>
      </c>
      <c r="L78" s="71">
        <v>0</v>
      </c>
    </row>
    <row r="79" spans="5:12" ht="17" x14ac:dyDescent="0.2">
      <c r="E79" s="39" t="s">
        <v>450</v>
      </c>
      <c r="F79" s="71"/>
      <c r="G79" s="71"/>
      <c r="H79" s="71"/>
      <c r="I79" s="71"/>
      <c r="J79" s="71"/>
      <c r="K79" s="71">
        <v>0</v>
      </c>
      <c r="L79" s="71">
        <v>0</v>
      </c>
    </row>
    <row r="80" spans="5:12" x14ac:dyDescent="0.2">
      <c r="E80" s="2" t="s">
        <v>774</v>
      </c>
      <c r="F80" s="71"/>
      <c r="G80" s="71"/>
      <c r="H80" s="71"/>
      <c r="I80" s="71"/>
      <c r="J80" s="71"/>
      <c r="K80" s="71">
        <v>0</v>
      </c>
      <c r="L80" s="71">
        <v>0</v>
      </c>
    </row>
    <row r="81" spans="5:12" ht="17" x14ac:dyDescent="0.2">
      <c r="E81" s="39" t="s">
        <v>376</v>
      </c>
      <c r="F81" s="71"/>
      <c r="G81" s="71"/>
      <c r="H81" s="71"/>
      <c r="I81" s="71"/>
      <c r="J81" s="71"/>
      <c r="K81" s="71">
        <v>0</v>
      </c>
      <c r="L81" s="71">
        <v>0</v>
      </c>
    </row>
    <row r="82" spans="5:12" ht="17" x14ac:dyDescent="0.2">
      <c r="E82" s="39" t="s">
        <v>663</v>
      </c>
      <c r="F82" s="71"/>
      <c r="G82" s="71"/>
      <c r="H82" s="71"/>
      <c r="I82" s="71"/>
      <c r="J82" s="71"/>
      <c r="K82" s="71">
        <v>0</v>
      </c>
      <c r="L82" s="71">
        <v>0</v>
      </c>
    </row>
    <row r="83" spans="5:12" ht="17" x14ac:dyDescent="0.2">
      <c r="E83" s="39" t="s">
        <v>662</v>
      </c>
      <c r="F83" s="71"/>
      <c r="G83" s="71"/>
      <c r="H83" s="71"/>
      <c r="I83" s="71"/>
      <c r="J83" s="71"/>
      <c r="K83" s="71">
        <v>0</v>
      </c>
      <c r="L83" s="71">
        <v>0</v>
      </c>
    </row>
    <row r="84" spans="5:12" ht="17" x14ac:dyDescent="0.2">
      <c r="E84" s="39" t="s">
        <v>661</v>
      </c>
      <c r="F84" s="71"/>
      <c r="G84" s="71"/>
      <c r="H84" s="71"/>
      <c r="I84" s="71"/>
      <c r="J84" s="71"/>
      <c r="K84" s="71">
        <v>0</v>
      </c>
      <c r="L84" s="71">
        <v>0</v>
      </c>
    </row>
    <row r="85" spans="5:12" ht="17" x14ac:dyDescent="0.2">
      <c r="E85" s="39" t="s">
        <v>660</v>
      </c>
      <c r="F85" s="71"/>
      <c r="G85" s="71"/>
      <c r="H85" s="71"/>
      <c r="I85" s="71"/>
      <c r="J85" s="71"/>
      <c r="K85" s="71">
        <v>0</v>
      </c>
      <c r="L85" s="71">
        <v>0</v>
      </c>
    </row>
    <row r="86" spans="5:12" ht="17" x14ac:dyDescent="0.2">
      <c r="E86" s="39" t="s">
        <v>665</v>
      </c>
      <c r="F86" s="71"/>
      <c r="G86" s="71"/>
      <c r="H86" s="71"/>
      <c r="I86" s="71"/>
      <c r="J86" s="71"/>
      <c r="K86" s="71">
        <v>0</v>
      </c>
      <c r="L86" s="71">
        <v>0</v>
      </c>
    </row>
    <row r="87" spans="5:12" ht="17" x14ac:dyDescent="0.2">
      <c r="E87" s="39" t="s">
        <v>664</v>
      </c>
      <c r="F87" s="71"/>
      <c r="G87" s="71"/>
      <c r="H87" s="71"/>
      <c r="I87" s="71"/>
      <c r="J87" s="71"/>
      <c r="K87" s="71">
        <v>0</v>
      </c>
      <c r="L87" s="71">
        <v>0</v>
      </c>
    </row>
    <row r="88" spans="5:12" x14ac:dyDescent="0.2">
      <c r="E88" s="5" t="s">
        <v>906</v>
      </c>
      <c r="F88" s="71"/>
      <c r="G88" s="71"/>
      <c r="H88" s="71"/>
      <c r="I88" s="71"/>
      <c r="J88" s="71"/>
      <c r="K88" s="71">
        <v>0</v>
      </c>
      <c r="L88" s="71">
        <v>0</v>
      </c>
    </row>
    <row r="89" spans="5:12" x14ac:dyDescent="0.2">
      <c r="E89" s="2" t="s">
        <v>775</v>
      </c>
      <c r="F89" s="71"/>
      <c r="G89" s="71"/>
      <c r="H89" s="71"/>
      <c r="I89" s="71"/>
      <c r="J89" s="71"/>
      <c r="K89" s="71">
        <v>0</v>
      </c>
      <c r="L89" s="71">
        <v>0</v>
      </c>
    </row>
    <row r="90" spans="5:12" ht="17" x14ac:dyDescent="0.2">
      <c r="E90" s="39" t="s">
        <v>377</v>
      </c>
      <c r="F90" s="71"/>
      <c r="G90" s="71"/>
      <c r="H90" s="71"/>
      <c r="I90" s="71"/>
      <c r="J90" s="71"/>
      <c r="K90" s="71">
        <v>0</v>
      </c>
      <c r="L90" s="71">
        <v>0</v>
      </c>
    </row>
    <row r="91" spans="5:12" ht="17" x14ac:dyDescent="0.2">
      <c r="E91" s="39" t="s">
        <v>666</v>
      </c>
      <c r="F91" s="71"/>
      <c r="G91" s="71"/>
      <c r="H91" s="71"/>
      <c r="I91" s="71"/>
      <c r="J91" s="71"/>
      <c r="K91" s="71">
        <v>0</v>
      </c>
      <c r="L91" s="71">
        <v>0</v>
      </c>
    </row>
    <row r="92" spans="5:12" ht="17" x14ac:dyDescent="0.2">
      <c r="E92" s="39" t="s">
        <v>669</v>
      </c>
      <c r="F92" s="71"/>
      <c r="G92" s="71"/>
      <c r="H92" s="71"/>
      <c r="I92" s="71"/>
      <c r="J92" s="71"/>
      <c r="K92" s="71">
        <v>0</v>
      </c>
      <c r="L92" s="71">
        <v>0</v>
      </c>
    </row>
    <row r="93" spans="5:12" ht="17" x14ac:dyDescent="0.2">
      <c r="E93" s="39" t="s">
        <v>668</v>
      </c>
      <c r="F93" s="71"/>
      <c r="G93" s="71"/>
      <c r="H93" s="71"/>
      <c r="I93" s="71"/>
      <c r="J93" s="71"/>
      <c r="K93" s="71">
        <v>0</v>
      </c>
      <c r="L93" s="71">
        <v>0</v>
      </c>
    </row>
    <row r="94" spans="5:12" x14ac:dyDescent="0.2">
      <c r="E94" s="2" t="s">
        <v>776</v>
      </c>
      <c r="F94" s="71"/>
      <c r="G94" s="71"/>
      <c r="H94" s="71"/>
      <c r="I94" s="71"/>
      <c r="J94" s="71"/>
      <c r="K94" s="71">
        <v>0</v>
      </c>
      <c r="L94" s="71">
        <v>0</v>
      </c>
    </row>
    <row r="95" spans="5:12" ht="17" x14ac:dyDescent="0.2">
      <c r="E95" s="39" t="s">
        <v>379</v>
      </c>
      <c r="F95" s="71"/>
      <c r="G95" s="71"/>
      <c r="H95" s="71"/>
      <c r="I95" s="71"/>
      <c r="J95" s="71"/>
      <c r="K95" s="71">
        <v>0</v>
      </c>
      <c r="L95" s="71">
        <v>0</v>
      </c>
    </row>
    <row r="96" spans="5:12" ht="17" x14ac:dyDescent="0.2">
      <c r="E96" s="39" t="s">
        <v>671</v>
      </c>
      <c r="F96" s="71"/>
      <c r="G96" s="71"/>
      <c r="H96" s="71"/>
      <c r="I96" s="71"/>
      <c r="J96" s="71"/>
      <c r="K96" s="71">
        <v>0</v>
      </c>
      <c r="L96" s="71">
        <v>0</v>
      </c>
    </row>
    <row r="97" spans="5:12" ht="17" x14ac:dyDescent="0.2">
      <c r="E97" s="39" t="s">
        <v>670</v>
      </c>
      <c r="F97" s="71"/>
      <c r="G97" s="71"/>
      <c r="H97" s="71"/>
      <c r="I97" s="71"/>
      <c r="J97" s="71"/>
      <c r="K97" s="71">
        <v>0</v>
      </c>
      <c r="L97" s="71">
        <v>0</v>
      </c>
    </row>
    <row r="98" spans="5:12" x14ac:dyDescent="0.2">
      <c r="E98" s="5" t="s">
        <v>907</v>
      </c>
      <c r="F98" s="71"/>
      <c r="G98" s="71"/>
      <c r="H98" s="71"/>
      <c r="I98" s="71"/>
      <c r="J98" s="71"/>
      <c r="K98" s="71">
        <v>0</v>
      </c>
      <c r="L98" s="71">
        <v>0</v>
      </c>
    </row>
    <row r="99" spans="5:12" x14ac:dyDescent="0.2">
      <c r="E99" s="2" t="s">
        <v>777</v>
      </c>
      <c r="F99" s="71"/>
      <c r="G99" s="71"/>
      <c r="H99" s="71"/>
      <c r="I99" s="71"/>
      <c r="J99" s="71"/>
      <c r="K99" s="71">
        <v>0</v>
      </c>
      <c r="L99" s="71">
        <v>0</v>
      </c>
    </row>
    <row r="100" spans="5:12" ht="17" x14ac:dyDescent="0.2">
      <c r="E100" s="39" t="s">
        <v>380</v>
      </c>
      <c r="F100" s="71"/>
      <c r="G100" s="71"/>
      <c r="H100" s="71"/>
      <c r="I100" s="71"/>
      <c r="J100" s="71"/>
      <c r="K100" s="71">
        <v>0</v>
      </c>
      <c r="L100" s="71">
        <v>0</v>
      </c>
    </row>
    <row r="101" spans="5:12" ht="17" x14ac:dyDescent="0.2">
      <c r="E101" s="39" t="s">
        <v>675</v>
      </c>
      <c r="F101" s="71"/>
      <c r="G101" s="71"/>
      <c r="H101" s="71"/>
      <c r="I101" s="71"/>
      <c r="J101" s="71"/>
      <c r="K101" s="71">
        <v>0</v>
      </c>
      <c r="L101" s="71">
        <v>0</v>
      </c>
    </row>
    <row r="102" spans="5:12" ht="17" x14ac:dyDescent="0.2">
      <c r="E102" s="39" t="s">
        <v>674</v>
      </c>
      <c r="F102" s="71"/>
      <c r="G102" s="71"/>
      <c r="H102" s="71"/>
      <c r="I102" s="71"/>
      <c r="J102" s="71"/>
      <c r="K102" s="71">
        <v>0</v>
      </c>
      <c r="L102" s="71">
        <v>0</v>
      </c>
    </row>
    <row r="103" spans="5:12" x14ac:dyDescent="0.2">
      <c r="E103" s="2" t="s">
        <v>778</v>
      </c>
      <c r="F103" s="71"/>
      <c r="G103" s="71"/>
      <c r="H103" s="71"/>
      <c r="I103" s="71"/>
      <c r="J103" s="71"/>
      <c r="K103" s="71">
        <v>0</v>
      </c>
      <c r="L103" s="71">
        <v>0</v>
      </c>
    </row>
    <row r="104" spans="5:12" ht="17" x14ac:dyDescent="0.2">
      <c r="E104" s="39" t="s">
        <v>381</v>
      </c>
      <c r="F104" s="71"/>
      <c r="G104" s="71"/>
      <c r="H104" s="71"/>
      <c r="I104" s="71"/>
      <c r="J104" s="71"/>
      <c r="K104" s="71">
        <v>0</v>
      </c>
      <c r="L104" s="71">
        <v>0</v>
      </c>
    </row>
    <row r="105" spans="5:12" ht="17" x14ac:dyDescent="0.2">
      <c r="E105" s="39" t="s">
        <v>676</v>
      </c>
      <c r="F105" s="71"/>
      <c r="G105" s="71"/>
      <c r="H105" s="71"/>
      <c r="I105" s="71"/>
      <c r="J105" s="71"/>
      <c r="K105" s="71">
        <v>0</v>
      </c>
      <c r="L105" s="71">
        <v>0</v>
      </c>
    </row>
    <row r="106" spans="5:12" ht="17" x14ac:dyDescent="0.2">
      <c r="E106" s="39" t="s">
        <v>677</v>
      </c>
      <c r="F106" s="71"/>
      <c r="G106" s="71"/>
      <c r="H106" s="71"/>
      <c r="I106" s="71"/>
      <c r="J106" s="71"/>
      <c r="K106" s="71">
        <v>0</v>
      </c>
      <c r="L106" s="71">
        <v>0</v>
      </c>
    </row>
    <row r="107" spans="5:12" x14ac:dyDescent="0.2">
      <c r="E107" s="2" t="s">
        <v>1154</v>
      </c>
      <c r="F107" s="71"/>
      <c r="G107" s="71"/>
      <c r="H107" s="71"/>
      <c r="I107" s="71"/>
      <c r="J107" s="71"/>
      <c r="K107" s="71">
        <v>0</v>
      </c>
      <c r="L107" s="71">
        <v>0</v>
      </c>
    </row>
    <row r="108" spans="5:12" x14ac:dyDescent="0.2">
      <c r="E108" s="3" t="s">
        <v>679</v>
      </c>
      <c r="F108" s="71"/>
      <c r="G108" s="71"/>
      <c r="H108" s="71"/>
      <c r="I108" s="71"/>
      <c r="J108" s="71"/>
      <c r="K108" s="71">
        <v>0</v>
      </c>
      <c r="L108" s="71">
        <v>0</v>
      </c>
    </row>
    <row r="109" spans="5:12" x14ac:dyDescent="0.2">
      <c r="E109" s="5" t="s">
        <v>909</v>
      </c>
      <c r="F109" s="71"/>
      <c r="G109" s="71"/>
      <c r="H109" s="71"/>
      <c r="I109" s="71"/>
      <c r="J109" s="71"/>
      <c r="K109" s="71">
        <v>0</v>
      </c>
      <c r="L109" s="71">
        <v>0</v>
      </c>
    </row>
    <row r="110" spans="5:12" x14ac:dyDescent="0.2">
      <c r="E110" s="5" t="s">
        <v>910</v>
      </c>
      <c r="F110" s="71"/>
      <c r="G110" s="71"/>
      <c r="H110" s="71"/>
      <c r="I110" s="71"/>
      <c r="J110" s="71"/>
      <c r="K110" s="71">
        <v>0</v>
      </c>
      <c r="L110" s="71">
        <v>0</v>
      </c>
    </row>
    <row r="111" spans="5:12" x14ac:dyDescent="0.2">
      <c r="E111" s="5" t="s">
        <v>911</v>
      </c>
      <c r="F111" s="71"/>
      <c r="G111" s="71"/>
      <c r="H111" s="71"/>
      <c r="I111" s="71"/>
      <c r="J111" s="71"/>
      <c r="K111" s="71">
        <v>0</v>
      </c>
      <c r="L111" s="71">
        <v>0</v>
      </c>
    </row>
    <row r="112" spans="5:12" x14ac:dyDescent="0.2">
      <c r="E112" s="5" t="s">
        <v>912</v>
      </c>
      <c r="F112" s="71"/>
      <c r="G112" s="71"/>
      <c r="H112" s="71"/>
      <c r="I112" s="71"/>
      <c r="J112" s="71"/>
      <c r="K112" s="71">
        <v>0</v>
      </c>
      <c r="L112" s="71">
        <v>0</v>
      </c>
    </row>
    <row r="113" spans="5:12" x14ac:dyDescent="0.2">
      <c r="E113" s="5" t="s">
        <v>913</v>
      </c>
      <c r="F113" s="71"/>
      <c r="G113" s="71"/>
      <c r="H113" s="71"/>
      <c r="I113" s="71"/>
      <c r="J113" s="71"/>
      <c r="K113" s="71">
        <v>0</v>
      </c>
      <c r="L113" s="71">
        <v>0</v>
      </c>
    </row>
    <row r="114" spans="5:12" x14ac:dyDescent="0.2">
      <c r="E114" s="5" t="s">
        <v>914</v>
      </c>
      <c r="F114" s="71"/>
      <c r="G114" s="71"/>
      <c r="H114" s="71"/>
      <c r="I114" s="71"/>
      <c r="J114" s="71"/>
      <c r="K114" s="71">
        <v>0</v>
      </c>
      <c r="L114" s="71">
        <v>0</v>
      </c>
    </row>
    <row r="115" spans="5:12" x14ac:dyDescent="0.2">
      <c r="E115" s="5" t="s">
        <v>915</v>
      </c>
      <c r="F115" s="71"/>
      <c r="G115" s="71"/>
      <c r="H115" s="71"/>
      <c r="I115" s="71"/>
      <c r="J115" s="71"/>
      <c r="K115" s="71">
        <v>0</v>
      </c>
      <c r="L115" s="71">
        <v>0</v>
      </c>
    </row>
    <row r="116" spans="5:12" x14ac:dyDescent="0.2">
      <c r="E116" s="2" t="s">
        <v>1155</v>
      </c>
      <c r="F116" s="71"/>
      <c r="G116" s="71"/>
      <c r="H116" s="71"/>
      <c r="I116" s="71"/>
      <c r="J116" s="71"/>
      <c r="K116" s="71">
        <v>0</v>
      </c>
      <c r="L116" s="71">
        <v>0</v>
      </c>
    </row>
    <row r="117" spans="5:12" x14ac:dyDescent="0.2">
      <c r="E117" s="3" t="s">
        <v>680</v>
      </c>
      <c r="F117" s="71"/>
      <c r="G117" s="71"/>
      <c r="H117" s="71"/>
      <c r="I117" s="71"/>
      <c r="J117" s="71"/>
      <c r="K117" s="71">
        <v>0</v>
      </c>
      <c r="L117" s="71">
        <v>0</v>
      </c>
    </row>
    <row r="118" spans="5:12" x14ac:dyDescent="0.2">
      <c r="E118" s="5" t="s">
        <v>916</v>
      </c>
      <c r="F118" s="71"/>
      <c r="G118" s="71"/>
      <c r="H118" s="71"/>
      <c r="I118" s="71"/>
      <c r="J118" s="71"/>
      <c r="K118" s="71">
        <v>0</v>
      </c>
      <c r="L118" s="71">
        <v>0</v>
      </c>
    </row>
    <row r="119" spans="5:12" x14ac:dyDescent="0.2">
      <c r="E119" s="5" t="s">
        <v>917</v>
      </c>
      <c r="F119" s="71"/>
      <c r="G119" s="71"/>
      <c r="H119" s="71"/>
      <c r="I119" s="71"/>
      <c r="J119" s="71"/>
      <c r="K119" s="71">
        <v>0</v>
      </c>
      <c r="L119" s="71">
        <v>0</v>
      </c>
    </row>
    <row r="120" spans="5:12" x14ac:dyDescent="0.2">
      <c r="E120" s="5" t="s">
        <v>918</v>
      </c>
      <c r="F120" s="71"/>
      <c r="G120" s="71"/>
      <c r="H120" s="71"/>
      <c r="I120" s="71"/>
      <c r="J120" s="71"/>
      <c r="K120" s="71">
        <v>0</v>
      </c>
      <c r="L120" s="71">
        <v>0</v>
      </c>
    </row>
    <row r="121" spans="5:12" x14ac:dyDescent="0.2">
      <c r="E121" s="2" t="s">
        <v>1156</v>
      </c>
      <c r="F121" s="71"/>
      <c r="G121" s="71"/>
      <c r="H121" s="71"/>
      <c r="I121" s="71"/>
      <c r="J121" s="71"/>
      <c r="K121" s="71">
        <v>0</v>
      </c>
      <c r="L121" s="71">
        <v>0</v>
      </c>
    </row>
    <row r="122" spans="5:12" x14ac:dyDescent="0.2">
      <c r="E122" s="3" t="s">
        <v>681</v>
      </c>
      <c r="F122" s="71"/>
      <c r="G122" s="71"/>
      <c r="H122" s="71"/>
      <c r="I122" s="71"/>
      <c r="J122" s="71"/>
      <c r="K122" s="71">
        <v>0</v>
      </c>
      <c r="L122" s="71">
        <v>0</v>
      </c>
    </row>
    <row r="123" spans="5:12" x14ac:dyDescent="0.2">
      <c r="E123" s="5" t="s">
        <v>919</v>
      </c>
      <c r="F123" s="71"/>
      <c r="G123" s="71"/>
      <c r="H123" s="71"/>
      <c r="I123" s="71"/>
      <c r="J123" s="71"/>
      <c r="K123" s="71">
        <v>0</v>
      </c>
      <c r="L123" s="71">
        <v>0</v>
      </c>
    </row>
    <row r="124" spans="5:12" x14ac:dyDescent="0.2">
      <c r="E124" s="5" t="s">
        <v>926</v>
      </c>
      <c r="F124" s="71"/>
      <c r="G124" s="71"/>
      <c r="H124" s="71"/>
      <c r="I124" s="71"/>
      <c r="J124" s="71"/>
      <c r="K124" s="71">
        <v>0</v>
      </c>
      <c r="L124" s="71">
        <v>0</v>
      </c>
    </row>
    <row r="125" spans="5:12" x14ac:dyDescent="0.2">
      <c r="E125" s="5" t="s">
        <v>922</v>
      </c>
      <c r="F125" s="71"/>
      <c r="G125" s="71"/>
      <c r="H125" s="71"/>
      <c r="I125" s="71"/>
      <c r="J125" s="71"/>
      <c r="K125" s="71">
        <v>0</v>
      </c>
      <c r="L125" s="71">
        <v>0</v>
      </c>
    </row>
    <row r="126" spans="5:12" x14ac:dyDescent="0.2">
      <c r="E126" s="5" t="s">
        <v>920</v>
      </c>
      <c r="F126" s="71"/>
      <c r="G126" s="71"/>
      <c r="H126" s="71"/>
      <c r="I126" s="71"/>
      <c r="J126" s="71"/>
      <c r="K126" s="71">
        <v>0</v>
      </c>
      <c r="L126" s="71">
        <v>0</v>
      </c>
    </row>
    <row r="127" spans="5:12" x14ac:dyDescent="0.2">
      <c r="E127" s="5" t="s">
        <v>921</v>
      </c>
      <c r="F127" s="71"/>
      <c r="G127" s="71"/>
      <c r="H127" s="71"/>
      <c r="I127" s="71"/>
      <c r="J127" s="71"/>
      <c r="K127" s="71">
        <v>0</v>
      </c>
      <c r="L127" s="71">
        <v>0</v>
      </c>
    </row>
    <row r="128" spans="5:12" x14ac:dyDescent="0.2">
      <c r="E128" s="5" t="s">
        <v>923</v>
      </c>
      <c r="F128" s="71"/>
      <c r="G128" s="71"/>
      <c r="H128" s="71"/>
      <c r="I128" s="71"/>
      <c r="J128" s="71"/>
      <c r="K128" s="71">
        <v>0</v>
      </c>
      <c r="L128" s="71">
        <v>0</v>
      </c>
    </row>
    <row r="129" spans="5:12" x14ac:dyDescent="0.2">
      <c r="E129" s="5" t="s">
        <v>924</v>
      </c>
      <c r="F129" s="71"/>
      <c r="G129" s="71"/>
      <c r="H129" s="71"/>
      <c r="I129" s="71"/>
      <c r="J129" s="71"/>
      <c r="K129" s="71">
        <v>0</v>
      </c>
      <c r="L129" s="71">
        <v>0</v>
      </c>
    </row>
    <row r="130" spans="5:12" x14ac:dyDescent="0.2">
      <c r="E130" s="5" t="s">
        <v>925</v>
      </c>
      <c r="F130" s="71"/>
      <c r="G130" s="71"/>
      <c r="H130" s="71"/>
      <c r="I130" s="71"/>
      <c r="J130" s="71"/>
      <c r="K130" s="71">
        <v>0</v>
      </c>
      <c r="L130" s="71">
        <v>0</v>
      </c>
    </row>
    <row r="131" spans="5:12" x14ac:dyDescent="0.2">
      <c r="E131" s="2" t="s">
        <v>1157</v>
      </c>
      <c r="F131" s="71"/>
      <c r="G131" s="71"/>
      <c r="H131" s="71"/>
      <c r="I131" s="71"/>
      <c r="J131" s="71"/>
      <c r="K131" s="71">
        <v>0</v>
      </c>
      <c r="L131" s="71">
        <v>0</v>
      </c>
    </row>
    <row r="132" spans="5:12" x14ac:dyDescent="0.2">
      <c r="E132" s="3" t="s">
        <v>682</v>
      </c>
      <c r="F132" s="71"/>
      <c r="G132" s="71"/>
      <c r="H132" s="71"/>
      <c r="I132" s="71"/>
      <c r="J132" s="71"/>
      <c r="K132" s="71">
        <v>0</v>
      </c>
      <c r="L132" s="71">
        <v>0</v>
      </c>
    </row>
    <row r="133" spans="5:12" x14ac:dyDescent="0.2">
      <c r="E133" s="5" t="s">
        <v>927</v>
      </c>
      <c r="F133" s="71"/>
      <c r="G133" s="71"/>
      <c r="H133" s="71"/>
      <c r="I133" s="71"/>
      <c r="J133" s="71"/>
      <c r="K133" s="71">
        <v>0</v>
      </c>
      <c r="L133" s="71">
        <v>0</v>
      </c>
    </row>
    <row r="134" spans="5:12" x14ac:dyDescent="0.2">
      <c r="E134" s="5" t="s">
        <v>928</v>
      </c>
      <c r="F134" s="71"/>
      <c r="G134" s="71"/>
      <c r="H134" s="71"/>
      <c r="I134" s="71"/>
      <c r="J134" s="71"/>
      <c r="K134" s="71">
        <v>0</v>
      </c>
      <c r="L134" s="71">
        <v>0</v>
      </c>
    </row>
    <row r="135" spans="5:12" x14ac:dyDescent="0.2">
      <c r="E135" s="5" t="s">
        <v>929</v>
      </c>
      <c r="F135" s="71"/>
      <c r="G135" s="71"/>
      <c r="H135" s="71"/>
      <c r="I135" s="71"/>
      <c r="J135" s="71"/>
      <c r="K135" s="71">
        <v>0</v>
      </c>
      <c r="L135" s="71">
        <v>0</v>
      </c>
    </row>
    <row r="136" spans="5:12" x14ac:dyDescent="0.2">
      <c r="E136" s="5" t="s">
        <v>930</v>
      </c>
      <c r="F136" s="71"/>
      <c r="G136" s="71"/>
      <c r="H136" s="71"/>
      <c r="I136" s="71"/>
      <c r="J136" s="71"/>
      <c r="K136" s="71">
        <v>0</v>
      </c>
      <c r="L136" s="71">
        <v>0</v>
      </c>
    </row>
    <row r="137" spans="5:12" x14ac:dyDescent="0.2">
      <c r="E137" s="5" t="s">
        <v>931</v>
      </c>
      <c r="F137" s="71"/>
      <c r="G137" s="71"/>
      <c r="H137" s="71"/>
      <c r="I137" s="71"/>
      <c r="J137" s="71"/>
      <c r="K137" s="71">
        <v>0</v>
      </c>
      <c r="L137" s="71">
        <v>0</v>
      </c>
    </row>
    <row r="138" spans="5:12" x14ac:dyDescent="0.2">
      <c r="E138" s="5" t="s">
        <v>932</v>
      </c>
      <c r="F138" s="71"/>
      <c r="G138" s="71"/>
      <c r="H138" s="71"/>
      <c r="I138" s="71"/>
      <c r="J138" s="71"/>
      <c r="K138" s="71">
        <v>0</v>
      </c>
      <c r="L138" s="71">
        <v>0</v>
      </c>
    </row>
    <row r="139" spans="5:12" x14ac:dyDescent="0.2">
      <c r="E139" s="5" t="s">
        <v>933</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764</v>
      </c>
    </row>
    <row r="6" spans="3:10" ht="17" x14ac:dyDescent="0.2">
      <c r="C6" s="38" t="s">
        <v>10</v>
      </c>
      <c r="D6" s="22" t="s">
        <v>266</v>
      </c>
      <c r="E6" s="22" t="s">
        <v>267</v>
      </c>
      <c r="F6" s="22" t="s">
        <v>268</v>
      </c>
      <c r="G6" s="22" t="s">
        <v>269</v>
      </c>
      <c r="H6" s="22" t="s">
        <v>271</v>
      </c>
      <c r="I6" s="22" t="s">
        <v>272</v>
      </c>
      <c r="J6" s="22" t="s">
        <v>270</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209</v>
      </c>
      <c r="H9" s="45" t="s">
        <v>210</v>
      </c>
      <c r="I9" s="45" t="s">
        <v>211</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455</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363</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586</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586</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586</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586</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586</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586</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586</v>
      </c>
      <c r="C49" s="24" t="s">
        <v>455</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586</v>
      </c>
      <c r="C50" s="24" t="s">
        <v>363</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586</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826</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826</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826</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826</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826</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826</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826</v>
      </c>
      <c r="C58" s="76" t="s">
        <v>882</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826</v>
      </c>
      <c r="C59" s="76" t="s">
        <v>455</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826</v>
      </c>
      <c r="C60" s="76" t="s">
        <v>363</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826</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460</v>
      </c>
      <c r="O8" t="s">
        <v>586</v>
      </c>
      <c r="U8" t="s">
        <v>696</v>
      </c>
      <c r="V8" t="s">
        <v>826</v>
      </c>
      <c r="AA8" t="s">
        <v>1201</v>
      </c>
      <c r="AB8" t="s">
        <v>1202</v>
      </c>
      <c r="AF8" t="s">
        <v>1203</v>
      </c>
      <c r="AG8" t="s">
        <v>11</v>
      </c>
    </row>
    <row r="9" spans="4:33" x14ac:dyDescent="0.2">
      <c r="D9" s="1" t="s">
        <v>10</v>
      </c>
      <c r="E9" t="s">
        <v>87</v>
      </c>
      <c r="F9" t="s">
        <v>68</v>
      </c>
      <c r="H9" t="s">
        <v>71</v>
      </c>
      <c r="I9" t="s">
        <v>87</v>
      </c>
      <c r="J9" t="s">
        <v>68</v>
      </c>
      <c r="K9" t="s">
        <v>209</v>
      </c>
      <c r="L9" t="s">
        <v>58</v>
      </c>
      <c r="M9" t="s">
        <v>51</v>
      </c>
      <c r="O9" t="s">
        <v>71</v>
      </c>
      <c r="P9" t="s">
        <v>87</v>
      </c>
      <c r="Q9" t="s">
        <v>68</v>
      </c>
      <c r="R9" t="s">
        <v>209</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461</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171</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331</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332</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332</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334</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335</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458</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459</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331</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333</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960</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697</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363</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364</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365</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678</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695</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457</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456</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693</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908</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365</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366</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367</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372</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378</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400</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935</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400</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401</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904</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905</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960</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697</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455</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462</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934</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491</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811</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958</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585</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592</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593</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827</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957</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960</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697</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587</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960</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697</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597</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882</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833</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834</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853</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881</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937</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938</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461</v>
      </c>
    </row>
    <row r="31" spans="3:3" x14ac:dyDescent="0.2">
      <c r="C31" s="5" t="s">
        <v>141</v>
      </c>
    </row>
    <row r="32" spans="3:3" x14ac:dyDescent="0.2">
      <c r="C32" s="5" t="s">
        <v>140</v>
      </c>
    </row>
    <row r="33" spans="3:3" x14ac:dyDescent="0.2">
      <c r="C33" s="5" t="s">
        <v>171</v>
      </c>
    </row>
    <row r="34" spans="3:3" x14ac:dyDescent="0.2">
      <c r="C34" s="5" t="s">
        <v>172</v>
      </c>
    </row>
    <row r="35" spans="3:3" x14ac:dyDescent="0.2">
      <c r="C35" s="5" t="s">
        <v>832</v>
      </c>
    </row>
    <row r="36" spans="3:3" x14ac:dyDescent="0.2">
      <c r="C36" s="2" t="s">
        <v>106</v>
      </c>
    </row>
    <row r="37" spans="3:3" x14ac:dyDescent="0.2">
      <c r="C37" s="3">
        <v>1</v>
      </c>
    </row>
    <row r="38" spans="3:3" x14ac:dyDescent="0.2">
      <c r="C38" s="5" t="s">
        <v>331</v>
      </c>
    </row>
    <row r="39" spans="3:3" x14ac:dyDescent="0.2">
      <c r="C39" s="5" t="s">
        <v>698</v>
      </c>
    </row>
    <row r="40" spans="3:3" x14ac:dyDescent="0.2">
      <c r="C40" s="5" t="s">
        <v>699</v>
      </c>
    </row>
    <row r="41" spans="3:3" x14ac:dyDescent="0.2">
      <c r="C41" s="5" t="s">
        <v>700</v>
      </c>
    </row>
    <row r="42" spans="3:3" x14ac:dyDescent="0.2">
      <c r="C42" s="5" t="s">
        <v>332</v>
      </c>
    </row>
    <row r="43" spans="3:3" x14ac:dyDescent="0.2">
      <c r="C43" s="5" t="s">
        <v>701</v>
      </c>
    </row>
    <row r="44" spans="3:3" x14ac:dyDescent="0.2">
      <c r="C44" s="5" t="s">
        <v>702</v>
      </c>
    </row>
    <row r="45" spans="3:3" x14ac:dyDescent="0.2">
      <c r="C45" s="5" t="s">
        <v>703</v>
      </c>
    </row>
    <row r="46" spans="3:3" x14ac:dyDescent="0.2">
      <c r="C46" s="5" t="s">
        <v>704</v>
      </c>
    </row>
    <row r="47" spans="3:3" x14ac:dyDescent="0.2">
      <c r="C47" s="2" t="s">
        <v>363</v>
      </c>
    </row>
    <row r="48" spans="3:3" x14ac:dyDescent="0.2">
      <c r="C48" s="3">
        <v>1</v>
      </c>
    </row>
    <row r="49" spans="3:3" x14ac:dyDescent="0.2">
      <c r="C49" s="5" t="s">
        <v>364</v>
      </c>
    </row>
    <row r="50" spans="3:3" x14ac:dyDescent="0.2">
      <c r="C50" s="5" t="s">
        <v>365</v>
      </c>
    </row>
    <row r="51" spans="3:3" x14ac:dyDescent="0.2">
      <c r="C51" s="5" t="s">
        <v>705</v>
      </c>
    </row>
    <row r="52" spans="3:3" x14ac:dyDescent="0.2">
      <c r="C52" s="5" t="s">
        <v>706</v>
      </c>
    </row>
    <row r="53" spans="3:3" x14ac:dyDescent="0.2">
      <c r="C53" s="5" t="s">
        <v>707</v>
      </c>
    </row>
    <row r="54" spans="3:3" x14ac:dyDescent="0.2">
      <c r="C54" s="5" t="s">
        <v>708</v>
      </c>
    </row>
    <row r="55" spans="3:3" x14ac:dyDescent="0.2">
      <c r="C55" s="5" t="s">
        <v>709</v>
      </c>
    </row>
    <row r="56" spans="3:3" x14ac:dyDescent="0.2">
      <c r="C56" s="5" t="s">
        <v>710</v>
      </c>
    </row>
    <row r="57" spans="3:3" x14ac:dyDescent="0.2">
      <c r="C57" s="5" t="s">
        <v>711</v>
      </c>
    </row>
    <row r="58" spans="3:3" x14ac:dyDescent="0.2">
      <c r="C58" s="5" t="s">
        <v>712</v>
      </c>
    </row>
    <row r="59" spans="3:3" x14ac:dyDescent="0.2">
      <c r="C59" s="5" t="s">
        <v>713</v>
      </c>
    </row>
    <row r="60" spans="3:3" x14ac:dyDescent="0.2">
      <c r="C60" s="5" t="s">
        <v>714</v>
      </c>
    </row>
    <row r="61" spans="3:3" x14ac:dyDescent="0.2">
      <c r="C61" s="5" t="s">
        <v>715</v>
      </c>
    </row>
    <row r="62" spans="3:3" x14ac:dyDescent="0.2">
      <c r="C62" s="5" t="s">
        <v>716</v>
      </c>
    </row>
    <row r="63" spans="3:3" x14ac:dyDescent="0.2">
      <c r="C63" s="5" t="s">
        <v>717</v>
      </c>
    </row>
    <row r="64" spans="3:3" x14ac:dyDescent="0.2">
      <c r="C64" s="5" t="s">
        <v>718</v>
      </c>
    </row>
    <row r="65" spans="3:3" x14ac:dyDescent="0.2">
      <c r="C65" s="5" t="s">
        <v>719</v>
      </c>
    </row>
    <row r="66" spans="3:3" x14ac:dyDescent="0.2">
      <c r="C66" s="5" t="s">
        <v>720</v>
      </c>
    </row>
    <row r="67" spans="3:3" x14ac:dyDescent="0.2">
      <c r="C67" s="5" t="s">
        <v>457</v>
      </c>
    </row>
    <row r="68" spans="3:3" x14ac:dyDescent="0.2">
      <c r="C68" s="5" t="s">
        <v>721</v>
      </c>
    </row>
    <row r="69" spans="3:3" x14ac:dyDescent="0.2">
      <c r="C69" s="5" t="s">
        <v>678</v>
      </c>
    </row>
    <row r="70" spans="3:3" x14ac:dyDescent="0.2">
      <c r="C70" s="5" t="s">
        <v>722</v>
      </c>
    </row>
    <row r="71" spans="3:3" x14ac:dyDescent="0.2">
      <c r="C71" s="5" t="s">
        <v>723</v>
      </c>
    </row>
    <row r="72" spans="3:3" x14ac:dyDescent="0.2">
      <c r="C72" s="5" t="s">
        <v>724</v>
      </c>
    </row>
    <row r="73" spans="3:3" x14ac:dyDescent="0.2">
      <c r="C73" s="5" t="s">
        <v>725</v>
      </c>
    </row>
    <row r="74" spans="3:3" x14ac:dyDescent="0.2">
      <c r="C74" s="5" t="s">
        <v>726</v>
      </c>
    </row>
    <row r="75" spans="3:3" x14ac:dyDescent="0.2">
      <c r="C75" s="5" t="s">
        <v>727</v>
      </c>
    </row>
    <row r="76" spans="3:3" x14ac:dyDescent="0.2">
      <c r="C76" s="5" t="s">
        <v>728</v>
      </c>
    </row>
    <row r="77" spans="3:3" x14ac:dyDescent="0.2">
      <c r="C77" s="5" t="s">
        <v>729</v>
      </c>
    </row>
    <row r="78" spans="3:3" x14ac:dyDescent="0.2">
      <c r="C78" s="5" t="s">
        <v>730</v>
      </c>
    </row>
    <row r="79" spans="3:3" x14ac:dyDescent="0.2">
      <c r="C79" s="5" t="s">
        <v>731</v>
      </c>
    </row>
    <row r="80" spans="3:3" x14ac:dyDescent="0.2">
      <c r="C80" s="5" t="s">
        <v>694</v>
      </c>
    </row>
    <row r="81" spans="3:3" x14ac:dyDescent="0.2">
      <c r="C81" s="5" t="s">
        <v>695</v>
      </c>
    </row>
    <row r="82" spans="3:3" x14ac:dyDescent="0.2">
      <c r="C82" s="5" t="s">
        <v>1204</v>
      </c>
    </row>
    <row r="83" spans="3:3" x14ac:dyDescent="0.2">
      <c r="C83" s="2" t="s">
        <v>24</v>
      </c>
    </row>
    <row r="84" spans="3:3" x14ac:dyDescent="0.2">
      <c r="C84" s="3">
        <v>1</v>
      </c>
    </row>
    <row r="85" spans="3:3" x14ac:dyDescent="0.2">
      <c r="C85" s="5" t="s">
        <v>400</v>
      </c>
    </row>
    <row r="86" spans="3:3" x14ac:dyDescent="0.2">
      <c r="C86" s="5" t="s">
        <v>732</v>
      </c>
    </row>
    <row r="87" spans="3:3" x14ac:dyDescent="0.2">
      <c r="C87" s="5" t="s">
        <v>733</v>
      </c>
    </row>
    <row r="88" spans="3:3" x14ac:dyDescent="0.2">
      <c r="C88" s="5" t="s">
        <v>734</v>
      </c>
    </row>
    <row r="89" spans="3:3" x14ac:dyDescent="0.2">
      <c r="C89" s="5" t="s">
        <v>404</v>
      </c>
    </row>
    <row r="90" spans="3:3" x14ac:dyDescent="0.2">
      <c r="C90" s="5" t="s">
        <v>735</v>
      </c>
    </row>
    <row r="91" spans="3:3" x14ac:dyDescent="0.2">
      <c r="C91" s="5" t="s">
        <v>736</v>
      </c>
    </row>
    <row r="92" spans="3:3" x14ac:dyDescent="0.2">
      <c r="C92" s="5" t="s">
        <v>737</v>
      </c>
    </row>
    <row r="93" spans="3:3" x14ac:dyDescent="0.2">
      <c r="C93" s="5" t="s">
        <v>738</v>
      </c>
    </row>
    <row r="94" spans="3:3" x14ac:dyDescent="0.2">
      <c r="C94" s="5" t="s">
        <v>739</v>
      </c>
    </row>
    <row r="95" spans="3:3" x14ac:dyDescent="0.2">
      <c r="C95" s="5" t="s">
        <v>408</v>
      </c>
    </row>
    <row r="96" spans="3:3" x14ac:dyDescent="0.2">
      <c r="C96" s="5" t="s">
        <v>740</v>
      </c>
    </row>
    <row r="97" spans="3:3" x14ac:dyDescent="0.2">
      <c r="C97" s="5" t="s">
        <v>741</v>
      </c>
    </row>
    <row r="98" spans="3:3" x14ac:dyDescent="0.2">
      <c r="C98" s="5" t="s">
        <v>742</v>
      </c>
    </row>
    <row r="99" spans="3:3" x14ac:dyDescent="0.2">
      <c r="C99" s="5" t="s">
        <v>743</v>
      </c>
    </row>
    <row r="100" spans="3:3" x14ac:dyDescent="0.2">
      <c r="C100" s="5" t="s">
        <v>744</v>
      </c>
    </row>
    <row r="101" spans="3:3" x14ac:dyDescent="0.2">
      <c r="C101" s="5" t="s">
        <v>903</v>
      </c>
    </row>
    <row r="102" spans="3:3" x14ac:dyDescent="0.2">
      <c r="C102" s="5" t="s">
        <v>904</v>
      </c>
    </row>
    <row r="103" spans="3:3" x14ac:dyDescent="0.2">
      <c r="C103" s="5" t="s">
        <v>1205</v>
      </c>
    </row>
    <row r="104" spans="3:3" x14ac:dyDescent="0.2">
      <c r="C104" s="5" t="s">
        <v>935</v>
      </c>
    </row>
    <row r="105" spans="3:3" x14ac:dyDescent="0.2">
      <c r="C105" s="2" t="s">
        <v>455</v>
      </c>
    </row>
    <row r="106" spans="3:3" x14ac:dyDescent="0.2">
      <c r="C106" s="3">
        <v>1</v>
      </c>
    </row>
    <row r="107" spans="3:3" x14ac:dyDescent="0.2">
      <c r="C107" s="5" t="s">
        <v>462</v>
      </c>
    </row>
    <row r="108" spans="3:3" x14ac:dyDescent="0.2">
      <c r="C108" s="5" t="s">
        <v>745</v>
      </c>
    </row>
    <row r="109" spans="3:3" x14ac:dyDescent="0.2">
      <c r="C109" s="5" t="s">
        <v>746</v>
      </c>
    </row>
    <row r="110" spans="3:3" x14ac:dyDescent="0.2">
      <c r="C110" s="5" t="s">
        <v>747</v>
      </c>
    </row>
    <row r="111" spans="3:3" x14ac:dyDescent="0.2">
      <c r="C111" s="5" t="s">
        <v>484</v>
      </c>
    </row>
    <row r="112" spans="3:3" x14ac:dyDescent="0.2">
      <c r="C112" s="5" t="s">
        <v>491</v>
      </c>
    </row>
    <row r="113" spans="3:3" x14ac:dyDescent="0.2">
      <c r="C113" s="5" t="s">
        <v>748</v>
      </c>
    </row>
    <row r="114" spans="3:3" x14ac:dyDescent="0.2">
      <c r="C114" s="5" t="s">
        <v>1206</v>
      </c>
    </row>
    <row r="115" spans="3:3" x14ac:dyDescent="0.2">
      <c r="C115" s="5" t="s">
        <v>934</v>
      </c>
    </row>
    <row r="116" spans="3:3" x14ac:dyDescent="0.2">
      <c r="C116" s="5" t="s">
        <v>1207</v>
      </c>
    </row>
    <row r="117" spans="3:3" x14ac:dyDescent="0.2">
      <c r="C117" s="2" t="s">
        <v>107</v>
      </c>
    </row>
    <row r="118" spans="3:3" x14ac:dyDescent="0.2">
      <c r="C118" s="3">
        <v>1</v>
      </c>
    </row>
    <row r="119" spans="3:3" x14ac:dyDescent="0.2">
      <c r="C119" s="5" t="s">
        <v>498</v>
      </c>
    </row>
    <row r="120" spans="3:3" x14ac:dyDescent="0.2">
      <c r="C120" s="5" t="s">
        <v>749</v>
      </c>
    </row>
    <row r="121" spans="3:3" x14ac:dyDescent="0.2">
      <c r="C121" s="5" t="s">
        <v>750</v>
      </c>
    </row>
    <row r="122" spans="3:3" x14ac:dyDescent="0.2">
      <c r="C122" s="5" t="s">
        <v>751</v>
      </c>
    </row>
    <row r="123" spans="3:3" x14ac:dyDescent="0.2">
      <c r="C123" s="5" t="s">
        <v>502</v>
      </c>
    </row>
    <row r="124" spans="3:3" x14ac:dyDescent="0.2">
      <c r="C124" s="5" t="s">
        <v>752</v>
      </c>
    </row>
    <row r="125" spans="3:3" x14ac:dyDescent="0.2">
      <c r="C125" s="5" t="s">
        <v>753</v>
      </c>
    </row>
    <row r="126" spans="3:3" x14ac:dyDescent="0.2">
      <c r="C126" s="5" t="s">
        <v>754</v>
      </c>
    </row>
    <row r="127" spans="3:3" x14ac:dyDescent="0.2">
      <c r="C127" s="5" t="s">
        <v>755</v>
      </c>
    </row>
    <row r="128" spans="3:3" x14ac:dyDescent="0.2">
      <c r="C128" s="5" t="s">
        <v>507</v>
      </c>
    </row>
    <row r="129" spans="3:3" x14ac:dyDescent="0.2">
      <c r="C129" s="5" t="s">
        <v>756</v>
      </c>
    </row>
    <row r="130" spans="3:3" x14ac:dyDescent="0.2">
      <c r="C130" s="5" t="s">
        <v>757</v>
      </c>
    </row>
    <row r="131" spans="3:3" x14ac:dyDescent="0.2">
      <c r="C131" s="5" t="s">
        <v>758</v>
      </c>
    </row>
    <row r="132" spans="3:3" x14ac:dyDescent="0.2">
      <c r="C132" s="5" t="s">
        <v>585</v>
      </c>
    </row>
    <row r="133" spans="3:3" x14ac:dyDescent="0.2">
      <c r="C133" s="5" t="s">
        <v>592</v>
      </c>
    </row>
    <row r="134" spans="3:3" x14ac:dyDescent="0.2">
      <c r="C134" s="5" t="s">
        <v>759</v>
      </c>
    </row>
    <row r="135" spans="3:3" x14ac:dyDescent="0.2">
      <c r="C135" s="5" t="s">
        <v>1208</v>
      </c>
    </row>
    <row r="136" spans="3:3" x14ac:dyDescent="0.2">
      <c r="C136" s="5" t="s">
        <v>1209</v>
      </c>
    </row>
    <row r="137" spans="3:3" x14ac:dyDescent="0.2">
      <c r="C137" s="2" t="s">
        <v>108</v>
      </c>
    </row>
    <row r="138" spans="3:3" x14ac:dyDescent="0.2">
      <c r="C138" s="3">
        <v>1</v>
      </c>
    </row>
    <row r="139" spans="3:3" x14ac:dyDescent="0.2">
      <c r="C139" s="5" t="s">
        <v>587</v>
      </c>
    </row>
    <row r="140" spans="3:3" x14ac:dyDescent="0.2">
      <c r="C140" s="2" t="s">
        <v>20</v>
      </c>
    </row>
    <row r="141" spans="3:3" x14ac:dyDescent="0.2">
      <c r="C141" s="3">
        <v>1</v>
      </c>
    </row>
    <row r="142" spans="3:3" x14ac:dyDescent="0.2">
      <c r="C142" s="5" t="s">
        <v>597</v>
      </c>
    </row>
    <row r="143" spans="3:3" x14ac:dyDescent="0.2">
      <c r="C143" s="5" t="s">
        <v>598</v>
      </c>
    </row>
    <row r="144" spans="3:3" x14ac:dyDescent="0.2">
      <c r="C144" s="5" t="s">
        <v>599</v>
      </c>
    </row>
    <row r="145" spans="3:3" x14ac:dyDescent="0.2">
      <c r="C145" s="5" t="s">
        <v>600</v>
      </c>
    </row>
    <row r="146" spans="3:3" x14ac:dyDescent="0.2">
      <c r="C146" s="5" t="s">
        <v>601</v>
      </c>
    </row>
    <row r="147" spans="3:3" x14ac:dyDescent="0.2">
      <c r="C147" s="5" t="s">
        <v>602</v>
      </c>
    </row>
    <row r="148" spans="3:3" x14ac:dyDescent="0.2">
      <c r="C148" s="5" t="s">
        <v>603</v>
      </c>
    </row>
    <row r="149" spans="3:3" x14ac:dyDescent="0.2">
      <c r="C149" s="5" t="s">
        <v>604</v>
      </c>
    </row>
    <row r="150" spans="3:3" x14ac:dyDescent="0.2">
      <c r="C150" s="5" t="s">
        <v>605</v>
      </c>
    </row>
    <row r="151" spans="3:3" x14ac:dyDescent="0.2">
      <c r="C151" s="2" t="s">
        <v>882</v>
      </c>
    </row>
    <row r="152" spans="3:3" x14ac:dyDescent="0.2">
      <c r="C152" s="3">
        <v>1</v>
      </c>
    </row>
    <row r="153" spans="3:3" x14ac:dyDescent="0.2">
      <c r="C153" s="5" t="s">
        <v>902</v>
      </c>
    </row>
    <row r="154" spans="3:3" x14ac:dyDescent="0.2">
      <c r="C154" s="5" t="s">
        <v>833</v>
      </c>
    </row>
    <row r="155" spans="3:3" x14ac:dyDescent="0.2">
      <c r="C155" s="5" t="s">
        <v>1210</v>
      </c>
    </row>
    <row r="156" spans="3:3" x14ac:dyDescent="0.2">
      <c r="C156" s="5" t="s">
        <v>1211</v>
      </c>
    </row>
    <row r="157" spans="3:3" x14ac:dyDescent="0.2">
      <c r="C157" s="5" t="s">
        <v>1212</v>
      </c>
    </row>
    <row r="158" spans="3:3" x14ac:dyDescent="0.2">
      <c r="C158" s="5" t="s">
        <v>937</v>
      </c>
    </row>
    <row r="159" spans="3:3" x14ac:dyDescent="0.2">
      <c r="C159" s="5" t="s">
        <v>1213</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455</v>
      </c>
      <c r="C39" s="7">
        <v>0</v>
      </c>
      <c r="D39" s="7">
        <v>0</v>
      </c>
      <c r="E39" s="7">
        <v>0</v>
      </c>
      <c r="F39" s="7">
        <v>1.7361111111111112E-2</v>
      </c>
      <c r="G39" s="7">
        <v>0</v>
      </c>
      <c r="H39" s="7">
        <v>0.15625</v>
      </c>
      <c r="I39" s="7">
        <v>0.125</v>
      </c>
      <c r="J39" s="7">
        <v>3.125E-2</v>
      </c>
      <c r="K39" s="7">
        <v>3.125E-2</v>
      </c>
    </row>
    <row r="40" spans="2:11" x14ac:dyDescent="0.2">
      <c r="B40" s="3" t="s">
        <v>363</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586</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455</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363</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826</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455</v>
      </c>
      <c r="C59" s="7">
        <v>0</v>
      </c>
      <c r="D59" s="7">
        <v>-1.0416666666666671E-2</v>
      </c>
      <c r="E59" s="7">
        <v>0</v>
      </c>
      <c r="F59" s="7">
        <v>-6.25E-2</v>
      </c>
      <c r="G59" s="7">
        <v>0</v>
      </c>
      <c r="H59" s="7">
        <v>6.25E-2</v>
      </c>
      <c r="I59" s="7">
        <v>0.19791666666666666</v>
      </c>
      <c r="J59" s="7">
        <v>-0.13541666666666669</v>
      </c>
      <c r="K59" s="7">
        <v>-0.125</v>
      </c>
    </row>
    <row r="60" spans="2:11" x14ac:dyDescent="0.2">
      <c r="B60" s="3" t="s">
        <v>363</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882</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153</v>
      </c>
      <c r="D10" t="str" cm="1">
        <f t="array" ref="D10:D19">_xlfn._xlws.SORT(
    _xlfn._xlws.FILTER(
        _xlfn.UNIQUE(tbl_TOPIC[Subject]),
        _xlfn.UNIQUE(tbl_TOPIC[Subject])&lt;&gt;0
    )
)</f>
        <v>A</v>
      </c>
      <c r="E10" t="str" cm="1">
        <f t="array" ref="E10:E87">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152</v>
      </c>
      <c r="D11" t="str">
        <v>CM</v>
      </c>
      <c r="E11" t="str">
        <v>A-02</v>
      </c>
      <c r="F11" t="str">
        <v>Abelsche Kategorien</v>
      </c>
      <c r="G11" t="str">
        <v>Abelsche Kategorien</v>
      </c>
      <c r="H11" t="str">
        <v>Torsionsprodukt von abelschen Gruppen (HmK)</v>
      </c>
    </row>
    <row r="12" spans="3:9" x14ac:dyDescent="0.2">
      <c r="C12" t="s">
        <v>151</v>
      </c>
      <c r="D12" t="str">
        <v>EFT1</v>
      </c>
      <c r="E12" t="str">
        <v>A-03</v>
      </c>
      <c r="F12" t="str">
        <v>Absolute und Relative Homologie</v>
      </c>
      <c r="G12" t="str">
        <v>Absolute und Relative Homologie</v>
      </c>
      <c r="H12" t="str">
        <v>Homologisches Kreuzprodukt (HA)</v>
      </c>
    </row>
    <row r="13" spans="3:9" x14ac:dyDescent="0.2">
      <c r="C13" t="s">
        <v>150</v>
      </c>
      <c r="D13" t="str">
        <v>GPDE</v>
      </c>
      <c r="E13" t="str">
        <v>A-04</v>
      </c>
      <c r="F13" t="str">
        <v>Algebra</v>
      </c>
      <c r="G13" t="str">
        <v>Algebra</v>
      </c>
      <c r="H13" t="str">
        <v>Homologische Algebra</v>
      </c>
    </row>
    <row r="14" spans="3:9" x14ac:dyDescent="0.2">
      <c r="C14" t="s">
        <v>149</v>
      </c>
      <c r="D14" t="str">
        <v>HA</v>
      </c>
      <c r="E14" t="str">
        <v>CM-01</v>
      </c>
      <c r="F14" t="str">
        <v>An- und Abmontieren von Fasern</v>
      </c>
      <c r="G14" t="str">
        <v>An- und Abmontieren von Fasern</v>
      </c>
      <c r="H14" t="str">
        <v>Kategorien und Funktoren in HA</v>
      </c>
    </row>
    <row r="15" spans="3:9" x14ac:dyDescent="0.2">
      <c r="C15" t="s">
        <v>148</v>
      </c>
      <c r="D15" t="str">
        <v>QM</v>
      </c>
      <c r="E15" t="str">
        <v>CM-02</v>
      </c>
      <c r="F15" t="str">
        <v>Basics der SHT</v>
      </c>
      <c r="G15" t="str">
        <v>Basics der SHT</v>
      </c>
      <c r="H15" t="str">
        <v>Moduln in HA</v>
      </c>
    </row>
    <row r="16" spans="3:9" x14ac:dyDescent="0.2">
      <c r="C16" t="s">
        <v>154</v>
      </c>
      <c r="D16" t="str">
        <v>QMS</v>
      </c>
      <c r="E16" t="str">
        <v>CM-03</v>
      </c>
      <c r="F16" t="str">
        <v>Basics Gruppentheorie für QMS</v>
      </c>
      <c r="G16" t="str">
        <v>Basics Gruppentheorie für QMS</v>
      </c>
      <c r="H16" t="str">
        <v>Tensorprodukt in HA</v>
      </c>
    </row>
    <row r="17" spans="3:8" x14ac:dyDescent="0.2">
      <c r="C17" t="s">
        <v>147</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181</v>
      </c>
      <c r="D18" t="str">
        <v>TOP1</v>
      </c>
      <c r="E18" t="str">
        <v>CM-05</v>
      </c>
      <c r="F18" t="str">
        <v>Beugung und Inferenz</v>
      </c>
      <c r="G18" t="str">
        <v>Beugung und Inferenz</v>
      </c>
      <c r="H18" t="str">
        <v>Homologie Funktor in HA</v>
      </c>
    </row>
    <row r="19" spans="3:8" x14ac:dyDescent="0.2">
      <c r="C19" t="s">
        <v>273</v>
      </c>
      <c r="D19" t="str">
        <v>TOP2</v>
      </c>
      <c r="E19" t="str">
        <v>CM-06</v>
      </c>
      <c r="F19" t="str">
        <v>Bewegungsgleichung für Erwartungswert</v>
      </c>
      <c r="G19" t="str">
        <v>Bewegungsgleichung für Erwartungswert</v>
      </c>
      <c r="H19" t="str">
        <v>Komplexe in HA</v>
      </c>
    </row>
    <row r="20" spans="3:8" x14ac:dyDescent="0.2">
      <c r="C20" t="s">
        <v>382</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494</v>
      </c>
      <c r="E21" t="str">
        <v>EFT1-02</v>
      </c>
      <c r="F21" t="str">
        <v>CM-Ex</v>
      </c>
      <c r="G21" t="str">
        <v>CM-Ex</v>
      </c>
      <c r="H21" t="str">
        <v>Exaktheit von Sequenzen</v>
      </c>
    </row>
    <row r="22" spans="3:8" x14ac:dyDescent="0.2">
      <c r="C22" t="s">
        <v>567</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HA-01</v>
      </c>
      <c r="F37" t="str">
        <v>Exponentialabbildung in EFT</v>
      </c>
      <c r="G37" t="str">
        <v>Exponentialabbildung in EFT</v>
      </c>
      <c r="H37" t="str">
        <v>Differentialoperatoren</v>
      </c>
    </row>
    <row r="38" spans="5:8" x14ac:dyDescent="0.2">
      <c r="E38" t="str">
        <v>HA-02</v>
      </c>
      <c r="F38" t="str">
        <v>Faserbündel</v>
      </c>
      <c r="G38" t="str">
        <v>Faserbündel</v>
      </c>
      <c r="H38" t="str">
        <v>Ungleichungen und Abschätzungen</v>
      </c>
    </row>
    <row r="39" spans="5:8" x14ac:dyDescent="0.2">
      <c r="E39" t="str">
        <v>HA-03</v>
      </c>
      <c r="F39" t="str">
        <v>Generatoren</v>
      </c>
      <c r="G39" t="str">
        <v>Generatoren</v>
      </c>
      <c r="H39" t="str">
        <v>Maximum Prinzipien</v>
      </c>
    </row>
    <row r="40" spans="5:8" x14ac:dyDescent="0.2">
      <c r="E40" t="str">
        <v>HA-04</v>
      </c>
      <c r="F40" t="str">
        <v>Geodätische</v>
      </c>
      <c r="G40" t="str">
        <v>Geodätische</v>
      </c>
      <c r="H40" t="str">
        <v>Schwache Maximum Prinzipien</v>
      </c>
    </row>
    <row r="41" spans="5:8" x14ac:dyDescent="0.2">
      <c r="E41" t="str">
        <v>HA-05</v>
      </c>
      <c r="F41" t="str">
        <v>Geodätische und Exponentialabbildung</v>
      </c>
      <c r="G41" t="str">
        <v>Geodätische und Exponentialabbildung</v>
      </c>
      <c r="H41" t="str">
        <v>Starke Maximum Prinzipien</v>
      </c>
    </row>
    <row r="42" spans="5:8" x14ac:dyDescent="0.2">
      <c r="E42" t="str">
        <v>HA-06</v>
      </c>
      <c r="F42" t="str">
        <v>Glatte Abbildungen und Vektorfelder</v>
      </c>
      <c r="G42" t="str">
        <v>Glatte Abbildungen und Vektorfelder</v>
      </c>
      <c r="H42" t="str">
        <v>Quantenmechanik</v>
      </c>
    </row>
    <row r="43" spans="5:8" x14ac:dyDescent="0.2">
      <c r="E43" t="str">
        <v>HA-07</v>
      </c>
      <c r="F43" t="str">
        <v>Glatte Mannigfaltigkeiten</v>
      </c>
      <c r="G43" t="str">
        <v>Glatte Mannigfaltigkeiten</v>
      </c>
      <c r="H43" t="str">
        <v>Schrödinger Gleichung</v>
      </c>
    </row>
    <row r="44" spans="5:8" x14ac:dyDescent="0.2">
      <c r="E44" t="str">
        <v>HA-08</v>
      </c>
      <c r="F44" t="str">
        <v>GPDE Basics</v>
      </c>
      <c r="G44" t="str">
        <v>GPDE Basics</v>
      </c>
      <c r="H44" t="str">
        <v>Wellenpakete in QM</v>
      </c>
    </row>
    <row r="45" spans="5:8" x14ac:dyDescent="0.2">
      <c r="E45" t="str">
        <v>HA-09</v>
      </c>
      <c r="F45" t="str">
        <v>Gruppe SU(3)</v>
      </c>
      <c r="G45" t="str">
        <v>Gruppe SU(3)</v>
      </c>
      <c r="H45" t="str">
        <v>Einführung der Schrödinger Gleichung</v>
      </c>
    </row>
    <row r="46" spans="5:8" x14ac:dyDescent="0.2">
      <c r="E46" t="str">
        <v>HA-10</v>
      </c>
      <c r="F46" t="str">
        <v>Gruppentheorie für QMS</v>
      </c>
      <c r="G46" t="str">
        <v>Gruppentheorie für QMS</v>
      </c>
      <c r="H46" t="str">
        <v>Herleitung für freie Teilchen</v>
      </c>
    </row>
    <row r="47" spans="5:8" x14ac:dyDescent="0.2">
      <c r="E47" t="str">
        <v>HA-11</v>
      </c>
      <c r="F47" t="str">
        <v>Herleitung für freie Teilchen</v>
      </c>
      <c r="G47" t="str">
        <v>Herleitung für freie Teilchen</v>
      </c>
      <c r="H47" t="str">
        <v>Teilchen in äußeren Potentialen</v>
      </c>
    </row>
    <row r="48" spans="5:8" x14ac:dyDescent="0.2">
      <c r="E48" t="str">
        <v>HA-12</v>
      </c>
      <c r="F48" t="str">
        <v>Hermitisch konjugierte Operatoren</v>
      </c>
      <c r="G48" t="str">
        <v>Hermitisch konjugierte Operatoren</v>
      </c>
      <c r="H48" t="str">
        <v>Operatoren</v>
      </c>
    </row>
    <row r="49" spans="5:8" x14ac:dyDescent="0.2">
      <c r="E49" t="str">
        <v>HA-13</v>
      </c>
      <c r="F49" t="str">
        <v>Hilftslemma für Diagramme der HA</v>
      </c>
      <c r="G49" t="str">
        <v>Hilftslemma für Diagramme der HA</v>
      </c>
      <c r="H49" t="str">
        <v>Korrespondenz Prinzip</v>
      </c>
    </row>
    <row r="50" spans="5:8" x14ac:dyDescent="0.2">
      <c r="E50" t="str">
        <v>HA-14</v>
      </c>
      <c r="F50" t="str">
        <v>HOM-Funktor</v>
      </c>
      <c r="G50" t="str">
        <v>HOM-Funktor</v>
      </c>
      <c r="H50" t="str">
        <v>Interpretation der Wellenfunktion</v>
      </c>
    </row>
    <row r="51" spans="5:8" x14ac:dyDescent="0.2">
      <c r="E51" t="str">
        <v>QM-01</v>
      </c>
      <c r="F51" t="str">
        <v>Homogene Räume</v>
      </c>
      <c r="G51" t="str">
        <v>Homogene Räume</v>
      </c>
      <c r="H51" t="str">
        <v>Wahrscheinlichkeitsdichte</v>
      </c>
    </row>
    <row r="52" spans="5:8" x14ac:dyDescent="0.2">
      <c r="E52" t="str">
        <v>QM-02</v>
      </c>
      <c r="F52" t="str">
        <v>Homologie Funktor in HA</v>
      </c>
      <c r="G52" t="str">
        <v>Homologie Funktor in HA</v>
      </c>
      <c r="H52" t="str">
        <v>Kontinuitätsgleichung</v>
      </c>
    </row>
    <row r="53" spans="5:8" x14ac:dyDescent="0.2">
      <c r="E53" t="str">
        <v>QM-03</v>
      </c>
      <c r="F53" t="str">
        <v>Homologie Kreuzprodukt in SHT</v>
      </c>
      <c r="G53" t="str">
        <v>Homologie Kreuzprodukt in SHT</v>
      </c>
      <c r="H53" t="str">
        <v>Impulsraum</v>
      </c>
    </row>
    <row r="54" spans="5:8" x14ac:dyDescent="0.2">
      <c r="E54" t="str">
        <v>QM-04</v>
      </c>
      <c r="F54" t="str">
        <v>Homologie mit Koeffizienten</v>
      </c>
      <c r="G54" t="str">
        <v>Homologie mit Koeffizienten</v>
      </c>
      <c r="H54" t="str">
        <v>Erwartungswert</v>
      </c>
    </row>
    <row r="55" spans="5:8" x14ac:dyDescent="0.2">
      <c r="E55" t="str">
        <v>QM-05</v>
      </c>
      <c r="F55" t="str">
        <v>Homologische Algebra</v>
      </c>
      <c r="G55" t="str">
        <v>Homologische Algebra</v>
      </c>
      <c r="H55" t="str">
        <v>Beugung und Inferenz</v>
      </c>
    </row>
    <row r="56" spans="5:8" x14ac:dyDescent="0.2">
      <c r="E56" t="str">
        <v>QM-06</v>
      </c>
      <c r="F56" t="str">
        <v>Homologisches Kreuzprodukt (HA)</v>
      </c>
      <c r="G56" t="str">
        <v>Homologisches Kreuzprodukt (HA)</v>
      </c>
      <c r="H56" t="str">
        <v>Ehrenfest Theorem</v>
      </c>
    </row>
    <row r="57" spans="5:8" x14ac:dyDescent="0.2">
      <c r="E57" t="str">
        <v>QM-07</v>
      </c>
      <c r="F57" t="str">
        <v>Hopf Lemma</v>
      </c>
      <c r="G57" t="str">
        <v>Hopf Lemma</v>
      </c>
      <c r="H57" t="str">
        <v>Hermitisch konjugierte Operatoren</v>
      </c>
    </row>
    <row r="58" spans="5:8" x14ac:dyDescent="0.2">
      <c r="E58" t="str">
        <v>QM-08</v>
      </c>
      <c r="F58" t="str">
        <v>Ideale und Quotienten</v>
      </c>
      <c r="G58" t="str">
        <v>Ideale und Quotienten</v>
      </c>
      <c r="H58" t="str">
        <v>Bewegungsgleichung für Erwartungswert</v>
      </c>
    </row>
    <row r="59" spans="5:8" x14ac:dyDescent="0.2">
      <c r="E59" t="str">
        <v>QM-09</v>
      </c>
      <c r="F59" t="str">
        <v>Impulsraum</v>
      </c>
      <c r="G59" t="str">
        <v>Impulsraum</v>
      </c>
      <c r="H59" t="str">
        <v>Quasiklassische Bewegung</v>
      </c>
    </row>
    <row r="60" spans="5:8" x14ac:dyDescent="0.2">
      <c r="E60" t="str">
        <v>QM-10</v>
      </c>
      <c r="F60" t="str">
        <v>Interpretation der Wellenfunktion</v>
      </c>
      <c r="G60" t="str">
        <v>Interpretation der Wellenfunktion</v>
      </c>
      <c r="H60" t="str">
        <v>Symmetrie in Quantenmechanik</v>
      </c>
    </row>
    <row r="61" spans="5:8" x14ac:dyDescent="0.2">
      <c r="E61" t="str">
        <v>QM-11</v>
      </c>
      <c r="F61" t="str">
        <v>Invariante Vektorfelder und Differentialformen</v>
      </c>
      <c r="G61" t="str">
        <v>Invariante Vektorfelder und Differentialformen</v>
      </c>
      <c r="H61" t="str">
        <v>Raum Translation</v>
      </c>
    </row>
    <row r="62" spans="5:8" x14ac:dyDescent="0.2">
      <c r="E62" t="str">
        <v>QM-12</v>
      </c>
      <c r="F62" t="str">
        <v>Kategorien und Funktoren in HA</v>
      </c>
      <c r="G62" t="str">
        <v>Kategorien und Funktoren in HA</v>
      </c>
      <c r="H62" t="str">
        <v>Zeit Translation</v>
      </c>
    </row>
    <row r="63" spans="5:8" x14ac:dyDescent="0.2">
      <c r="E63" t="str">
        <v>QM-13</v>
      </c>
      <c r="F63" t="str">
        <v>Kategorische Formulierung der Homologietheorie</v>
      </c>
      <c r="G63" t="str">
        <v>Kategorische Formulierung der Homologietheorie</v>
      </c>
      <c r="H63" t="str">
        <v>Rotation</v>
      </c>
    </row>
    <row r="64" spans="5:8" x14ac:dyDescent="0.2">
      <c r="E64" t="str">
        <v>QMS-01</v>
      </c>
      <c r="F64" t="str">
        <v>Kategorische Formulierung der SHT</v>
      </c>
      <c r="G64" t="str">
        <v>Kategorische Formulierung der SHT</v>
      </c>
      <c r="H64" t="str">
        <v>Gruppentheorie für QMS</v>
      </c>
    </row>
    <row r="65" spans="5:8" x14ac:dyDescent="0.2">
      <c r="E65" t="str">
        <v>QMS-02</v>
      </c>
      <c r="F65" t="str">
        <v>Klassische Streutheorie</v>
      </c>
      <c r="G65" t="str">
        <v>Klassische Streutheorie</v>
      </c>
      <c r="H65" t="str">
        <v>Basics Gruppentheorie für QMS</v>
      </c>
    </row>
    <row r="66" spans="5:8" x14ac:dyDescent="0.2">
      <c r="E66" t="str">
        <v>QMS-03</v>
      </c>
      <c r="F66" t="str">
        <v>Komplexe in HA</v>
      </c>
      <c r="G66" t="str">
        <v>Komplexe in HA</v>
      </c>
      <c r="H66" t="str">
        <v>Repräsentation von Gruppen</v>
      </c>
    </row>
    <row r="67" spans="5:8" x14ac:dyDescent="0.2">
      <c r="E67" t="str">
        <v>QMS-04</v>
      </c>
      <c r="F67" t="str">
        <v>Konstruktion von Multiplets von fundamentalen Repräsentationen</v>
      </c>
      <c r="G67" t="str">
        <v>Konstruktion von Multiplets von fundamentalen Repräsentationen</v>
      </c>
      <c r="H67" t="str">
        <v>Lie Gruppen</v>
      </c>
    </row>
    <row r="68" spans="5:8" x14ac:dyDescent="0.2">
      <c r="E68" t="str">
        <v>QMS-05</v>
      </c>
      <c r="F68" t="str">
        <v>Kontinuitätsgleichung</v>
      </c>
      <c r="G68" t="str">
        <v>Kontinuitätsgleichung</v>
      </c>
      <c r="H68" t="str">
        <v>Einfache und Semi-Einfache Lie Gruppen</v>
      </c>
    </row>
    <row r="69" spans="5:8" x14ac:dyDescent="0.2">
      <c r="E69" t="str">
        <v>RG-01</v>
      </c>
      <c r="F69" t="str">
        <v>Korrespondenz Prinzip</v>
      </c>
      <c r="G69" t="str">
        <v>Korrespondenz Prinzip</v>
      </c>
      <c r="H69" t="str">
        <v>Qasimir Operator, Multiplet, Schur Lemma</v>
      </c>
    </row>
    <row r="70" spans="5:8" x14ac:dyDescent="0.2">
      <c r="E70" t="str">
        <v>RG-02</v>
      </c>
      <c r="F70" t="str">
        <v>Kovariante Ableitung längs einer Kurve</v>
      </c>
      <c r="G70" t="str">
        <v>Kovariante Ableitung längs einer Kurve</v>
      </c>
      <c r="H70" t="str">
        <v>Gruppe SU(3)</v>
      </c>
    </row>
    <row r="71" spans="5:8" x14ac:dyDescent="0.2">
      <c r="E71" t="str">
        <v>RG-03</v>
      </c>
      <c r="F71" t="str">
        <v>Kreuzprodukt auf Kettengruppenkomplexe in SHT</v>
      </c>
      <c r="G71" t="str">
        <v>Kreuzprodukt auf Kettengruppenkomplexe in SHT</v>
      </c>
      <c r="H71" t="str">
        <v>Generatoren</v>
      </c>
    </row>
    <row r="72" spans="5:8" x14ac:dyDescent="0.2">
      <c r="E72" t="str">
        <v>RG-04</v>
      </c>
      <c r="F72" t="str">
        <v>Kreuzprodukt in SHT</v>
      </c>
      <c r="G72" t="str">
        <v>Kreuzprodukt in SHT</v>
      </c>
      <c r="H72" t="str">
        <v>Struktur Konstanten</v>
      </c>
    </row>
    <row r="73" spans="5:8" x14ac:dyDescent="0.2">
      <c r="E73" t="str">
        <v>RG-05</v>
      </c>
      <c r="F73" t="str">
        <v>Levi-Civita Zusammenhang</v>
      </c>
      <c r="G73" t="str">
        <v>Levi-Civita Zusammenhang</v>
      </c>
      <c r="H73" t="str">
        <v>Unteralgebren und Untergruppen</v>
      </c>
    </row>
    <row r="74" spans="5:8" x14ac:dyDescent="0.2">
      <c r="E74" t="str">
        <v>TOP1-01</v>
      </c>
      <c r="F74" t="str">
        <v>Lie Algebren in EFT</v>
      </c>
      <c r="G74" t="str">
        <v>Lie Algebren in EFT</v>
      </c>
      <c r="H74" t="str">
        <v>Konstruktion von Multiplets von fundamentalen Repräsentationen</v>
      </c>
    </row>
    <row r="75" spans="5:8" x14ac:dyDescent="0.2">
      <c r="E75" t="str">
        <v>TOP1-02</v>
      </c>
      <c r="F75" t="str">
        <v>Lie Gruppen</v>
      </c>
      <c r="G75" t="str">
        <v>Lie Gruppen</v>
      </c>
      <c r="H75" t="str">
        <v>Young Tableaux</v>
      </c>
    </row>
    <row r="76" spans="5:8" x14ac:dyDescent="0.2">
      <c r="E76" t="str">
        <v>TOP1-03</v>
      </c>
      <c r="F76" t="str">
        <v>Lie Gruppen in EFT</v>
      </c>
      <c r="G76" t="str">
        <v>Lie Gruppen in EFT</v>
      </c>
      <c r="H76" t="str">
        <v>QM-ÜB</v>
      </c>
    </row>
    <row r="77" spans="5:8" x14ac:dyDescent="0.2">
      <c r="E77" t="str">
        <v>TOP1-04</v>
      </c>
      <c r="F77" t="str">
        <v>Maximum Prinzipien</v>
      </c>
      <c r="G77" t="str">
        <v>Maximum Prinzipien</v>
      </c>
      <c r="H77" t="str">
        <v>QM-ÜB-00: Hermitische Unitäre Matrizen</v>
      </c>
    </row>
    <row r="78" spans="5:8" x14ac:dyDescent="0.2">
      <c r="E78" t="str">
        <v>TOP1-05</v>
      </c>
      <c r="F78" t="str">
        <v>Mayer-Vietoris Sequenz in SHT</v>
      </c>
      <c r="G78" t="str">
        <v>Mayer-Vietoris Sequenz in SHT</v>
      </c>
      <c r="H78" t="str">
        <v>Hopf Lemma</v>
      </c>
    </row>
    <row r="79" spans="5:8" x14ac:dyDescent="0.2">
      <c r="E79" t="str">
        <v>TOP1-06</v>
      </c>
      <c r="F79" t="str">
        <v>Moduln</v>
      </c>
      <c r="G79" t="str">
        <v>Moduln</v>
      </c>
      <c r="H79" t="str">
        <v>Vergleichsprinzipien für voll nicht-lineare Differentialoperatoren</v>
      </c>
    </row>
    <row r="80" spans="5:8" x14ac:dyDescent="0.2">
      <c r="E80" t="str">
        <v>TOP1-07</v>
      </c>
      <c r="F80" t="str">
        <v>Moduln Grundlagen</v>
      </c>
      <c r="G80" t="str">
        <v>Moduln Grundlagen</v>
      </c>
      <c r="H80" t="str">
        <v>Klassische Streutheorie</v>
      </c>
    </row>
    <row r="81" spans="5:8" x14ac:dyDescent="0.2">
      <c r="E81" t="str">
        <v>TOP1-08</v>
      </c>
      <c r="F81" t="str">
        <v>Moduln in HA</v>
      </c>
      <c r="G81" t="str">
        <v>Moduln in HA</v>
      </c>
      <c r="H81" t="str">
        <v>Wirkungsquerschnitt</v>
      </c>
    </row>
    <row r="82" spans="5:8" x14ac:dyDescent="0.2">
      <c r="E82" t="str">
        <v>TOP1-09</v>
      </c>
      <c r="F82" t="str">
        <v>Operatoren</v>
      </c>
      <c r="G82" t="str">
        <v>Operatoren</v>
      </c>
      <c r="H82" t="str">
        <v>Berechnung des Wirkungsquerschnitts für elastische Streuung am Zentralpotential</v>
      </c>
    </row>
    <row r="83" spans="5:8" x14ac:dyDescent="0.2">
      <c r="E83" t="str">
        <v>TOP1-10</v>
      </c>
      <c r="F83" t="str">
        <v>Paralleltransport</v>
      </c>
      <c r="G83" t="str">
        <v>Paralleltransport</v>
      </c>
      <c r="H83" t="str">
        <v>Rücktransformation ins Laborsystem</v>
      </c>
    </row>
    <row r="84" spans="5:8" x14ac:dyDescent="0.2">
      <c r="E84" t="str">
        <v>TOP2-01</v>
      </c>
      <c r="F84" t="str">
        <v>Paritätsoperator</v>
      </c>
      <c r="G84" t="str">
        <v>Paritätsoperator</v>
      </c>
      <c r="H84" t="str">
        <v>2-Körper und effektives 1-Körper Problem</v>
      </c>
    </row>
    <row r="85" spans="5:8" x14ac:dyDescent="0.2">
      <c r="E85" t="str">
        <v>TOP2-02</v>
      </c>
      <c r="F85" t="str">
        <v>Potentialbarriere</v>
      </c>
      <c r="G85" t="str">
        <v>Potentialbarriere</v>
      </c>
      <c r="H85" t="str">
        <v>CM-ÜB</v>
      </c>
    </row>
    <row r="86" spans="5:8" x14ac:dyDescent="0.2">
      <c r="E86" t="str">
        <v>TOP2-03</v>
      </c>
      <c r="F86" t="str">
        <v>Potentialtopf mit endlicher Tiefe</v>
      </c>
      <c r="G86" t="str">
        <v>Potentialtopf mit endlicher Tiefe</v>
      </c>
      <c r="H86" t="str">
        <v>CM-ÜB-01: Streutheorie</v>
      </c>
    </row>
    <row r="87" spans="5:8" x14ac:dyDescent="0.2">
      <c r="E87" t="str">
        <v>TOP2-04</v>
      </c>
      <c r="F87" t="str">
        <v>Potenzreihenringe und Polynomringe</v>
      </c>
      <c r="G87" t="str">
        <v>Potenzreihenringe und Polynomringe</v>
      </c>
      <c r="H87" t="str">
        <v>Differenzierbare Mannigfaltigkeiten</v>
      </c>
    </row>
    <row r="88" spans="5:8" x14ac:dyDescent="0.2">
      <c r="F88" t="str">
        <v>Prinzipialbündel</v>
      </c>
      <c r="G88" t="str">
        <v>Prinzipialbündel</v>
      </c>
      <c r="H88" t="str">
        <v>Untermannigfaltigkeiten im euklidischen Raum</v>
      </c>
    </row>
    <row r="89" spans="5:8" x14ac:dyDescent="0.2">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2025-05-15T10:39:15Z</dcterms:modified>
</cp:coreProperties>
</file>